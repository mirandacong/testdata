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office.activeX" PartName="/xl/activeX/activeX1.bin"/>
  <Override ContentType="application/vnd.ms-office.activeX+xml" PartName="/xl/activeX/activeX1.xml"/>
  <Override ContentType="application/vnd.ms-office.activeX" PartName="/xl/activeX/activeX2.bin"/>
  <Override ContentType="application/vnd.ms-office.activeX+xml" PartName="/xl/activeX/activeX2.xml"/>
  <Override ContentType="application/vnd.ms-office.activeX" PartName="/xl/activeX/activeX3.bin"/>
  <Override ContentType="application/vnd.ms-office.activeX+xml" PartName="/xl/activeX/activeX3.xml"/>
  <Override ContentType="application/vnd.ms-office.activeX" PartName="/xl/activeX/activeX4.bin"/>
  <Override ContentType="application/vnd.ms-office.activeX+xml" PartName="/xl/activeX/activeX4.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6.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updateLinks="never" codeName="ThisWorkbook" defaultThemeVersion="124226"/>
  <bookViews>
    <workbookView xWindow="14505" yWindow="-15" windowWidth="14310" windowHeight="13440" tabRatio="726"/>
  </bookViews>
  <sheets>
    <sheet name="ImportantDisclosures" sheetId="45" r:id="rId1"/>
    <sheet name="Summary" sheetId="1" r:id="rId2"/>
    <sheet name="Operations" sheetId="2" r:id="rId3"/>
    <sheet name="Financials" sheetId="3" r:id="rId4"/>
    <sheet name="Price Relationships" sheetId="10" r:id="rId5"/>
    <sheet name="debt schedule" sheetId="11" r:id="rId6"/>
    <sheet name="Estimates" sheetId="34" r:id="rId7"/>
    <sheet name="Variance" sheetId="35" r:id="rId8"/>
    <sheet name="Segment EBITDA" sheetId="9" r:id="rId9"/>
    <sheet name="MW-Cache" sheetId="33" state="veryHidden" r:id="rId10"/>
    <sheet name="Mills" sheetId="19" r:id="rId11"/>
    <sheet name="Pension" sheetId="36" r:id="rId12"/>
    <sheet name="OPEB" sheetId="37" r:id="rId13"/>
    <sheet name="IndexInformation" sheetId="46" r:id="rId14"/>
    <sheet name="ModPubIndex" sheetId="47" r:id="rId15"/>
  </sheets>
  <definedNames>
    <definedName name="__FDS_HYPERLINK_TOGGLE_STATE__" hidden="1">"ON"</definedName>
    <definedName name="__FDS_UNIQUE_RANGE_ID_GENERATOR_COUNTER" localSheetId="6" hidden="1">255</definedName>
    <definedName name="__FDS_UNIQUE_RANGE_ID_GENERATOR_COUNTER" localSheetId="7" hidden="1">153</definedName>
    <definedName name="__FDS_UNIQUE_RANGE_ID_GENERATOR_COUNTER" hidden="1">1</definedName>
    <definedName name="__IntlFixup" hidden="1">TRUE</definedName>
    <definedName name="_1H_96">"assumpt"</definedName>
    <definedName name="_bdm.031E81DDBD544DE892FB3F1540769368.edm" localSheetId="1" hidden="1">Summary!$B$5:$K$58</definedName>
    <definedName name="_bdm.0CC409ABA8004591AC72D94951EE0741.edm" localSheetId="1" hidden="1">Summary!$B$7:$M$57</definedName>
    <definedName name="_bdm.0F1C0983F3E4496991FE418F174AF950.edm" localSheetId="1" hidden="1">Summary!$B$7:$M$57</definedName>
    <definedName name="_bdm.0F46942AF5414357B1CC84C4B415BB27.edm" localSheetId="6" hidden="1">Estimates!$B$3:$B$33</definedName>
    <definedName name="_bdm.10BDB3F9E9BE461087E6294AF4DD4C96.edm" localSheetId="6" hidden="1">Estimates!$B$3:$R$33</definedName>
    <definedName name="_bdm.184E26EC70D94124AAD606DFC56A79D1.edm" localSheetId="1" hidden="1">Summary!$B$2:$M$55</definedName>
    <definedName name="_bdm.1C6E2AD3ADC942E5A87F08E11A6E01DC.edm" localSheetId="6" hidden="1">Estimates!$B$4:$R$33</definedName>
    <definedName name="_bdm.22A19F4CEA314B5BBD8DD54945ADC884.edm" localSheetId="1" hidden="1">Summary!$B$7:$M$62</definedName>
    <definedName name="_bdm.2931589645384895B37204A6EC1AFDCE.edm" localSheetId="1" hidden="1">Summary!$B$5:$M$55</definedName>
    <definedName name="_bdm.35DFB75339114A2A80E0B11A10633355.edm" localSheetId="1" hidden="1">Summary!$B$2:$M$57</definedName>
    <definedName name="_bdm.485B4398402248E5A8A2E612704C695A.edm" localSheetId="3" hidden="1">Financials!$A$6:$AI$102</definedName>
    <definedName name="_bdm.56DB4E8AF2BD41E6A26A7E0C71C0D22A.edm" localSheetId="6" hidden="1">Estimates!$1:$1048576</definedName>
    <definedName name="_bdm.56DE0B6C84A0414E8A92616CFF01DC35.edm" localSheetId="1" hidden="1">Summary!$B$5:$J$55</definedName>
    <definedName name="_bdm.586FF38C62B5454E9765CA6B9D07482C.edm" localSheetId="7" hidden="1">Variance!$B$1:$J$31</definedName>
    <definedName name="_bdm.599088157C344E72B55F26CFA6CC364E.edm" hidden="1">Financials!$1:$1048576</definedName>
    <definedName name="_bdm.5C8E85F552664E8D9726B420F7394B04.edm" localSheetId="3" hidden="1">Financials!$A$6:$Y$102</definedName>
    <definedName name="_bdm.6B9C80D3A9B0408CA6B910C8F2705981.edm" localSheetId="7" hidden="1">Variance!$B$2:$J$31</definedName>
    <definedName name="_bdm.6D4DD0E515F5435D822BDA7EF46DE789.edm" localSheetId="1" hidden="1">Summary!$B$7:$M$57</definedName>
    <definedName name="_bdm.722C29E0687A4D5A9BE17212C433BED9.edm" localSheetId="3" hidden="1">Financials!$A$6:$AN$102</definedName>
    <definedName name="_bdm.8B003D9FFA814E3B93EA02C228E3D59F.edm" localSheetId="7" hidden="1">Variance!$B$2:$J$31</definedName>
    <definedName name="_bdm.8E3B4F1F80DB4ED58814B1E5335C9F49.edm" localSheetId="2" hidden="1">Operations!$A$4:$Y$212</definedName>
    <definedName name="_bdm.98015399910E45169E1BDF1448FC15C5.edm" localSheetId="7" hidden="1">Variance!$B$1:$J$31</definedName>
    <definedName name="_bdm.A85DB89AEA214FCC8A6B0551ED8E2163.edm" localSheetId="6" hidden="1">Estimates!$B$3:$R$33</definedName>
    <definedName name="_bdm.ACD84B638A4B48DE88B76BA48F0F5C37.edm" localSheetId="1" hidden="1">Summary!$B$7:$M$62</definedName>
    <definedName name="_bdm.AD5F642071E44EECAE81C2E359D06761.edm" localSheetId="1" hidden="1">Summary!$B$5:$M$55</definedName>
    <definedName name="_bdm.B4579D69DA6246B6A186A26EB67EDB8D.edm" localSheetId="1" hidden="1">Summary!$B$5:$J$58</definedName>
    <definedName name="_bdm.BA833C26678D4ED1A850CED54B0C23E9.edm" hidden="1">Variance!$1:$1048576</definedName>
    <definedName name="_bdm.BD77B1BAFCAA42C382B3BC998F7C2F8A.edm" localSheetId="3" hidden="1">Financials!$A$6:$AS$105</definedName>
    <definedName name="_bdm.C5DF25C7C47F4CE69FC6AE187B2F14D6.edm" localSheetId="7" hidden="1">Variance!$B$1:$J$31</definedName>
    <definedName name="_bdm.CF7155E7C7A64FF689D3FC8CD8C00282.edm" hidden="1">Summary!$1:$1048576</definedName>
    <definedName name="_bdm.D7A44DF8233C44FC9B8948C867DE6FD1.edm" localSheetId="7" hidden="1">Variance!$B$2:$J$31</definedName>
    <definedName name="_bdm.D8DEEEA9F8314E97AB19CB242DF3E9D4.edm" hidden="1">Operations!$1:$1048576</definedName>
    <definedName name="_bdm.E1EEE83E023A4F32B46D4C18E2519F82.edm" localSheetId="1" hidden="1">Summary!$B$59:$B$69</definedName>
    <definedName name="_bdm.EB81C4168FB94FC09594ED43919FC6F8.edm" localSheetId="1" hidden="1">Summary!$B$5:$L$58</definedName>
    <definedName name="_bdm.F9102CFCD7174E9784B97DAD6372E706.edm" localSheetId="2" hidden="1">Operations!$A$4:$Y$212</definedName>
    <definedName name="_bdm.FF8CFA9BBA564A9BB7B104E285AACA95.edm" localSheetId="3" hidden="1">Financials!$A$6:$T$102</definedName>
    <definedName name="_Order1" hidden="1">0</definedName>
    <definedName name="_Order2" hidden="1">255</definedName>
    <definedName name="_Regression_Int" hidden="1">1</definedName>
    <definedName name="_scenchg_count">1</definedName>
    <definedName name="AAA_DOCTOPS" hidden="1">"AAA_SET"</definedName>
    <definedName name="AAA_duser" hidden="1">"OFF"</definedName>
    <definedName name="aaaa" localSheetId="7">{13}</definedName>
    <definedName name="aaaa">{13}</definedName>
    <definedName name="aaaaaa" localSheetId="7">{"BMC"}</definedName>
    <definedName name="aaaaaa">{"BMC"}</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dditionalInstructions">IndexInformation!$B$42</definedName>
    <definedName name="Address" localSheetId="0">ImportantDisclosures!$A$2:$A$2</definedName>
    <definedName name="AllTables" localSheetId="6">{1}</definedName>
    <definedName name="AllTables" localSheetId="7">{1}</definedName>
    <definedName name="AllTables">{9}</definedName>
    <definedName name="ANA" localSheetId="14">ModPubIndex!$A$7</definedName>
    <definedName name="anscount" hidden="1">1</definedName>
    <definedName name="AS2DocOpenMode" hidden="1">"AS2DocumentEdit"</definedName>
    <definedName name="asfadsg" localSheetId="6">{1}</definedName>
    <definedName name="asfadsg" localSheetId="7">{1}</definedName>
    <definedName name="asfadsg">{1}</definedName>
    <definedName name="Authors" localSheetId="0">ImportantDisclosures!$A$7</definedName>
    <definedName name="Authors" localSheetId="13">IndexInformation!$B$18</definedName>
    <definedName name="AxesFormat" localSheetId="5">'debt schedule'!AxesFormat</definedName>
    <definedName name="biovailvaluation" localSheetId="7">{"Client Name or Project Name"}</definedName>
    <definedName name="biovailvaluation">{"Client Name or Project Name"}</definedName>
    <definedName name="BRO" localSheetId="14">ModPubIndex!$A$1</definedName>
    <definedName name="CBWorkbookPriority" hidden="1">-1763748355</definedName>
    <definedName name="Cell_Errors" localSheetId="5">OFFSET('debt schedule'!File_Name,0,5,1,1)</definedName>
    <definedName name="CF_OP_GR">"'=BackSheet!$D$239:$AG$239"</definedName>
    <definedName name="CF_PR_DV">"'=BackSheet!$D$241:$AG$241"</definedName>
    <definedName name="Change" localSheetId="6" hidden="1">Estimates!Change</definedName>
    <definedName name="Change" localSheetId="7" hidden="1">Variance!Change</definedName>
    <definedName name="Change" hidden="1">Estimates!Change</definedName>
    <definedName name="Change1" localSheetId="6" hidden="1">Estimates!Change1</definedName>
    <definedName name="Change1" localSheetId="7" hidden="1">Variance!Change1</definedName>
    <definedName name="Change1" hidden="1">Estimates!Change1</definedName>
    <definedName name="Change2" localSheetId="6" hidden="1">Estimates!Change2</definedName>
    <definedName name="Change2" localSheetId="7" hidden="1">Variance!Change2</definedName>
    <definedName name="Change2" hidden="1">Estimates!Change2</definedName>
    <definedName name="Change3" localSheetId="6" hidden="1">Estimates!Change3</definedName>
    <definedName name="Change3" localSheetId="7" hidden="1">Variance!Change3</definedName>
    <definedName name="Change3" hidden="1">Estimates!Change3</definedName>
    <definedName name="Change4" localSheetId="6" hidden="1">Estimates!Change4</definedName>
    <definedName name="Change4" localSheetId="7" hidden="1">Variance!Change4</definedName>
    <definedName name="Change4" hidden="1">Estimates!Change4</definedName>
    <definedName name="Change5" localSheetId="6" hidden="1">Estimates!Change5</definedName>
    <definedName name="Change5" localSheetId="7" hidden="1">Variance!Change5</definedName>
    <definedName name="Change5" hidden="1">Estimates!Change5</definedName>
    <definedName name="ChangeRange" localSheetId="6" hidden="1">Estimates!ChangeRange</definedName>
    <definedName name="ChangeRange" localSheetId="7" hidden="1">Variance!ChangeRange</definedName>
    <definedName name="ChangeRange2" localSheetId="6" hidden="1">Estimates!ChangeRange2</definedName>
    <definedName name="ChangeRange2" localSheetId="7" hidden="1">Variance!ChangeRange2</definedName>
    <definedName name="ChangeRange2" hidden="1">Estimates!ChangeRange2</definedName>
    <definedName name="chart_1">"Chart 1"</definedName>
    <definedName name="chart_2">"Chart 2"</definedName>
    <definedName name="Choices_Wrapper" localSheetId="5">'debt schedule'!Choices_Wrapper</definedName>
    <definedName name="Company_Code" hidden="1">"USSLP"</definedName>
    <definedName name="Company_Name">"Project Knit"</definedName>
    <definedName name="converting" localSheetId="7">{"Client Name or Project Name"}</definedName>
    <definedName name="converting">{"Client Name or Project Name"}</definedName>
    <definedName name="CopyrightStamp">ImportantDisclosures!$A$27</definedName>
    <definedName name="COU" localSheetId="14">ModPubIndex!$A$5</definedName>
    <definedName name="CQEnd" localSheetId="13">IndexInformation!$B$31</definedName>
    <definedName name="cu102.ShareScalingFactor" hidden="1">1000000</definedName>
    <definedName name="cu103.EmployeeScalingFactor" hidden="1">1000</definedName>
    <definedName name="cu107.DPSSymbol" hidden="1">"US$"</definedName>
    <definedName name="cu107.EPSSymbol" hidden="1">"US$"</definedName>
    <definedName name="cu107.RepSymbol" hidden="1">"US$"</definedName>
    <definedName name="cu42.CurrFinancialMth" hidden="1">12</definedName>
    <definedName name="cu42.CurrFinancialYear" hidden="1">2005</definedName>
    <definedName name="cu61.ScalingFactor" hidden="1">"M"</definedName>
    <definedName name="cu71.ScalingFactor" hidden="1">1000000</definedName>
    <definedName name="Currency" localSheetId="13">IndexInformation!$B$24</definedName>
    <definedName name="Currency_ISOcode" localSheetId="12">OPEB!$AQ$174</definedName>
    <definedName name="Currency_ISOcode" localSheetId="11">Pension!$AQ$186</definedName>
    <definedName name="currentFY">Pension!$AZ$18</definedName>
    <definedName name="CurrentStockPrice" localSheetId="13">IndexInformation!$B$23</definedName>
    <definedName name="CurrQtrEPS" localSheetId="13">IndexInformation!$B$29</definedName>
    <definedName name="CurrYearEPS" localSheetId="13">IndexInformation!$B$11</definedName>
    <definedName name="CurrYearTotalRevenue" localSheetId="13">IndexInformation!$B$10</definedName>
    <definedName name="CurrYearTotalRevenueActual" localSheetId="13">IndexInformation!$B$32</definedName>
    <definedName name="CUSHeadFont" hidden="1">16777215</definedName>
    <definedName name="CUSHeading" hidden="1">8421504</definedName>
    <definedName name="CUSIP" localSheetId="13">IndexInformation!$B$20</definedName>
    <definedName name="CUSItemFont" hidden="1">9868950</definedName>
    <definedName name="CUSItemHeading" hidden="1">16777215</definedName>
    <definedName name="CustomView" hidden="1">"optAllRows"</definedName>
    <definedName name="CYEnd" localSheetId="13">IndexInformation!$B$30</definedName>
    <definedName name="darvon" localSheetId="7">{"Client Name or Project Name"}</definedName>
    <definedName name="darvon">{"Client Name or Project Name"}</definedName>
    <definedName name="_xlnm.Database" localSheetId="6">Estimates!_xlnm.Database</definedName>
    <definedName name="_xlnm.Database" localSheetId="1">Summary!_xlnm.Database</definedName>
    <definedName name="_xlnm.Database" localSheetId="7">Variance!_xlnm.Database</definedName>
    <definedName name="Date" localSheetId="0">ImportantDisclosures!$A$8</definedName>
    <definedName name="DB">"WIREUK"</definedName>
    <definedName name="dd" localSheetId="7">{"Client Name or Project Name"}</definedName>
    <definedName name="dd">{"Client Name or Project Name"}</definedName>
    <definedName name="ddd" localSheetId="7">{13}</definedName>
    <definedName name="ddd">{13}</definedName>
    <definedName name="ddddd" localSheetId="7">{"BMC"}</definedName>
    <definedName name="ddddd">{"BMC"}</definedName>
    <definedName name="Deleted" localSheetId="13">IndexInformation!$B$27</definedName>
    <definedName name="Description" localSheetId="13">IndexInformation!$B$7</definedName>
    <definedName name="DEVELOPMENT">5</definedName>
    <definedName name="dfasd" localSheetId="7">{"Project PPaids"}</definedName>
    <definedName name="dfasd">{"Project PPaids"}</definedName>
    <definedName name="DfltCUSHeadFont" hidden="1">16777215</definedName>
    <definedName name="DfltCUSHeading" hidden="1">8421504</definedName>
    <definedName name="DfltCUSItemHeading" hidden="1">16777215</definedName>
    <definedName name="DfltFinalColumn" hidden="1">16777215</definedName>
    <definedName name="DfltFinalHeadFont" hidden="1">16777215</definedName>
    <definedName name="DfltFinalHeading" hidden="1">8421504</definedName>
    <definedName name="DfltInterimColumn" hidden="1">16777215</definedName>
    <definedName name="DfltInterimHeadFont" hidden="1">8388608</definedName>
    <definedName name="DfltInterimHeading" hidden="1">16777215</definedName>
    <definedName name="DfltQuarterlyColumn" hidden="1">16777215</definedName>
    <definedName name="DfltQuarterlyHeadFont" hidden="1">8388608</definedName>
    <definedName name="DfltQuarterlyHeading" hidden="1">16777215</definedName>
    <definedName name="DfltSectionHeadFont" hidden="1">0</definedName>
    <definedName name="DfltSectionHeading" hidden="1">12632256</definedName>
    <definedName name="Discipline" localSheetId="13">IndexInformation!$B$3</definedName>
    <definedName name="DISCIPLINE" localSheetId="14">ModPubIndex!$A$12</definedName>
    <definedName name="DisclosuresText">ImportantDisclosures!$A$22</definedName>
    <definedName name="Distribution" localSheetId="13">IndexInformation!$B$26</definedName>
    <definedName name="DistTable" localSheetId="0">ImportantDisclosures!#REF!</definedName>
    <definedName name="DistTablePreamble" localSheetId="0">ImportantDisclosures!#REF!</definedName>
    <definedName name="DOCDAT" localSheetId="14">ModPubIndex!$A$2</definedName>
    <definedName name="DOCTIME" localSheetId="14">ModPubIndex!$A$3</definedName>
    <definedName name="DocType" localSheetId="13">IndexInformation!$B$5</definedName>
    <definedName name="dot" localSheetId="5">OFFSET('debt schedule'!File_Name,0,4,1,1)</definedName>
    <definedName name="dropDown">Pension!$AZ$21</definedName>
    <definedName name="dropDown2">OPEB!$AZ$21</definedName>
    <definedName name="DYNO">"TARGET"</definedName>
    <definedName name="dzsf" localSheetId="7">{"Client Name or Project Name"}</definedName>
    <definedName name="dzsf">{"Client Name or Project Name"}</definedName>
    <definedName name="edwin" localSheetId="7">{"EMC Financial Projections"}</definedName>
    <definedName name="edwin">{"EMC Financial Projections"}</definedName>
    <definedName name="EMAIL_ALERT" localSheetId="14">ModPubIndex!$A$10</definedName>
    <definedName name="EmailAlert" localSheetId="13">IndexInformation!$B$28</definedName>
    <definedName name="ERR.MSG">"Calculation not valid for total year."</definedName>
    <definedName name="esnrc67c1_values" localSheetId="6" hidden="1">{"IND","COMPANIES",TRUE}</definedName>
    <definedName name="esnrc67c1_values" localSheetId="7" hidden="1">{"IND","COMPANIES",TRUE}</definedName>
    <definedName name="esnrc67c1_values" hidden="1">{"IND","COMPANIES",TRUE}</definedName>
    <definedName name="ev.Calculation">-4135</definedName>
    <definedName name="ev.Initialized">FALSE</definedName>
    <definedName name="f" localSheetId="6">Estimates!f</definedName>
    <definedName name="f" localSheetId="1">Summary!f</definedName>
    <definedName name="f" localSheetId="7">Variance!f</definedName>
    <definedName name="fg" localSheetId="6">Estimates!fg</definedName>
    <definedName name="fg" localSheetId="1">Summary!fg</definedName>
    <definedName name="fg" localSheetId="7">Variance!fg</definedName>
    <definedName name="fgl" localSheetId="7">{"Client Name or Project Name"}</definedName>
    <definedName name="fgl">{"Client Name or Project Name"}</definedName>
    <definedName name="FinalColumn" hidden="1">16777215</definedName>
    <definedName name="FinalHeadFont" hidden="1">16777215</definedName>
    <definedName name="FinalHeading" hidden="1">8421504</definedName>
    <definedName name="FINCriteriaType">1</definedName>
    <definedName name="Fine" localSheetId="7">{"Client Name or Project Name"}</definedName>
    <definedName name="Fine">{"Client Name or Project Name"}</definedName>
    <definedName name="FineUS" localSheetId="7">{"Client Name or Project Name"}</definedName>
    <definedName name="FineUS">{"Client Name or Project Name"}</definedName>
    <definedName name="FiveYearGrowthRate" localSheetId="13">IndexInformation!$B$16</definedName>
    <definedName name="FollowingYearEPS" localSheetId="13">IndexInformation!$B$15</definedName>
    <definedName name="FollowingYearTotalRevenue" localSheetId="13">IndexInformation!$B$14</definedName>
    <definedName name="FollowingYearTotalRevenueActual" localSheetId="13">IndexInformation!$B$34</definedName>
    <definedName name="forest" localSheetId="7">{"Client Name or Project Name"}</definedName>
    <definedName name="forest">{"Client Name or Project Name"}</definedName>
    <definedName name="forest2" localSheetId="7">{"Client Name or Project Name"}</definedName>
    <definedName name="forest2">{"Client Name or Project Name"}</definedName>
    <definedName name="g" localSheetId="7">{"Client Name or Project Name"}</definedName>
    <definedName name="g">{"Client Name or Project Name"}</definedName>
    <definedName name="gg" localSheetId="7">{"Client Name or Project Name"}</definedName>
    <definedName name="gg">{"Client Name or Project Name"}</definedName>
    <definedName name="ggg" localSheetId="7">{"Client Name or Project Name"}</definedName>
    <definedName name="ggg">{"Client Name or Project Name"}</definedName>
    <definedName name="gggg" localSheetId="7">{"Client Name or Project Name"}</definedName>
    <definedName name="gggg">{"Client Name or Project Name"}</definedName>
    <definedName name="ggggg" localSheetId="7">{"Client Name or Project Name"}</definedName>
    <definedName name="ggggg">{"Client Name or Project Name"}</definedName>
    <definedName name="ggggggg" localSheetId="7">{"Client Name or Project Name"}</definedName>
    <definedName name="ggggggg">{"Client Name or Project Name"}</definedName>
    <definedName name="H" localSheetId="6" hidden="1">{"'Sheet1'!$A$1:$J$121"}</definedName>
    <definedName name="H" localSheetId="7" hidden="1">{"'Sheet1'!$A$1:$J$121"}</definedName>
    <definedName name="H" hidden="1">{"'Sheet1'!$A$1:$J$121"}</definedName>
    <definedName name="hdfskjhfdoitjhtrhkglnjiohghjreiugiuhfdlghdlk" localSheetId="6">Estimates!hdfskjhfdoitjhtrhkglnjiohghjreiugiuhfdlghdlk</definedName>
    <definedName name="hdfskjhfdoitjhtrhkglnjiohghjreiugiuhfdlghdlk" localSheetId="1">Summary!hdfskjhfdoitjhtrhkglnjiohghjreiugiuhfdlghdlk</definedName>
    <definedName name="hdfskjhfdoitjhtrhkglnjiohghjreiugiuhfdlghdlk" localSheetId="7">Variance!hdfskjhfdoitjhtrhkglnjiohghjreiugiuhfdlghdlk</definedName>
    <definedName name="hfdslghifdurthgkfjdklghtuhhgdkhiorghgk" localSheetId="6">Estimates!hfdslghifdurthgkfjdklghtuhhgdkhiorghgk</definedName>
    <definedName name="hfdslghifdurthgkfjdklghtuhhgdkhiorghgk" localSheetId="1">Summary!hfdslghifdurthgkfjdklghtuhhgdkhiorghgk</definedName>
    <definedName name="hfdslghifdurthgkfjdklghtuhhgdkhiorghgk" localSheetId="7">Variance!hfdslghifdurthgkfjdklghtuhhgdkhiorghgk</definedName>
    <definedName name="HL" localSheetId="14">ModPubIndex!$A$8</definedName>
    <definedName name="hn.ExtDb">FALSE</definedName>
    <definedName name="hn.ModelType">"DEAL"</definedName>
    <definedName name="hn.ModelVersion">1</definedName>
    <definedName name="hn.NoUpload">0</definedName>
    <definedName name="HTML_CodePage" hidden="1">1252</definedName>
    <definedName name="HTML_Control" localSheetId="6" hidden="1">{"'Sheet1'!$A$1:$J$121"}</definedName>
    <definedName name="HTML_Control" localSheetId="7" hidden="1">{"'Sheet1'!$A$1:$J$121"}</definedName>
    <definedName name="HTML_Control" hidden="1">{"'Harrah's'!$B$1:$S$38"}</definedName>
    <definedName name="HTML_Description" hidden="1">""</definedName>
    <definedName name="HTML_Email" hidden="1">""</definedName>
    <definedName name="HTML_Header" localSheetId="6" hidden="1">"Sheet1"</definedName>
    <definedName name="HTML_Header" localSheetId="7" hidden="1">"Sheet1"</definedName>
    <definedName name="HTML_Header" hidden="1">"Harrah's"</definedName>
    <definedName name="HTML_LastUpdate" localSheetId="6" hidden="1">"10/21/99"</definedName>
    <definedName name="HTML_LastUpdate" localSheetId="7" hidden="1">"10/21/99"</definedName>
    <definedName name="HTML_LastUpdate" hidden="1">"1/10/00"</definedName>
    <definedName name="HTML_LineAfter" hidden="1">FALSE</definedName>
    <definedName name="HTML_LineBefore" hidden="1">FALSE</definedName>
    <definedName name="HTML_Name" localSheetId="6" hidden="1">"Paulette Peoples"</definedName>
    <definedName name="HTML_Name" localSheetId="7" hidden="1">"Paulette Peoples"</definedName>
    <definedName name="HTML_Name" hidden="1">"MSFC"</definedName>
    <definedName name="HTML_OBDlg2" hidden="1">TRUE</definedName>
    <definedName name="HTML_OBDlg4" hidden="1">TRUE</definedName>
    <definedName name="HTML_OS" hidden="1">0</definedName>
    <definedName name="HTML_PathFile" localSheetId="6" hidden="1">"\\Bhincres01\groups\Mkt_Dev\EXECMKTR\RIGS\RigBible\Web NA.htm"</definedName>
    <definedName name="HTML_PathFile" localSheetId="7" hidden="1">"\\Bhincres01\groups\Mkt_Dev\EXECMKTR\RIGS\RigBible\Web NA.htm"</definedName>
    <definedName name="HTML_PathFile" hidden="1">"I:\GAMING\HET.htm"</definedName>
    <definedName name="HTML_Title" localSheetId="6" hidden="1">"Total North America"</definedName>
    <definedName name="HTML_Title" localSheetId="7" hidden="1">"Total North America"</definedName>
    <definedName name="HTML_Title" hidden="1">"CASINO"</definedName>
    <definedName name="hygiene" localSheetId="7">{"Client Name or Project Name"}</definedName>
    <definedName name="hygiene">{"Client Name or Project Name"}</definedName>
    <definedName name="IND" localSheetId="14">ModPubIndex!$A$9</definedName>
    <definedName name="Industry" localSheetId="0">ImportantDisclosures!$A$12</definedName>
    <definedName name="IndustryId">IndexInformation!$B$40</definedName>
    <definedName name="IndustryRating" localSheetId="0">ImportantDisclosures!$A$13</definedName>
    <definedName name="InterimColumn" hidden="1">16777215</definedName>
    <definedName name="InterimHeadFont" hidden="1">8388608</definedName>
    <definedName name="InterimHeading" hidden="1">16777215</definedName>
    <definedName name="iQShowHideColumns" hidden="1">"iQHideSelected"</definedName>
    <definedName name="IsColHidden">FALSE</definedName>
    <definedName name="IsLTMColHidden">FALSE</definedName>
    <definedName name="K2_WBEVMODE" hidden="1">-1</definedName>
    <definedName name="KeepVersions" localSheetId="13">IndexInformation!$B$8</definedName>
    <definedName name="l" localSheetId="6" hidden="1">{"IND","COMPANIES",TRUE}</definedName>
    <definedName name="l" localSheetId="7" hidden="1">{"IND","COMPANIES",TRUE}</definedName>
    <definedName name="l" hidden="1">{"IND","COMPANIES",TRUE}</definedName>
    <definedName name="LanguageCode">IndexInformation!$B$38</definedName>
    <definedName name="Last_Date_Of_Revision" localSheetId="5">OFFSET('debt schedule'!File_Name,0,4,1,1)</definedName>
    <definedName name="LastCell" localSheetId="0">ImportantDisclosures!$A$22</definedName>
    <definedName name="limcount" hidden="1">1</definedName>
    <definedName name="Links" localSheetId="5">OFFSET('debt schedule'!File_Name,0,4,1,1)</definedName>
    <definedName name="ListOffset" hidden="1">1</definedName>
    <definedName name="LTMForexImpact" localSheetId="7">{"Client Name or Project Name"}</definedName>
    <definedName name="LTMForexImpact">{"Client Name or Project Name"}</definedName>
    <definedName name="MacroVersion" localSheetId="13">IndexInformation!$B$1</definedName>
    <definedName name="Malaysia" localSheetId="6" hidden="1">{"'Sheet1'!$A$1:$J$121"}</definedName>
    <definedName name="Malaysia" localSheetId="7" hidden="1">{"'Sheet1'!$A$1:$J$121"}</definedName>
    <definedName name="Malaysia" hidden="1">{"'Sheet1'!$A$1:$J$121"}</definedName>
    <definedName name="ModelPrice" localSheetId="0">ImportantDisclosures!$A$14</definedName>
    <definedName name="MonitorRow">1</definedName>
    <definedName name="MonthNames" localSheetId="7">{"Jan","Feb","Mar","Apr","May","Jun","Jul","Aug","Sep","Oct","Nov","Dec";"January","February","March","April","May","June","July","August","September","October","November","December"}</definedName>
    <definedName name="MonthNames">{"Jan","Feb","Mar","Apr","May","Jun","Jul","Aug","Sep","Oct","Nov","Dec";"January","February","March","April","May","June","July","August","September","October","November","December"}</definedName>
    <definedName name="mstagrange">OPEB!$AV$25:$AZ$25</definedName>
    <definedName name="mstagrange1">Pension!$AV$25:$AZ$25</definedName>
    <definedName name="Multiplier" localSheetId="13">IndexInformation!$B$35</definedName>
    <definedName name="NetIncome" localSheetId="7">{"Client Name or Project Name"}</definedName>
    <definedName name="NetIncome">{"Client Name or Project Name"}</definedName>
    <definedName name="New_name" localSheetId="6">Estimates!New_name</definedName>
    <definedName name="New_name" localSheetId="1">Summary!New_name</definedName>
    <definedName name="New_name" localSheetId="7">Variance!New_name</definedName>
    <definedName name="NewName">"B45:G45"</definedName>
    <definedName name="newProjectName" localSheetId="7">{"Client Name or Project Name"}</definedName>
    <definedName name="newProjectName">{"Client Name or Project Name"}</definedName>
    <definedName name="NewProjName" localSheetId="7">{"Client Name or Project Name"}</definedName>
    <definedName name="NewProjName">{"Client Name or Project Name"}</definedName>
    <definedName name="newstone" localSheetId="6">{"Client Name or Project Name"}</definedName>
    <definedName name="newstone" localSheetId="7">{"Client Name or Project Name"}</definedName>
    <definedName name="newstone">{"Client Name or Project Name"}</definedName>
    <definedName name="NextYearEPS" localSheetId="13">IndexInformation!$B$13</definedName>
    <definedName name="NextYearTotalRevenue" localSheetId="13">IndexInformation!$B$12</definedName>
    <definedName name="NextYearTotalRevenueActual" localSheetId="13">IndexInformation!$B$33</definedName>
    <definedName name="ntl" localSheetId="7">{"Client Name or Project Name"}</definedName>
    <definedName name="ntl">{"Client Name or Project Name"}</definedName>
    <definedName name="num" localSheetId="7">{126}</definedName>
    <definedName name="num">{126}</definedName>
    <definedName name="Number_Of_Sheets" localSheetId="5">OFFSET('debt schedule'!File_Name,0,1,1,1)</definedName>
    <definedName name="NumCUSIP" localSheetId="7">{1}</definedName>
    <definedName name="NumCUSIP">{1}</definedName>
    <definedName name="NumCUSIPMissing" localSheetId="7">{0}</definedName>
    <definedName name="NumCUSIPMissing">{0}</definedName>
    <definedName name="NumInst" localSheetId="7">{126}</definedName>
    <definedName name="NumInst">{126}</definedName>
    <definedName name="NumInstCSUM" localSheetId="7">{25}</definedName>
    <definedName name="NumInstCSUM">{25}</definedName>
    <definedName name="ObjectType">IndexInformation!$B$37</definedName>
    <definedName name="OPEB_Guide">OPEB!$A$1</definedName>
    <definedName name="Other" localSheetId="5">OFFSET('debt schedule'!File_Name,0,6,1,1)</definedName>
    <definedName name="over_15_years">0.1</definedName>
    <definedName name="PANA" localSheetId="14">ModPubIndex!$A$11</definedName>
    <definedName name="PathName" localSheetId="13">IndexInformation!$B$25</definedName>
    <definedName name="PAWS_Basis">1</definedName>
    <definedName name="PAWS_GraphMode">TRUE</definedName>
    <definedName name="PAWS_LastNDays">10</definedName>
    <definedName name="PAWS_PasteRows">FALSE</definedName>
    <definedName name="PAWS_UseDates">TRUE</definedName>
    <definedName name="PAWS_UseLastSelection">FALSE</definedName>
    <definedName name="PAWS_UseUnits">TRUE</definedName>
    <definedName name="pbPrinterFormat">"\\SGB24831\P0047496 on Ne05:"</definedName>
    <definedName name="pbStartPageNumber">1</definedName>
    <definedName name="pbUpdatePageNumbering">TRUE</definedName>
    <definedName name="Pension_Guide">Pension!$A$1</definedName>
    <definedName name="pn" localSheetId="7">{"Client Name or Project Name"}</definedName>
    <definedName name="pn">{"Client Name or Project Name"}</definedName>
    <definedName name="prdialog">"Dialog Frame 1"</definedName>
    <definedName name="priceunit">0.01</definedName>
    <definedName name="_xlnm.Print_Area">#REF!</definedName>
    <definedName name="_xlnm.Print_Titles">#REF!</definedName>
    <definedName name="PRODUCT" localSheetId="14">ModPubIndex!$A$6</definedName>
    <definedName name="ProjectName" localSheetId="6">{"Client Name or Project Name"}</definedName>
    <definedName name="ProjectName" localSheetId="1">{"Client Name or Project Name"}</definedName>
    <definedName name="ProjectName" localSheetId="7">{"Client Name or Project Name"}</definedName>
    <definedName name="ProjectName">{"Client Name or Project Name"}</definedName>
    <definedName name="ProjectName_Options" localSheetId="7">{"Client Name or Project Name"}</definedName>
    <definedName name="ProjectName_Options">{"Client Name or Project Name"}</definedName>
    <definedName name="projectname1" localSheetId="7">{"Client Name or Project Name"}</definedName>
    <definedName name="projectname1">{"Client Name or Project Name"}</definedName>
    <definedName name="ProjectName2" localSheetId="6">{"Client Name or Project Name"}</definedName>
    <definedName name="ProjectName2" localSheetId="7">{"Client Name or Project Name"}</definedName>
    <definedName name="ProjectName2">{"Client Name or Project Name"}</definedName>
    <definedName name="ProjectName200" localSheetId="6">{"Client Name or Project Name"}</definedName>
    <definedName name="ProjectName200" localSheetId="7">{"Client Name or Project Name"}</definedName>
    <definedName name="ProjectName200">{"Client Name or Project Name"}</definedName>
    <definedName name="projectnamez" localSheetId="7">{"Client Name or Project Name"}</definedName>
    <definedName name="projectnamez">{"Client Name or Project Name"}</definedName>
    <definedName name="PSYM" localSheetId="14">ModPubIndex!$A$4</definedName>
    <definedName name="PUB_UserID" hidden="1">"MAYERX"</definedName>
    <definedName name="PublishDate" localSheetId="13">IndexInformation!$B$2</definedName>
    <definedName name="q" localSheetId="5">OFFSET('debt schedule'!File_Name,0,4,1,1)</definedName>
    <definedName name="QuarterlyColumn" hidden="1">16777215</definedName>
    <definedName name="QuarterlyHeadFont" hidden="1">8388608</definedName>
    <definedName name="QuarterlyHeading" hidden="1">16777215</definedName>
    <definedName name="qwe" localSheetId="5">OFFSET('debt schedule'!File_Name,0,6,1,1)</definedName>
    <definedName name="RangeChange" localSheetId="6" hidden="1">Estimates!RangeChange</definedName>
    <definedName name="RangeChange" localSheetId="7" hidden="1">Variance!RangeChange</definedName>
    <definedName name="RangeChange" hidden="1">Estimates!RangeChange</definedName>
    <definedName name="Rating" localSheetId="13">IndexInformation!$B$9</definedName>
    <definedName name="RatingsDefined" localSheetId="0">ImportantDisclosures!$A$21</definedName>
    <definedName name="RatingsDefs" localSheetId="0">ImportantDisclosures!#REF!</definedName>
    <definedName name="RegACDisclosure" localSheetId="0">ImportantDisclosures!#REF!</definedName>
    <definedName name="ResearchTopic" localSheetId="13">IndexInformation!$B$4</definedName>
    <definedName name="revcomp" localSheetId="7">{"Client Name or Project Name"}</definedName>
    <definedName name="revcomp">{"Client Name or Project Name"}</definedName>
    <definedName name="RIC" localSheetId="13">IndexInformation!$B$21</definedName>
    <definedName name="rmcCategory">35247</definedName>
    <definedName name="rmcName">930</definedName>
    <definedName name="RMCOptions">"*100000000000000"</definedName>
    <definedName name="rmcPeriod">9312</definedName>
    <definedName name="rngStartYear" localSheetId="11">Pension!$BC$11</definedName>
    <definedName name="rngTicker" localSheetId="12">Pension!$H$1</definedName>
    <definedName name="rngTicker" localSheetId="11">Pension!$H$1</definedName>
    <definedName name="s" localSheetId="6" hidden="1">{"IND","COMPANIES",TRUE}</definedName>
    <definedName name="s" localSheetId="7" hidden="1">{"IND","COMPANIES",TRUE}</definedName>
    <definedName name="s" hidden="1">{"IND","COMPANIES",TRUE}</definedName>
    <definedName name="SameStoreGrowth" localSheetId="7">{"Client Name or Project Name"}</definedName>
    <definedName name="SameStoreGrowth">{"Client Name or Project Name"}</definedName>
    <definedName name="SECSettlement" localSheetId="0">ImportantDisclosures!#REF!</definedName>
    <definedName name="SectionHeadFont" hidden="1">0</definedName>
    <definedName name="SectionHeading" hidden="1">12632256</definedName>
    <definedName name="SEDOL" localSheetId="13">IndexInformation!$B$22</definedName>
    <definedName name="Sedol">Pension!$H$3</definedName>
    <definedName name="sencount" hidden="1">1</definedName>
    <definedName name="Sensitivity" localSheetId="7">{"Client Name or Project Name"}</definedName>
    <definedName name="Sensitivity">{"Client Name or Project Name"}</definedName>
    <definedName name="Sheet_Size" localSheetId="5">OFFSET('debt schedule'!File_Name,0,3,1,1)</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pre" hidden="1">0.000001</definedName>
    <definedName name="solver_rel1" hidden="1">2</definedName>
    <definedName name="solver_rel2" hidden="1">3</definedName>
    <definedName name="solver_rhs2" hidden="1">0</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106.196</definedName>
    <definedName name="SourceDefined" localSheetId="0">ImportantDisclosures!$A$19</definedName>
    <definedName name="state" localSheetId="7">{"Client Name or Project Name"}</definedName>
    <definedName name="state">{"Client Name or Project Name"}</definedName>
    <definedName name="States" localSheetId="7">{"Client Name or Project Name"}</definedName>
    <definedName name="States">{"Client Name or Project Name"}</definedName>
    <definedName name="StockRating" localSheetId="0">ImportantDisclosures!$A$11</definedName>
    <definedName name="storage">"Chart 1"</definedName>
    <definedName name="SubjectCode" localSheetId="13">IndexInformation!$B$6</definedName>
    <definedName name="SubmitterUserId">IndexInformation!$B$39</definedName>
    <definedName name="SUPPRESSED" localSheetId="14">ModPubIndex!$A$13</definedName>
    <definedName name="Tarceva.new" localSheetId="6">{"Client Name or Project Name"}</definedName>
    <definedName name="Tarceva.new" localSheetId="7">{"Client Name or Project Name"}</definedName>
    <definedName name="Tarceva.new">{"Client Name or Project Name"}</definedName>
    <definedName name="TargetPrice" localSheetId="0">ImportantDisclosures!$A$15</definedName>
    <definedName name="Template.WIRE">"DBACCESS"</definedName>
    <definedName name="TemplateRegion">IndexInformation!$B$36</definedName>
    <definedName name="TestAdd">"Test RefersTo1"</definedName>
    <definedName name="Ticker" localSheetId="0">ImportantDisclosures!$A$10</definedName>
    <definedName name="Ticker_EBITDAQ1_LA">"$K$26"</definedName>
    <definedName name="TickerRegion">IndexInformation!$B$41</definedName>
    <definedName name="Tickers" localSheetId="13">IndexInformation!$B$19</definedName>
    <definedName name="trc_XLS_DATASHEET_ProtectDate">35417.7656018519</definedName>
    <definedName name="trEdate">Pension!$AZ$13</definedName>
    <definedName name="trSdate">Pension!$AZ$12</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Reason" localSheetId="13">IndexInformation!$B$17</definedName>
    <definedName name="USRegDisclosures" localSheetId="0">ImportantDisclosures!#REF!</definedName>
    <definedName name="ValueComp" localSheetId="7">{"Client Name or Project Name"}</definedName>
    <definedName name="ValueComp">{"Client Name or Project Name"}</definedName>
    <definedName name="var" localSheetId="6" hidden="1">{"fdsup://directions/FAT Viewer?action=UPDATE&amp;creator=factset&amp;DYN_ARGS=TRUE&amp;DOC_NAME=FAT:FQL_AUDITING_CLIENT_TEMPLATE.FAT&amp;display_string=Audit&amp;VAR:KEY=APIDQTEHSB&amp;VAR:QUERY=RkZfREVCVChRVFIsNDA3NTUp&amp;WINDOW=FIRST_POPUP&amp;HEIGHT=450&amp;WIDTH=450&amp;START_MAXIMIZED=FALS","E&amp;VAR:CALENDAR=US&amp;VAR:SYMBOL=WLT&amp;VAR:INDEX=0"}</definedName>
    <definedName name="var" localSheetId="7" hidden="1">{"fdsup://directions/FAT Viewer?action=UPDATE&amp;creator=factset&amp;DYN_ARGS=TRUE&amp;DOC_NAME=FAT:FQL_AUDITING_CLIENT_TEMPLATE.FAT&amp;display_string=Audit&amp;VAR:KEY=APIDQTEHSB&amp;VAR:QUERY=RkZfREVCVChRVFIsNDA3NTUp&amp;WINDOW=FIRST_POPUP&amp;HEIGHT=450&amp;WIDTH=450&amp;START_MAXIMIZED=FALS","E&amp;VAR:CALENDAR=US&amp;VAR:SYMBOL=WLT&amp;VAR:INDEX=0"}</definedName>
    <definedName name="var" hidden="1">{"fdsup://directions/FAT Viewer?action=UPDATE&amp;creator=factset&amp;DYN_ARGS=TRUE&amp;DOC_NAME=FAT:FQL_AUDITING_CLIENT_TEMPLATE.FAT&amp;display_string=Audit&amp;VAR:KEY=APIDQTEHSB&amp;VAR:QUERY=RkZfREVCVChRVFIsNDA3NTUp&amp;WINDOW=FIRST_POPUP&amp;HEIGHT=450&amp;WIDTH=450&amp;START_MAXIMIZED=FALS","E&amp;VAR:CALENDAR=US&amp;VAR:SYMBOL=WLT&amp;VAR:INDEX=0"}</definedName>
    <definedName name="Version">"June 29, 2004"</definedName>
    <definedName name="Version.WIRE">1</definedName>
    <definedName name="Xestimates">Estimates!$B$3:$Y$38</definedName>
    <definedName name="Xsummaryinformation">Summary!$B$5:$P$58</definedName>
    <definedName name="Xvariance">Variance!$B$2:$K$35</definedName>
    <definedName name="YearRow">Pension!$D$6:$T$6</definedName>
    <definedName name="Z_368738C6_094A_4775_ABFA_FF624C412B5C_.wvu.Cols" localSheetId="3" hidden="1">Financials!$D:$D,Financials!$V:$Y</definedName>
    <definedName name="Z_F0E00C01_02B2_4D25_A4C9_B87C65D689F9_.wvu.Cols" localSheetId="3" hidden="1">Financials!$V:$Y</definedName>
    <definedName name="Z_F0E00C01_02B2_4D25_A4C9_B87C65D689F9_.wvu.PrintArea" localSheetId="3" hidden="1">Financials!$A$1:$Y$281</definedName>
    <definedName name="Z_F0E00C01_02B2_4D25_A4C9_B87C65D689F9_.wvu.PrintArea" localSheetId="2" hidden="1">Operations!$A$1:$Y$212</definedName>
  </definedNames>
  <calcPr calcId="145621"/>
</workbook>
</file>

<file path=xl/calcChain.xml><?xml version="1.0" encoding="utf-8"?>
<calcChain xmlns="http://schemas.openxmlformats.org/spreadsheetml/2006/main">
  <c r="D60" i="1" l="1"/>
  <c r="E60" i="1" s="1"/>
  <c r="N58" i="1"/>
  <c r="M58" i="1"/>
  <c r="L58" i="1"/>
  <c r="K58" i="1"/>
  <c r="N57" i="1"/>
  <c r="M57" i="1"/>
  <c r="L57" i="1"/>
  <c r="K57" i="1"/>
  <c r="P55" i="1"/>
  <c r="O55" i="1"/>
  <c r="N55" i="1"/>
  <c r="M55" i="1"/>
  <c r="L55" i="1"/>
  <c r="K55" i="1"/>
  <c r="P53" i="1"/>
  <c r="O53" i="1"/>
  <c r="N53" i="1"/>
  <c r="M53" i="1"/>
  <c r="L53" i="1"/>
  <c r="K53" i="1"/>
  <c r="P52" i="1"/>
  <c r="O52" i="1"/>
  <c r="N52" i="1"/>
  <c r="M52" i="1"/>
  <c r="L52" i="1"/>
  <c r="K52" i="1"/>
  <c r="P50" i="1"/>
  <c r="O50" i="1"/>
  <c r="O49" i="1" s="1"/>
  <c r="N50" i="1"/>
  <c r="N49" i="1" s="1"/>
  <c r="M50" i="1"/>
  <c r="L50" i="1"/>
  <c r="K50" i="1"/>
  <c r="K49" i="1" s="1"/>
  <c r="P48" i="1"/>
  <c r="O48" i="1"/>
  <c r="N48" i="1"/>
  <c r="M48" i="1"/>
  <c r="L48" i="1"/>
  <c r="K48" i="1"/>
  <c r="P47" i="1"/>
  <c r="P49" i="1" s="1"/>
  <c r="O47" i="1"/>
  <c r="N47" i="1"/>
  <c r="M47" i="1"/>
  <c r="M49" i="1" s="1"/>
  <c r="L47" i="1"/>
  <c r="L49" i="1" s="1"/>
  <c r="K47" i="1"/>
  <c r="F57" i="1"/>
  <c r="E57" i="1"/>
  <c r="D57" i="1"/>
  <c r="C57" i="1"/>
  <c r="F53" i="1"/>
  <c r="E53" i="1"/>
  <c r="D53" i="1"/>
  <c r="C53" i="1"/>
  <c r="F52" i="1"/>
  <c r="H49" i="1"/>
  <c r="G49" i="1"/>
  <c r="F49" i="1"/>
  <c r="E49" i="1"/>
  <c r="D49" i="1"/>
  <c r="D50" i="1" s="1"/>
  <c r="C49" i="1"/>
  <c r="F44" i="1"/>
  <c r="E44" i="1"/>
  <c r="D44" i="1"/>
  <c r="C44" i="1"/>
  <c r="D43" i="1"/>
  <c r="H42" i="1"/>
  <c r="G42" i="1"/>
  <c r="F42" i="1"/>
  <c r="E42" i="1"/>
  <c r="D42" i="1"/>
  <c r="C42" i="1"/>
  <c r="N45" i="1"/>
  <c r="M45" i="1"/>
  <c r="L45" i="1"/>
  <c r="K45" i="1"/>
  <c r="N44" i="1"/>
  <c r="M44" i="1"/>
  <c r="M43" i="1" s="1"/>
  <c r="L44" i="1"/>
  <c r="K44" i="1"/>
  <c r="M42" i="1"/>
  <c r="N41" i="1"/>
  <c r="M41" i="1"/>
  <c r="L41" i="1"/>
  <c r="K41" i="1"/>
  <c r="J40" i="1"/>
  <c r="D38" i="1"/>
  <c r="C38" i="1"/>
  <c r="D37" i="1"/>
  <c r="C37" i="1"/>
  <c r="D36" i="1"/>
  <c r="C36" i="1"/>
  <c r="D35" i="1"/>
  <c r="C35" i="1"/>
  <c r="D34" i="1"/>
  <c r="C34" i="1"/>
  <c r="N37" i="1"/>
  <c r="N36" i="1"/>
  <c r="M36" i="1"/>
  <c r="L36" i="1"/>
  <c r="K36" i="1"/>
  <c r="P34" i="1"/>
  <c r="O34" i="1"/>
  <c r="N34" i="1"/>
  <c r="M34" i="1"/>
  <c r="L34" i="1"/>
  <c r="K34" i="1"/>
  <c r="N33" i="1"/>
  <c r="M33" i="1"/>
  <c r="L33" i="1"/>
  <c r="K33" i="1"/>
  <c r="P32" i="1"/>
  <c r="O32" i="1"/>
  <c r="N32" i="1"/>
  <c r="M32" i="1"/>
  <c r="E54" i="1" s="1"/>
  <c r="L32" i="1"/>
  <c r="D54" i="1" s="1"/>
  <c r="K32" i="1"/>
  <c r="C54" i="1" s="1"/>
  <c r="P31" i="1"/>
  <c r="O31" i="1"/>
  <c r="N31" i="1"/>
  <c r="N35" i="1" s="1"/>
  <c r="M31" i="1"/>
  <c r="L31" i="1"/>
  <c r="K31" i="1"/>
  <c r="H32" i="1"/>
  <c r="G32" i="1"/>
  <c r="F32" i="1"/>
  <c r="E32" i="1"/>
  <c r="D32" i="1"/>
  <c r="C32" i="1"/>
  <c r="H31" i="1"/>
  <c r="G31" i="1"/>
  <c r="F31" i="1"/>
  <c r="E31" i="1"/>
  <c r="D31" i="1"/>
  <c r="C31" i="1"/>
  <c r="D30" i="1"/>
  <c r="C30" i="1"/>
  <c r="D28" i="1"/>
  <c r="C28" i="1"/>
  <c r="B28" i="1"/>
  <c r="B41" i="1" s="1"/>
  <c r="N29" i="1"/>
  <c r="N28" i="1" s="1"/>
  <c r="M29" i="1"/>
  <c r="M28" i="1" s="1"/>
  <c r="L29" i="1"/>
  <c r="L37" i="1" s="1"/>
  <c r="L35" i="1" s="1"/>
  <c r="K29" i="1"/>
  <c r="K37" i="1" s="1"/>
  <c r="K35" i="1" s="1"/>
  <c r="N27" i="1"/>
  <c r="M27" i="1"/>
  <c r="L27" i="1"/>
  <c r="K27" i="1"/>
  <c r="P26" i="1"/>
  <c r="O26" i="1"/>
  <c r="N26" i="1"/>
  <c r="M26" i="1"/>
  <c r="L26" i="1"/>
  <c r="K26" i="1"/>
  <c r="P25" i="1"/>
  <c r="O25" i="1"/>
  <c r="N25" i="1"/>
  <c r="M25" i="1"/>
  <c r="L25" i="1"/>
  <c r="K25" i="1"/>
  <c r="N24" i="1"/>
  <c r="M24" i="1"/>
  <c r="L24" i="1"/>
  <c r="K24" i="1"/>
  <c r="N23" i="1"/>
  <c r="M23" i="1"/>
  <c r="L23" i="1"/>
  <c r="K23" i="1"/>
  <c r="N22" i="1"/>
  <c r="M22" i="1"/>
  <c r="L22" i="1"/>
  <c r="L28" i="1" s="1"/>
  <c r="K22" i="1"/>
  <c r="K28" i="1" s="1"/>
  <c r="J21" i="1"/>
  <c r="H25" i="1"/>
  <c r="G25" i="1"/>
  <c r="F25" i="1"/>
  <c r="E25" i="1"/>
  <c r="D25" i="1"/>
  <c r="C25" i="1"/>
  <c r="F24" i="1"/>
  <c r="E24" i="1"/>
  <c r="D24" i="1"/>
  <c r="C24" i="1"/>
  <c r="F23" i="1"/>
  <c r="E23" i="1"/>
  <c r="D23" i="1"/>
  <c r="C23" i="1"/>
  <c r="F22" i="1"/>
  <c r="E22" i="1"/>
  <c r="D22" i="1"/>
  <c r="C22" i="1"/>
  <c r="H21" i="1"/>
  <c r="H41" i="1" s="1"/>
  <c r="G21" i="1"/>
  <c r="G41" i="1" s="1"/>
  <c r="F21" i="1"/>
  <c r="F41" i="1" s="1"/>
  <c r="E21" i="1"/>
  <c r="E41" i="1" s="1"/>
  <c r="D21" i="1"/>
  <c r="D41" i="1" s="1"/>
  <c r="C21" i="1"/>
  <c r="C41" i="1" s="1"/>
  <c r="B21" i="1"/>
  <c r="H18" i="1"/>
  <c r="G18" i="1"/>
  <c r="F18" i="1"/>
  <c r="E18" i="1"/>
  <c r="D18" i="1"/>
  <c r="C18" i="1"/>
  <c r="H17" i="1"/>
  <c r="G17" i="1"/>
  <c r="F17" i="1"/>
  <c r="E17" i="1"/>
  <c r="D17" i="1"/>
  <c r="C17" i="1"/>
  <c r="H16" i="1"/>
  <c r="G16" i="1"/>
  <c r="F16" i="1"/>
  <c r="E16" i="1"/>
  <c r="D16" i="1"/>
  <c r="C16" i="1"/>
  <c r="H15" i="1"/>
  <c r="G15" i="1"/>
  <c r="F15" i="1"/>
  <c r="E15" i="1"/>
  <c r="D15" i="1"/>
  <c r="C15" i="1"/>
  <c r="H14" i="1"/>
  <c r="G14" i="1"/>
  <c r="F14" i="1"/>
  <c r="E14" i="1"/>
  <c r="D14" i="1"/>
  <c r="C14" i="1"/>
  <c r="F11" i="1"/>
  <c r="E11" i="1"/>
  <c r="D11" i="1"/>
  <c r="C11" i="1"/>
  <c r="F10" i="1"/>
  <c r="E10" i="1"/>
  <c r="D10" i="1"/>
  <c r="C10" i="1"/>
  <c r="F9" i="1"/>
  <c r="E9" i="1"/>
  <c r="D9" i="1"/>
  <c r="C9" i="1"/>
  <c r="F8" i="1"/>
  <c r="E8" i="1"/>
  <c r="D8" i="1"/>
  <c r="C8" i="1"/>
  <c r="N18" i="1"/>
  <c r="M18" i="1"/>
  <c r="L18" i="1"/>
  <c r="K18" i="1"/>
  <c r="N17" i="1"/>
  <c r="F43" i="1" s="1"/>
  <c r="M17" i="1"/>
  <c r="E43" i="1" s="1"/>
  <c r="L17" i="1"/>
  <c r="K17" i="1"/>
  <c r="C43" i="1" s="1"/>
  <c r="C50" i="1" s="1"/>
  <c r="N16" i="1"/>
  <c r="M16" i="1"/>
  <c r="E52" i="1" s="1"/>
  <c r="L16" i="1"/>
  <c r="D52" i="1" s="1"/>
  <c r="K16" i="1"/>
  <c r="C52" i="1" s="1"/>
  <c r="P15" i="1"/>
  <c r="O15" i="1"/>
  <c r="N15" i="1"/>
  <c r="M15" i="1"/>
  <c r="L15" i="1"/>
  <c r="K15" i="1"/>
  <c r="N14" i="1"/>
  <c r="M14" i="1"/>
  <c r="L14" i="1"/>
  <c r="K14" i="1"/>
  <c r="N13" i="1"/>
  <c r="M13" i="1"/>
  <c r="L13" i="1"/>
  <c r="K13" i="1"/>
  <c r="N12" i="1"/>
  <c r="M12" i="1"/>
  <c r="L12" i="1"/>
  <c r="K12" i="1"/>
  <c r="N11" i="1"/>
  <c r="M11" i="1"/>
  <c r="L11" i="1"/>
  <c r="K11" i="1"/>
  <c r="N10" i="1"/>
  <c r="M10" i="1"/>
  <c r="L10" i="1"/>
  <c r="K10" i="1"/>
  <c r="P9" i="1"/>
  <c r="P42" i="1" s="1"/>
  <c r="O9" i="1"/>
  <c r="O42" i="1" s="1"/>
  <c r="N9" i="1"/>
  <c r="N42" i="1" s="1"/>
  <c r="M9" i="1"/>
  <c r="L9" i="1"/>
  <c r="L42" i="1" s="1"/>
  <c r="L43" i="1" s="1"/>
  <c r="K9" i="1"/>
  <c r="K42" i="1" s="1"/>
  <c r="K43" i="1" s="1"/>
  <c r="N8" i="1"/>
  <c r="M8" i="1"/>
  <c r="L8" i="1"/>
  <c r="K8" i="1"/>
  <c r="N7" i="1"/>
  <c r="M7" i="1"/>
  <c r="L7" i="1"/>
  <c r="K7" i="1"/>
  <c r="P6" i="1"/>
  <c r="P21" i="1" s="1"/>
  <c r="P40" i="1" s="1"/>
  <c r="O6" i="1"/>
  <c r="O21" i="1" s="1"/>
  <c r="O40" i="1" s="1"/>
  <c r="N6" i="1"/>
  <c r="N21" i="1" s="1"/>
  <c r="N40" i="1" s="1"/>
  <c r="M6" i="1"/>
  <c r="M21" i="1" s="1"/>
  <c r="M40" i="1" s="1"/>
  <c r="L6" i="1"/>
  <c r="L21" i="1" s="1"/>
  <c r="L40" i="1" s="1"/>
  <c r="K6" i="1"/>
  <c r="K21" i="1" s="1"/>
  <c r="K40" i="1" s="1"/>
  <c r="AA18" i="34"/>
  <c r="Z18" i="34"/>
  <c r="AA13" i="34"/>
  <c r="Z13" i="34"/>
  <c r="AA8" i="34"/>
  <c r="Z8" i="34"/>
  <c r="G61" i="1" l="1"/>
  <c r="F61" i="1" s="1"/>
  <c r="F45" i="1" s="1"/>
  <c r="F51" i="1"/>
  <c r="E55" i="1"/>
  <c r="E56" i="1"/>
  <c r="N43" i="1"/>
  <c r="F60" i="1"/>
  <c r="E28" i="1"/>
  <c r="F50" i="1"/>
  <c r="C56" i="1"/>
  <c r="C55" i="1"/>
  <c r="D56" i="1"/>
  <c r="D55" i="1"/>
  <c r="H51" i="1"/>
  <c r="M37" i="1"/>
  <c r="M35" i="1" s="1"/>
  <c r="E50" i="1"/>
  <c r="F46" i="1"/>
  <c r="F54" i="1"/>
  <c r="G51" i="1" l="1"/>
  <c r="F58" i="1"/>
  <c r="E61" i="1"/>
  <c r="F55" i="1"/>
  <c r="F56" i="1"/>
  <c r="F47" i="1"/>
  <c r="F48" i="1" s="1"/>
  <c r="G60" i="1"/>
  <c r="F28" i="1"/>
  <c r="E47" i="1" l="1"/>
  <c r="E48" i="1" s="1"/>
  <c r="E46" i="1"/>
  <c r="E51" i="1"/>
  <c r="E58" i="1"/>
  <c r="D61" i="1"/>
  <c r="E45" i="1"/>
  <c r="H60" i="1"/>
  <c r="H28" i="1" s="1"/>
  <c r="G28" i="1"/>
  <c r="D58" i="1" l="1"/>
  <c r="D51" i="1"/>
  <c r="D47" i="1"/>
  <c r="D48" i="1" s="1"/>
  <c r="C61" i="1"/>
  <c r="D46" i="1"/>
  <c r="D45" i="1"/>
  <c r="C45" i="1" l="1"/>
  <c r="C47" i="1"/>
  <c r="C48" i="1" s="1"/>
  <c r="C58" i="1"/>
  <c r="C51" i="1"/>
  <c r="C46" i="1"/>
  <c r="G67" i="10"/>
  <c r="G68" i="10"/>
  <c r="E68" i="10"/>
  <c r="E67" i="10"/>
  <c r="DD38" i="2" l="1"/>
  <c r="DC38" i="2"/>
  <c r="DD37" i="2"/>
  <c r="DC37" i="2"/>
  <c r="DD36" i="2"/>
  <c r="DC36" i="2"/>
  <c r="DF34" i="2"/>
  <c r="DE34" i="2" s="1"/>
  <c r="DE33" i="2"/>
  <c r="DE32" i="2"/>
  <c r="DE31" i="2"/>
  <c r="DE30" i="2"/>
  <c r="DE29" i="2"/>
  <c r="Y29" i="34" l="1"/>
  <c r="Y22" i="34"/>
  <c r="Y13" i="34"/>
  <c r="Y4" i="34"/>
  <c r="Q4" i="34"/>
  <c r="CK32" i="2" l="1"/>
  <c r="CJ32" i="2"/>
  <c r="CK31" i="2"/>
  <c r="CJ31" i="2"/>
  <c r="CK30" i="2"/>
  <c r="CJ30" i="2"/>
  <c r="CK29" i="2"/>
  <c r="CJ29" i="2"/>
  <c r="CE29" i="2"/>
  <c r="CS37" i="2"/>
  <c r="CE32" i="2"/>
  <c r="CE31" i="2"/>
  <c r="CE30" i="2"/>
  <c r="CS36" i="2"/>
  <c r="BZ28" i="2"/>
  <c r="I29" i="34"/>
  <c r="I22" i="34"/>
  <c r="I13" i="34"/>
  <c r="C68" i="10" l="1"/>
  <c r="P8" i="36" l="1"/>
  <c r="Q8" i="36" s="1"/>
  <c r="P9" i="36"/>
  <c r="Q9" i="36" s="1"/>
  <c r="P10" i="36"/>
  <c r="Q10" i="36" s="1"/>
  <c r="P12" i="36"/>
  <c r="Q12" i="36"/>
  <c r="CE202" i="11"/>
  <c r="CF202" i="11" s="1"/>
  <c r="CG202" i="11" s="1"/>
  <c r="CH202" i="11" s="1"/>
  <c r="CI202" i="11" s="1"/>
  <c r="CJ202" i="11" s="1"/>
  <c r="CK202" i="11" s="1"/>
  <c r="CL202" i="11" s="1"/>
  <c r="CM202" i="11" s="1"/>
  <c r="CN202" i="11" s="1"/>
  <c r="CO202" i="11" s="1"/>
  <c r="CP202" i="11" s="1"/>
  <c r="CQ202" i="11" s="1"/>
  <c r="CR202" i="11" s="1"/>
  <c r="CD202" i="11"/>
  <c r="CR98" i="11"/>
  <c r="BY202" i="11"/>
  <c r="CM163" i="3" l="1"/>
  <c r="CN163" i="3"/>
  <c r="CO163" i="3"/>
  <c r="CP163" i="3" s="1"/>
  <c r="CM164" i="3"/>
  <c r="CN164" i="3"/>
  <c r="CM165" i="3"/>
  <c r="CN165" i="3" s="1"/>
  <c r="CO165" i="3" s="1"/>
  <c r="CP165" i="3" s="1"/>
  <c r="CQ165" i="3" s="1"/>
  <c r="CM167" i="3"/>
  <c r="CN167" i="3"/>
  <c r="CO167" i="3"/>
  <c r="CP167" i="3" s="1"/>
  <c r="CQ167" i="3" s="1"/>
  <c r="CM169" i="3"/>
  <c r="CN169" i="3" s="1"/>
  <c r="CO169" i="3" s="1"/>
  <c r="CP169" i="3" s="1"/>
  <c r="CQ169" i="3" s="1"/>
  <c r="CM170" i="3"/>
  <c r="CN170" i="3"/>
  <c r="CO170" i="3"/>
  <c r="CP170" i="3"/>
  <c r="CQ170" i="3" s="1"/>
  <c r="CM133" i="3"/>
  <c r="CB132" i="11"/>
  <c r="CB131" i="11"/>
  <c r="CB105" i="11"/>
  <c r="CA225" i="3"/>
  <c r="CB225" i="3"/>
  <c r="CA224" i="3"/>
  <c r="CB224" i="3" s="1"/>
  <c r="CA223" i="3"/>
  <c r="CH143" i="3"/>
  <c r="CH144" i="3"/>
  <c r="CH145" i="3"/>
  <c r="CH146" i="3"/>
  <c r="CH148" i="3"/>
  <c r="CH155" i="3"/>
  <c r="CH156" i="3"/>
  <c r="CH158" i="3"/>
  <c r="CH159" i="3"/>
  <c r="CH123" i="3"/>
  <c r="CH126" i="3"/>
  <c r="CH130" i="3"/>
  <c r="CH131" i="3"/>
  <c r="CH132" i="3"/>
  <c r="CH133" i="3"/>
  <c r="CH134" i="3"/>
  <c r="CH135" i="3"/>
  <c r="CH136" i="3"/>
  <c r="CH137" i="3"/>
  <c r="CH163" i="3"/>
  <c r="CH164" i="3"/>
  <c r="CH165" i="3"/>
  <c r="CH167" i="3"/>
  <c r="CH169" i="3"/>
  <c r="CH170" i="3"/>
  <c r="CQ163" i="3" l="1"/>
  <c r="CO164" i="3"/>
  <c r="CP164" i="3" l="1"/>
  <c r="P40" i="37"/>
  <c r="P37" i="37"/>
  <c r="P41" i="37" s="1"/>
  <c r="P31" i="37"/>
  <c r="P30" i="37"/>
  <c r="P29" i="37"/>
  <c r="P24" i="37"/>
  <c r="P25" i="37" s="1"/>
  <c r="P23" i="37"/>
  <c r="P40" i="36"/>
  <c r="P37" i="36"/>
  <c r="P41" i="36" s="1"/>
  <c r="P34" i="36"/>
  <c r="P24" i="36"/>
  <c r="CQ164" i="3" l="1"/>
  <c r="P34" i="37"/>
  <c r="CI158" i="3" l="1"/>
  <c r="CJ158" i="3" s="1"/>
  <c r="CK158" i="3" s="1"/>
  <c r="CE158" i="3"/>
  <c r="CF158" i="3" s="1"/>
  <c r="CD158" i="3"/>
  <c r="CC158" i="3"/>
  <c r="CR208" i="11" l="1"/>
  <c r="CM208" i="11"/>
  <c r="CH208" i="11"/>
  <c r="CQ91" i="2"/>
  <c r="CL91" i="2"/>
  <c r="CQ184" i="11" l="1"/>
  <c r="CP184" i="11"/>
  <c r="CO184" i="11"/>
  <c r="CN184" i="11"/>
  <c r="CL184" i="11"/>
  <c r="CK184" i="11"/>
  <c r="CJ184" i="11"/>
  <c r="CI184" i="11"/>
  <c r="CG184" i="11"/>
  <c r="CF184" i="11"/>
  <c r="CE184" i="11"/>
  <c r="CD184" i="11"/>
  <c r="C64" i="10" l="1"/>
  <c r="C65" i="10"/>
  <c r="C66" i="10"/>
  <c r="C67" i="10"/>
  <c r="CB204" i="11" l="1"/>
  <c r="CB203" i="11"/>
  <c r="CQ181" i="11"/>
  <c r="CP181" i="11"/>
  <c r="CO181" i="11"/>
  <c r="CL181" i="11"/>
  <c r="CK181" i="11"/>
  <c r="CJ181" i="11"/>
  <c r="CG181" i="11"/>
  <c r="CF181" i="11"/>
  <c r="CE181" i="11"/>
  <c r="CB181" i="11"/>
  <c r="CB96" i="11"/>
  <c r="CC98" i="11" s="1"/>
  <c r="CD96" i="11" s="1"/>
  <c r="CA96" i="11"/>
  <c r="CA99" i="11" s="1"/>
  <c r="CA100" i="11" s="1"/>
  <c r="CA132" i="11"/>
  <c r="H68" i="10"/>
  <c r="F68" i="10"/>
  <c r="D68" i="10"/>
  <c r="CC148" i="3"/>
  <c r="CA159" i="3"/>
  <c r="CA259" i="3"/>
  <c r="CA277" i="3"/>
  <c r="CA255" i="3"/>
  <c r="CA249" i="3"/>
  <c r="CA250" i="3"/>
  <c r="CA253" i="3"/>
  <c r="CA246" i="3"/>
  <c r="CA241" i="3"/>
  <c r="CA239" i="3"/>
  <c r="CA236" i="3"/>
  <c r="CA219" i="3"/>
  <c r="CA229" i="3"/>
  <c r="CA220" i="3"/>
  <c r="CA88" i="3"/>
  <c r="CA51" i="3"/>
  <c r="CB115" i="2"/>
  <c r="CA26" i="2"/>
  <c r="CA23" i="2"/>
  <c r="CB178" i="2"/>
  <c r="CA175" i="2"/>
  <c r="CA176" i="2" s="1"/>
  <c r="CA169" i="2" s="1"/>
  <c r="CA154" i="2"/>
  <c r="CA153" i="2"/>
  <c r="CA150" i="2"/>
  <c r="CA144" i="2" s="1"/>
  <c r="CA145" i="2"/>
  <c r="CA140" i="2"/>
  <c r="CA139" i="2"/>
  <c r="CA138" i="2"/>
  <c r="CA137" i="2"/>
  <c r="CA136" i="2"/>
  <c r="CA135" i="2"/>
  <c r="CA132" i="2"/>
  <c r="CB129" i="2"/>
  <c r="CA126" i="2"/>
  <c r="CA127" i="2" s="1"/>
  <c r="CA115" i="2"/>
  <c r="CA114" i="2" s="1"/>
  <c r="CA110" i="2"/>
  <c r="CA99" i="2"/>
  <c r="CA98" i="2"/>
  <c r="CA95" i="2"/>
  <c r="CB91" i="2"/>
  <c r="CB92" i="2" s="1"/>
  <c r="CA92" i="2"/>
  <c r="CA87" i="2"/>
  <c r="CA86" i="2"/>
  <c r="CA50" i="2"/>
  <c r="CA49" i="2" s="1"/>
  <c r="CA46" i="2"/>
  <c r="CA45" i="2" s="1"/>
  <c r="CA41" i="2"/>
  <c r="CA40" i="2"/>
  <c r="CA38" i="2"/>
  <c r="CA24" i="3"/>
  <c r="CA11" i="2" l="1"/>
  <c r="CD98" i="11"/>
  <c r="CE96" i="11" s="1"/>
  <c r="CA97" i="11"/>
  <c r="CB99" i="11"/>
  <c r="CB100" i="11" s="1"/>
  <c r="CB101" i="11" s="1"/>
  <c r="CA20" i="2"/>
  <c r="CA19" i="2"/>
  <c r="CA21" i="2" s="1"/>
  <c r="CA161" i="2"/>
  <c r="CA146" i="2"/>
  <c r="E32" i="35"/>
  <c r="CD99" i="11" l="1"/>
  <c r="CD100" i="11" s="1"/>
  <c r="CE98" i="11"/>
  <c r="CF96" i="11" s="1"/>
  <c r="E35" i="35"/>
  <c r="E34" i="35"/>
  <c r="E31" i="35"/>
  <c r="E30" i="35"/>
  <c r="E27" i="35"/>
  <c r="E25" i="35"/>
  <c r="E24" i="35"/>
  <c r="E23" i="35"/>
  <c r="E22" i="35"/>
  <c r="E19" i="35"/>
  <c r="E18" i="35"/>
  <c r="E17" i="35"/>
  <c r="E14" i="35"/>
  <c r="E13" i="35"/>
  <c r="E12" i="35"/>
  <c r="E11" i="35"/>
  <c r="E7" i="35"/>
  <c r="E8" i="35"/>
  <c r="E9" i="35"/>
  <c r="E6" i="35"/>
  <c r="CE99" i="11" l="1"/>
  <c r="CE100" i="11" s="1"/>
  <c r="CE101" i="11" s="1"/>
  <c r="CF98" i="11"/>
  <c r="CG96" i="11" s="1"/>
  <c r="C30" i="35"/>
  <c r="C24" i="35"/>
  <c r="CG98" i="11" l="1"/>
  <c r="CH98" i="11" s="1"/>
  <c r="CI96" i="11" s="1"/>
  <c r="CF99" i="11"/>
  <c r="CF100" i="11" s="1"/>
  <c r="CI98" i="11" l="1"/>
  <c r="CJ96" i="11" s="1"/>
  <c r="CG99" i="11"/>
  <c r="CG100" i="11" s="1"/>
  <c r="CG101" i="11" s="1"/>
  <c r="CJ98" i="11" l="1"/>
  <c r="CK96" i="11" s="1"/>
  <c r="CI99" i="11"/>
  <c r="CI100" i="11" s="1"/>
  <c r="CK98" i="11" l="1"/>
  <c r="CL96" i="11" s="1"/>
  <c r="CJ99" i="11"/>
  <c r="CJ100" i="11" s="1"/>
  <c r="CJ101" i="11" s="1"/>
  <c r="X17" i="35"/>
  <c r="Z12" i="35"/>
  <c r="Y12" i="35"/>
  <c r="X12" i="35"/>
  <c r="Y7" i="35"/>
  <c r="X7" i="35"/>
  <c r="CK99" i="11" l="1"/>
  <c r="CK100" i="11" s="1"/>
  <c r="CL98" i="11"/>
  <c r="CM98" i="11" s="1"/>
  <c r="CN96" i="11" s="1"/>
  <c r="CN98" i="11" l="1"/>
  <c r="CO96" i="11" s="1"/>
  <c r="CL99" i="11"/>
  <c r="CL100" i="11" s="1"/>
  <c r="CL101" i="11" s="1"/>
  <c r="N4" i="34"/>
  <c r="M4" i="34"/>
  <c r="L4" i="34"/>
  <c r="K4" i="34"/>
  <c r="W4" i="34"/>
  <c r="V4" i="34"/>
  <c r="U4" i="34"/>
  <c r="T4" i="34"/>
  <c r="S4" i="34"/>
  <c r="CO98" i="11" l="1"/>
  <c r="CP96" i="11" s="1"/>
  <c r="CN99" i="11"/>
  <c r="CN100" i="11" s="1"/>
  <c r="CF11" i="2"/>
  <c r="CD11" i="2"/>
  <c r="CC11" i="2"/>
  <c r="CE11" i="2" l="1"/>
  <c r="CP98" i="11"/>
  <c r="CQ96" i="11" s="1"/>
  <c r="CO99" i="11"/>
  <c r="CO100" i="11" s="1"/>
  <c r="CO101" i="11" s="1"/>
  <c r="F22" i="34"/>
  <c r="V22" i="34" s="1"/>
  <c r="E22" i="34"/>
  <c r="U22" i="34" s="1"/>
  <c r="D22" i="34"/>
  <c r="T22" i="34" s="1"/>
  <c r="C22" i="34"/>
  <c r="S22" i="34" s="1"/>
  <c r="CQ98" i="11" l="1"/>
  <c r="CQ99" i="11" s="1"/>
  <c r="CQ100" i="11" s="1"/>
  <c r="CP99" i="11"/>
  <c r="CP100" i="11" s="1"/>
  <c r="X4" i="34"/>
  <c r="P4" i="34"/>
  <c r="O4" i="34"/>
  <c r="CQ101" i="11" l="1"/>
  <c r="CP55" i="2" l="1"/>
  <c r="CO55" i="2"/>
  <c r="CN55" i="2"/>
  <c r="CM55" i="2"/>
  <c r="CK55" i="2"/>
  <c r="CJ55" i="2"/>
  <c r="CI55" i="2"/>
  <c r="CH55" i="2"/>
  <c r="CF55" i="2"/>
  <c r="CE55" i="2"/>
  <c r="CD55" i="2"/>
  <c r="CC55" i="2"/>
  <c r="BX271" i="3" l="1"/>
  <c r="BS271" i="3"/>
  <c r="D195" i="2"/>
  <c r="D196" i="2" s="1"/>
  <c r="CP215" i="2" l="1"/>
  <c r="CO215" i="2"/>
  <c r="CN215" i="2"/>
  <c r="CM215" i="2"/>
  <c r="CK215" i="2"/>
  <c r="CJ215" i="2"/>
  <c r="CI215" i="2"/>
  <c r="CH215" i="2"/>
  <c r="CF215" i="2"/>
  <c r="CE215" i="2"/>
  <c r="CD215" i="2"/>
  <c r="CC215" i="2"/>
  <c r="CA215" i="2"/>
  <c r="CG215" i="2" l="1"/>
  <c r="CL215" i="2"/>
  <c r="CQ215" i="2"/>
  <c r="H39" i="9"/>
  <c r="F39" i="9"/>
  <c r="D134" i="9"/>
  <c r="H135" i="9"/>
  <c r="G135" i="9"/>
  <c r="F135" i="9"/>
  <c r="D135" i="9"/>
  <c r="E135" i="9"/>
  <c r="D133" i="9"/>
  <c r="I35" i="9"/>
  <c r="G35" i="9"/>
  <c r="F35" i="9"/>
  <c r="D35" i="9"/>
  <c r="D98" i="9" s="1"/>
  <c r="E35" i="9"/>
  <c r="E98" i="9" s="1"/>
  <c r="I36" i="9"/>
  <c r="G36" i="9"/>
  <c r="F36" i="9"/>
  <c r="D36" i="9"/>
  <c r="D99" i="9" s="1"/>
  <c r="E36" i="9"/>
  <c r="E99" i="9" s="1"/>
  <c r="H26" i="9"/>
  <c r="H27" i="9"/>
  <c r="H28" i="9"/>
  <c r="G25" i="9"/>
  <c r="G26" i="9"/>
  <c r="G27" i="9"/>
  <c r="F25" i="9"/>
  <c r="F26" i="9"/>
  <c r="F27" i="9"/>
  <c r="I12" i="9"/>
  <c r="H9" i="9"/>
  <c r="H10" i="9"/>
  <c r="H11" i="9"/>
  <c r="G9" i="9"/>
  <c r="G10" i="9"/>
  <c r="G11" i="9"/>
  <c r="F9" i="9"/>
  <c r="F10" i="9"/>
  <c r="F11" i="9"/>
  <c r="E12" i="9"/>
  <c r="E14" i="9" s="1"/>
  <c r="D12" i="9"/>
  <c r="BY79" i="2" l="1"/>
  <c r="BW216" i="2" l="1"/>
  <c r="CB216" i="2"/>
  <c r="CD216" i="2"/>
  <c r="CE216" i="2" s="1"/>
  <c r="CF216" i="2" s="1"/>
  <c r="CG216" i="2" s="1"/>
  <c r="CI216" i="2"/>
  <c r="CJ216" i="2" s="1"/>
  <c r="CK216" i="2" s="1"/>
  <c r="CL216" i="2" s="1"/>
  <c r="CN216" i="2"/>
  <c r="CO216" i="2" s="1"/>
  <c r="CP216" i="2" s="1"/>
  <c r="CQ216" i="2" s="1"/>
  <c r="CQ174" i="2"/>
  <c r="W35" i="9" s="1"/>
  <c r="CL174" i="2"/>
  <c r="V35" i="9" s="1"/>
  <c r="CG174" i="2"/>
  <c r="U35" i="9" s="1"/>
  <c r="CB174" i="2"/>
  <c r="T35" i="9" s="1"/>
  <c r="BW174" i="2"/>
  <c r="S35" i="9" s="1"/>
  <c r="BR174" i="2"/>
  <c r="R35" i="9" s="1"/>
  <c r="BM174" i="2"/>
  <c r="Q35" i="9" s="1"/>
  <c r="BH174" i="2"/>
  <c r="P35" i="9" s="1"/>
  <c r="BC174" i="2"/>
  <c r="O35" i="9" s="1"/>
  <c r="AX174" i="2"/>
  <c r="N35" i="9" s="1"/>
  <c r="CQ170" i="2"/>
  <c r="CL170" i="2"/>
  <c r="CG170" i="2"/>
  <c r="AV165" i="2"/>
  <c r="AU165" i="2"/>
  <c r="AT165" i="2"/>
  <c r="AR165" i="2"/>
  <c r="AQ165" i="2"/>
  <c r="AP165" i="2"/>
  <c r="AO165" i="2"/>
  <c r="AM165" i="2"/>
  <c r="AL165" i="2"/>
  <c r="AK165" i="2"/>
  <c r="AJ165" i="2"/>
  <c r="AH165" i="2"/>
  <c r="AG165" i="2"/>
  <c r="AF165" i="2"/>
  <c r="AE165" i="2"/>
  <c r="AC165" i="2"/>
  <c r="AB165" i="2"/>
  <c r="AA165" i="2"/>
  <c r="Z165" i="2"/>
  <c r="X165" i="2"/>
  <c r="W165" i="2"/>
  <c r="V165" i="2"/>
  <c r="U165" i="2"/>
  <c r="S165" i="2"/>
  <c r="R165" i="2"/>
  <c r="Q165" i="2"/>
  <c r="P165" i="2"/>
  <c r="N165" i="2"/>
  <c r="M165" i="2"/>
  <c r="L165" i="2"/>
  <c r="K165" i="2"/>
  <c r="AM167" i="2"/>
  <c r="AL167" i="2"/>
  <c r="AK167" i="2"/>
  <c r="AJ167" i="2"/>
  <c r="AH167" i="2"/>
  <c r="AG167" i="2"/>
  <c r="AF167" i="2"/>
  <c r="AE167" i="2"/>
  <c r="AC167" i="2"/>
  <c r="AB167" i="2"/>
  <c r="AA167" i="2"/>
  <c r="Z167" i="2"/>
  <c r="X167" i="2"/>
  <c r="W167" i="2"/>
  <c r="V167" i="2"/>
  <c r="U167" i="2"/>
  <c r="S167" i="2"/>
  <c r="R167" i="2"/>
  <c r="Q167" i="2"/>
  <c r="P167" i="2"/>
  <c r="N167" i="2"/>
  <c r="M167" i="2"/>
  <c r="L167" i="2"/>
  <c r="K167" i="2"/>
  <c r="I167" i="2"/>
  <c r="H167" i="2"/>
  <c r="G167" i="2"/>
  <c r="F167" i="2"/>
  <c r="AT164" i="2"/>
  <c r="AR164" i="2"/>
  <c r="AQ164" i="2"/>
  <c r="AP164" i="2"/>
  <c r="AO164" i="2"/>
  <c r="AM164" i="2"/>
  <c r="AL164" i="2"/>
  <c r="AK164" i="2"/>
  <c r="AJ164" i="2"/>
  <c r="AH164" i="2"/>
  <c r="AG164" i="2"/>
  <c r="AF164" i="2"/>
  <c r="AE164" i="2"/>
  <c r="AC164" i="2"/>
  <c r="AB164" i="2"/>
  <c r="AA164" i="2"/>
  <c r="Z164" i="2"/>
  <c r="X164" i="2"/>
  <c r="W164" i="2"/>
  <c r="V164" i="2"/>
  <c r="U164" i="2"/>
  <c r="S164" i="2"/>
  <c r="R164" i="2"/>
  <c r="Q164" i="2"/>
  <c r="P164" i="2"/>
  <c r="N164" i="2"/>
  <c r="M164" i="2"/>
  <c r="L164" i="2"/>
  <c r="K164" i="2"/>
  <c r="BZ195" i="2" l="1"/>
  <c r="BY195" i="2"/>
  <c r="BY196" i="2" s="1"/>
  <c r="BX195" i="2"/>
  <c r="BX196" i="2" s="1"/>
  <c r="BV195" i="2"/>
  <c r="BV196" i="2" s="1"/>
  <c r="BU195" i="2"/>
  <c r="BU196" i="2" s="1"/>
  <c r="BT195" i="2"/>
  <c r="BT196" i="2" s="1"/>
  <c r="BS195" i="2"/>
  <c r="BS196" i="2" s="1"/>
  <c r="BQ195" i="2"/>
  <c r="BQ196" i="2" s="1"/>
  <c r="BP195" i="2"/>
  <c r="BP196" i="2" s="1"/>
  <c r="BO195" i="2"/>
  <c r="BO196" i="2" s="1"/>
  <c r="BN195" i="2"/>
  <c r="BN196" i="2" s="1"/>
  <c r="BL195" i="2"/>
  <c r="BL196" i="2" s="1"/>
  <c r="BK195" i="2"/>
  <c r="BK196" i="2" s="1"/>
  <c r="BJ195" i="2"/>
  <c r="BJ196" i="2" s="1"/>
  <c r="BI195" i="2"/>
  <c r="BI196" i="2" s="1"/>
  <c r="BG195" i="2"/>
  <c r="BG196" i="2" s="1"/>
  <c r="BF195" i="2"/>
  <c r="BF196" i="2" s="1"/>
  <c r="BE195" i="2"/>
  <c r="BE196" i="2" s="1"/>
  <c r="BD195" i="2"/>
  <c r="BD196" i="2" s="1"/>
  <c r="BB195" i="2"/>
  <c r="BB196" i="2" s="1"/>
  <c r="BA195" i="2"/>
  <c r="BA196" i="2" s="1"/>
  <c r="AZ195" i="2"/>
  <c r="AZ196" i="2" s="1"/>
  <c r="AY195" i="2"/>
  <c r="AY196" i="2" s="1"/>
  <c r="AW195" i="2"/>
  <c r="AW196" i="2" s="1"/>
  <c r="AV195" i="2"/>
  <c r="AV196" i="2" s="1"/>
  <c r="AU195" i="2"/>
  <c r="AU196" i="2" s="1"/>
  <c r="AT195" i="2"/>
  <c r="AT196" i="2" s="1"/>
  <c r="AR195" i="2"/>
  <c r="AR196" i="2" s="1"/>
  <c r="AQ195" i="2"/>
  <c r="AQ196" i="2" s="1"/>
  <c r="AP195" i="2"/>
  <c r="AP196" i="2" s="1"/>
  <c r="AO195" i="2"/>
  <c r="AO196" i="2" s="1"/>
  <c r="AM195" i="2"/>
  <c r="AM196" i="2" s="1"/>
  <c r="AL195" i="2"/>
  <c r="AL196" i="2" s="1"/>
  <c r="AK195" i="2"/>
  <c r="AK196" i="2" s="1"/>
  <c r="AJ195" i="2"/>
  <c r="AJ196" i="2" s="1"/>
  <c r="AH195" i="2"/>
  <c r="AH196" i="2" s="1"/>
  <c r="AG195" i="2"/>
  <c r="AG196" i="2" s="1"/>
  <c r="AF195" i="2"/>
  <c r="AF196" i="2" s="1"/>
  <c r="AE195" i="2"/>
  <c r="AE196" i="2" s="1"/>
  <c r="AC195" i="2"/>
  <c r="AC196" i="2" s="1"/>
  <c r="AB195" i="2"/>
  <c r="AB196" i="2" s="1"/>
  <c r="AA195" i="2"/>
  <c r="AA196" i="2" s="1"/>
  <c r="Z195" i="2"/>
  <c r="Z196" i="2" s="1"/>
  <c r="X195" i="2"/>
  <c r="X196" i="2" s="1"/>
  <c r="W195" i="2"/>
  <c r="W196" i="2" s="1"/>
  <c r="V195" i="2"/>
  <c r="V196" i="2" s="1"/>
  <c r="U195" i="2"/>
  <c r="U196" i="2" s="1"/>
  <c r="S195" i="2"/>
  <c r="R195" i="2"/>
  <c r="R196" i="2" s="1"/>
  <c r="Q195" i="2"/>
  <c r="Q196" i="2" s="1"/>
  <c r="P195" i="2"/>
  <c r="P196" i="2" s="1"/>
  <c r="N195" i="2"/>
  <c r="M195" i="2"/>
  <c r="L195" i="2"/>
  <c r="K195" i="2"/>
  <c r="BZ219" i="2"/>
  <c r="BY219" i="2"/>
  <c r="BX219" i="2"/>
  <c r="BV219" i="2"/>
  <c r="BU219" i="2"/>
  <c r="BT219" i="2"/>
  <c r="BS219" i="2"/>
  <c r="BQ219" i="2"/>
  <c r="BP219" i="2"/>
  <c r="BO219" i="2"/>
  <c r="BN219" i="2"/>
  <c r="BL219" i="2"/>
  <c r="BK219" i="2"/>
  <c r="BJ219" i="2"/>
  <c r="BI219" i="2"/>
  <c r="BG219" i="2"/>
  <c r="BF219" i="2"/>
  <c r="BE219" i="2"/>
  <c r="BD219" i="2"/>
  <c r="BB219" i="2"/>
  <c r="BA219" i="2"/>
  <c r="AZ219" i="2"/>
  <c r="AY219" i="2"/>
  <c r="AW219" i="2"/>
  <c r="AV219" i="2"/>
  <c r="AU219" i="2"/>
  <c r="AT219" i="2"/>
  <c r="AR219" i="2"/>
  <c r="AQ219" i="2"/>
  <c r="AP219" i="2"/>
  <c r="AO219" i="2"/>
  <c r="AM219" i="2"/>
  <c r="AL219" i="2"/>
  <c r="AK219" i="2"/>
  <c r="AJ219" i="2"/>
  <c r="AH219" i="2"/>
  <c r="AG219" i="2"/>
  <c r="AF219" i="2"/>
  <c r="AE219" i="2"/>
  <c r="AC219" i="2"/>
  <c r="AB219" i="2"/>
  <c r="AA219" i="2"/>
  <c r="Z219" i="2"/>
  <c r="X219" i="2"/>
  <c r="W219" i="2"/>
  <c r="V219" i="2"/>
  <c r="U219" i="2"/>
  <c r="S219" i="2"/>
  <c r="R219" i="2"/>
  <c r="Q219" i="2"/>
  <c r="P219" i="2"/>
  <c r="N219" i="2"/>
  <c r="M219" i="2"/>
  <c r="L219" i="2"/>
  <c r="K219" i="2"/>
  <c r="CE34" i="2"/>
  <c r="Z7" i="35" s="1"/>
  <c r="CD34" i="2"/>
  <c r="CC34" i="2"/>
  <c r="C8" i="34" s="1"/>
  <c r="S8" i="34" s="1"/>
  <c r="BX41" i="2"/>
  <c r="BY41" i="2"/>
  <c r="BZ41" i="2"/>
  <c r="BS41" i="2"/>
  <c r="BT41" i="2"/>
  <c r="BU41" i="2"/>
  <c r="BV41" i="2"/>
  <c r="BN41" i="2"/>
  <c r="BO41" i="2"/>
  <c r="BP41" i="2"/>
  <c r="BQ41" i="2"/>
  <c r="BI41" i="2"/>
  <c r="BJ41" i="2"/>
  <c r="BK41" i="2"/>
  <c r="BL41" i="2"/>
  <c r="CE141" i="2"/>
  <c r="CD141" i="2"/>
  <c r="CC141" i="2"/>
  <c r="J131" i="2"/>
  <c r="CQ125" i="2"/>
  <c r="W36" i="9" s="1"/>
  <c r="CL125" i="2"/>
  <c r="V36" i="9" s="1"/>
  <c r="CG125" i="2"/>
  <c r="U36" i="9" s="1"/>
  <c r="CB125" i="2"/>
  <c r="T36" i="9" s="1"/>
  <c r="BW125" i="2"/>
  <c r="S36" i="9" s="1"/>
  <c r="BR125" i="2"/>
  <c r="R36" i="9" s="1"/>
  <c r="BM125" i="2"/>
  <c r="Q36" i="9" s="1"/>
  <c r="BH125" i="2"/>
  <c r="P36" i="9" s="1"/>
  <c r="BC125" i="2"/>
  <c r="O36" i="9" s="1"/>
  <c r="AX125" i="2"/>
  <c r="N36" i="9" s="1"/>
  <c r="CQ120" i="2"/>
  <c r="CL120" i="2"/>
  <c r="CH118" i="2"/>
  <c r="CQ119" i="2"/>
  <c r="CL119" i="2"/>
  <c r="CG119" i="2"/>
  <c r="CH141" i="2" l="1"/>
  <c r="CM141" i="2" s="1"/>
  <c r="C13" i="34"/>
  <c r="S13" i="34" s="1"/>
  <c r="CJ141" i="2"/>
  <c r="CO141" i="2" s="1"/>
  <c r="E13" i="34"/>
  <c r="U13" i="34" s="1"/>
  <c r="CD41" i="2"/>
  <c r="D8" i="34"/>
  <c r="T8" i="34" s="1"/>
  <c r="CI141" i="2"/>
  <c r="CN141" i="2" s="1"/>
  <c r="D13" i="34"/>
  <c r="T13" i="34" s="1"/>
  <c r="CJ34" i="2"/>
  <c r="CJ41" i="2" s="1"/>
  <c r="E8" i="34"/>
  <c r="U8" i="34" s="1"/>
  <c r="CF141" i="2"/>
  <c r="AA12" i="35" s="1"/>
  <c r="BZ196" i="2"/>
  <c r="CE41" i="2"/>
  <c r="CO34" i="2"/>
  <c r="CF34" i="2"/>
  <c r="CI34" i="2"/>
  <c r="CH34" i="2"/>
  <c r="CC41" i="2"/>
  <c r="CI118" i="2"/>
  <c r="CO32" i="2" l="1"/>
  <c r="CO30" i="2"/>
  <c r="CO29" i="2"/>
  <c r="CO31" i="2"/>
  <c r="CI29" i="2"/>
  <c r="CI30" i="2"/>
  <c r="CI31" i="2"/>
  <c r="CI32" i="2"/>
  <c r="CH32" i="2"/>
  <c r="CH31" i="2"/>
  <c r="CH30" i="2"/>
  <c r="CH29" i="2"/>
  <c r="CF32" i="2"/>
  <c r="CF29" i="2"/>
  <c r="CT37" i="2" s="1"/>
  <c r="CF31" i="2"/>
  <c r="CF30" i="2"/>
  <c r="CT36" i="2"/>
  <c r="F8" i="34"/>
  <c r="V8" i="34" s="1"/>
  <c r="AA7" i="35"/>
  <c r="CK141" i="2"/>
  <c r="CP141" i="2" s="1"/>
  <c r="F13" i="34"/>
  <c r="V13" i="34" s="1"/>
  <c r="CK34" i="2"/>
  <c r="CF41" i="2"/>
  <c r="CO41" i="2"/>
  <c r="CI41" i="2"/>
  <c r="CN34" i="2"/>
  <c r="CH41" i="2"/>
  <c r="CM34" i="2"/>
  <c r="CC118" i="2"/>
  <c r="CJ118" i="2"/>
  <c r="CN29" i="2" l="1"/>
  <c r="CN30" i="2"/>
  <c r="CN31" i="2"/>
  <c r="CN32" i="2"/>
  <c r="CM32" i="2"/>
  <c r="CM31" i="2"/>
  <c r="CM30" i="2"/>
  <c r="CM29" i="2"/>
  <c r="CM74" i="2"/>
  <c r="CM41" i="2"/>
  <c r="CN41" i="2"/>
  <c r="CP34" i="2"/>
  <c r="CK41" i="2"/>
  <c r="CK118" i="2"/>
  <c r="CP32" i="2" l="1"/>
  <c r="CP31" i="2"/>
  <c r="CP30" i="2"/>
  <c r="CP29" i="2"/>
  <c r="CP41" i="2"/>
  <c r="CD118" i="2"/>
  <c r="CM118" i="2"/>
  <c r="CL118" i="2"/>
  <c r="CE100" i="2"/>
  <c r="CD100" i="2"/>
  <c r="CC100" i="2"/>
  <c r="C18" i="34" s="1"/>
  <c r="S18" i="34" s="1"/>
  <c r="J56" i="2"/>
  <c r="AM63" i="2"/>
  <c r="AL63" i="2"/>
  <c r="AK63" i="2"/>
  <c r="AJ63" i="2"/>
  <c r="AH63" i="2"/>
  <c r="AG63" i="2"/>
  <c r="AF63" i="2"/>
  <c r="AE63" i="2"/>
  <c r="AC63" i="2"/>
  <c r="AB63" i="2"/>
  <c r="AA63" i="2"/>
  <c r="Z63" i="2"/>
  <c r="X63" i="2"/>
  <c r="W63" i="2"/>
  <c r="V63" i="2"/>
  <c r="U63" i="2"/>
  <c r="S63" i="2"/>
  <c r="R63" i="2"/>
  <c r="Q63" i="2"/>
  <c r="P63" i="2"/>
  <c r="N63" i="2"/>
  <c r="M63" i="2"/>
  <c r="L63" i="2"/>
  <c r="K63" i="2"/>
  <c r="I63" i="2"/>
  <c r="H63" i="2"/>
  <c r="G63" i="2"/>
  <c r="BV61" i="2"/>
  <c r="BU61" i="2"/>
  <c r="BT61" i="2"/>
  <c r="BS61" i="2"/>
  <c r="BQ61" i="2"/>
  <c r="BP61" i="2"/>
  <c r="BO61" i="2"/>
  <c r="BN61" i="2"/>
  <c r="BL61" i="2"/>
  <c r="BK61" i="2"/>
  <c r="BJ61" i="2"/>
  <c r="BG61" i="2"/>
  <c r="BI61" i="2" s="1"/>
  <c r="BF61" i="2"/>
  <c r="BE61" i="2"/>
  <c r="BD61" i="2"/>
  <c r="BB61" i="2"/>
  <c r="BA61" i="2"/>
  <c r="AZ61" i="2"/>
  <c r="AH61" i="2"/>
  <c r="AG61" i="2"/>
  <c r="AF61" i="2"/>
  <c r="AE61" i="2"/>
  <c r="AC61" i="2"/>
  <c r="AB61" i="2"/>
  <c r="AA61" i="2"/>
  <c r="Z61" i="2"/>
  <c r="BS64" i="2"/>
  <c r="BT64" i="2"/>
  <c r="BU64" i="2"/>
  <c r="BV64" i="2"/>
  <c r="BN64" i="2"/>
  <c r="BO64" i="2"/>
  <c r="BP64" i="2"/>
  <c r="BQ64" i="2"/>
  <c r="BI64" i="2"/>
  <c r="BJ64" i="2"/>
  <c r="BK64" i="2"/>
  <c r="BL64" i="2"/>
  <c r="CP64" i="2"/>
  <c r="CO64" i="2"/>
  <c r="CN64" i="2"/>
  <c r="CM64" i="2"/>
  <c r="CK64" i="2"/>
  <c r="CJ64" i="2"/>
  <c r="CI64" i="2"/>
  <c r="CH64" i="2"/>
  <c r="CC64" i="2"/>
  <c r="CD64" i="2"/>
  <c r="CE64" i="2"/>
  <c r="CF64" i="2"/>
  <c r="BY92" i="2"/>
  <c r="BX92" i="2"/>
  <c r="BV92" i="2"/>
  <c r="BU92" i="2"/>
  <c r="BT92" i="2"/>
  <c r="BS92" i="2"/>
  <c r="BQ92" i="2"/>
  <c r="BP92" i="2"/>
  <c r="BO92" i="2"/>
  <c r="BN92" i="2"/>
  <c r="BL92" i="2"/>
  <c r="BK92" i="2"/>
  <c r="BJ92" i="2"/>
  <c r="BI92" i="2"/>
  <c r="BG92" i="2"/>
  <c r="BF92" i="2"/>
  <c r="BE92" i="2"/>
  <c r="BD92" i="2"/>
  <c r="BB92" i="2"/>
  <c r="BA92" i="2"/>
  <c r="AZ92" i="2"/>
  <c r="AY92" i="2"/>
  <c r="AW92" i="2"/>
  <c r="AV92" i="2"/>
  <c r="AU92" i="2"/>
  <c r="AT92" i="2"/>
  <c r="AR92" i="2"/>
  <c r="AQ92" i="2"/>
  <c r="AP92" i="2"/>
  <c r="AO92" i="2"/>
  <c r="AM92" i="2"/>
  <c r="AL92" i="2"/>
  <c r="AK92" i="2"/>
  <c r="AJ92" i="2"/>
  <c r="AH92" i="2"/>
  <c r="AG92" i="2"/>
  <c r="AF92" i="2"/>
  <c r="AE92" i="2"/>
  <c r="AC92" i="2"/>
  <c r="AB92" i="2"/>
  <c r="AA92" i="2"/>
  <c r="Z92" i="2"/>
  <c r="X92" i="2"/>
  <c r="W92" i="2"/>
  <c r="V92" i="2"/>
  <c r="U92" i="2"/>
  <c r="R92" i="2"/>
  <c r="Q92" i="2"/>
  <c r="P92" i="2"/>
  <c r="M92" i="2"/>
  <c r="L92" i="2"/>
  <c r="K92" i="2"/>
  <c r="H92" i="2"/>
  <c r="G92" i="2"/>
  <c r="F92" i="2"/>
  <c r="D92" i="2"/>
  <c r="BZ92" i="2"/>
  <c r="CD81" i="2"/>
  <c r="BW85" i="2"/>
  <c r="BR85" i="2"/>
  <c r="BM85" i="2"/>
  <c r="BH85" i="2"/>
  <c r="CQ85" i="2"/>
  <c r="CL85" i="2"/>
  <c r="BW79" i="2"/>
  <c r="BR79" i="2"/>
  <c r="CQ79" i="2"/>
  <c r="CL79" i="2"/>
  <c r="CG79" i="2"/>
  <c r="E18" i="34" l="1"/>
  <c r="U18" i="34" s="1"/>
  <c r="Z17" i="35"/>
  <c r="D18" i="34"/>
  <c r="T18" i="34" s="1"/>
  <c r="Y17" i="35"/>
  <c r="M62" i="2"/>
  <c r="R62" i="2"/>
  <c r="W62" i="2"/>
  <c r="AB62" i="2"/>
  <c r="AG62" i="2"/>
  <c r="AL62" i="2"/>
  <c r="H62" i="2"/>
  <c r="G62" i="2"/>
  <c r="I62" i="2"/>
  <c r="K62" i="2"/>
  <c r="L62" i="2"/>
  <c r="N62" i="2"/>
  <c r="P62" i="2"/>
  <c r="Q62" i="2"/>
  <c r="S62" i="2"/>
  <c r="U62" i="2"/>
  <c r="V62" i="2"/>
  <c r="X62" i="2"/>
  <c r="Z62" i="2"/>
  <c r="AA62" i="2"/>
  <c r="AC62" i="2"/>
  <c r="AE62" i="2"/>
  <c r="AF62" i="2"/>
  <c r="AH62" i="2"/>
  <c r="AJ62" i="2"/>
  <c r="AK62" i="2"/>
  <c r="AM62" i="2"/>
  <c r="CJ100" i="2"/>
  <c r="CE219" i="2"/>
  <c r="CE195" i="2"/>
  <c r="CI100" i="2"/>
  <c r="CD195" i="2"/>
  <c r="CD219" i="2"/>
  <c r="CF100" i="2"/>
  <c r="CA195" i="2"/>
  <c r="CA219" i="2"/>
  <c r="CH100" i="2"/>
  <c r="CC195" i="2"/>
  <c r="CC219" i="2"/>
  <c r="BR61" i="2"/>
  <c r="BM61" i="2"/>
  <c r="BW61" i="2"/>
  <c r="CE81" i="2"/>
  <c r="CF81" i="2" s="1"/>
  <c r="CM81" i="2"/>
  <c r="CG74" i="2"/>
  <c r="CH81" i="2"/>
  <c r="CB79" i="2"/>
  <c r="BY81" i="2"/>
  <c r="BZ81" i="2" s="1"/>
  <c r="BX82" i="2"/>
  <c r="BS81" i="2"/>
  <c r="BT81" i="2" s="1"/>
  <c r="BN81" i="2"/>
  <c r="BN80" i="2" s="1"/>
  <c r="F18" i="34" l="1"/>
  <c r="V18" i="34" s="1"/>
  <c r="AA17" i="35"/>
  <c r="CI81" i="2"/>
  <c r="CI80" i="2" s="1"/>
  <c r="CN81" i="2"/>
  <c r="CO81" i="2" s="1"/>
  <c r="AI62" i="2"/>
  <c r="Y62" i="2"/>
  <c r="AN62" i="2"/>
  <c r="AD62" i="2"/>
  <c r="T62" i="2"/>
  <c r="CO100" i="2"/>
  <c r="CJ219" i="2"/>
  <c r="CJ195" i="2"/>
  <c r="CN100" i="2"/>
  <c r="CI195" i="2"/>
  <c r="CI219" i="2"/>
  <c r="CK100" i="2"/>
  <c r="CF195" i="2"/>
  <c r="CF219" i="2"/>
  <c r="CM100" i="2"/>
  <c r="CH195" i="2"/>
  <c r="CH219" i="2"/>
  <c r="CE118" i="2"/>
  <c r="CN118" i="2"/>
  <c r="BU81" i="2"/>
  <c r="BT80" i="2"/>
  <c r="BT78" i="2" s="1"/>
  <c r="BN78" i="2"/>
  <c r="BT82" i="2"/>
  <c r="CA81" i="2"/>
  <c r="CA80" i="2" s="1"/>
  <c r="BZ82" i="2"/>
  <c r="BZ80" i="2"/>
  <c r="BZ78" i="2" s="1"/>
  <c r="CN80" i="2"/>
  <c r="BN82" i="2"/>
  <c r="BO81" i="2"/>
  <c r="BS82" i="2"/>
  <c r="BY80" i="2"/>
  <c r="BY78" i="2" s="1"/>
  <c r="BY82" i="2"/>
  <c r="CJ81" i="2" l="1"/>
  <c r="CK81" i="2" s="1"/>
  <c r="CQ74" i="2" s="1"/>
  <c r="CM219" i="2"/>
  <c r="CM195" i="2"/>
  <c r="CP100" i="2"/>
  <c r="CK195" i="2"/>
  <c r="CK219" i="2"/>
  <c r="CN195" i="2"/>
  <c r="CN219" i="2"/>
  <c r="CO195" i="2"/>
  <c r="CO219" i="2"/>
  <c r="CP81" i="2"/>
  <c r="CP80" i="2" s="1"/>
  <c r="CO80" i="2"/>
  <c r="CD80" i="2"/>
  <c r="CC80" i="2"/>
  <c r="BO80" i="2"/>
  <c r="BO82" i="2"/>
  <c r="BP81" i="2"/>
  <c r="CJ80" i="2"/>
  <c r="BV81" i="2"/>
  <c r="BU80" i="2"/>
  <c r="BU78" i="2" s="1"/>
  <c r="BU82" i="2"/>
  <c r="CP195" i="2" l="1"/>
  <c r="CP219" i="2"/>
  <c r="CF118" i="2"/>
  <c r="CG120" i="2"/>
  <c r="CO118" i="2"/>
  <c r="CK80" i="2"/>
  <c r="CM80" i="2"/>
  <c r="CQ80" i="2" s="1"/>
  <c r="CE80" i="2"/>
  <c r="BO78" i="2"/>
  <c r="BV80" i="2"/>
  <c r="BV78" i="2" s="1"/>
  <c r="BX80" i="2"/>
  <c r="BV82" i="2"/>
  <c r="BP80" i="2"/>
  <c r="BP78" i="2" s="1"/>
  <c r="BQ81" i="2"/>
  <c r="BP82" i="2"/>
  <c r="CG118" i="2" l="1"/>
  <c r="CB80" i="2"/>
  <c r="BX78" i="2"/>
  <c r="BQ80" i="2"/>
  <c r="BQ78" i="2" s="1"/>
  <c r="BR78" i="2" s="1"/>
  <c r="BQ82" i="2"/>
  <c r="BS80" i="2"/>
  <c r="CF80" i="2"/>
  <c r="CG80" i="2" s="1"/>
  <c r="CH80" i="2"/>
  <c r="CL80" i="2" s="1"/>
  <c r="U46" i="2"/>
  <c r="U45" i="2" s="1"/>
  <c r="V46" i="2"/>
  <c r="V45" i="2" s="1"/>
  <c r="W46" i="2"/>
  <c r="W45" i="2" s="1"/>
  <c r="Z46" i="2"/>
  <c r="Z45" i="2" s="1"/>
  <c r="AA46" i="2"/>
  <c r="AA45" i="2" s="1"/>
  <c r="AB46" i="2"/>
  <c r="AB45" i="2" s="1"/>
  <c r="AC46" i="2"/>
  <c r="AC45" i="2" s="1"/>
  <c r="AE46" i="2"/>
  <c r="AE45" i="2" s="1"/>
  <c r="AF46" i="2"/>
  <c r="AF45" i="2" s="1"/>
  <c r="AG46" i="2"/>
  <c r="AG45" i="2" s="1"/>
  <c r="AH46" i="2"/>
  <c r="AH45" i="2" s="1"/>
  <c r="AJ46" i="2"/>
  <c r="AJ45" i="2" s="1"/>
  <c r="AK46" i="2"/>
  <c r="AK45" i="2" s="1"/>
  <c r="AL46" i="2"/>
  <c r="AL45" i="2" s="1"/>
  <c r="AM46" i="2"/>
  <c r="AM45" i="2" s="1"/>
  <c r="AO46" i="2"/>
  <c r="AO45" i="2" s="1"/>
  <c r="AP46" i="2"/>
  <c r="AP45" i="2" s="1"/>
  <c r="AQ46" i="2"/>
  <c r="AQ45" i="2" s="1"/>
  <c r="AR46" i="2"/>
  <c r="AR45" i="2" s="1"/>
  <c r="AT46" i="2"/>
  <c r="AT45" i="2" s="1"/>
  <c r="AU46" i="2"/>
  <c r="AU45" i="2" s="1"/>
  <c r="AV46" i="2"/>
  <c r="AV45" i="2" s="1"/>
  <c r="AW46" i="2"/>
  <c r="AW45" i="2" s="1"/>
  <c r="AY46" i="2"/>
  <c r="AY45" i="2" s="1"/>
  <c r="AZ46" i="2"/>
  <c r="AZ45" i="2" s="1"/>
  <c r="BA46" i="2"/>
  <c r="BA45" i="2" s="1"/>
  <c r="BB46" i="2"/>
  <c r="BB45" i="2" s="1"/>
  <c r="BD46" i="2"/>
  <c r="BD45" i="2" s="1"/>
  <c r="BE46" i="2"/>
  <c r="BE45" i="2" s="1"/>
  <c r="BF46" i="2"/>
  <c r="BF45" i="2" s="1"/>
  <c r="BG46" i="2"/>
  <c r="BG45" i="2" s="1"/>
  <c r="BI46" i="2"/>
  <c r="BI45" i="2" s="1"/>
  <c r="BJ46" i="2"/>
  <c r="BJ45" i="2" s="1"/>
  <c r="BK46" i="2"/>
  <c r="BK45" i="2" s="1"/>
  <c r="BL46" i="2"/>
  <c r="BL45" i="2" s="1"/>
  <c r="BN46" i="2"/>
  <c r="BN45" i="2" s="1"/>
  <c r="BO46" i="2"/>
  <c r="BO45" i="2" s="1"/>
  <c r="BP46" i="2"/>
  <c r="BP45" i="2" s="1"/>
  <c r="BS46" i="2"/>
  <c r="BS45" i="2" s="1"/>
  <c r="BT46" i="2"/>
  <c r="BT45" i="2" s="1"/>
  <c r="BU46" i="2"/>
  <c r="BU45" i="2" s="1"/>
  <c r="BV46" i="2"/>
  <c r="BV45" i="2" s="1"/>
  <c r="BX46" i="2"/>
  <c r="BX45" i="2" s="1"/>
  <c r="BY46" i="2"/>
  <c r="BY45" i="2" s="1"/>
  <c r="BZ46" i="2"/>
  <c r="BZ45" i="2" s="1"/>
  <c r="CP118" i="2" l="1"/>
  <c r="BR80" i="2"/>
  <c r="BW80" i="2"/>
  <c r="BS78" i="2"/>
  <c r="BW78" i="2" s="1"/>
  <c r="CQ217" i="11"/>
  <c r="CP217" i="11"/>
  <c r="CO217" i="11"/>
  <c r="CN217" i="11"/>
  <c r="CL217" i="11"/>
  <c r="CK217" i="11"/>
  <c r="CJ217" i="11"/>
  <c r="CI217" i="11"/>
  <c r="CG217" i="11"/>
  <c r="CF217" i="11"/>
  <c r="CE217" i="11"/>
  <c r="CD217" i="11"/>
  <c r="CB217" i="11"/>
  <c r="CA217" i="11"/>
  <c r="BZ217" i="11"/>
  <c r="BY217" i="11"/>
  <c r="BW217" i="11"/>
  <c r="BV217" i="11"/>
  <c r="BU217" i="11"/>
  <c r="BT217" i="11"/>
  <c r="BR217" i="11"/>
  <c r="BQ217" i="11"/>
  <c r="BP217" i="11"/>
  <c r="BO217" i="11"/>
  <c r="BM217" i="11"/>
  <c r="BL217" i="11"/>
  <c r="BK217" i="11"/>
  <c r="BJ217" i="11"/>
  <c r="BH217" i="11"/>
  <c r="BG217" i="11"/>
  <c r="BF217" i="11"/>
  <c r="BE217" i="11"/>
  <c r="BC217" i="11"/>
  <c r="BB217" i="11"/>
  <c r="BA217" i="11"/>
  <c r="AZ217" i="11"/>
  <c r="AY217" i="11"/>
  <c r="AW217" i="11"/>
  <c r="AV217" i="11"/>
  <c r="AU217" i="11"/>
  <c r="AT217" i="11"/>
  <c r="AR217" i="11"/>
  <c r="AQ217" i="11"/>
  <c r="F215" i="2"/>
  <c r="F214" i="2"/>
  <c r="J215" i="2"/>
  <c r="J214" i="2"/>
  <c r="K214" i="2"/>
  <c r="BW309" i="3"/>
  <c r="BR309" i="3"/>
  <c r="BM309" i="3"/>
  <c r="BH309" i="3"/>
  <c r="BC309" i="3"/>
  <c r="AX309" i="3"/>
  <c r="AS309" i="3"/>
  <c r="AN309" i="3"/>
  <c r="AI309" i="3"/>
  <c r="AD309" i="3"/>
  <c r="Y309" i="3"/>
  <c r="T309" i="3"/>
  <c r="O309" i="3"/>
  <c r="BC311" i="3"/>
  <c r="BC312" i="3" s="1"/>
  <c r="AS311" i="3"/>
  <c r="AS312" i="3" s="1"/>
  <c r="AN311" i="3"/>
  <c r="AN312" i="3" s="1"/>
  <c r="AD311" i="3"/>
  <c r="AD312" i="3" s="1"/>
  <c r="Y311" i="3"/>
  <c r="Y312" i="3" s="1"/>
  <c r="T311" i="3"/>
  <c r="T312" i="3" s="1"/>
  <c r="BC306" i="3"/>
  <c r="BC307" i="3" s="1"/>
  <c r="AS306" i="3"/>
  <c r="AS307" i="3" s="1"/>
  <c r="AN306" i="3"/>
  <c r="AN307" i="3" s="1"/>
  <c r="AD306" i="3"/>
  <c r="AD307" i="3" s="1"/>
  <c r="Y306" i="3"/>
  <c r="Y307" i="3" s="1"/>
  <c r="T306" i="3"/>
  <c r="T307" i="3" s="1"/>
  <c r="O311" i="3"/>
  <c r="O312" i="3" s="1"/>
  <c r="O306" i="3"/>
  <c r="O307" i="3" s="1"/>
  <c r="BW304" i="3"/>
  <c r="BR304" i="3"/>
  <c r="BM304" i="3"/>
  <c r="BH304" i="3"/>
  <c r="BC304" i="3"/>
  <c r="AX304" i="3"/>
  <c r="AS304" i="3"/>
  <c r="AN304" i="3"/>
  <c r="AI304" i="3"/>
  <c r="AD304" i="3"/>
  <c r="Y304" i="3"/>
  <c r="T304" i="3"/>
  <c r="O304" i="3"/>
  <c r="BC300" i="3"/>
  <c r="BC301" i="3" s="1"/>
  <c r="BC302" i="3" s="1"/>
  <c r="AX300" i="3"/>
  <c r="AX301" i="3" s="1"/>
  <c r="AX302" i="3" s="1"/>
  <c r="AS300" i="3"/>
  <c r="AS301" i="3" s="1"/>
  <c r="AS302" i="3" s="1"/>
  <c r="AN300" i="3"/>
  <c r="AN301" i="3" s="1"/>
  <c r="AN302" i="3" s="1"/>
  <c r="AI300" i="3"/>
  <c r="AI301" i="3" s="1"/>
  <c r="AI302" i="3" s="1"/>
  <c r="AD300" i="3"/>
  <c r="AD301" i="3" s="1"/>
  <c r="AD302" i="3" s="1"/>
  <c r="T300" i="3"/>
  <c r="T301" i="3" s="1"/>
  <c r="T302" i="3" s="1"/>
  <c r="O300" i="3"/>
  <c r="O301" i="3" s="1"/>
  <c r="O302" i="3" s="1"/>
  <c r="J7" i="3"/>
  <c r="J262" i="3"/>
  <c r="J25" i="2"/>
  <c r="BZ204" i="2"/>
  <c r="BY204" i="2"/>
  <c r="BX204" i="2"/>
  <c r="BV204" i="2"/>
  <c r="BU204" i="2"/>
  <c r="BT204" i="2"/>
  <c r="BS204" i="2"/>
  <c r="BP204" i="2"/>
  <c r="BO204" i="2"/>
  <c r="BN204" i="2"/>
  <c r="BL204" i="2"/>
  <c r="BK204" i="2"/>
  <c r="BJ204" i="2"/>
  <c r="BI204" i="2"/>
  <c r="BG204" i="2"/>
  <c r="BF204" i="2"/>
  <c r="BE204" i="2"/>
  <c r="BD204" i="2"/>
  <c r="BB204" i="2"/>
  <c r="BA204" i="2"/>
  <c r="AZ204" i="2"/>
  <c r="AY204" i="2"/>
  <c r="AW204" i="2"/>
  <c r="AV204" i="2"/>
  <c r="AU204" i="2"/>
  <c r="AT204" i="2"/>
  <c r="AR204" i="2"/>
  <c r="AQ204" i="2"/>
  <c r="AP204" i="2"/>
  <c r="AO204" i="2"/>
  <c r="AM204" i="2"/>
  <c r="AL204" i="2"/>
  <c r="AA204" i="2"/>
  <c r="CQ118" i="2" l="1"/>
  <c r="BR25" i="3"/>
  <c r="BM25" i="3"/>
  <c r="BP26" i="3"/>
  <c r="BO26" i="3"/>
  <c r="BN26" i="3"/>
  <c r="Q39" i="9" l="1"/>
  <c r="R39" i="9"/>
  <c r="BQ26" i="3"/>
  <c r="BR26" i="3" s="1"/>
  <c r="K131" i="2" l="1"/>
  <c r="L131" i="2"/>
  <c r="M131" i="2"/>
  <c r="N131" i="2"/>
  <c r="O131" i="2"/>
  <c r="P131" i="2"/>
  <c r="Q131" i="2"/>
  <c r="R131" i="2"/>
  <c r="S131" i="2"/>
  <c r="T131" i="2"/>
  <c r="U131" i="2"/>
  <c r="V131" i="2"/>
  <c r="W131" i="2"/>
  <c r="X131" i="2"/>
  <c r="Y131" i="2"/>
  <c r="Z131" i="2"/>
  <c r="AA131" i="2"/>
  <c r="AB131" i="2"/>
  <c r="AC131" i="2"/>
  <c r="AD131" i="2"/>
  <c r="AE131" i="2"/>
  <c r="AF131" i="2"/>
  <c r="AG131" i="2"/>
  <c r="AH131" i="2"/>
  <c r="AI131" i="2"/>
  <c r="AJ131" i="2"/>
  <c r="AK131" i="2"/>
  <c r="AL131" i="2"/>
  <c r="AM131" i="2"/>
  <c r="AN131" i="2"/>
  <c r="AS131" i="2"/>
  <c r="AX131" i="2"/>
  <c r="BC131" i="2"/>
  <c r="BH131" i="2"/>
  <c r="BM131" i="2"/>
  <c r="BR131" i="2"/>
  <c r="BW131" i="2"/>
  <c r="AN140" i="2"/>
  <c r="AS140" i="2"/>
  <c r="AX140" i="2"/>
  <c r="E141" i="2"/>
  <c r="G141" i="2"/>
  <c r="H141" i="2" s="1"/>
  <c r="J141" i="2"/>
  <c r="O141" i="2"/>
  <c r="G134" i="9" s="1"/>
  <c r="T141" i="2"/>
  <c r="Y141" i="2"/>
  <c r="AD141" i="2"/>
  <c r="AI141" i="2"/>
  <c r="AN141" i="2"/>
  <c r="L134" i="9" s="1"/>
  <c r="AS141" i="2"/>
  <c r="M134" i="9" s="1"/>
  <c r="AX141" i="2"/>
  <c r="N134" i="9" s="1"/>
  <c r="BC141" i="2"/>
  <c r="O134" i="9" s="1"/>
  <c r="BH141" i="2"/>
  <c r="P134" i="9" s="1"/>
  <c r="BM141" i="2"/>
  <c r="BR141" i="2"/>
  <c r="BW141" i="2"/>
  <c r="D148" i="2"/>
  <c r="D149" i="2" s="1"/>
  <c r="J148" i="2"/>
  <c r="O148" i="2"/>
  <c r="T148" i="2"/>
  <c r="Y148" i="2"/>
  <c r="AD148" i="2"/>
  <c r="AI148" i="2"/>
  <c r="AN148" i="2"/>
  <c r="AS148" i="2"/>
  <c r="AX148" i="2"/>
  <c r="BC148" i="2"/>
  <c r="BH148" i="2"/>
  <c r="BM148" i="2"/>
  <c r="BR148" i="2"/>
  <c r="BW148" i="2"/>
  <c r="F150" i="2"/>
  <c r="G150" i="2"/>
  <c r="H150" i="2"/>
  <c r="I150" i="2"/>
  <c r="K150" i="2"/>
  <c r="L150" i="2"/>
  <c r="M150" i="2"/>
  <c r="N150" i="2"/>
  <c r="P150" i="2"/>
  <c r="Q150" i="2"/>
  <c r="R150" i="2"/>
  <c r="S150" i="2"/>
  <c r="U150" i="2"/>
  <c r="V150" i="2"/>
  <c r="W150" i="2"/>
  <c r="X150" i="2"/>
  <c r="Z150" i="2"/>
  <c r="AA150" i="2"/>
  <c r="AB150" i="2"/>
  <c r="AC150" i="2"/>
  <c r="AE150" i="2"/>
  <c r="AF150" i="2"/>
  <c r="AG150" i="2"/>
  <c r="AH150" i="2"/>
  <c r="AJ150" i="2"/>
  <c r="AK150" i="2"/>
  <c r="AL150" i="2"/>
  <c r="AM150" i="2"/>
  <c r="AO150" i="2"/>
  <c r="AP150" i="2"/>
  <c r="AQ150" i="2"/>
  <c r="AR150" i="2"/>
  <c r="AT150" i="2"/>
  <c r="AU150" i="2"/>
  <c r="AV150" i="2"/>
  <c r="AW150" i="2"/>
  <c r="AY150" i="2"/>
  <c r="AZ150" i="2"/>
  <c r="BA150" i="2"/>
  <c r="BB150" i="2"/>
  <c r="BD150" i="2"/>
  <c r="BE150" i="2"/>
  <c r="BF150" i="2"/>
  <c r="BG150" i="2"/>
  <c r="BI150" i="2"/>
  <c r="BJ150" i="2"/>
  <c r="BK150" i="2"/>
  <c r="BL150" i="2"/>
  <c r="BN150" i="2"/>
  <c r="BO150" i="2"/>
  <c r="BP150" i="2"/>
  <c r="BQ150" i="2"/>
  <c r="BS150" i="2"/>
  <c r="BT150" i="2"/>
  <c r="BU150" i="2"/>
  <c r="BV150" i="2"/>
  <c r="BX150" i="2"/>
  <c r="BY150" i="2"/>
  <c r="BZ150" i="2"/>
  <c r="F173" i="2"/>
  <c r="G173" i="2"/>
  <c r="H173" i="2"/>
  <c r="J173" i="2"/>
  <c r="J175" i="2" s="1"/>
  <c r="K173" i="2"/>
  <c r="L173" i="2"/>
  <c r="M173" i="2"/>
  <c r="O173" i="2"/>
  <c r="P173" i="2"/>
  <c r="Q173" i="2"/>
  <c r="R173" i="2"/>
  <c r="T173" i="2"/>
  <c r="Y173" i="2"/>
  <c r="AD173" i="2"/>
  <c r="AI173" i="2"/>
  <c r="AN173" i="2"/>
  <c r="AS173" i="2"/>
  <c r="AS191" i="2" s="1"/>
  <c r="AX173" i="2"/>
  <c r="AX191" i="2" s="1"/>
  <c r="BC173" i="2"/>
  <c r="BH173" i="2"/>
  <c r="BI173" i="2"/>
  <c r="BM173" i="2" s="1"/>
  <c r="BQ173" i="2"/>
  <c r="BW173" i="2"/>
  <c r="I174" i="2"/>
  <c r="H174" i="2" s="1"/>
  <c r="K174" i="2"/>
  <c r="L174" i="2"/>
  <c r="M174" i="2"/>
  <c r="N174" i="2"/>
  <c r="T174" i="2"/>
  <c r="H35" i="9" s="1"/>
  <c r="X174" i="2"/>
  <c r="AD174" i="2"/>
  <c r="J35" i="9" s="1"/>
  <c r="AI174" i="2"/>
  <c r="K35" i="9" s="1"/>
  <c r="AN174" i="2"/>
  <c r="L35" i="9" s="1"/>
  <c r="AS174" i="2"/>
  <c r="M35" i="9" s="1"/>
  <c r="AT175" i="2"/>
  <c r="AT176" i="2" s="1"/>
  <c r="AT169" i="2" s="1"/>
  <c r="AU175" i="2"/>
  <c r="AU176" i="2" s="1"/>
  <c r="AU169" i="2" s="1"/>
  <c r="AW175" i="2"/>
  <c r="AW176" i="2" s="1"/>
  <c r="AW169" i="2" s="1"/>
  <c r="AY175" i="2"/>
  <c r="AZ175" i="2"/>
  <c r="AZ176" i="2" s="1"/>
  <c r="AZ169" i="2" s="1"/>
  <c r="BA175" i="2"/>
  <c r="BB175" i="2"/>
  <c r="BB176" i="2" s="1"/>
  <c r="BB169" i="2" s="1"/>
  <c r="BD175" i="2"/>
  <c r="BD176" i="2" s="1"/>
  <c r="BD169" i="2" s="1"/>
  <c r="BE175" i="2"/>
  <c r="BF175" i="2"/>
  <c r="BF176" i="2" s="1"/>
  <c r="BF169" i="2" s="1"/>
  <c r="BG175" i="2"/>
  <c r="BJ175" i="2"/>
  <c r="BJ176" i="2" s="1"/>
  <c r="BJ169" i="2" s="1"/>
  <c r="BK175" i="2"/>
  <c r="BK176" i="2" s="1"/>
  <c r="BK169" i="2" s="1"/>
  <c r="BL175" i="2"/>
  <c r="BL176" i="2" s="1"/>
  <c r="BL169" i="2" s="1"/>
  <c r="BN175" i="2"/>
  <c r="BN176" i="2" s="1"/>
  <c r="BN169" i="2" s="1"/>
  <c r="BO175" i="2"/>
  <c r="BO176" i="2" s="1"/>
  <c r="BO169" i="2" s="1"/>
  <c r="BP175" i="2"/>
  <c r="BP176" i="2" s="1"/>
  <c r="BP169" i="2" s="1"/>
  <c r="BS175" i="2"/>
  <c r="BT175" i="2"/>
  <c r="BT176" i="2" s="1"/>
  <c r="BT169" i="2" s="1"/>
  <c r="BU175" i="2"/>
  <c r="BU176" i="2" s="1"/>
  <c r="BU169" i="2" s="1"/>
  <c r="BV175" i="2"/>
  <c r="BV176" i="2" s="1"/>
  <c r="BV169" i="2" s="1"/>
  <c r="BX175" i="2"/>
  <c r="BY175" i="2"/>
  <c r="BY176" i="2" s="1"/>
  <c r="BY169" i="2" s="1"/>
  <c r="BZ175" i="2"/>
  <c r="BZ176" i="2" s="1"/>
  <c r="BZ169" i="2" s="1"/>
  <c r="D175" i="2"/>
  <c r="D176" i="2" s="1"/>
  <c r="U175" i="2"/>
  <c r="V175" i="2"/>
  <c r="V176" i="2" s="1"/>
  <c r="V169" i="2" s="1"/>
  <c r="W175" i="2"/>
  <c r="W176" i="2" s="1"/>
  <c r="W169" i="2" s="1"/>
  <c r="Z175" i="2"/>
  <c r="Z176" i="2" s="1"/>
  <c r="Z169" i="2" s="1"/>
  <c r="AA175" i="2"/>
  <c r="AA176" i="2" s="1"/>
  <c r="AA169" i="2" s="1"/>
  <c r="AB175" i="2"/>
  <c r="AB176" i="2" s="1"/>
  <c r="AB169" i="2" s="1"/>
  <c r="AC175" i="2"/>
  <c r="AC176" i="2" s="1"/>
  <c r="AC169" i="2" s="1"/>
  <c r="AE175" i="2"/>
  <c r="AE176" i="2" s="1"/>
  <c r="AE169" i="2" s="1"/>
  <c r="AF175" i="2"/>
  <c r="AF176" i="2" s="1"/>
  <c r="AF169" i="2" s="1"/>
  <c r="AG175" i="2"/>
  <c r="AG176" i="2" s="1"/>
  <c r="AG169" i="2" s="1"/>
  <c r="AH175" i="2"/>
  <c r="AH176" i="2" s="1"/>
  <c r="AH169" i="2" s="1"/>
  <c r="AJ175" i="2"/>
  <c r="AJ176" i="2" s="1"/>
  <c r="AJ169" i="2" s="1"/>
  <c r="AK175" i="2"/>
  <c r="AK176" i="2" s="1"/>
  <c r="AK169" i="2" s="1"/>
  <c r="AL175" i="2"/>
  <c r="AL176" i="2" s="1"/>
  <c r="AL169" i="2" s="1"/>
  <c r="AM175" i="2"/>
  <c r="AM176" i="2" s="1"/>
  <c r="AM169" i="2" s="1"/>
  <c r="AO175" i="2"/>
  <c r="AO176" i="2" s="1"/>
  <c r="AO169" i="2" s="1"/>
  <c r="AP175" i="2"/>
  <c r="AP176" i="2" s="1"/>
  <c r="AP169" i="2" s="1"/>
  <c r="AQ175" i="2"/>
  <c r="AQ176" i="2" s="1"/>
  <c r="AQ169" i="2" s="1"/>
  <c r="AR175" i="2"/>
  <c r="AR176" i="2" s="1"/>
  <c r="AR169" i="2" s="1"/>
  <c r="F152" i="2"/>
  <c r="F154" i="2" s="1"/>
  <c r="F153" i="2" s="1"/>
  <c r="G152" i="2"/>
  <c r="H152" i="2"/>
  <c r="J152" i="2"/>
  <c r="K152" i="2"/>
  <c r="L152" i="2"/>
  <c r="L154" i="2" s="1"/>
  <c r="L153" i="2" s="1"/>
  <c r="M152" i="2"/>
  <c r="O152" i="2"/>
  <c r="P152" i="2"/>
  <c r="Q152" i="2"/>
  <c r="R152" i="2"/>
  <c r="R154" i="2" s="1"/>
  <c r="R153" i="2" s="1"/>
  <c r="T152" i="2"/>
  <c r="X152" i="2"/>
  <c r="BQ152" i="2"/>
  <c r="T155" i="2"/>
  <c r="Y155" i="2"/>
  <c r="AD155" i="2"/>
  <c r="AI155" i="2"/>
  <c r="AN155" i="2"/>
  <c r="AS155" i="2"/>
  <c r="AX155" i="2"/>
  <c r="BC155" i="2"/>
  <c r="BH155" i="2"/>
  <c r="BM155" i="2"/>
  <c r="BR155" i="2"/>
  <c r="BW155" i="2"/>
  <c r="D154" i="2"/>
  <c r="D153" i="2" s="1"/>
  <c r="U154" i="2"/>
  <c r="U153" i="2" s="1"/>
  <c r="V154" i="2"/>
  <c r="V153" i="2" s="1"/>
  <c r="W154" i="2"/>
  <c r="W153" i="2" s="1"/>
  <c r="Z154" i="2"/>
  <c r="Z153" i="2" s="1"/>
  <c r="AA154" i="2"/>
  <c r="AA153" i="2" s="1"/>
  <c r="AB154" i="2"/>
  <c r="AB153" i="2" s="1"/>
  <c r="AC154" i="2"/>
  <c r="AC153" i="2" s="1"/>
  <c r="AE154" i="2"/>
  <c r="AE153" i="2" s="1"/>
  <c r="AF154" i="2"/>
  <c r="AG154" i="2"/>
  <c r="AG153" i="2" s="1"/>
  <c r="AH154" i="2"/>
  <c r="AH153" i="2" s="1"/>
  <c r="AJ154" i="2"/>
  <c r="AJ153" i="2" s="1"/>
  <c r="AK154" i="2"/>
  <c r="AK153" i="2" s="1"/>
  <c r="AL154" i="2"/>
  <c r="AL153" i="2" s="1"/>
  <c r="AM154" i="2"/>
  <c r="AM153" i="2" s="1"/>
  <c r="AO154" i="2"/>
  <c r="AO153" i="2" s="1"/>
  <c r="AP154" i="2"/>
  <c r="AP153" i="2" s="1"/>
  <c r="AQ154" i="2"/>
  <c r="AQ153" i="2" s="1"/>
  <c r="AR154" i="2"/>
  <c r="AR153" i="2" s="1"/>
  <c r="AT154" i="2"/>
  <c r="AT153" i="2" s="1"/>
  <c r="AU154" i="2"/>
  <c r="AU153" i="2" s="1"/>
  <c r="AV154" i="2"/>
  <c r="AV153" i="2" s="1"/>
  <c r="AW154" i="2"/>
  <c r="AW153" i="2" s="1"/>
  <c r="AY154" i="2"/>
  <c r="AY153" i="2" s="1"/>
  <c r="AZ154" i="2"/>
  <c r="BA154" i="2"/>
  <c r="BA153" i="2" s="1"/>
  <c r="BB154" i="2"/>
  <c r="BB153" i="2" s="1"/>
  <c r="BD154" i="2"/>
  <c r="BD153" i="2" s="1"/>
  <c r="BE154" i="2"/>
  <c r="BE153" i="2" s="1"/>
  <c r="BF154" i="2"/>
  <c r="BF153" i="2" s="1"/>
  <c r="BG154" i="2"/>
  <c r="BG153" i="2" s="1"/>
  <c r="BI154" i="2"/>
  <c r="BI153" i="2" s="1"/>
  <c r="BJ154" i="2"/>
  <c r="BJ153" i="2" s="1"/>
  <c r="BK154" i="2"/>
  <c r="BK153" i="2" s="1"/>
  <c r="BL154" i="2"/>
  <c r="BL153" i="2" s="1"/>
  <c r="BN154" i="2"/>
  <c r="BN153" i="2" s="1"/>
  <c r="BO154" i="2"/>
  <c r="BO153" i="2" s="1"/>
  <c r="BP154" i="2"/>
  <c r="BP153" i="2" s="1"/>
  <c r="BS154" i="2"/>
  <c r="BS153" i="2" s="1"/>
  <c r="BT154" i="2"/>
  <c r="BU154" i="2"/>
  <c r="BU153" i="2" s="1"/>
  <c r="BV154" i="2"/>
  <c r="BV153" i="2" s="1"/>
  <c r="BX154" i="2"/>
  <c r="BX153" i="2" s="1"/>
  <c r="BY154" i="2"/>
  <c r="BY153" i="2" s="1"/>
  <c r="BZ154" i="2"/>
  <c r="I178" i="2"/>
  <c r="N178" i="2"/>
  <c r="S178" i="2"/>
  <c r="Y178" i="2"/>
  <c r="AD178" i="2"/>
  <c r="AI178" i="2"/>
  <c r="AN178" i="2"/>
  <c r="AS178" i="2"/>
  <c r="AX178" i="2"/>
  <c r="BC178" i="2"/>
  <c r="BH178" i="2"/>
  <c r="BM178" i="2"/>
  <c r="BR178" i="2"/>
  <c r="BW178" i="2"/>
  <c r="CE178" i="2"/>
  <c r="CJ178" i="2"/>
  <c r="CO178" i="2"/>
  <c r="AS186" i="2"/>
  <c r="AV186" i="2"/>
  <c r="AV189" i="2"/>
  <c r="AV191" i="2"/>
  <c r="AW191" i="2"/>
  <c r="K25" i="2"/>
  <c r="L25" i="2"/>
  <c r="M25" i="2"/>
  <c r="N25" i="2"/>
  <c r="O25" i="2"/>
  <c r="P25" i="2"/>
  <c r="Q25" i="2"/>
  <c r="R25" i="2"/>
  <c r="S25" i="2"/>
  <c r="T25" i="2"/>
  <c r="U25" i="2"/>
  <c r="V25" i="2"/>
  <c r="W25" i="2"/>
  <c r="X25" i="2"/>
  <c r="Y25" i="2"/>
  <c r="Z25" i="2"/>
  <c r="AA25" i="2"/>
  <c r="AB25" i="2"/>
  <c r="AC25" i="2"/>
  <c r="AD25" i="2"/>
  <c r="AE25" i="2"/>
  <c r="AF25" i="2"/>
  <c r="AG25" i="2"/>
  <c r="AH25" i="2"/>
  <c r="AI25" i="2"/>
  <c r="AJ25" i="2"/>
  <c r="AK25" i="2"/>
  <c r="AL25" i="2"/>
  <c r="AM25" i="2"/>
  <c r="AN25" i="2"/>
  <c r="AS25" i="2"/>
  <c r="AX25" i="2"/>
  <c r="BC25" i="2"/>
  <c r="BH25" i="2"/>
  <c r="BM25" i="2"/>
  <c r="BR25" i="2"/>
  <c r="BW25" i="2"/>
  <c r="BX29" i="2"/>
  <c r="BY29" i="2"/>
  <c r="BZ29" i="2"/>
  <c r="BX30" i="2"/>
  <c r="BY30" i="2"/>
  <c r="BZ30" i="2"/>
  <c r="BX31" i="2"/>
  <c r="BY31" i="2"/>
  <c r="BZ31" i="2"/>
  <c r="BX32" i="2"/>
  <c r="BY32" i="2"/>
  <c r="BZ32" i="2"/>
  <c r="BM33" i="2"/>
  <c r="BR33" i="2"/>
  <c r="BW33" i="2"/>
  <c r="E34" i="2"/>
  <c r="J34" i="2"/>
  <c r="F133" i="9" s="1"/>
  <c r="O34" i="2"/>
  <c r="G133" i="9" s="1"/>
  <c r="T34" i="2"/>
  <c r="H133" i="9" s="1"/>
  <c r="Y34" i="2"/>
  <c r="I133" i="9" s="1"/>
  <c r="AD34" i="2"/>
  <c r="J133" i="9" s="1"/>
  <c r="AI34" i="2"/>
  <c r="K133" i="9" s="1"/>
  <c r="AN34" i="2"/>
  <c r="L133" i="9" s="1"/>
  <c r="AS34" i="2"/>
  <c r="M133" i="9" s="1"/>
  <c r="AX34" i="2"/>
  <c r="N133" i="9" s="1"/>
  <c r="BC34" i="2"/>
  <c r="O133" i="9" s="1"/>
  <c r="BH34" i="2"/>
  <c r="P133" i="9" s="1"/>
  <c r="BM34" i="2"/>
  <c r="BR34" i="2"/>
  <c r="BW34" i="2"/>
  <c r="Y100" i="2"/>
  <c r="AD100" i="2"/>
  <c r="AI100" i="2"/>
  <c r="AN100" i="2"/>
  <c r="L135" i="9" s="1"/>
  <c r="AS100" i="2"/>
  <c r="AX100" i="2"/>
  <c r="BC100" i="2"/>
  <c r="O135" i="9" s="1"/>
  <c r="BH100" i="2"/>
  <c r="P135" i="9" s="1"/>
  <c r="BM100" i="2"/>
  <c r="BR100" i="2"/>
  <c r="BW100" i="2"/>
  <c r="D36" i="2"/>
  <c r="D37" i="2" s="1"/>
  <c r="J36" i="2"/>
  <c r="O36" i="2"/>
  <c r="T36" i="2"/>
  <c r="Y36" i="2"/>
  <c r="AD36" i="2"/>
  <c r="AI36" i="2"/>
  <c r="AN36" i="2"/>
  <c r="AS36" i="2"/>
  <c r="AX36" i="2"/>
  <c r="BC36" i="2"/>
  <c r="BH36" i="2"/>
  <c r="BM36" i="2"/>
  <c r="BR36" i="2"/>
  <c r="BW36" i="2"/>
  <c r="E37" i="2"/>
  <c r="F38" i="2"/>
  <c r="G38" i="2"/>
  <c r="H38" i="2"/>
  <c r="I38" i="2"/>
  <c r="K38" i="2"/>
  <c r="L38" i="2"/>
  <c r="M38" i="2"/>
  <c r="N38" i="2"/>
  <c r="P38" i="2"/>
  <c r="Q38" i="2"/>
  <c r="R38" i="2"/>
  <c r="S38" i="2"/>
  <c r="U38" i="2"/>
  <c r="V38" i="2"/>
  <c r="W38" i="2"/>
  <c r="X38" i="2"/>
  <c r="Z38" i="2"/>
  <c r="AA38" i="2"/>
  <c r="AB38" i="2"/>
  <c r="AC38" i="2"/>
  <c r="AE38" i="2"/>
  <c r="AF38" i="2"/>
  <c r="AG38" i="2"/>
  <c r="AH38" i="2"/>
  <c r="AJ38" i="2"/>
  <c r="AK38" i="2"/>
  <c r="AL38" i="2"/>
  <c r="AM38" i="2"/>
  <c r="AO38" i="2"/>
  <c r="AP38" i="2"/>
  <c r="AQ38" i="2"/>
  <c r="AR38" i="2"/>
  <c r="AT38" i="2"/>
  <c r="AU38" i="2"/>
  <c r="AV38" i="2"/>
  <c r="AW38" i="2"/>
  <c r="AY38" i="2"/>
  <c r="AZ38" i="2"/>
  <c r="BA38" i="2"/>
  <c r="BB38" i="2"/>
  <c r="BD38" i="2"/>
  <c r="BE38" i="2"/>
  <c r="BF38" i="2"/>
  <c r="BG38" i="2"/>
  <c r="BI38" i="2"/>
  <c r="BJ38" i="2"/>
  <c r="BK38" i="2"/>
  <c r="BL38" i="2"/>
  <c r="BN38" i="2"/>
  <c r="BO38" i="2"/>
  <c r="BP38" i="2"/>
  <c r="BQ38" i="2"/>
  <c r="BS38" i="2"/>
  <c r="BT38" i="2"/>
  <c r="BU38" i="2"/>
  <c r="BV38" i="2"/>
  <c r="BX38" i="2"/>
  <c r="BY38" i="2"/>
  <c r="BZ38" i="2"/>
  <c r="J84" i="2"/>
  <c r="K84" i="2"/>
  <c r="L84" i="2"/>
  <c r="M84" i="2"/>
  <c r="O84" i="2"/>
  <c r="O86" i="2" s="1"/>
  <c r="P84" i="2"/>
  <c r="Q84" i="2"/>
  <c r="R84" i="2"/>
  <c r="X84" i="2"/>
  <c r="AD84" i="2"/>
  <c r="AI84" i="2"/>
  <c r="AN84" i="2"/>
  <c r="AS84" i="2"/>
  <c r="AX84" i="2"/>
  <c r="BC84" i="2"/>
  <c r="BH84" i="2"/>
  <c r="BM84" i="2"/>
  <c r="BQ84" i="2"/>
  <c r="BW84" i="2"/>
  <c r="I85" i="2"/>
  <c r="K85" i="2"/>
  <c r="L85" i="2"/>
  <c r="M85" i="2"/>
  <c r="N85" i="2"/>
  <c r="X85" i="2"/>
  <c r="AD85" i="2"/>
  <c r="AI85" i="2"/>
  <c r="AW86" i="2"/>
  <c r="AW87" i="2" s="1"/>
  <c r="AW73" i="2" s="1"/>
  <c r="AZ86" i="2"/>
  <c r="AZ87" i="2" s="1"/>
  <c r="AZ73" i="2" s="1"/>
  <c r="BB86" i="2"/>
  <c r="BB87" i="2" s="1"/>
  <c r="BB73" i="2" s="1"/>
  <c r="BD86" i="2"/>
  <c r="BD87" i="2" s="1"/>
  <c r="BD73" i="2" s="1"/>
  <c r="BF86" i="2"/>
  <c r="BF87" i="2" s="1"/>
  <c r="BF73" i="2" s="1"/>
  <c r="BI86" i="2"/>
  <c r="BI87" i="2" s="1"/>
  <c r="BI73" i="2" s="1"/>
  <c r="BK86" i="2"/>
  <c r="BK87" i="2" s="1"/>
  <c r="BK73" i="2" s="1"/>
  <c r="BO86" i="2"/>
  <c r="BO87" i="2" s="1"/>
  <c r="BO73" i="2" s="1"/>
  <c r="BS86" i="2"/>
  <c r="BS87" i="2" s="1"/>
  <c r="BS73" i="2" s="1"/>
  <c r="BU86" i="2"/>
  <c r="BU87" i="2" s="1"/>
  <c r="BU73" i="2" s="1"/>
  <c r="BX86" i="2"/>
  <c r="BZ86" i="2"/>
  <c r="BZ87" i="2" s="1"/>
  <c r="BZ73" i="2" s="1"/>
  <c r="U86" i="2"/>
  <c r="U87" i="2" s="1"/>
  <c r="U73" i="2" s="1"/>
  <c r="V86" i="2"/>
  <c r="V87" i="2" s="1"/>
  <c r="V73" i="2" s="1"/>
  <c r="W86" i="2"/>
  <c r="W87" i="2" s="1"/>
  <c r="W73" i="2" s="1"/>
  <c r="Z86" i="2"/>
  <c r="Z87" i="2" s="1"/>
  <c r="Z73" i="2" s="1"/>
  <c r="AA86" i="2"/>
  <c r="AA87" i="2" s="1"/>
  <c r="AA73" i="2" s="1"/>
  <c r="AB86" i="2"/>
  <c r="AB87" i="2" s="1"/>
  <c r="AB73" i="2" s="1"/>
  <c r="AC86" i="2"/>
  <c r="AC87" i="2" s="1"/>
  <c r="AC73" i="2" s="1"/>
  <c r="AE86" i="2"/>
  <c r="AE87" i="2" s="1"/>
  <c r="AE73" i="2" s="1"/>
  <c r="AF86" i="2"/>
  <c r="AF87" i="2" s="1"/>
  <c r="AF73" i="2" s="1"/>
  <c r="AG86" i="2"/>
  <c r="AG87" i="2" s="1"/>
  <c r="AG73" i="2" s="1"/>
  <c r="AH86" i="2"/>
  <c r="AH87" i="2" s="1"/>
  <c r="AH73" i="2" s="1"/>
  <c r="AJ86" i="2"/>
  <c r="AJ87" i="2" s="1"/>
  <c r="AJ73" i="2" s="1"/>
  <c r="AK86" i="2"/>
  <c r="AK87" i="2" s="1"/>
  <c r="AK73" i="2" s="1"/>
  <c r="AP86" i="2"/>
  <c r="AP87" i="2" s="1"/>
  <c r="AP73" i="2" s="1"/>
  <c r="D50" i="2"/>
  <c r="F48" i="2"/>
  <c r="G48" i="2"/>
  <c r="H48" i="2"/>
  <c r="J48" i="2"/>
  <c r="K48" i="2"/>
  <c r="K46" i="2" s="1"/>
  <c r="L48" i="2"/>
  <c r="L46" i="2" s="1"/>
  <c r="M48" i="2"/>
  <c r="M46" i="2" s="1"/>
  <c r="O48" i="2"/>
  <c r="P48" i="2"/>
  <c r="P46" i="2" s="1"/>
  <c r="P45" i="2" s="1"/>
  <c r="Q48" i="2"/>
  <c r="R48" i="2"/>
  <c r="T48" i="2"/>
  <c r="X48" i="2"/>
  <c r="BQ48" i="2"/>
  <c r="BQ46" i="2" s="1"/>
  <c r="BQ45" i="2" s="1"/>
  <c r="K51" i="2"/>
  <c r="K196" i="2" s="1"/>
  <c r="L51" i="2"/>
  <c r="L196" i="2" s="1"/>
  <c r="M51" i="2"/>
  <c r="M196" i="2" s="1"/>
  <c r="U50" i="2"/>
  <c r="U49" i="2" s="1"/>
  <c r="V50" i="2"/>
  <c r="V49" i="2" s="1"/>
  <c r="W50" i="2"/>
  <c r="W49" i="2" s="1"/>
  <c r="Z50" i="2"/>
  <c r="Z49" i="2" s="1"/>
  <c r="AA50" i="2"/>
  <c r="AA49" i="2" s="1"/>
  <c r="AB50" i="2"/>
  <c r="AB49" i="2" s="1"/>
  <c r="AC50" i="2"/>
  <c r="AC49" i="2" s="1"/>
  <c r="AE50" i="2"/>
  <c r="AE49" i="2" s="1"/>
  <c r="AF50" i="2"/>
  <c r="AF49" i="2" s="1"/>
  <c r="AG50" i="2"/>
  <c r="AG49" i="2" s="1"/>
  <c r="AH50" i="2"/>
  <c r="AH49" i="2" s="1"/>
  <c r="AJ50" i="2"/>
  <c r="AJ49" i="2" s="1"/>
  <c r="AK50" i="2"/>
  <c r="AL50" i="2"/>
  <c r="AL49" i="2" s="1"/>
  <c r="AM50" i="2"/>
  <c r="AM49" i="2" s="1"/>
  <c r="AO50" i="2"/>
  <c r="AO49" i="2" s="1"/>
  <c r="AP50" i="2"/>
  <c r="AP49" i="2" s="1"/>
  <c r="AQ50" i="2"/>
  <c r="AQ49" i="2" s="1"/>
  <c r="AR50" i="2"/>
  <c r="AR49" i="2" s="1"/>
  <c r="AT50" i="2"/>
  <c r="AT49" i="2" s="1"/>
  <c r="AU50" i="2"/>
  <c r="AU49" i="2" s="1"/>
  <c r="AV50" i="2"/>
  <c r="AV49" i="2" s="1"/>
  <c r="AW50" i="2"/>
  <c r="AW49" i="2" s="1"/>
  <c r="AY50" i="2"/>
  <c r="AY49" i="2" s="1"/>
  <c r="AZ50" i="2"/>
  <c r="AZ49" i="2" s="1"/>
  <c r="BA50" i="2"/>
  <c r="BA49" i="2" s="1"/>
  <c r="BB50" i="2"/>
  <c r="BB49" i="2" s="1"/>
  <c r="BD50" i="2"/>
  <c r="BD49" i="2" s="1"/>
  <c r="BE50" i="2"/>
  <c r="BF50" i="2"/>
  <c r="BF49" i="2" s="1"/>
  <c r="BG50" i="2"/>
  <c r="BG49" i="2" s="1"/>
  <c r="BI50" i="2"/>
  <c r="BI49" i="2" s="1"/>
  <c r="BJ50" i="2"/>
  <c r="BJ49" i="2" s="1"/>
  <c r="BK50" i="2"/>
  <c r="BK49" i="2" s="1"/>
  <c r="BL50" i="2"/>
  <c r="BL49" i="2" s="1"/>
  <c r="BN50" i="2"/>
  <c r="BN49" i="2" s="1"/>
  <c r="BO50" i="2"/>
  <c r="BO49" i="2" s="1"/>
  <c r="BP50" i="2"/>
  <c r="BP49" i="2" s="1"/>
  <c r="BS50" i="2"/>
  <c r="BS49" i="2" s="1"/>
  <c r="BT50" i="2"/>
  <c r="BT49" i="2" s="1"/>
  <c r="BU50" i="2"/>
  <c r="BU49" i="2" s="1"/>
  <c r="BV50" i="2"/>
  <c r="BV49" i="2" s="1"/>
  <c r="BX50" i="2"/>
  <c r="BX49" i="2" s="1"/>
  <c r="BY50" i="2"/>
  <c r="BY49" i="2" s="1"/>
  <c r="BZ50" i="2"/>
  <c r="BZ49" i="2" s="1"/>
  <c r="CD50" i="2"/>
  <c r="CE50" i="2" s="1"/>
  <c r="CF50" i="2" s="1"/>
  <c r="CG50" i="2" s="1"/>
  <c r="CI50" i="2"/>
  <c r="CJ50" i="2" s="1"/>
  <c r="CK50" i="2" s="1"/>
  <c r="CL50" i="2" s="1"/>
  <c r="CN50" i="2"/>
  <c r="CO50" i="2" s="1"/>
  <c r="CP50" i="2" s="1"/>
  <c r="CQ50" i="2" s="1"/>
  <c r="K64" i="2"/>
  <c r="K71" i="2" s="1"/>
  <c r="L64" i="2"/>
  <c r="L71" i="2" s="1"/>
  <c r="M64" i="2"/>
  <c r="M71" i="2" s="1"/>
  <c r="N64" i="2"/>
  <c r="N71" i="2" s="1"/>
  <c r="O64" i="2"/>
  <c r="O71" i="2" s="1"/>
  <c r="P64" i="2"/>
  <c r="Q64" i="2"/>
  <c r="Q71" i="2" s="1"/>
  <c r="R64" i="2"/>
  <c r="R71" i="2" s="1"/>
  <c r="S64" i="2"/>
  <c r="S71" i="2" s="1"/>
  <c r="T64" i="2"/>
  <c r="T71" i="2" s="1"/>
  <c r="U64" i="2"/>
  <c r="V64" i="2"/>
  <c r="V71" i="2" s="1"/>
  <c r="W64" i="2"/>
  <c r="W71" i="2" s="1"/>
  <c r="X64" i="2"/>
  <c r="X71" i="2" s="1"/>
  <c r="Y64" i="2"/>
  <c r="Y71" i="2" s="1"/>
  <c r="Z64" i="2"/>
  <c r="AA64" i="2"/>
  <c r="AA71" i="2" s="1"/>
  <c r="AB64" i="2"/>
  <c r="AB71" i="2" s="1"/>
  <c r="AC64" i="2"/>
  <c r="AC71" i="2" s="1"/>
  <c r="AD64" i="2"/>
  <c r="AD71" i="2" s="1"/>
  <c r="AE64" i="2"/>
  <c r="AF64" i="2"/>
  <c r="AF71" i="2" s="1"/>
  <c r="AG64" i="2"/>
  <c r="AG71" i="2" s="1"/>
  <c r="AH64" i="2"/>
  <c r="AH71" i="2" s="1"/>
  <c r="AI64" i="2"/>
  <c r="AI71" i="2" s="1"/>
  <c r="AJ64" i="2"/>
  <c r="AK64" i="2"/>
  <c r="AK71" i="2" s="1"/>
  <c r="AL64" i="2"/>
  <c r="AL71" i="2" s="1"/>
  <c r="AM64" i="2"/>
  <c r="AM71" i="2" s="1"/>
  <c r="AN64" i="2"/>
  <c r="AN71" i="2" s="1"/>
  <c r="AO64" i="2"/>
  <c r="AP64" i="2"/>
  <c r="AP71" i="2" s="1"/>
  <c r="AQ64" i="2"/>
  <c r="AQ71" i="2" s="1"/>
  <c r="AR64" i="2"/>
  <c r="AR71" i="2" s="1"/>
  <c r="AT64" i="2"/>
  <c r="AT71" i="2" s="1"/>
  <c r="AU64" i="2"/>
  <c r="AU71" i="2" s="1"/>
  <c r="AV64" i="2"/>
  <c r="AW64" i="2"/>
  <c r="AW71" i="2" s="1"/>
  <c r="AY64" i="2"/>
  <c r="AZ64" i="2"/>
  <c r="AZ71" i="2" s="1"/>
  <c r="BA64" i="2"/>
  <c r="BA71" i="2" s="1"/>
  <c r="BB64" i="2"/>
  <c r="BB71" i="2" s="1"/>
  <c r="BD64" i="2"/>
  <c r="BE64" i="2"/>
  <c r="BE71" i="2" s="1"/>
  <c r="BF64" i="2"/>
  <c r="BG64" i="2"/>
  <c r="BG71" i="2" s="1"/>
  <c r="BJ71" i="2"/>
  <c r="BK71" i="2"/>
  <c r="BL71" i="2"/>
  <c r="BN71" i="2"/>
  <c r="BO71" i="2"/>
  <c r="BQ71" i="2"/>
  <c r="BT71" i="2"/>
  <c r="BU71" i="2"/>
  <c r="BV71" i="2"/>
  <c r="BX64" i="2"/>
  <c r="BY64" i="2"/>
  <c r="BY71" i="2" s="1"/>
  <c r="BZ64" i="2"/>
  <c r="CA64" i="2"/>
  <c r="CA71" i="2" s="1"/>
  <c r="CC71" i="2"/>
  <c r="CD71" i="2"/>
  <c r="CE71" i="2"/>
  <c r="CF71" i="2"/>
  <c r="CH71" i="2"/>
  <c r="CI71" i="2"/>
  <c r="CJ71" i="2"/>
  <c r="CK71" i="2"/>
  <c r="CM71" i="2"/>
  <c r="CN71" i="2"/>
  <c r="CO71" i="2"/>
  <c r="CP71" i="2"/>
  <c r="I58" i="2"/>
  <c r="H58" i="2" s="1"/>
  <c r="N58" i="2"/>
  <c r="M58" i="2" s="1"/>
  <c r="S58" i="2"/>
  <c r="R58" i="2" s="1"/>
  <c r="X58" i="2"/>
  <c r="W58" i="2" s="1"/>
  <c r="AC58" i="2"/>
  <c r="AB58" i="2" s="1"/>
  <c r="AI58" i="2"/>
  <c r="AH58" i="2" s="1"/>
  <c r="AG58" i="2" s="1"/>
  <c r="AN58" i="2"/>
  <c r="AM58" i="2" s="1"/>
  <c r="CP58" i="2"/>
  <c r="CO58" i="2" s="1"/>
  <c r="CP60" i="2" s="1"/>
  <c r="F67" i="2"/>
  <c r="F69" i="2"/>
  <c r="J89" i="2"/>
  <c r="I89" i="2" s="1"/>
  <c r="T89" i="2"/>
  <c r="S89" i="2" s="1"/>
  <c r="I91" i="2"/>
  <c r="I92" i="2" s="1"/>
  <c r="N91" i="2"/>
  <c r="N92" i="2" s="1"/>
  <c r="S91" i="2"/>
  <c r="S92" i="2" s="1"/>
  <c r="Y91" i="2"/>
  <c r="AD91" i="2"/>
  <c r="AI91" i="2"/>
  <c r="AN91" i="2"/>
  <c r="AS91" i="2"/>
  <c r="AX91" i="2"/>
  <c r="BC91" i="2"/>
  <c r="BH91" i="2"/>
  <c r="BM91" i="2"/>
  <c r="BR91" i="2"/>
  <c r="BW91" i="2"/>
  <c r="CE91" i="2"/>
  <c r="CJ91" i="2"/>
  <c r="CO91" i="2"/>
  <c r="D126" i="2"/>
  <c r="D127" i="2" s="1"/>
  <c r="D118" i="2" s="1"/>
  <c r="E126" i="2"/>
  <c r="E127" i="2" s="1"/>
  <c r="E118" i="2" s="1"/>
  <c r="F124" i="2"/>
  <c r="G124" i="2"/>
  <c r="H124" i="2"/>
  <c r="J124" i="2"/>
  <c r="J126" i="2" s="1"/>
  <c r="J127" i="2" s="1"/>
  <c r="J118" i="2" s="1"/>
  <c r="K124" i="2"/>
  <c r="L124" i="2"/>
  <c r="M124" i="2"/>
  <c r="O124" i="2"/>
  <c r="P124" i="2"/>
  <c r="Q124" i="2"/>
  <c r="R124" i="2"/>
  <c r="R126" i="2" s="1"/>
  <c r="R127" i="2" s="1"/>
  <c r="R118" i="2" s="1"/>
  <c r="T124" i="2"/>
  <c r="Y124" i="2"/>
  <c r="AD124" i="2"/>
  <c r="AI124" i="2"/>
  <c r="AN124" i="2"/>
  <c r="AS124" i="2"/>
  <c r="AX124" i="2"/>
  <c r="BC124" i="2"/>
  <c r="BH124" i="2"/>
  <c r="BM124" i="2"/>
  <c r="BQ124" i="2"/>
  <c r="BW124" i="2"/>
  <c r="I125" i="2"/>
  <c r="H125" i="2" s="1"/>
  <c r="K125" i="2"/>
  <c r="L125" i="2"/>
  <c r="M125" i="2"/>
  <c r="N125" i="2"/>
  <c r="T125" i="2"/>
  <c r="H36" i="9" s="1"/>
  <c r="X125" i="2"/>
  <c r="X126" i="2" s="1"/>
  <c r="X127" i="2" s="1"/>
  <c r="X118" i="2" s="1"/>
  <c r="AD125" i="2"/>
  <c r="J36" i="9" s="1"/>
  <c r="AI125" i="2"/>
  <c r="K36" i="9" s="1"/>
  <c r="AN125" i="2"/>
  <c r="L36" i="9" s="1"/>
  <c r="AS125" i="2"/>
  <c r="M36" i="9" s="1"/>
  <c r="AT126" i="2"/>
  <c r="AT127" i="2" s="1"/>
  <c r="AT118" i="2" s="1"/>
  <c r="AU126" i="2"/>
  <c r="AU127" i="2" s="1"/>
  <c r="AU118" i="2" s="1"/>
  <c r="AV126" i="2"/>
  <c r="AV127" i="2" s="1"/>
  <c r="AV118" i="2" s="1"/>
  <c r="AW126" i="2"/>
  <c r="AW127" i="2" s="1"/>
  <c r="AW118" i="2" s="1"/>
  <c r="AY126" i="2"/>
  <c r="AY127" i="2" s="1"/>
  <c r="AY118" i="2" s="1"/>
  <c r="AZ126" i="2"/>
  <c r="AZ127" i="2" s="1"/>
  <c r="AZ118" i="2" s="1"/>
  <c r="BA126" i="2"/>
  <c r="BA127" i="2" s="1"/>
  <c r="BA118" i="2" s="1"/>
  <c r="BB126" i="2"/>
  <c r="BB127" i="2" s="1"/>
  <c r="BB118" i="2" s="1"/>
  <c r="BD126" i="2"/>
  <c r="BD127" i="2" s="1"/>
  <c r="BD118" i="2" s="1"/>
  <c r="BE126" i="2"/>
  <c r="BE127" i="2" s="1"/>
  <c r="BE118" i="2" s="1"/>
  <c r="BF126" i="2"/>
  <c r="BF127" i="2" s="1"/>
  <c r="BF118" i="2" s="1"/>
  <c r="BG126" i="2"/>
  <c r="BG127" i="2" s="1"/>
  <c r="BG118" i="2" s="1"/>
  <c r="BI126" i="2"/>
  <c r="BI127" i="2" s="1"/>
  <c r="BI118" i="2" s="1"/>
  <c r="BJ126" i="2"/>
  <c r="BJ127" i="2" s="1"/>
  <c r="BJ118" i="2" s="1"/>
  <c r="BK126" i="2"/>
  <c r="BK127" i="2" s="1"/>
  <c r="BK118" i="2" s="1"/>
  <c r="BL126" i="2"/>
  <c r="BL127" i="2" s="1"/>
  <c r="BL118" i="2" s="1"/>
  <c r="BN126" i="2"/>
  <c r="BN127" i="2" s="1"/>
  <c r="BN118" i="2" s="1"/>
  <c r="BO126" i="2"/>
  <c r="BO127" i="2" s="1"/>
  <c r="BO118" i="2" s="1"/>
  <c r="BP126" i="2"/>
  <c r="BP127" i="2" s="1"/>
  <c r="BP118" i="2" s="1"/>
  <c r="BS126" i="2"/>
  <c r="BS127" i="2" s="1"/>
  <c r="BS118" i="2" s="1"/>
  <c r="BT126" i="2"/>
  <c r="BT127" i="2" s="1"/>
  <c r="BT118" i="2" s="1"/>
  <c r="BU126" i="2"/>
  <c r="BU127" i="2" s="1"/>
  <c r="BU118" i="2" s="1"/>
  <c r="BV126" i="2"/>
  <c r="BV127" i="2" s="1"/>
  <c r="BV118" i="2" s="1"/>
  <c r="BX126" i="2"/>
  <c r="BX127" i="2" s="1"/>
  <c r="BY126" i="2"/>
  <c r="BY127" i="2" s="1"/>
  <c r="BY118" i="2" s="1"/>
  <c r="BZ126" i="2"/>
  <c r="BZ127" i="2" s="1"/>
  <c r="BZ118" i="2" s="1"/>
  <c r="U126" i="2"/>
  <c r="U127" i="2" s="1"/>
  <c r="U118" i="2" s="1"/>
  <c r="V126" i="2"/>
  <c r="V127" i="2" s="1"/>
  <c r="V118" i="2" s="1"/>
  <c r="W126" i="2"/>
  <c r="W127" i="2" s="1"/>
  <c r="W118" i="2" s="1"/>
  <c r="Z126" i="2"/>
  <c r="Z127" i="2" s="1"/>
  <c r="Z118" i="2" s="1"/>
  <c r="AA126" i="2"/>
  <c r="AA127" i="2" s="1"/>
  <c r="AA118" i="2" s="1"/>
  <c r="AB126" i="2"/>
  <c r="AB127" i="2" s="1"/>
  <c r="AB118" i="2" s="1"/>
  <c r="AC126" i="2"/>
  <c r="AC127" i="2" s="1"/>
  <c r="AC118" i="2" s="1"/>
  <c r="AE126" i="2"/>
  <c r="AE127" i="2" s="1"/>
  <c r="AE118" i="2" s="1"/>
  <c r="AF126" i="2"/>
  <c r="AF127" i="2" s="1"/>
  <c r="AF118" i="2" s="1"/>
  <c r="AG126" i="2"/>
  <c r="AG127" i="2" s="1"/>
  <c r="AG118" i="2" s="1"/>
  <c r="AH126" i="2"/>
  <c r="AH127" i="2" s="1"/>
  <c r="AH118" i="2" s="1"/>
  <c r="AJ126" i="2"/>
  <c r="AJ127" i="2" s="1"/>
  <c r="AJ118" i="2" s="1"/>
  <c r="AK126" i="2"/>
  <c r="AK127" i="2" s="1"/>
  <c r="AK118" i="2" s="1"/>
  <c r="AL126" i="2"/>
  <c r="AL127" i="2" s="1"/>
  <c r="AL118" i="2" s="1"/>
  <c r="AM126" i="2"/>
  <c r="AM127" i="2" s="1"/>
  <c r="AM118" i="2" s="1"/>
  <c r="AO126" i="2"/>
  <c r="AO127" i="2" s="1"/>
  <c r="AO118" i="2" s="1"/>
  <c r="AP126" i="2"/>
  <c r="AP127" i="2" s="1"/>
  <c r="AP118" i="2" s="1"/>
  <c r="AQ126" i="2"/>
  <c r="AQ127" i="2" s="1"/>
  <c r="AQ118" i="2" s="1"/>
  <c r="AR126" i="2"/>
  <c r="AR127" i="2" s="1"/>
  <c r="AR118" i="2" s="1"/>
  <c r="D114" i="2"/>
  <c r="F113" i="2"/>
  <c r="F115" i="2" s="1"/>
  <c r="G113" i="2"/>
  <c r="H113" i="2"/>
  <c r="H115" i="2" s="1"/>
  <c r="J113" i="2"/>
  <c r="J115" i="2" s="1"/>
  <c r="K113" i="2"/>
  <c r="L113" i="2"/>
  <c r="L115" i="2" s="1"/>
  <c r="M113" i="2"/>
  <c r="O113" i="2"/>
  <c r="P113" i="2"/>
  <c r="Q113" i="2"/>
  <c r="R113" i="2"/>
  <c r="R115" i="2" s="1"/>
  <c r="T113" i="2"/>
  <c r="T115" i="2" s="1"/>
  <c r="X113" i="2"/>
  <c r="AD113" i="2"/>
  <c r="BQ113" i="2"/>
  <c r="BQ115" i="2" s="1"/>
  <c r="I116" i="2"/>
  <c r="N116" i="2"/>
  <c r="S116" i="2"/>
  <c r="S196" i="2" s="1"/>
  <c r="D115" i="2"/>
  <c r="U115" i="2"/>
  <c r="U114" i="2" s="1"/>
  <c r="V115" i="2"/>
  <c r="V114" i="2" s="1"/>
  <c r="W115" i="2"/>
  <c r="W114" i="2" s="1"/>
  <c r="Z115" i="2"/>
  <c r="Z114" i="2" s="1"/>
  <c r="AA115" i="2"/>
  <c r="AA114" i="2" s="1"/>
  <c r="AB115" i="2"/>
  <c r="AB114" i="2" s="1"/>
  <c r="AC115" i="2"/>
  <c r="AC114" i="2" s="1"/>
  <c r="AE115" i="2"/>
  <c r="AE114" i="2" s="1"/>
  <c r="AF115" i="2"/>
  <c r="AF114" i="2" s="1"/>
  <c r="AG115" i="2"/>
  <c r="AG114" i="2" s="1"/>
  <c r="AH115" i="2"/>
  <c r="AH114" i="2" s="1"/>
  <c r="AJ115" i="2"/>
  <c r="AJ114" i="2" s="1"/>
  <c r="AK115" i="2"/>
  <c r="AK114" i="2" s="1"/>
  <c r="AL115" i="2"/>
  <c r="AL114" i="2" s="1"/>
  <c r="AM115" i="2"/>
  <c r="AM114" i="2" s="1"/>
  <c r="AO115" i="2"/>
  <c r="AO114" i="2" s="1"/>
  <c r="AP115" i="2"/>
  <c r="AP114" i="2" s="1"/>
  <c r="AQ115" i="2"/>
  <c r="AQ114" i="2" s="1"/>
  <c r="AR115" i="2"/>
  <c r="AR114" i="2" s="1"/>
  <c r="AT115" i="2"/>
  <c r="AT114" i="2" s="1"/>
  <c r="AU115" i="2"/>
  <c r="AU114" i="2" s="1"/>
  <c r="AV115" i="2"/>
  <c r="AV114" i="2" s="1"/>
  <c r="AW115" i="2"/>
  <c r="AW114" i="2" s="1"/>
  <c r="AY115" i="2"/>
  <c r="AY114" i="2" s="1"/>
  <c r="AZ115" i="2"/>
  <c r="AZ114" i="2" s="1"/>
  <c r="BA115" i="2"/>
  <c r="BA114" i="2" s="1"/>
  <c r="BB115" i="2"/>
  <c r="BB114" i="2" s="1"/>
  <c r="BD115" i="2"/>
  <c r="BD114" i="2" s="1"/>
  <c r="BE115" i="2"/>
  <c r="BE114" i="2" s="1"/>
  <c r="BF115" i="2"/>
  <c r="BF114" i="2" s="1"/>
  <c r="BG115" i="2"/>
  <c r="BG114" i="2" s="1"/>
  <c r="BI115" i="2"/>
  <c r="BI114" i="2" s="1"/>
  <c r="BJ115" i="2"/>
  <c r="BJ114" i="2" s="1"/>
  <c r="BK115" i="2"/>
  <c r="BK114" i="2" s="1"/>
  <c r="BL115" i="2"/>
  <c r="BL114" i="2" s="1"/>
  <c r="BN115" i="2"/>
  <c r="BN114" i="2" s="1"/>
  <c r="BO115" i="2"/>
  <c r="BO114" i="2" s="1"/>
  <c r="BP115" i="2"/>
  <c r="BP114" i="2" s="1"/>
  <c r="BS115" i="2"/>
  <c r="BS114" i="2" s="1"/>
  <c r="BT115" i="2"/>
  <c r="BT114" i="2" s="1"/>
  <c r="BU115" i="2"/>
  <c r="BU114" i="2" s="1"/>
  <c r="BV115" i="2"/>
  <c r="BV114" i="2" s="1"/>
  <c r="BX115" i="2"/>
  <c r="BX114" i="2" s="1"/>
  <c r="BY115" i="2"/>
  <c r="BY114" i="2" s="1"/>
  <c r="BZ115" i="2"/>
  <c r="BZ114" i="2" s="1"/>
  <c r="CE115" i="2"/>
  <c r="CD115" i="2" s="1"/>
  <c r="CC115" i="2" s="1"/>
  <c r="CF115" i="2" s="1"/>
  <c r="CJ115" i="2"/>
  <c r="CI115" i="2" s="1"/>
  <c r="CH115" i="2" s="1"/>
  <c r="CK115" i="2" s="1"/>
  <c r="CO115" i="2"/>
  <c r="CN115" i="2" s="1"/>
  <c r="CM115" i="2" s="1"/>
  <c r="CP115" i="2" s="1"/>
  <c r="D98" i="2"/>
  <c r="E98" i="2"/>
  <c r="F98" i="2"/>
  <c r="F108" i="2" s="1"/>
  <c r="G98" i="2"/>
  <c r="G108" i="2" s="1"/>
  <c r="H98" i="2"/>
  <c r="H108" i="2" s="1"/>
  <c r="I98" i="2"/>
  <c r="I108" i="2" s="1"/>
  <c r="J98" i="2"/>
  <c r="J108" i="2" s="1"/>
  <c r="K98" i="2"/>
  <c r="L98" i="2"/>
  <c r="M98" i="2"/>
  <c r="N98" i="2"/>
  <c r="O98" i="2"/>
  <c r="P98" i="2"/>
  <c r="Q98" i="2"/>
  <c r="R98" i="2"/>
  <c r="S98" i="2"/>
  <c r="T98" i="2"/>
  <c r="U98" i="2"/>
  <c r="V98" i="2"/>
  <c r="W98" i="2"/>
  <c r="X98" i="2"/>
  <c r="Z98" i="2"/>
  <c r="AA98" i="2"/>
  <c r="AB98" i="2"/>
  <c r="AB99" i="2" s="1"/>
  <c r="AC98" i="2"/>
  <c r="AC99" i="2" s="1"/>
  <c r="AE98" i="2"/>
  <c r="AE99" i="2" s="1"/>
  <c r="AF98" i="2"/>
  <c r="AF99" i="2" s="1"/>
  <c r="AG98" i="2"/>
  <c r="AG99" i="2" s="1"/>
  <c r="AH98" i="2"/>
  <c r="AH99" i="2" s="1"/>
  <c r="AJ98" i="2"/>
  <c r="AJ99" i="2" s="1"/>
  <c r="AK98" i="2"/>
  <c r="AK99" i="2" s="1"/>
  <c r="AL98" i="2"/>
  <c r="AL99" i="2" s="1"/>
  <c r="AM98" i="2"/>
  <c r="AM99" i="2" s="1"/>
  <c r="AO98" i="2"/>
  <c r="AO99" i="2" s="1"/>
  <c r="AP98" i="2"/>
  <c r="AP99" i="2" s="1"/>
  <c r="AQ98" i="2"/>
  <c r="AQ99" i="2" s="1"/>
  <c r="AR98" i="2"/>
  <c r="AR99" i="2" s="1"/>
  <c r="AT98" i="2"/>
  <c r="AT99" i="2" s="1"/>
  <c r="AU98" i="2"/>
  <c r="AU99" i="2" s="1"/>
  <c r="AV98" i="2"/>
  <c r="AV99" i="2" s="1"/>
  <c r="AW98" i="2"/>
  <c r="AW99" i="2" s="1"/>
  <c r="AY98" i="2"/>
  <c r="AY99" i="2" s="1"/>
  <c r="AZ98" i="2"/>
  <c r="AZ99" i="2" s="1"/>
  <c r="BA98" i="2"/>
  <c r="BA99" i="2" s="1"/>
  <c r="BB98" i="2"/>
  <c r="BB99" i="2" s="1"/>
  <c r="BD98" i="2"/>
  <c r="BD99" i="2" s="1"/>
  <c r="BE98" i="2"/>
  <c r="BE99" i="2" s="1"/>
  <c r="BF98" i="2"/>
  <c r="BF99" i="2" s="1"/>
  <c r="BG98" i="2"/>
  <c r="BG99" i="2" s="1"/>
  <c r="BI98" i="2"/>
  <c r="BI99" i="2" s="1"/>
  <c r="BJ98" i="2"/>
  <c r="BJ99" i="2" s="1"/>
  <c r="BK98" i="2"/>
  <c r="BK99" i="2" s="1"/>
  <c r="BL98" i="2"/>
  <c r="BL99" i="2" s="1"/>
  <c r="BN98" i="2"/>
  <c r="BN99" i="2" s="1"/>
  <c r="BO98" i="2"/>
  <c r="BO99" i="2" s="1"/>
  <c r="BP98" i="2"/>
  <c r="BP99" i="2" s="1"/>
  <c r="BQ98" i="2"/>
  <c r="BQ99" i="2" s="1"/>
  <c r="BS98" i="2"/>
  <c r="BS99" i="2" s="1"/>
  <c r="BT98" i="2"/>
  <c r="BT99" i="2" s="1"/>
  <c r="BU98" i="2"/>
  <c r="BU99" i="2" s="1"/>
  <c r="BV98" i="2"/>
  <c r="BV99" i="2" s="1"/>
  <c r="BX98" i="2"/>
  <c r="BX99" i="2" s="1"/>
  <c r="BY98" i="2"/>
  <c r="BY99" i="2" s="1"/>
  <c r="BZ98" i="2"/>
  <c r="BZ99" i="2" s="1"/>
  <c r="F110" i="2"/>
  <c r="F111" i="2" s="1"/>
  <c r="G110" i="2"/>
  <c r="H110" i="2"/>
  <c r="H111" i="2" s="1"/>
  <c r="I110" i="2"/>
  <c r="I111" i="2" s="1"/>
  <c r="K110" i="2"/>
  <c r="K111" i="2" s="1"/>
  <c r="L110" i="2"/>
  <c r="L111" i="2" s="1"/>
  <c r="M110" i="2"/>
  <c r="M111" i="2" s="1"/>
  <c r="N110" i="2"/>
  <c r="N111" i="2" s="1"/>
  <c r="P110" i="2"/>
  <c r="P111" i="2" s="1"/>
  <c r="Q110" i="2"/>
  <c r="R110" i="2"/>
  <c r="R111" i="2" s="1"/>
  <c r="S110" i="2"/>
  <c r="S111" i="2" s="1"/>
  <c r="U110" i="2"/>
  <c r="U111" i="2" s="1"/>
  <c r="V110" i="2"/>
  <c r="W110" i="2"/>
  <c r="W111" i="2" s="1"/>
  <c r="X110" i="2"/>
  <c r="X111" i="2" s="1"/>
  <c r="Z110" i="2"/>
  <c r="Z111" i="2" s="1"/>
  <c r="AA110" i="2"/>
  <c r="AB110" i="2"/>
  <c r="AB111" i="2" s="1"/>
  <c r="AC110" i="2"/>
  <c r="AC111" i="2" s="1"/>
  <c r="AE110" i="2"/>
  <c r="AE111" i="2" s="1"/>
  <c r="AF110" i="2"/>
  <c r="AF111" i="2" s="1"/>
  <c r="AG110" i="2"/>
  <c r="AG111" i="2" s="1"/>
  <c r="AH110" i="2"/>
  <c r="AH111" i="2" s="1"/>
  <c r="AJ110" i="2"/>
  <c r="AJ111" i="2" s="1"/>
  <c r="AK110" i="2"/>
  <c r="AK111" i="2" s="1"/>
  <c r="AL110" i="2"/>
  <c r="AL111" i="2" s="1"/>
  <c r="AM110" i="2"/>
  <c r="AM111" i="2" s="1"/>
  <c r="AO110" i="2"/>
  <c r="AO111" i="2" s="1"/>
  <c r="AP110" i="2"/>
  <c r="AQ110" i="2"/>
  <c r="AQ111" i="2" s="1"/>
  <c r="AR110" i="2"/>
  <c r="AR111" i="2" s="1"/>
  <c r="AT110" i="2"/>
  <c r="AT111" i="2" s="1"/>
  <c r="AU110" i="2"/>
  <c r="AV110" i="2"/>
  <c r="AV111" i="2" s="1"/>
  <c r="AW110" i="2"/>
  <c r="AW111" i="2" s="1"/>
  <c r="AY110" i="2"/>
  <c r="AY111" i="2" s="1"/>
  <c r="AZ110" i="2"/>
  <c r="AZ111" i="2" s="1"/>
  <c r="BA110" i="2"/>
  <c r="BA111" i="2" s="1"/>
  <c r="BB110" i="2"/>
  <c r="BB111" i="2" s="1"/>
  <c r="BD110" i="2"/>
  <c r="BD111" i="2" s="1"/>
  <c r="BE110" i="2"/>
  <c r="BF110" i="2"/>
  <c r="BF111" i="2" s="1"/>
  <c r="BG110" i="2"/>
  <c r="BG111" i="2" s="1"/>
  <c r="BI110" i="2"/>
  <c r="BI111" i="2" s="1"/>
  <c r="BJ110" i="2"/>
  <c r="BN110" i="2"/>
  <c r="BN111" i="2" s="1"/>
  <c r="BO110" i="2"/>
  <c r="BP110" i="2"/>
  <c r="BP111" i="2" s="1"/>
  <c r="BQ110" i="2"/>
  <c r="BQ111" i="2" s="1"/>
  <c r="BS110" i="2"/>
  <c r="BS111" i="2" s="1"/>
  <c r="BT110" i="2"/>
  <c r="BT111" i="2" s="1"/>
  <c r="BU110" i="2"/>
  <c r="BU111" i="2" s="1"/>
  <c r="BV110" i="2"/>
  <c r="BV111" i="2" s="1"/>
  <c r="BX110" i="2"/>
  <c r="BX111" i="2" s="1"/>
  <c r="BY110" i="2"/>
  <c r="BZ110" i="2"/>
  <c r="BZ111" i="2" s="1"/>
  <c r="CC110" i="2"/>
  <c r="CD110" i="2"/>
  <c r="CE110" i="2"/>
  <c r="CF110" i="2"/>
  <c r="CH110" i="2"/>
  <c r="CI110" i="2"/>
  <c r="CJ110" i="2"/>
  <c r="CK110" i="2"/>
  <c r="CM110" i="2"/>
  <c r="CN110" i="2"/>
  <c r="CO110" i="2"/>
  <c r="CP110" i="2"/>
  <c r="D111" i="2"/>
  <c r="E111" i="2"/>
  <c r="BK111" i="2"/>
  <c r="BL111" i="2"/>
  <c r="I129" i="2"/>
  <c r="N129" i="2"/>
  <c r="S129" i="2"/>
  <c r="Y129" i="2"/>
  <c r="AD129" i="2"/>
  <c r="AI129" i="2"/>
  <c r="AN129" i="2"/>
  <c r="AS129" i="2"/>
  <c r="AX129" i="2"/>
  <c r="BC129" i="2"/>
  <c r="BH129" i="2"/>
  <c r="BM129" i="2"/>
  <c r="BR129" i="2"/>
  <c r="BW129" i="2"/>
  <c r="CE129" i="2"/>
  <c r="CD129" i="2" s="1"/>
  <c r="CJ129" i="2"/>
  <c r="CI129" i="2" s="1"/>
  <c r="CO129" i="2"/>
  <c r="CN129" i="2" s="1"/>
  <c r="I4" i="2"/>
  <c r="H4" i="2"/>
  <c r="G4" i="2"/>
  <c r="F4" i="2"/>
  <c r="E4" i="2"/>
  <c r="D4" i="2"/>
  <c r="E92" i="2" l="1"/>
  <c r="E133" i="9"/>
  <c r="BR116" i="2"/>
  <c r="R135" i="9"/>
  <c r="AX116" i="2"/>
  <c r="N135" i="9"/>
  <c r="AD116" i="2"/>
  <c r="J135" i="9"/>
  <c r="S133" i="9"/>
  <c r="Q133" i="9"/>
  <c r="CO214" i="2"/>
  <c r="CE214" i="2"/>
  <c r="S134" i="9"/>
  <c r="Q134" i="9"/>
  <c r="AI156" i="2"/>
  <c r="K134" i="9"/>
  <c r="Y156" i="2"/>
  <c r="I134" i="9"/>
  <c r="BW116" i="2"/>
  <c r="S135" i="9"/>
  <c r="BM116" i="2"/>
  <c r="Q135" i="9"/>
  <c r="AS116" i="2"/>
  <c r="M135" i="9"/>
  <c r="AI116" i="2"/>
  <c r="K135" i="9"/>
  <c r="Y116" i="2"/>
  <c r="I135" i="9"/>
  <c r="R133" i="9"/>
  <c r="CI178" i="2"/>
  <c r="CJ214" i="2"/>
  <c r="CA214" i="2"/>
  <c r="R134" i="9"/>
  <c r="AD156" i="2"/>
  <c r="J134" i="9"/>
  <c r="T156" i="2"/>
  <c r="H134" i="9"/>
  <c r="J156" i="2"/>
  <c r="F134" i="9"/>
  <c r="E195" i="2"/>
  <c r="E196" i="2" s="1"/>
  <c r="E134" i="9"/>
  <c r="BX176" i="2"/>
  <c r="G69" i="2"/>
  <c r="I69" i="2"/>
  <c r="J195" i="2"/>
  <c r="J196" i="2" s="1"/>
  <c r="AA33" i="2"/>
  <c r="AD219" i="2"/>
  <c r="AD195" i="2"/>
  <c r="BR219" i="2"/>
  <c r="BR195" i="2"/>
  <c r="BM51" i="2"/>
  <c r="BM195" i="2"/>
  <c r="BM219" i="2"/>
  <c r="AS195" i="2"/>
  <c r="AS219" i="2"/>
  <c r="Y46" i="2"/>
  <c r="Y195" i="2"/>
  <c r="Y219" i="2"/>
  <c r="BE33" i="2"/>
  <c r="BH195" i="2"/>
  <c r="BH219" i="2"/>
  <c r="AK33" i="2"/>
  <c r="AN195" i="2"/>
  <c r="AN219" i="2"/>
  <c r="T195" i="2"/>
  <c r="T196" i="2" s="1"/>
  <c r="T219" i="2"/>
  <c r="AU33" i="2"/>
  <c r="AX219" i="2"/>
  <c r="AX195" i="2"/>
  <c r="BW219" i="2"/>
  <c r="BW195" i="2"/>
  <c r="BC219" i="2"/>
  <c r="BC195" i="2"/>
  <c r="AI51" i="2"/>
  <c r="AI219" i="2"/>
  <c r="AI195" i="2"/>
  <c r="O92" i="2"/>
  <c r="O219" i="2"/>
  <c r="O195" i="2"/>
  <c r="O196" i="2" s="1"/>
  <c r="N155" i="2"/>
  <c r="O156" i="2"/>
  <c r="AN156" i="2"/>
  <c r="BH92" i="2"/>
  <c r="AN92" i="2"/>
  <c r="BM92" i="2"/>
  <c r="AS92" i="2"/>
  <c r="Y92" i="2"/>
  <c r="BX118" i="2"/>
  <c r="BR92" i="2"/>
  <c r="AX92" i="2"/>
  <c r="AD92" i="2"/>
  <c r="H69" i="2"/>
  <c r="BW92" i="2"/>
  <c r="BC92" i="2"/>
  <c r="AI92" i="2"/>
  <c r="X154" i="2"/>
  <c r="X153" i="2" s="1"/>
  <c r="Q33" i="2"/>
  <c r="T92" i="2"/>
  <c r="CD91" i="2"/>
  <c r="CC91" i="2" s="1"/>
  <c r="CN91" i="2"/>
  <c r="CM91" i="2" s="1"/>
  <c r="CI91" i="2"/>
  <c r="CH91" i="2" s="1"/>
  <c r="J44" i="2"/>
  <c r="J92" i="2"/>
  <c r="J46" i="2"/>
  <c r="J45" i="2" s="1"/>
  <c r="AX175" i="2"/>
  <c r="AX176" i="2" s="1"/>
  <c r="AX169" i="2" s="1"/>
  <c r="L45" i="2"/>
  <c r="BX87" i="2"/>
  <c r="BX73" i="2" s="1"/>
  <c r="AS126" i="2"/>
  <c r="AS127" i="2" s="1"/>
  <c r="M45" i="2"/>
  <c r="K45" i="2"/>
  <c r="BW51" i="2"/>
  <c r="BW82" i="2"/>
  <c r="BQ32" i="2"/>
  <c r="BR82" i="2"/>
  <c r="O46" i="2"/>
  <c r="O45" i="2" s="1"/>
  <c r="R50" i="2"/>
  <c r="R49" i="2" s="1"/>
  <c r="R46" i="2"/>
  <c r="R45" i="2" s="1"/>
  <c r="H50" i="2"/>
  <c r="H49" i="2" s="1"/>
  <c r="H46" i="2"/>
  <c r="H45" i="2" s="1"/>
  <c r="Q50" i="2"/>
  <c r="Q49" i="2" s="1"/>
  <c r="Q46" i="2"/>
  <c r="Q45" i="2" s="1"/>
  <c r="G50" i="2"/>
  <c r="G49" i="2" s="1"/>
  <c r="G46" i="2"/>
  <c r="G45" i="2" s="1"/>
  <c r="X50" i="2"/>
  <c r="Y50" i="2" s="1"/>
  <c r="X46" i="2"/>
  <c r="X45" i="2" s="1"/>
  <c r="F50" i="2"/>
  <c r="F49" i="2" s="1"/>
  <c r="F46" i="2"/>
  <c r="F45" i="2" s="1"/>
  <c r="T46" i="2"/>
  <c r="T45" i="2" s="1"/>
  <c r="G33" i="2"/>
  <c r="BW175" i="2"/>
  <c r="BW176" i="2" s="1"/>
  <c r="BW169" i="2" s="1"/>
  <c r="BC175" i="2"/>
  <c r="BC176" i="2" s="1"/>
  <c r="BC169" i="2" s="1"/>
  <c r="Y98" i="2"/>
  <c r="BH126" i="2"/>
  <c r="BH127" i="2" s="1"/>
  <c r="AI175" i="2"/>
  <c r="AI176" i="2" s="1"/>
  <c r="AI169" i="2" s="1"/>
  <c r="Y126" i="2"/>
  <c r="Y127" i="2" s="1"/>
  <c r="Y118" i="2" s="1"/>
  <c r="BI175" i="2"/>
  <c r="BI176" i="2" s="1"/>
  <c r="BI169" i="2" s="1"/>
  <c r="Y175" i="2"/>
  <c r="Y176" i="2" s="1"/>
  <c r="Y169" i="2" s="1"/>
  <c r="AV190" i="2"/>
  <c r="AV192" i="2" s="1"/>
  <c r="BQ154" i="2"/>
  <c r="BQ153" i="2" s="1"/>
  <c r="BR153" i="2" s="1"/>
  <c r="AD99" i="2"/>
  <c r="BH116" i="2"/>
  <c r="J176" i="2"/>
  <c r="J169" i="2" s="1"/>
  <c r="BH51" i="2"/>
  <c r="AN116" i="2"/>
  <c r="AN51" i="2"/>
  <c r="BM175" i="2"/>
  <c r="BM176" i="2" s="1"/>
  <c r="BM169" i="2" s="1"/>
  <c r="AN175" i="2"/>
  <c r="AN176" i="2" s="1"/>
  <c r="AN169" i="2" s="1"/>
  <c r="AX126" i="2"/>
  <c r="AX127" i="2" s="1"/>
  <c r="BR51" i="2"/>
  <c r="AD51" i="2"/>
  <c r="AX51" i="2"/>
  <c r="J50" i="2"/>
  <c r="J49" i="2" s="1"/>
  <c r="BH175" i="2"/>
  <c r="BH176" i="2" s="1"/>
  <c r="BH169" i="2" s="1"/>
  <c r="AV175" i="2"/>
  <c r="AV176" i="2" s="1"/>
  <c r="AV169" i="2" s="1"/>
  <c r="BC116" i="2"/>
  <c r="AD175" i="2"/>
  <c r="AD176" i="2" s="1"/>
  <c r="AD169" i="2" s="1"/>
  <c r="P154" i="2"/>
  <c r="P153" i="2" s="1"/>
  <c r="P175" i="2"/>
  <c r="P176" i="2" s="1"/>
  <c r="P169" i="2" s="1"/>
  <c r="K175" i="2"/>
  <c r="K176" i="2" s="1"/>
  <c r="K169" i="2" s="1"/>
  <c r="O126" i="2"/>
  <c r="O127" i="2" s="1"/>
  <c r="O118" i="2" s="1"/>
  <c r="Q126" i="2"/>
  <c r="Q127" i="2" s="1"/>
  <c r="Q118" i="2" s="1"/>
  <c r="L126" i="2"/>
  <c r="L127" i="2" s="1"/>
  <c r="L118" i="2" s="1"/>
  <c r="T110" i="2"/>
  <c r="T111" i="2" s="1"/>
  <c r="L50" i="2"/>
  <c r="L49" i="2" s="1"/>
  <c r="M50" i="2"/>
  <c r="M49" i="2" s="1"/>
  <c r="AN154" i="2"/>
  <c r="Q86" i="2"/>
  <c r="Q87" i="2" s="1"/>
  <c r="Q73" i="2" s="1"/>
  <c r="R175" i="2"/>
  <c r="R176" i="2" s="1"/>
  <c r="R169" i="2" s="1"/>
  <c r="M175" i="2"/>
  <c r="M176" i="2" s="1"/>
  <c r="M169" i="2" s="1"/>
  <c r="P50" i="2"/>
  <c r="P49" i="2" s="1"/>
  <c r="K50" i="2"/>
  <c r="K49" i="2" s="1"/>
  <c r="AU86" i="2"/>
  <c r="AU87" i="2" s="1"/>
  <c r="AU73" i="2" s="1"/>
  <c r="K86" i="2"/>
  <c r="K87" i="2" s="1"/>
  <c r="K73" i="2" s="1"/>
  <c r="J38" i="2"/>
  <c r="J37" i="2" s="1"/>
  <c r="AS175" i="2"/>
  <c r="AS176" i="2" s="1"/>
  <c r="AS169" i="2" s="1"/>
  <c r="AS190" i="2"/>
  <c r="AS192" i="2" s="1"/>
  <c r="X175" i="2"/>
  <c r="X176" i="2" s="1"/>
  <c r="X169" i="2" s="1"/>
  <c r="L175" i="2"/>
  <c r="H175" i="2"/>
  <c r="H176" i="2" s="1"/>
  <c r="H169" i="2" s="1"/>
  <c r="AX150" i="2"/>
  <c r="AX149" i="2" s="1"/>
  <c r="J150" i="2"/>
  <c r="J149" i="2" s="1"/>
  <c r="BP138" i="2"/>
  <c r="BF138" i="2"/>
  <c r="AV138" i="2"/>
  <c r="AJ139" i="2"/>
  <c r="Z139" i="2"/>
  <c r="P139" i="2"/>
  <c r="F139" i="2"/>
  <c r="J154" i="2"/>
  <c r="J153" i="2" s="1"/>
  <c r="BW126" i="2"/>
  <c r="BW127" i="2" s="1"/>
  <c r="BW118" i="2" s="1"/>
  <c r="BM126" i="2"/>
  <c r="BM127" i="2" s="1"/>
  <c r="BC126" i="2"/>
  <c r="BC127" i="2" s="1"/>
  <c r="Q111" i="2"/>
  <c r="AD98" i="2"/>
  <c r="AN115" i="2"/>
  <c r="AI126" i="2"/>
  <c r="AI127" i="2" s="1"/>
  <c r="BQ126" i="2"/>
  <c r="BQ127" i="2" s="1"/>
  <c r="BQ118" i="2" s="1"/>
  <c r="AJ71" i="2"/>
  <c r="P71" i="2"/>
  <c r="R86" i="2"/>
  <c r="R87" i="2" s="1"/>
  <c r="R73" i="2" s="1"/>
  <c r="P86" i="2"/>
  <c r="P87" i="2" s="1"/>
  <c r="P73" i="2" s="1"/>
  <c r="BC51" i="2"/>
  <c r="AS51" i="2"/>
  <c r="Y51" i="2"/>
  <c r="T154" i="2"/>
  <c r="T153" i="2" s="1"/>
  <c r="O50" i="2"/>
  <c r="BM38" i="2"/>
  <c r="BM37" i="2" s="1"/>
  <c r="BR173" i="2"/>
  <c r="BQ175" i="2"/>
  <c r="BQ176" i="2" s="1"/>
  <c r="BQ169" i="2" s="1"/>
  <c r="T175" i="2"/>
  <c r="T176" i="2" s="1"/>
  <c r="T169" i="2" s="1"/>
  <c r="Q175" i="2"/>
  <c r="Q176" i="2" s="1"/>
  <c r="Q169" i="2" s="1"/>
  <c r="O175" i="2"/>
  <c r="O176" i="2" s="1"/>
  <c r="O169" i="2" s="1"/>
  <c r="E175" i="2"/>
  <c r="E176" i="2" s="1"/>
  <c r="BC150" i="2"/>
  <c r="BC149" i="2" s="1"/>
  <c r="BH110" i="2"/>
  <c r="BH111" i="2" s="1"/>
  <c r="P126" i="2"/>
  <c r="P127" i="2" s="1"/>
  <c r="P118" i="2" s="1"/>
  <c r="AN126" i="2"/>
  <c r="AN127" i="2" s="1"/>
  <c r="AD126" i="2"/>
  <c r="AD127" i="2" s="1"/>
  <c r="AD118" i="2" s="1"/>
  <c r="T126" i="2"/>
  <c r="T127" i="2" s="1"/>
  <c r="T118" i="2" s="1"/>
  <c r="AI86" i="2"/>
  <c r="AI87" i="2" s="1"/>
  <c r="BR38" i="2"/>
  <c r="BR37" i="2" s="1"/>
  <c r="O164" i="2"/>
  <c r="BH154" i="2"/>
  <c r="BR150" i="2"/>
  <c r="BR149" i="2" s="1"/>
  <c r="AD150" i="2"/>
  <c r="AD149" i="2" s="1"/>
  <c r="BE111" i="2"/>
  <c r="CB110" i="2"/>
  <c r="BM110" i="2"/>
  <c r="BM111" i="2" s="1"/>
  <c r="BR98" i="2"/>
  <c r="X115" i="2"/>
  <c r="Y115" i="2" s="1"/>
  <c r="P115" i="2"/>
  <c r="P114" i="2" s="1"/>
  <c r="BR124" i="2"/>
  <c r="AN110" i="2"/>
  <c r="AN111" i="2" s="1"/>
  <c r="M126" i="2"/>
  <c r="M127" i="2" s="1"/>
  <c r="M118" i="2" s="1"/>
  <c r="K126" i="2"/>
  <c r="K127" i="2" s="1"/>
  <c r="K118" i="2" s="1"/>
  <c r="BR99" i="2"/>
  <c r="Z71" i="2"/>
  <c r="AS58" i="2"/>
  <c r="AR58" i="2" s="1"/>
  <c r="AX50" i="2"/>
  <c r="BQ86" i="2"/>
  <c r="BQ87" i="2" s="1"/>
  <c r="BQ73" i="2" s="1"/>
  <c r="O87" i="2"/>
  <c r="O73" i="2" s="1"/>
  <c r="J86" i="2"/>
  <c r="J87" i="2" s="1"/>
  <c r="J73" i="2" s="1"/>
  <c r="D86" i="2"/>
  <c r="D87" i="2" s="1"/>
  <c r="D73" i="2" s="1"/>
  <c r="AI38" i="2"/>
  <c r="AI37" i="2" s="1"/>
  <c r="T38" i="2"/>
  <c r="T37" i="2" s="1"/>
  <c r="BY33" i="2"/>
  <c r="AX38" i="2"/>
  <c r="AX37" i="2" s="1"/>
  <c r="AD164" i="2"/>
  <c r="CB154" i="2"/>
  <c r="BW150" i="2"/>
  <c r="BW149" i="2" s="1"/>
  <c r="AN150" i="2"/>
  <c r="AN149" i="2" s="1"/>
  <c r="AI150" i="2"/>
  <c r="AI149" i="2" s="1"/>
  <c r="BH150" i="2"/>
  <c r="BH149" i="2" s="1"/>
  <c r="T150" i="2"/>
  <c r="T149" i="2" s="1"/>
  <c r="BR110" i="2"/>
  <c r="BR111" i="2" s="1"/>
  <c r="AD110" i="2"/>
  <c r="AD111" i="2" s="1"/>
  <c r="AX99" i="2"/>
  <c r="AN99" i="2"/>
  <c r="AI99" i="2"/>
  <c r="BY111" i="2"/>
  <c r="CL110" i="2"/>
  <c r="AX110" i="2"/>
  <c r="AX111" i="2" s="1"/>
  <c r="J110" i="2"/>
  <c r="J111" i="2" s="1"/>
  <c r="AX98" i="2"/>
  <c r="AN98" i="2"/>
  <c r="AI98" i="2"/>
  <c r="H154" i="2"/>
  <c r="H153" i="2" s="1"/>
  <c r="AX154" i="2"/>
  <c r="AD154" i="2"/>
  <c r="BS176" i="2"/>
  <c r="BS169" i="2" s="1"/>
  <c r="G174" i="2"/>
  <c r="BM150" i="2"/>
  <c r="BM149" i="2" s="1"/>
  <c r="AS150" i="2"/>
  <c r="AS149" i="2" s="1"/>
  <c r="Y150" i="2"/>
  <c r="Y149" i="2" s="1"/>
  <c r="AO140" i="2"/>
  <c r="BH99" i="2"/>
  <c r="BH98" i="2"/>
  <c r="BH115" i="2"/>
  <c r="AJ70" i="2"/>
  <c r="Z70" i="2"/>
  <c r="P70" i="2"/>
  <c r="AH69" i="2"/>
  <c r="AF69" i="2"/>
  <c r="AE69" i="2"/>
  <c r="AB69" i="2"/>
  <c r="X69" i="2"/>
  <c r="V69" i="2"/>
  <c r="R69" i="2"/>
  <c r="N69" i="2"/>
  <c r="L69" i="2"/>
  <c r="BS68" i="2"/>
  <c r="AE68" i="2"/>
  <c r="AD50" i="2"/>
  <c r="BZ153" i="2"/>
  <c r="O150" i="2"/>
  <c r="O149" i="2" s="1"/>
  <c r="AT140" i="2"/>
  <c r="AJ140" i="2"/>
  <c r="AX153" i="2"/>
  <c r="AD153" i="2"/>
  <c r="AS110" i="2"/>
  <c r="AS111" i="2" s="1"/>
  <c r="Y110" i="2"/>
  <c r="Y111" i="2" s="1"/>
  <c r="BW98" i="2"/>
  <c r="BC98" i="2"/>
  <c r="BQ114" i="2"/>
  <c r="BR114" i="2" s="1"/>
  <c r="U69" i="2"/>
  <c r="BQ50" i="2"/>
  <c r="BR50" i="2" s="1"/>
  <c r="BL86" i="2"/>
  <c r="BL87" i="2" s="1"/>
  <c r="BL73" i="2" s="1"/>
  <c r="BG86" i="2"/>
  <c r="BG87" i="2" s="1"/>
  <c r="BG73" i="2" s="1"/>
  <c r="BE86" i="2"/>
  <c r="BE87" i="2" s="1"/>
  <c r="BE73" i="2" s="1"/>
  <c r="BA86" i="2"/>
  <c r="BA87" i="2" s="1"/>
  <c r="BA73" i="2" s="1"/>
  <c r="AT86" i="2"/>
  <c r="AT87" i="2" s="1"/>
  <c r="AT73" i="2" s="1"/>
  <c r="L86" i="2"/>
  <c r="L87" i="2" s="1"/>
  <c r="L73" i="2" s="1"/>
  <c r="Y84" i="2"/>
  <c r="X86" i="2"/>
  <c r="X87" i="2" s="1"/>
  <c r="X73" i="2" s="1"/>
  <c r="E86" i="2"/>
  <c r="E87" i="2" s="1"/>
  <c r="E73" i="2" s="1"/>
  <c r="Y38" i="2"/>
  <c r="Y37" i="2" s="1"/>
  <c r="CN178" i="2"/>
  <c r="CD178" i="2"/>
  <c r="CG110" i="2"/>
  <c r="BW99" i="2"/>
  <c r="BC99" i="2"/>
  <c r="AK49" i="2"/>
  <c r="AN50" i="2"/>
  <c r="T50" i="2"/>
  <c r="BJ86" i="2"/>
  <c r="BJ87" i="2" s="1"/>
  <c r="BJ73" i="2" s="1"/>
  <c r="AY86" i="2"/>
  <c r="AY87" i="2" s="1"/>
  <c r="AY73" i="2" s="1"/>
  <c r="AV86" i="2"/>
  <c r="AV87" i="2" s="1"/>
  <c r="AV73" i="2" s="1"/>
  <c r="H85" i="2"/>
  <c r="G85" i="2" s="1"/>
  <c r="BC38" i="2"/>
  <c r="BC37" i="2" s="1"/>
  <c r="BW154" i="2"/>
  <c r="BT153" i="2"/>
  <c r="BM153" i="2"/>
  <c r="BC154" i="2"/>
  <c r="AZ153" i="2"/>
  <c r="BC153" i="2" s="1"/>
  <c r="AS153" i="2"/>
  <c r="AI154" i="2"/>
  <c r="AF153" i="2"/>
  <c r="AI153" i="2" s="1"/>
  <c r="M154" i="2"/>
  <c r="M153" i="2" s="1"/>
  <c r="K154" i="2"/>
  <c r="K153" i="2" s="1"/>
  <c r="G154" i="2"/>
  <c r="G153" i="2" s="1"/>
  <c r="E154" i="2"/>
  <c r="E153" i="2" s="1"/>
  <c r="BO111" i="2"/>
  <c r="BJ111" i="2"/>
  <c r="AU111" i="2"/>
  <c r="AP111" i="2"/>
  <c r="AA111" i="2"/>
  <c r="V111" i="2"/>
  <c r="G111" i="2"/>
  <c r="CQ110" i="2"/>
  <c r="BW110" i="2"/>
  <c r="BW111" i="2" s="1"/>
  <c r="BC110" i="2"/>
  <c r="BC111" i="2" s="1"/>
  <c r="AI110" i="2"/>
  <c r="AI111" i="2" s="1"/>
  <c r="O110" i="2"/>
  <c r="O111" i="2" s="1"/>
  <c r="BM99" i="2"/>
  <c r="AS99" i="2"/>
  <c r="BM98" i="2"/>
  <c r="AS98" i="2"/>
  <c r="BR115" i="2"/>
  <c r="AX115" i="2"/>
  <c r="AD115" i="2"/>
  <c r="Q115" i="2"/>
  <c r="Q114" i="2" s="1"/>
  <c r="O115" i="2"/>
  <c r="O114" i="2" s="1"/>
  <c r="M115" i="2"/>
  <c r="M114" i="2" s="1"/>
  <c r="K115" i="2"/>
  <c r="K114" i="2" s="1"/>
  <c r="G115" i="2"/>
  <c r="G114" i="2" s="1"/>
  <c r="E115" i="2"/>
  <c r="E114" i="2" s="1"/>
  <c r="T114" i="2"/>
  <c r="R114" i="2"/>
  <c r="L114" i="2"/>
  <c r="J114" i="2"/>
  <c r="H114" i="2"/>
  <c r="F114" i="2"/>
  <c r="BZ71" i="2"/>
  <c r="BX71" i="2"/>
  <c r="BS71" i="2"/>
  <c r="BP71" i="2"/>
  <c r="BI71" i="2"/>
  <c r="BF71" i="2"/>
  <c r="BD71" i="2"/>
  <c r="AY71" i="2"/>
  <c r="AV71" i="2"/>
  <c r="AO71" i="2"/>
  <c r="AE71" i="2"/>
  <c r="U71" i="2"/>
  <c r="BE49" i="2"/>
  <c r="BH50" i="2"/>
  <c r="M86" i="2"/>
  <c r="M87" i="2" s="1"/>
  <c r="M73" i="2" s="1"/>
  <c r="BY86" i="2"/>
  <c r="BY87" i="2" s="1"/>
  <c r="BY73" i="2" s="1"/>
  <c r="BV86" i="2"/>
  <c r="BV87" i="2" s="1"/>
  <c r="BV73" i="2" s="1"/>
  <c r="BT86" i="2"/>
  <c r="BT87" i="2" s="1"/>
  <c r="BT73" i="2" s="1"/>
  <c r="BP86" i="2"/>
  <c r="BP87" i="2" s="1"/>
  <c r="BP73" i="2" s="1"/>
  <c r="BN86" i="2"/>
  <c r="BN87" i="2" s="1"/>
  <c r="BN73" i="2" s="1"/>
  <c r="BR84" i="2"/>
  <c r="AD86" i="2"/>
  <c r="AD87" i="2" s="1"/>
  <c r="BW38" i="2"/>
  <c r="BW37" i="2" s="1"/>
  <c r="AN38" i="2"/>
  <c r="AN37" i="2" s="1"/>
  <c r="O38" i="2"/>
  <c r="O37" i="2" s="1"/>
  <c r="E50" i="2"/>
  <c r="E49" i="2" s="1"/>
  <c r="BS33" i="2"/>
  <c r="BI33" i="2"/>
  <c r="BZ33" i="2"/>
  <c r="BX33" i="2"/>
  <c r="CH178" i="2"/>
  <c r="AN164" i="2"/>
  <c r="BH153" i="2"/>
  <c r="AN153" i="2"/>
  <c r="BG176" i="2"/>
  <c r="BG169" i="2" s="1"/>
  <c r="BE176" i="2"/>
  <c r="BE169" i="2" s="1"/>
  <c r="BA176" i="2"/>
  <c r="BA169" i="2" s="1"/>
  <c r="AY176" i="2"/>
  <c r="AY169" i="2" s="1"/>
  <c r="U176" i="2"/>
  <c r="U169" i="2" s="1"/>
  <c r="AF70" i="2"/>
  <c r="V70" i="2"/>
  <c r="AG69" i="2"/>
  <c r="AC69" i="2"/>
  <c r="AA69" i="2"/>
  <c r="W69" i="2"/>
  <c r="S69" i="2"/>
  <c r="Q69" i="2"/>
  <c r="M69" i="2"/>
  <c r="BO68" i="2"/>
  <c r="BE68" i="2"/>
  <c r="N51" i="2"/>
  <c r="BH38" i="2"/>
  <c r="BH37" i="2" s="1"/>
  <c r="AS38" i="2"/>
  <c r="AS37" i="2" s="1"/>
  <c r="AD38" i="2"/>
  <c r="AD37" i="2" s="1"/>
  <c r="BN33" i="2"/>
  <c r="CG154" i="2"/>
  <c r="BM154" i="2"/>
  <c r="AS154" i="2"/>
  <c r="Q154" i="2"/>
  <c r="Q153" i="2" s="1"/>
  <c r="O154" i="2"/>
  <c r="O153" i="2" s="1"/>
  <c r="BY135" i="2"/>
  <c r="BX135" i="2"/>
  <c r="BZ135" i="2"/>
  <c r="BX136" i="2"/>
  <c r="BZ136" i="2"/>
  <c r="BX137" i="2"/>
  <c r="BZ137" i="2"/>
  <c r="BY136" i="2"/>
  <c r="BY137" i="2"/>
  <c r="BJ135" i="2"/>
  <c r="BL135" i="2"/>
  <c r="BI135" i="2"/>
  <c r="BK135" i="2"/>
  <c r="BI136" i="2"/>
  <c r="BK136" i="2"/>
  <c r="BI137" i="2"/>
  <c r="BK137" i="2"/>
  <c r="BJ136" i="2"/>
  <c r="BL136" i="2"/>
  <c r="BJ137" i="2"/>
  <c r="BL137" i="2"/>
  <c r="BJ138" i="2"/>
  <c r="BL138" i="2"/>
  <c r="AZ135" i="2"/>
  <c r="BB135" i="2"/>
  <c r="AY135" i="2"/>
  <c r="BA135" i="2"/>
  <c r="AY136" i="2"/>
  <c r="BA136" i="2"/>
  <c r="AY137" i="2"/>
  <c r="BA137" i="2"/>
  <c r="AZ136" i="2"/>
  <c r="BB136" i="2"/>
  <c r="AZ137" i="2"/>
  <c r="BB137" i="2"/>
  <c r="AZ138" i="2"/>
  <c r="BB138" i="2"/>
  <c r="AP135" i="2"/>
  <c r="AR135" i="2"/>
  <c r="AO135" i="2"/>
  <c r="AQ135" i="2"/>
  <c r="AO136" i="2"/>
  <c r="AQ136" i="2"/>
  <c r="AO137" i="2"/>
  <c r="AQ137" i="2"/>
  <c r="AP136" i="2"/>
  <c r="AR136" i="2"/>
  <c r="AP137" i="2"/>
  <c r="AR137" i="2"/>
  <c r="AP138" i="2"/>
  <c r="AR138" i="2"/>
  <c r="AF135" i="2"/>
  <c r="AH135" i="2"/>
  <c r="AE135" i="2"/>
  <c r="AG135" i="2"/>
  <c r="AE136" i="2"/>
  <c r="AG136" i="2"/>
  <c r="AH136" i="2"/>
  <c r="AE137" i="2"/>
  <c r="AG137" i="2"/>
  <c r="AE138" i="2"/>
  <c r="AG138" i="2"/>
  <c r="AF136" i="2"/>
  <c r="AF137" i="2"/>
  <c r="AH137" i="2"/>
  <c r="AF138" i="2"/>
  <c r="AH138" i="2"/>
  <c r="V135" i="2"/>
  <c r="X135" i="2"/>
  <c r="U135" i="2"/>
  <c r="W135" i="2"/>
  <c r="U136" i="2"/>
  <c r="W136" i="2"/>
  <c r="X136" i="2"/>
  <c r="U137" i="2"/>
  <c r="W137" i="2"/>
  <c r="U138" i="2"/>
  <c r="W138" i="2"/>
  <c r="V136" i="2"/>
  <c r="V137" i="2"/>
  <c r="X137" i="2"/>
  <c r="V138" i="2"/>
  <c r="X138" i="2"/>
  <c r="L135" i="2"/>
  <c r="N135" i="2"/>
  <c r="K135" i="2"/>
  <c r="M135" i="2"/>
  <c r="K136" i="2"/>
  <c r="M136" i="2"/>
  <c r="N136" i="2"/>
  <c r="K137" i="2"/>
  <c r="M137" i="2"/>
  <c r="K138" i="2"/>
  <c r="M138" i="2"/>
  <c r="L136" i="2"/>
  <c r="L137" i="2"/>
  <c r="N137" i="2"/>
  <c r="L138" i="2"/>
  <c r="N138" i="2"/>
  <c r="I141" i="2"/>
  <c r="BY140" i="2"/>
  <c r="BV140" i="2"/>
  <c r="BT140" i="2"/>
  <c r="BQ140" i="2"/>
  <c r="BO140" i="2"/>
  <c r="BL140" i="2"/>
  <c r="BJ140" i="2"/>
  <c r="BG140" i="2"/>
  <c r="BE140" i="2"/>
  <c r="BB140" i="2"/>
  <c r="AZ140" i="2"/>
  <c r="AV140" i="2"/>
  <c r="AR140" i="2"/>
  <c r="AP140" i="2"/>
  <c r="AL140" i="2"/>
  <c r="AG140" i="2"/>
  <c r="AE140" i="2"/>
  <c r="AB140" i="2"/>
  <c r="Z140" i="2"/>
  <c r="W140" i="2"/>
  <c r="U140" i="2"/>
  <c r="R140" i="2"/>
  <c r="P140" i="2"/>
  <c r="M140" i="2"/>
  <c r="K140" i="2"/>
  <c r="H140" i="2"/>
  <c r="F140" i="2"/>
  <c r="BZ139" i="2"/>
  <c r="BX139" i="2"/>
  <c r="BU139" i="2"/>
  <c r="BS139" i="2"/>
  <c r="BP139" i="2"/>
  <c r="BN139" i="2"/>
  <c r="BK139" i="2"/>
  <c r="BI139" i="2"/>
  <c r="BF139" i="2"/>
  <c r="BD139" i="2"/>
  <c r="BA139" i="2"/>
  <c r="AY139" i="2"/>
  <c r="AV139" i="2"/>
  <c r="AT139" i="2"/>
  <c r="AQ139" i="2"/>
  <c r="AO139" i="2"/>
  <c r="AL139" i="2"/>
  <c r="AG139" i="2"/>
  <c r="AE139" i="2"/>
  <c r="AB139" i="2"/>
  <c r="W139" i="2"/>
  <c r="U139" i="2"/>
  <c r="R139" i="2"/>
  <c r="M139" i="2"/>
  <c r="K139" i="2"/>
  <c r="H139" i="2"/>
  <c r="BZ138" i="2"/>
  <c r="BX138" i="2"/>
  <c r="BU138" i="2"/>
  <c r="BS138" i="2"/>
  <c r="BK138" i="2"/>
  <c r="BA138" i="2"/>
  <c r="AQ138" i="2"/>
  <c r="BO135" i="2"/>
  <c r="BQ135" i="2"/>
  <c r="BT135" i="2"/>
  <c r="BV135" i="2"/>
  <c r="BN135" i="2"/>
  <c r="BP135" i="2"/>
  <c r="BS135" i="2"/>
  <c r="BU135" i="2"/>
  <c r="BN136" i="2"/>
  <c r="BP136" i="2"/>
  <c r="BS136" i="2"/>
  <c r="BU136" i="2"/>
  <c r="BN137" i="2"/>
  <c r="BP137" i="2"/>
  <c r="BS137" i="2"/>
  <c r="BU137" i="2"/>
  <c r="BO136" i="2"/>
  <c r="BQ136" i="2"/>
  <c r="BT136" i="2"/>
  <c r="BV136" i="2"/>
  <c r="BO137" i="2"/>
  <c r="BQ137" i="2"/>
  <c r="BT137" i="2"/>
  <c r="BV137" i="2"/>
  <c r="BO138" i="2"/>
  <c r="BE135" i="2"/>
  <c r="BG135" i="2"/>
  <c r="BD135" i="2"/>
  <c r="BF135" i="2"/>
  <c r="BD136" i="2"/>
  <c r="BF136" i="2"/>
  <c r="BD137" i="2"/>
  <c r="BF137" i="2"/>
  <c r="BE136" i="2"/>
  <c r="BG136" i="2"/>
  <c r="BE137" i="2"/>
  <c r="BG137" i="2"/>
  <c r="BE138" i="2"/>
  <c r="BG138" i="2"/>
  <c r="AU135" i="2"/>
  <c r="AW135" i="2"/>
  <c r="AT135" i="2"/>
  <c r="AV135" i="2"/>
  <c r="AT136" i="2"/>
  <c r="AV136" i="2"/>
  <c r="AT137" i="2"/>
  <c r="AV137" i="2"/>
  <c r="AU136" i="2"/>
  <c r="AW136" i="2"/>
  <c r="AU137" i="2"/>
  <c r="AW137" i="2"/>
  <c r="AU138" i="2"/>
  <c r="AW138" i="2"/>
  <c r="AK135" i="2"/>
  <c r="AM135" i="2"/>
  <c r="AJ135" i="2"/>
  <c r="AL135" i="2"/>
  <c r="AJ136" i="2"/>
  <c r="AL136" i="2"/>
  <c r="AM136" i="2"/>
  <c r="AJ137" i="2"/>
  <c r="AL137" i="2"/>
  <c r="AJ138" i="2"/>
  <c r="AL138" i="2"/>
  <c r="AK136" i="2"/>
  <c r="AK137" i="2"/>
  <c r="AM137" i="2"/>
  <c r="AK138" i="2"/>
  <c r="AM138" i="2"/>
  <c r="AA135" i="2"/>
  <c r="AC135" i="2"/>
  <c r="Z135" i="2"/>
  <c r="AB135" i="2"/>
  <c r="Z136" i="2"/>
  <c r="AB136" i="2"/>
  <c r="AC136" i="2"/>
  <c r="Z137" i="2"/>
  <c r="AB137" i="2"/>
  <c r="Z138" i="2"/>
  <c r="AB138" i="2"/>
  <c r="AA136" i="2"/>
  <c r="AA137" i="2"/>
  <c r="AC137" i="2"/>
  <c r="AA138" i="2"/>
  <c r="AC138" i="2"/>
  <c r="Q135" i="2"/>
  <c r="S135" i="2"/>
  <c r="P135" i="2"/>
  <c r="R135" i="2"/>
  <c r="P136" i="2"/>
  <c r="R136" i="2"/>
  <c r="S136" i="2"/>
  <c r="P137" i="2"/>
  <c r="R137" i="2"/>
  <c r="P138" i="2"/>
  <c r="R138" i="2"/>
  <c r="Q136" i="2"/>
  <c r="Q137" i="2"/>
  <c r="S137" i="2"/>
  <c r="Q138" i="2"/>
  <c r="S138" i="2"/>
  <c r="G135" i="2"/>
  <c r="F135" i="2"/>
  <c r="H135" i="2"/>
  <c r="F136" i="2"/>
  <c r="H136" i="2"/>
  <c r="F137" i="2"/>
  <c r="H137" i="2"/>
  <c r="F138" i="2"/>
  <c r="H138" i="2"/>
  <c r="G136" i="2"/>
  <c r="G137" i="2"/>
  <c r="G138" i="2"/>
  <c r="BZ140" i="2"/>
  <c r="BX140" i="2"/>
  <c r="BU140" i="2"/>
  <c r="BS140" i="2"/>
  <c r="BP140" i="2"/>
  <c r="BN140" i="2"/>
  <c r="BK140" i="2"/>
  <c r="BI140" i="2"/>
  <c r="BF140" i="2"/>
  <c r="BD140" i="2"/>
  <c r="BA140" i="2"/>
  <c r="AY140" i="2"/>
  <c r="AW140" i="2"/>
  <c r="AU140" i="2"/>
  <c r="AQ140" i="2"/>
  <c r="AM140" i="2"/>
  <c r="AK140" i="2"/>
  <c r="AH140" i="2"/>
  <c r="AF140" i="2"/>
  <c r="AC140" i="2"/>
  <c r="AA140" i="2"/>
  <c r="X140" i="2"/>
  <c r="V140" i="2"/>
  <c r="S140" i="2"/>
  <c r="Q140" i="2"/>
  <c r="N140" i="2"/>
  <c r="L140" i="2"/>
  <c r="G140" i="2"/>
  <c r="BY139" i="2"/>
  <c r="BV139" i="2"/>
  <c r="BT139" i="2"/>
  <c r="BQ139" i="2"/>
  <c r="BO139" i="2"/>
  <c r="BL139" i="2"/>
  <c r="BJ139" i="2"/>
  <c r="BG139" i="2"/>
  <c r="BE139" i="2"/>
  <c r="BB139" i="2"/>
  <c r="AZ139" i="2"/>
  <c r="AW139" i="2"/>
  <c r="AU139" i="2"/>
  <c r="AR139" i="2"/>
  <c r="AP139" i="2"/>
  <c r="AM139" i="2"/>
  <c r="AK139" i="2"/>
  <c r="AH139" i="2"/>
  <c r="AF139" i="2"/>
  <c r="AC139" i="2"/>
  <c r="AA139" i="2"/>
  <c r="X139" i="2"/>
  <c r="V139" i="2"/>
  <c r="S139" i="2"/>
  <c r="Q139" i="2"/>
  <c r="N139" i="2"/>
  <c r="L139" i="2"/>
  <c r="G139" i="2"/>
  <c r="BY138" i="2"/>
  <c r="BV138" i="2"/>
  <c r="BT138" i="2"/>
  <c r="BQ138" i="2"/>
  <c r="BN138" i="2"/>
  <c r="BI138" i="2"/>
  <c r="BD138" i="2"/>
  <c r="AY138" i="2"/>
  <c r="AT138" i="2"/>
  <c r="AO138" i="2"/>
  <c r="CH129" i="2"/>
  <c r="BM114" i="2"/>
  <c r="AX114" i="2"/>
  <c r="AS114" i="2"/>
  <c r="AD114" i="2"/>
  <c r="CM129" i="2"/>
  <c r="CC129" i="2"/>
  <c r="BW114" i="2"/>
  <c r="BH114" i="2"/>
  <c r="BC114" i="2"/>
  <c r="AN114" i="2"/>
  <c r="AI114" i="2"/>
  <c r="BW115" i="2"/>
  <c r="BM115" i="2"/>
  <c r="BC115" i="2"/>
  <c r="AS115" i="2"/>
  <c r="AI115" i="2"/>
  <c r="G125" i="2"/>
  <c r="H126" i="2"/>
  <c r="H89" i="2"/>
  <c r="CB85" i="2"/>
  <c r="BL68" i="2"/>
  <c r="BJ68" i="2"/>
  <c r="BK68" i="2"/>
  <c r="BF68" i="2"/>
  <c r="AB68" i="2"/>
  <c r="AC68" i="2"/>
  <c r="AA68" i="2"/>
  <c r="CN58" i="2"/>
  <c r="CO60" i="2" s="1"/>
  <c r="AL58" i="2"/>
  <c r="AC60" i="2"/>
  <c r="AA58" i="2"/>
  <c r="S60" i="2"/>
  <c r="Q58" i="2"/>
  <c r="I60" i="2"/>
  <c r="I67" i="2" s="1"/>
  <c r="G58" i="2"/>
  <c r="BW49" i="2"/>
  <c r="BC49" i="2"/>
  <c r="AI49" i="2"/>
  <c r="R89" i="2"/>
  <c r="AM85" i="2"/>
  <c r="AL85" i="2"/>
  <c r="BV68" i="2"/>
  <c r="BT68" i="2"/>
  <c r="BU68" i="2"/>
  <c r="BP68" i="2"/>
  <c r="BQ68" i="2"/>
  <c r="BB68" i="2"/>
  <c r="AZ68" i="2"/>
  <c r="BA68" i="2"/>
  <c r="AH60" i="2"/>
  <c r="AF58" i="2"/>
  <c r="X60" i="2"/>
  <c r="V58" i="2"/>
  <c r="N60" i="2"/>
  <c r="L58" i="2"/>
  <c r="BM49" i="2"/>
  <c r="AS49" i="2"/>
  <c r="J63" i="2"/>
  <c r="J62" i="2"/>
  <c r="J69" i="2" s="1"/>
  <c r="CB50" i="2"/>
  <c r="BW50" i="2"/>
  <c r="BM50" i="2"/>
  <c r="BC50" i="2"/>
  <c r="AS50" i="2"/>
  <c r="AI50" i="2"/>
  <c r="AX49" i="2"/>
  <c r="AD49" i="2"/>
  <c r="D49" i="2"/>
  <c r="BT29" i="2"/>
  <c r="BV29" i="2"/>
  <c r="BS29" i="2"/>
  <c r="BU29" i="2"/>
  <c r="BT30" i="2"/>
  <c r="BV30" i="2"/>
  <c r="BT31" i="2"/>
  <c r="BV31" i="2"/>
  <c r="BS30" i="2"/>
  <c r="BU30" i="2"/>
  <c r="BS31" i="2"/>
  <c r="BU31" i="2"/>
  <c r="BS32" i="2"/>
  <c r="BU32" i="2"/>
  <c r="BJ29" i="2"/>
  <c r="BL29" i="2"/>
  <c r="BI29" i="2"/>
  <c r="BK29" i="2"/>
  <c r="BJ30" i="2"/>
  <c r="BL30" i="2"/>
  <c r="BJ31" i="2"/>
  <c r="BL31" i="2"/>
  <c r="BJ32" i="2"/>
  <c r="BL32" i="2"/>
  <c r="BI30" i="2"/>
  <c r="BK30" i="2"/>
  <c r="BI31" i="2"/>
  <c r="BK31" i="2"/>
  <c r="BI32" i="2"/>
  <c r="BK32" i="2"/>
  <c r="AZ29" i="2"/>
  <c r="BB29" i="2"/>
  <c r="AY29" i="2"/>
  <c r="BA29" i="2"/>
  <c r="AZ30" i="2"/>
  <c r="BB30" i="2"/>
  <c r="AZ31" i="2"/>
  <c r="BB31" i="2"/>
  <c r="AZ32" i="2"/>
  <c r="BB32" i="2"/>
  <c r="AY30" i="2"/>
  <c r="BA30" i="2"/>
  <c r="AY31" i="2"/>
  <c r="BA31" i="2"/>
  <c r="AY32" i="2"/>
  <c r="BA32" i="2"/>
  <c r="AP29" i="2"/>
  <c r="AR29" i="2"/>
  <c r="AP30" i="2"/>
  <c r="AO29" i="2"/>
  <c r="AQ29" i="2"/>
  <c r="AO30" i="2"/>
  <c r="AR30" i="2"/>
  <c r="AP31" i="2"/>
  <c r="AR31" i="2"/>
  <c r="AP32" i="2"/>
  <c r="AR32" i="2"/>
  <c r="AQ30" i="2"/>
  <c r="AO31" i="2"/>
  <c r="AQ31" i="2"/>
  <c r="AO32" i="2"/>
  <c r="AQ32" i="2"/>
  <c r="V29" i="2"/>
  <c r="X29" i="2"/>
  <c r="V30" i="2"/>
  <c r="X30" i="2"/>
  <c r="U29" i="2"/>
  <c r="W29" i="2"/>
  <c r="U30" i="2"/>
  <c r="W30" i="2"/>
  <c r="V31" i="2"/>
  <c r="X31" i="2"/>
  <c r="V32" i="2"/>
  <c r="X32" i="2"/>
  <c r="U31" i="2"/>
  <c r="W31" i="2"/>
  <c r="U32" i="2"/>
  <c r="W32" i="2"/>
  <c r="L29" i="2"/>
  <c r="N29" i="2"/>
  <c r="L30" i="2"/>
  <c r="N30" i="2"/>
  <c r="K29" i="2"/>
  <c r="M29" i="2"/>
  <c r="K30" i="2"/>
  <c r="M30" i="2"/>
  <c r="L31" i="2"/>
  <c r="N31" i="2"/>
  <c r="L32" i="2"/>
  <c r="N32" i="2"/>
  <c r="K31" i="2"/>
  <c r="M31" i="2"/>
  <c r="K32" i="2"/>
  <c r="M32" i="2"/>
  <c r="BV33" i="2"/>
  <c r="BT33" i="2"/>
  <c r="BP33" i="2"/>
  <c r="BL33" i="2"/>
  <c r="BJ33" i="2"/>
  <c r="BG33" i="2"/>
  <c r="BB33" i="2"/>
  <c r="AZ33" i="2"/>
  <c r="AW33" i="2"/>
  <c r="AR33" i="2"/>
  <c r="AP33" i="2"/>
  <c r="AM33" i="2"/>
  <c r="AH33" i="2"/>
  <c r="AF33" i="2"/>
  <c r="AC33" i="2"/>
  <c r="X33" i="2"/>
  <c r="V33" i="2"/>
  <c r="S33" i="2"/>
  <c r="N33" i="2"/>
  <c r="L33" i="2"/>
  <c r="I33" i="2"/>
  <c r="BV32" i="2"/>
  <c r="BO29" i="2"/>
  <c r="BQ29" i="2"/>
  <c r="BN29" i="2"/>
  <c r="BP29" i="2"/>
  <c r="BO30" i="2"/>
  <c r="BQ30" i="2"/>
  <c r="BO31" i="2"/>
  <c r="BQ31" i="2"/>
  <c r="BO32" i="2"/>
  <c r="BN30" i="2"/>
  <c r="BP30" i="2"/>
  <c r="BN31" i="2"/>
  <c r="BP31" i="2"/>
  <c r="BN32" i="2"/>
  <c r="BP32" i="2"/>
  <c r="BE29" i="2"/>
  <c r="BG29" i="2"/>
  <c r="BD29" i="2"/>
  <c r="BF29" i="2"/>
  <c r="BE30" i="2"/>
  <c r="BG30" i="2"/>
  <c r="BE31" i="2"/>
  <c r="BG31" i="2"/>
  <c r="BE32" i="2"/>
  <c r="BG32" i="2"/>
  <c r="BD30" i="2"/>
  <c r="BF30" i="2"/>
  <c r="BD31" i="2"/>
  <c r="BF31" i="2"/>
  <c r="BD32" i="2"/>
  <c r="BF32" i="2"/>
  <c r="AU29" i="2"/>
  <c r="AW29" i="2"/>
  <c r="AT29" i="2"/>
  <c r="AV29" i="2"/>
  <c r="AU30" i="2"/>
  <c r="AW30" i="2"/>
  <c r="AU31" i="2"/>
  <c r="AW31" i="2"/>
  <c r="AU32" i="2"/>
  <c r="AW32" i="2"/>
  <c r="AT30" i="2"/>
  <c r="AV30" i="2"/>
  <c r="AT31" i="2"/>
  <c r="AV31" i="2"/>
  <c r="AT32" i="2"/>
  <c r="AV32" i="2"/>
  <c r="AK29" i="2"/>
  <c r="AM29" i="2"/>
  <c r="AK30" i="2"/>
  <c r="AM30" i="2"/>
  <c r="AJ29" i="2"/>
  <c r="AL29" i="2"/>
  <c r="AJ30" i="2"/>
  <c r="AL30" i="2"/>
  <c r="AK31" i="2"/>
  <c r="AM31" i="2"/>
  <c r="AK32" i="2"/>
  <c r="AM32" i="2"/>
  <c r="AJ31" i="2"/>
  <c r="AL31" i="2"/>
  <c r="AJ32" i="2"/>
  <c r="AL32" i="2"/>
  <c r="AA29" i="2"/>
  <c r="AC29" i="2"/>
  <c r="AF29" i="2"/>
  <c r="AH29" i="2"/>
  <c r="AA30" i="2"/>
  <c r="AC30" i="2"/>
  <c r="AF30" i="2"/>
  <c r="AH30" i="2"/>
  <c r="Z29" i="2"/>
  <c r="AB29" i="2"/>
  <c r="AE29" i="2"/>
  <c r="AG29" i="2"/>
  <c r="Z30" i="2"/>
  <c r="AB30" i="2"/>
  <c r="AE30" i="2"/>
  <c r="AG30" i="2"/>
  <c r="AA31" i="2"/>
  <c r="AC31" i="2"/>
  <c r="AF31" i="2"/>
  <c r="AH31" i="2"/>
  <c r="AA32" i="2"/>
  <c r="AC32" i="2"/>
  <c r="AF32" i="2"/>
  <c r="AH32" i="2"/>
  <c r="Z31" i="2"/>
  <c r="AB31" i="2"/>
  <c r="AE31" i="2"/>
  <c r="AG31" i="2"/>
  <c r="Z32" i="2"/>
  <c r="AB32" i="2"/>
  <c r="AE32" i="2"/>
  <c r="AG32" i="2"/>
  <c r="Q29" i="2"/>
  <c r="S29" i="2"/>
  <c r="Q30" i="2"/>
  <c r="S30" i="2"/>
  <c r="P29" i="2"/>
  <c r="R29" i="2"/>
  <c r="P30" i="2"/>
  <c r="R30" i="2"/>
  <c r="Q31" i="2"/>
  <c r="S31" i="2"/>
  <c r="Q32" i="2"/>
  <c r="S32" i="2"/>
  <c r="P31" i="2"/>
  <c r="R31" i="2"/>
  <c r="P32" i="2"/>
  <c r="R32" i="2"/>
  <c r="G29" i="2"/>
  <c r="I29" i="2"/>
  <c r="G30" i="2"/>
  <c r="I30" i="2"/>
  <c r="F29" i="2"/>
  <c r="H29" i="2"/>
  <c r="F30" i="2"/>
  <c r="H30" i="2"/>
  <c r="G31" i="2"/>
  <c r="I31" i="2"/>
  <c r="G32" i="2"/>
  <c r="I32" i="2"/>
  <c r="F31" i="2"/>
  <c r="H31" i="2"/>
  <c r="F32" i="2"/>
  <c r="H32" i="2"/>
  <c r="BU33" i="2"/>
  <c r="BQ33" i="2"/>
  <c r="BO33" i="2"/>
  <c r="BK33" i="2"/>
  <c r="BF33" i="2"/>
  <c r="BD33" i="2"/>
  <c r="BA33" i="2"/>
  <c r="AY33" i="2"/>
  <c r="AV33" i="2"/>
  <c r="AT33" i="2"/>
  <c r="AQ33" i="2"/>
  <c r="AO33" i="2"/>
  <c r="AL33" i="2"/>
  <c r="AJ33" i="2"/>
  <c r="AG33" i="2"/>
  <c r="AE33" i="2"/>
  <c r="AB33" i="2"/>
  <c r="Z33" i="2"/>
  <c r="W33" i="2"/>
  <c r="U33" i="2"/>
  <c r="R33" i="2"/>
  <c r="P33" i="2"/>
  <c r="M33" i="2"/>
  <c r="K33" i="2"/>
  <c r="H33" i="2"/>
  <c r="F33" i="2"/>
  <c r="BT32" i="2"/>
  <c r="AI118" i="2" l="1"/>
  <c r="AX118" i="2"/>
  <c r="AS118" i="2"/>
  <c r="CH214" i="2"/>
  <c r="CN214" i="2"/>
  <c r="AS196" i="2"/>
  <c r="BM118" i="2"/>
  <c r="BR196" i="2"/>
  <c r="CD214" i="2"/>
  <c r="CI214" i="2"/>
  <c r="N196" i="2"/>
  <c r="AD196" i="2"/>
  <c r="BX169" i="2"/>
  <c r="BH196" i="2"/>
  <c r="Y196" i="2"/>
  <c r="BC196" i="2"/>
  <c r="AX196" i="2"/>
  <c r="AN196" i="2"/>
  <c r="BW196" i="2"/>
  <c r="AI196" i="2"/>
  <c r="BM196" i="2"/>
  <c r="AI73" i="2"/>
  <c r="K156" i="2"/>
  <c r="U156" i="2"/>
  <c r="Q156" i="2"/>
  <c r="R156" i="2"/>
  <c r="AB156" i="2"/>
  <c r="AL156" i="2"/>
  <c r="N156" i="2"/>
  <c r="X156" i="2"/>
  <c r="AH156" i="2"/>
  <c r="AA156" i="2"/>
  <c r="P156" i="2"/>
  <c r="Z156" i="2"/>
  <c r="AJ156" i="2"/>
  <c r="L156" i="2"/>
  <c r="V156" i="2"/>
  <c r="AF156" i="2"/>
  <c r="AK156" i="2"/>
  <c r="AE156" i="2"/>
  <c r="S156" i="2"/>
  <c r="AC156" i="2"/>
  <c r="AM156" i="2"/>
  <c r="M156" i="2"/>
  <c r="W156" i="2"/>
  <c r="AG156" i="2"/>
  <c r="BC118" i="2"/>
  <c r="BH118" i="2"/>
  <c r="AN118" i="2"/>
  <c r="Y154" i="2"/>
  <c r="AL86" i="2"/>
  <c r="AL87" i="2" s="1"/>
  <c r="AL73" i="2" s="1"/>
  <c r="AM86" i="2"/>
  <c r="AM87" i="2" s="1"/>
  <c r="AM73" i="2" s="1"/>
  <c r="Y45" i="2"/>
  <c r="AD73" i="2"/>
  <c r="X49" i="2"/>
  <c r="Y49" i="2" s="1"/>
  <c r="AX58" i="2"/>
  <c r="BC58" i="2" s="1"/>
  <c r="AN49" i="2"/>
  <c r="G175" i="2"/>
  <c r="F174" i="2"/>
  <c r="F175" i="2" s="1"/>
  <c r="BR154" i="2"/>
  <c r="BR152" i="2" s="1"/>
  <c r="BW153" i="2"/>
  <c r="BH49" i="2"/>
  <c r="BQ49" i="2"/>
  <c r="X114" i="2"/>
  <c r="BR175" i="2"/>
  <c r="BR126" i="2"/>
  <c r="AS165" i="2"/>
  <c r="Y164" i="2"/>
  <c r="AI165" i="2"/>
  <c r="L176" i="2"/>
  <c r="L169" i="2" s="1"/>
  <c r="AI164" i="2"/>
  <c r="T164" i="2"/>
  <c r="Y69" i="2"/>
  <c r="O165" i="2"/>
  <c r="T165" i="2"/>
  <c r="Y165" i="2"/>
  <c r="I137" i="2"/>
  <c r="I140" i="2"/>
  <c r="I138" i="2"/>
  <c r="AI61" i="2"/>
  <c r="AI68" i="2" s="1"/>
  <c r="CL154" i="2"/>
  <c r="AN165" i="2"/>
  <c r="O62" i="2"/>
  <c r="O69" i="2" s="1"/>
  <c r="AI69" i="2"/>
  <c r="I139" i="2"/>
  <c r="I135" i="2"/>
  <c r="AD165" i="2"/>
  <c r="T63" i="2"/>
  <c r="T70" i="2" s="1"/>
  <c r="AN63" i="2"/>
  <c r="I136" i="2"/>
  <c r="BC152" i="2"/>
  <c r="AN152" i="2"/>
  <c r="CK178" i="2"/>
  <c r="Y153" i="2"/>
  <c r="BM152" i="2"/>
  <c r="K69" i="2"/>
  <c r="CC178" i="2"/>
  <c r="CC214" i="2" s="1"/>
  <c r="CM178" i="2"/>
  <c r="CM214" i="2" s="1"/>
  <c r="Y86" i="2"/>
  <c r="Y87" i="2" s="1"/>
  <c r="Y73" i="2" s="1"/>
  <c r="BH86" i="2"/>
  <c r="BH87" i="2" s="1"/>
  <c r="BH73" i="2" s="1"/>
  <c r="I155" i="2"/>
  <c r="AI152" i="2"/>
  <c r="BH152" i="2"/>
  <c r="AS164" i="2"/>
  <c r="BR86" i="2"/>
  <c r="BR87" i="2" s="1"/>
  <c r="BR73" i="2" s="1"/>
  <c r="BW86" i="2"/>
  <c r="BW87" i="2" s="1"/>
  <c r="BW73" i="2" s="1"/>
  <c r="AS152" i="2"/>
  <c r="BM86" i="2"/>
  <c r="BM87" i="2" s="1"/>
  <c r="BM73" i="2" s="1"/>
  <c r="AD152" i="2"/>
  <c r="AX152" i="2"/>
  <c r="F85" i="2"/>
  <c r="BM48" i="2"/>
  <c r="BM46" i="2" s="1"/>
  <c r="BM45" i="2" s="1"/>
  <c r="M60" i="2"/>
  <c r="K58" i="2"/>
  <c r="X67" i="2"/>
  <c r="AG60" i="2"/>
  <c r="AE58" i="2"/>
  <c r="BH61" i="2"/>
  <c r="BH68" i="2" s="1"/>
  <c r="BD68" i="2"/>
  <c r="N70" i="2"/>
  <c r="Y63" i="2"/>
  <c r="U70" i="2"/>
  <c r="AA70" i="2"/>
  <c r="AH70" i="2"/>
  <c r="BC48" i="2"/>
  <c r="BC46" i="2" s="1"/>
  <c r="BC45" i="2" s="1"/>
  <c r="R60" i="2"/>
  <c r="P58" i="2"/>
  <c r="AC67" i="2"/>
  <c r="AG68" i="2"/>
  <c r="P69" i="2"/>
  <c r="Z69" i="2"/>
  <c r="G89" i="2"/>
  <c r="CP91" i="2"/>
  <c r="AD48" i="2"/>
  <c r="AD46" i="2" s="1"/>
  <c r="AD45" i="2" s="1"/>
  <c r="AX48" i="2"/>
  <c r="AX46" i="2" s="1"/>
  <c r="AX45" i="2" s="1"/>
  <c r="AS48" i="2"/>
  <c r="AS46" i="2" s="1"/>
  <c r="AS45" i="2" s="1"/>
  <c r="N67" i="2"/>
  <c r="W60" i="2"/>
  <c r="U58" i="2"/>
  <c r="AH67" i="2"/>
  <c r="O63" i="2"/>
  <c r="K70" i="2"/>
  <c r="M70" i="2"/>
  <c r="Q70" i="2"/>
  <c r="S70" i="2"/>
  <c r="X70" i="2"/>
  <c r="AB70" i="2"/>
  <c r="AI63" i="2"/>
  <c r="AE70" i="2"/>
  <c r="AG70" i="2"/>
  <c r="AK70" i="2"/>
  <c r="AM70" i="2"/>
  <c r="AI48" i="2"/>
  <c r="AI46" i="2" s="1"/>
  <c r="AI45" i="2" s="1"/>
  <c r="BW48" i="2"/>
  <c r="BW46" i="2" s="1"/>
  <c r="BW45" i="2" s="1"/>
  <c r="H60" i="2"/>
  <c r="H67" i="2" s="1"/>
  <c r="F58" i="2"/>
  <c r="G60" i="2" s="1"/>
  <c r="S67" i="2"/>
  <c r="AB60" i="2"/>
  <c r="Z58" i="2"/>
  <c r="AQ58" i="2"/>
  <c r="CP67" i="2"/>
  <c r="AD61" i="2"/>
  <c r="AD68" i="2" s="1"/>
  <c r="Z68" i="2"/>
  <c r="AF68" i="2"/>
  <c r="AH68" i="2"/>
  <c r="G126" i="2"/>
  <c r="F125" i="2"/>
  <c r="CF91" i="2"/>
  <c r="AI113" i="2"/>
  <c r="AN113" i="2"/>
  <c r="BH113" i="2"/>
  <c r="BW113" i="2"/>
  <c r="AS113" i="2"/>
  <c r="BM113" i="2"/>
  <c r="L70" i="2"/>
  <c r="R70" i="2"/>
  <c r="W70" i="2"/>
  <c r="AC70" i="2"/>
  <c r="AL70" i="2"/>
  <c r="Q89" i="2"/>
  <c r="AM60" i="2"/>
  <c r="AK58" i="2"/>
  <c r="CM58" i="2"/>
  <c r="CN60" i="2" s="1"/>
  <c r="BG68" i="2"/>
  <c r="BR68" i="2"/>
  <c r="BN68" i="2"/>
  <c r="BW68" i="2"/>
  <c r="AD63" i="2"/>
  <c r="CK91" i="2"/>
  <c r="H127" i="2"/>
  <c r="H118" i="2" s="1"/>
  <c r="BC113" i="2"/>
  <c r="CF129" i="2"/>
  <c r="CP129" i="2"/>
  <c r="AX113" i="2"/>
  <c r="BR113" i="2"/>
  <c r="CK129" i="2"/>
  <c r="CK214" i="2" l="1"/>
  <c r="AH76" i="2"/>
  <c r="AH75" i="2"/>
  <c r="AC76" i="2"/>
  <c r="AC75" i="2"/>
  <c r="AN70" i="2"/>
  <c r="AN85" i="2"/>
  <c r="G176" i="2"/>
  <c r="G169" i="2" s="1"/>
  <c r="AN48" i="2"/>
  <c r="AW58" i="2"/>
  <c r="AV58" i="2" s="1"/>
  <c r="BR127" i="2"/>
  <c r="BR118" i="2" s="1"/>
  <c r="BR49" i="2"/>
  <c r="BR48" i="2" s="1"/>
  <c r="BR46" i="2" s="1"/>
  <c r="BR45" i="2" s="1"/>
  <c r="BW152" i="2"/>
  <c r="BH48" i="2"/>
  <c r="BR176" i="2"/>
  <c r="BR169" i="2" s="1"/>
  <c r="Y114" i="2"/>
  <c r="CQ154" i="2"/>
  <c r="F176" i="2"/>
  <c r="F169" i="2" s="1"/>
  <c r="CP178" i="2"/>
  <c r="CP214" i="2" s="1"/>
  <c r="CF178" i="2"/>
  <c r="CF214" i="2" s="1"/>
  <c r="CG214" i="2" s="1"/>
  <c r="AS189" i="2"/>
  <c r="J167" i="2"/>
  <c r="AD70" i="2"/>
  <c r="CN67" i="2"/>
  <c r="AL60" i="2"/>
  <c r="AJ58" i="2"/>
  <c r="G127" i="2"/>
  <c r="G118" i="2" s="1"/>
  <c r="AR60" i="2"/>
  <c r="AP58" i="2"/>
  <c r="AA60" i="2"/>
  <c r="Z60" i="2"/>
  <c r="J60" i="2"/>
  <c r="J67" i="2" s="1"/>
  <c r="G67" i="2"/>
  <c r="O70" i="2"/>
  <c r="V60" i="2"/>
  <c r="U60" i="2"/>
  <c r="AD69" i="2"/>
  <c r="BB58" i="2"/>
  <c r="BH58" i="2"/>
  <c r="R67" i="2"/>
  <c r="AG67" i="2"/>
  <c r="M67" i="2"/>
  <c r="BM68" i="2"/>
  <c r="BI68" i="2"/>
  <c r="CO67" i="2"/>
  <c r="AM67" i="2"/>
  <c r="P89" i="2"/>
  <c r="F126" i="2"/>
  <c r="AB67" i="2"/>
  <c r="AI70" i="2"/>
  <c r="W67" i="2"/>
  <c r="F89" i="2"/>
  <c r="T69" i="2"/>
  <c r="Q60" i="2"/>
  <c r="P60" i="2"/>
  <c r="Y70" i="2"/>
  <c r="AF60" i="2"/>
  <c r="AE60" i="2"/>
  <c r="L60" i="2"/>
  <c r="K60" i="2"/>
  <c r="CQ214" i="2" l="1"/>
  <c r="CL214" i="2"/>
  <c r="U63" i="9"/>
  <c r="AB76" i="2"/>
  <c r="AB75" i="2"/>
  <c r="AG76" i="2"/>
  <c r="AG75" i="2"/>
  <c r="AN86" i="2"/>
  <c r="AN87" i="2" s="1"/>
  <c r="AN73" i="2" s="1"/>
  <c r="BH46" i="2"/>
  <c r="BH45" i="2" s="1"/>
  <c r="AN46" i="2"/>
  <c r="AN45" i="2" s="1"/>
  <c r="O60" i="2"/>
  <c r="K67" i="2"/>
  <c r="AF67" i="2"/>
  <c r="Q67" i="2"/>
  <c r="AW60" i="2"/>
  <c r="AU58" i="2"/>
  <c r="BA58" i="2"/>
  <c r="Y60" i="2"/>
  <c r="U67" i="2"/>
  <c r="AA67" i="2"/>
  <c r="AR67" i="2"/>
  <c r="AK60" i="2"/>
  <c r="AJ60" i="2"/>
  <c r="L67" i="2"/>
  <c r="AI60" i="2"/>
  <c r="AE67" i="2"/>
  <c r="T60" i="2"/>
  <c r="P67" i="2"/>
  <c r="F127" i="2"/>
  <c r="F118" i="2" s="1"/>
  <c r="BG58" i="2"/>
  <c r="BM58" i="2"/>
  <c r="V67" i="2"/>
  <c r="AD60" i="2"/>
  <c r="Z67" i="2"/>
  <c r="AQ60" i="2"/>
  <c r="AO58" i="2"/>
  <c r="AL67" i="2"/>
  <c r="W63" i="9" l="1"/>
  <c r="V63" i="9"/>
  <c r="AF76" i="2"/>
  <c r="AF75" i="2"/>
  <c r="Z76" i="2"/>
  <c r="AD76" i="2" s="1"/>
  <c r="Z75" i="2"/>
  <c r="AE76" i="2"/>
  <c r="AE75" i="2"/>
  <c r="AA75" i="2"/>
  <c r="AA76" i="2"/>
  <c r="CG85" i="2"/>
  <c r="AP60" i="2"/>
  <c r="AO60" i="2"/>
  <c r="BF58" i="2"/>
  <c r="AI67" i="2"/>
  <c r="AK67" i="2"/>
  <c r="AW67" i="2"/>
  <c r="O67" i="2"/>
  <c r="AQ67" i="2"/>
  <c r="AD67" i="2"/>
  <c r="BL58" i="2"/>
  <c r="BR58" i="2"/>
  <c r="T67" i="2"/>
  <c r="AN60" i="2"/>
  <c r="AJ67" i="2"/>
  <c r="Y67" i="2"/>
  <c r="BB60" i="2"/>
  <c r="AZ58" i="2"/>
  <c r="AV60" i="2"/>
  <c r="AT58" i="2"/>
  <c r="O24" i="37"/>
  <c r="AI76" i="2" l="1"/>
  <c r="AD75" i="2"/>
  <c r="AI75" i="2"/>
  <c r="BW58" i="2"/>
  <c r="BQ58" i="2"/>
  <c r="AV67" i="2"/>
  <c r="BB67" i="2"/>
  <c r="BK58" i="2"/>
  <c r="BL60" i="2" s="1"/>
  <c r="AP67" i="2"/>
  <c r="AU60" i="2"/>
  <c r="AT60" i="2"/>
  <c r="BA60" i="2"/>
  <c r="AY58" i="2"/>
  <c r="AN67" i="2"/>
  <c r="BG60" i="2"/>
  <c r="BE58" i="2"/>
  <c r="AS60" i="2"/>
  <c r="AO67" i="2"/>
  <c r="BZ79" i="3"/>
  <c r="CA79" i="3" s="1"/>
  <c r="CB79" i="3" s="1"/>
  <c r="CC79" i="3" s="1"/>
  <c r="CD79" i="3" s="1"/>
  <c r="CE79" i="3" s="1"/>
  <c r="CF79" i="3" s="1"/>
  <c r="CG79" i="3" s="1"/>
  <c r="CH79" i="3" s="1"/>
  <c r="CI79" i="3" s="1"/>
  <c r="CJ79" i="3" s="1"/>
  <c r="CK79" i="3" s="1"/>
  <c r="CL79" i="3" s="1"/>
  <c r="CM79" i="3" s="1"/>
  <c r="CN79" i="3" s="1"/>
  <c r="CO79" i="3" s="1"/>
  <c r="CP79" i="3" s="1"/>
  <c r="CQ79" i="3" s="1"/>
  <c r="BG67" i="2" l="1"/>
  <c r="AU67" i="2"/>
  <c r="AS67" i="2"/>
  <c r="BF60" i="2"/>
  <c r="BD58" i="2"/>
  <c r="AZ60" i="2"/>
  <c r="AY60" i="2"/>
  <c r="AX60" i="2"/>
  <c r="AT67" i="2"/>
  <c r="BP58" i="2"/>
  <c r="BQ60" i="2" s="1"/>
  <c r="BA67" i="2"/>
  <c r="BJ58" i="2"/>
  <c r="BK60" i="2" s="1"/>
  <c r="BV58" i="2"/>
  <c r="CB58" i="2"/>
  <c r="BZ201" i="2"/>
  <c r="BZ200" i="2"/>
  <c r="BZ199" i="2"/>
  <c r="BZ215" i="2"/>
  <c r="BZ103" i="2"/>
  <c r="BZ102" i="2"/>
  <c r="BZ145" i="2"/>
  <c r="CC145" i="2" s="1"/>
  <c r="CD145" i="2" s="1"/>
  <c r="CE145" i="2" s="1"/>
  <c r="CF145" i="2" s="1"/>
  <c r="CH145" i="2" s="1"/>
  <c r="CI145" i="2" s="1"/>
  <c r="CJ145" i="2" s="1"/>
  <c r="CK145" i="2" s="1"/>
  <c r="CM145" i="2" s="1"/>
  <c r="CN145" i="2" s="1"/>
  <c r="CO145" i="2" s="1"/>
  <c r="CP145" i="2" s="1"/>
  <c r="BZ144" i="2"/>
  <c r="BZ40" i="2"/>
  <c r="BZ132" i="2"/>
  <c r="BZ95" i="2"/>
  <c r="BZ26" i="2"/>
  <c r="BZ220" i="2" l="1"/>
  <c r="BZ146" i="2"/>
  <c r="BU58" i="2"/>
  <c r="BV60" i="2" s="1"/>
  <c r="BL67" i="2"/>
  <c r="AX67" i="2"/>
  <c r="BC60" i="2"/>
  <c r="AY67" i="2"/>
  <c r="BF67" i="2"/>
  <c r="CA58" i="2"/>
  <c r="CG58" i="2"/>
  <c r="BI58" i="2"/>
  <c r="BO58" i="2"/>
  <c r="BP60" i="2" s="1"/>
  <c r="AZ67" i="2"/>
  <c r="BE60" i="2"/>
  <c r="BD60" i="2"/>
  <c r="BZ42" i="2"/>
  <c r="BZ218" i="2"/>
  <c r="CA204" i="11"/>
  <c r="CA203" i="11"/>
  <c r="BZ277" i="3"/>
  <c r="BZ271" i="3"/>
  <c r="BZ249" i="3"/>
  <c r="BZ239" i="3"/>
  <c r="BZ88" i="3"/>
  <c r="BZ43" i="3"/>
  <c r="BZ24" i="3"/>
  <c r="BJ60" i="2" l="1"/>
  <c r="BI60" i="2"/>
  <c r="BE67" i="2"/>
  <c r="BQ67" i="2"/>
  <c r="CF58" i="2"/>
  <c r="CL58" i="2"/>
  <c r="CK58" i="2" s="1"/>
  <c r="CM60" i="2" s="1"/>
  <c r="CQ60" i="2" s="1"/>
  <c r="BC67" i="2"/>
  <c r="BT58" i="2"/>
  <c r="BU60" i="2" s="1"/>
  <c r="BH60" i="2"/>
  <c r="BD67" i="2"/>
  <c r="BN58" i="2"/>
  <c r="BK67" i="2"/>
  <c r="BZ58" i="2"/>
  <c r="BM60" i="2" l="1"/>
  <c r="BO60" i="2"/>
  <c r="BN60" i="2"/>
  <c r="BV67" i="2"/>
  <c r="CJ58" i="2"/>
  <c r="CK60" i="2" s="1"/>
  <c r="CA60" i="2"/>
  <c r="BY58" i="2"/>
  <c r="BH67" i="2"/>
  <c r="BS58" i="2"/>
  <c r="CE58" i="2"/>
  <c r="CF60" i="2" s="1"/>
  <c r="BJ67" i="2"/>
  <c r="BP67" i="2"/>
  <c r="BI67" i="2"/>
  <c r="BR60" i="2" l="1"/>
  <c r="BT60" i="2"/>
  <c r="BS60" i="2"/>
  <c r="BM67" i="2"/>
  <c r="CD58" i="2"/>
  <c r="CE60" i="2" s="1"/>
  <c r="BU67" i="2"/>
  <c r="BN67" i="2"/>
  <c r="CA67" i="2"/>
  <c r="CM67" i="2"/>
  <c r="BO67" i="2"/>
  <c r="BZ60" i="2"/>
  <c r="BX58" i="2"/>
  <c r="CI58" i="2"/>
  <c r="CJ60" i="2" s="1"/>
  <c r="BW60" i="2" l="1"/>
  <c r="CK67" i="2"/>
  <c r="BZ67" i="2"/>
  <c r="CH58" i="2"/>
  <c r="BY60" i="2"/>
  <c r="BX60" i="2"/>
  <c r="CQ67" i="2"/>
  <c r="CF67" i="2"/>
  <c r="BT67" i="2"/>
  <c r="BR67" i="2"/>
  <c r="CC58" i="2"/>
  <c r="BS67" i="2"/>
  <c r="CI60" i="2" l="1"/>
  <c r="CH60" i="2"/>
  <c r="CD60" i="2"/>
  <c r="CC60" i="2"/>
  <c r="BW67" i="2"/>
  <c r="CE67" i="2"/>
  <c r="BY67" i="2"/>
  <c r="CJ67" i="2"/>
  <c r="CB60" i="2"/>
  <c r="BX67" i="2"/>
  <c r="D67" i="10"/>
  <c r="C62" i="10"/>
  <c r="C63" i="10"/>
  <c r="CG60" i="2" l="1"/>
  <c r="CL60" i="2"/>
  <c r="D66" i="10"/>
  <c r="CH67" i="2"/>
  <c r="CI67" i="2"/>
  <c r="CB67" i="2"/>
  <c r="CC67" i="2"/>
  <c r="CD67" i="2"/>
  <c r="D63" i="10"/>
  <c r="D64" i="10"/>
  <c r="D65" i="10"/>
  <c r="Z62" i="10"/>
  <c r="Z63" i="10"/>
  <c r="Z66" i="10"/>
  <c r="Z65" i="10"/>
  <c r="Z64" i="10"/>
  <c r="CL67" i="2" l="1"/>
  <c r="CG67" i="2"/>
  <c r="W60" i="9" l="1"/>
  <c r="W59" i="9"/>
  <c r="W58" i="9"/>
  <c r="W117" i="9" l="1"/>
  <c r="CN271" i="3"/>
  <c r="CQ254" i="3"/>
  <c r="CQ252" i="3"/>
  <c r="CQ251" i="3"/>
  <c r="CQ248" i="3"/>
  <c r="CQ247" i="3"/>
  <c r="CR217" i="11" s="1"/>
  <c r="CQ246" i="3"/>
  <c r="CQ241" i="3"/>
  <c r="CQ240" i="3"/>
  <c r="CQ239" i="3"/>
  <c r="CQ238" i="3"/>
  <c r="CQ237" i="3"/>
  <c r="CP230" i="3"/>
  <c r="CO230" i="3"/>
  <c r="CN230" i="3"/>
  <c r="CM230" i="3"/>
  <c r="CQ219" i="3"/>
  <c r="CQ196" i="3"/>
  <c r="CP196" i="3" s="1"/>
  <c r="CO196" i="3" s="1"/>
  <c r="CN196" i="3" s="1"/>
  <c r="CM196" i="3" s="1"/>
  <c r="CQ2" i="11"/>
  <c r="CR2" i="11" s="1"/>
  <c r="CP2" i="11"/>
  <c r="CO2" i="11"/>
  <c r="CN2" i="11"/>
  <c r="CQ203" i="11"/>
  <c r="CR203" i="11" s="1"/>
  <c r="CQ165" i="11"/>
  <c r="CP165" i="11"/>
  <c r="CO165" i="11"/>
  <c r="CN165" i="11"/>
  <c r="CQ154" i="11"/>
  <c r="CP154" i="11"/>
  <c r="CO154" i="11"/>
  <c r="CN154" i="11"/>
  <c r="CQ21" i="11"/>
  <c r="CP21" i="11"/>
  <c r="CO21" i="11"/>
  <c r="CN21" i="11"/>
  <c r="CQ12" i="11"/>
  <c r="CP12" i="11"/>
  <c r="CO12" i="11"/>
  <c r="CN12" i="11"/>
  <c r="CR5" i="11"/>
  <c r="CP90" i="3"/>
  <c r="CO90" i="3"/>
  <c r="CN90" i="3"/>
  <c r="CM90" i="3"/>
  <c r="CQ88" i="3"/>
  <c r="CQ87" i="3"/>
  <c r="CQ86" i="3"/>
  <c r="CQ85" i="3"/>
  <c r="CQ84" i="3"/>
  <c r="CQ83" i="3"/>
  <c r="CQ82" i="3"/>
  <c r="CQ62" i="3"/>
  <c r="CP62" i="3"/>
  <c r="CO62" i="3"/>
  <c r="CN62" i="3"/>
  <c r="CM62" i="3"/>
  <c r="CQ56" i="3"/>
  <c r="CQ55" i="3"/>
  <c r="CP54" i="3"/>
  <c r="CO54" i="3"/>
  <c r="CN54" i="3"/>
  <c r="CM54" i="3"/>
  <c r="CQ46" i="3"/>
  <c r="CQ37" i="3"/>
  <c r="CN36" i="3"/>
  <c r="CQ35" i="3"/>
  <c r="W28" i="9" s="1"/>
  <c r="CQ26" i="3"/>
  <c r="CN24" i="3"/>
  <c r="CO24" i="3" s="1"/>
  <c r="CN12" i="3"/>
  <c r="CQ4" i="3"/>
  <c r="CP4" i="3"/>
  <c r="CO4" i="3"/>
  <c r="CN4" i="3"/>
  <c r="CM4" i="3"/>
  <c r="CP102" i="2"/>
  <c r="CO102" i="2"/>
  <c r="CN102" i="2"/>
  <c r="CM102" i="2"/>
  <c r="CP144" i="2"/>
  <c r="CP150" i="2" s="1"/>
  <c r="CO144" i="2"/>
  <c r="CO150" i="2" s="1"/>
  <c r="CN144" i="2"/>
  <c r="CN150" i="2" s="1"/>
  <c r="CM144" i="2"/>
  <c r="CM150" i="2" s="1"/>
  <c r="CP40" i="2"/>
  <c r="CP38" i="2" s="1"/>
  <c r="CO40" i="2"/>
  <c r="CO38" i="2" s="1"/>
  <c r="CN40" i="2"/>
  <c r="CN38" i="2" s="1"/>
  <c r="CM40" i="2"/>
  <c r="CP164" i="2"/>
  <c r="CO164" i="2"/>
  <c r="CN164" i="2"/>
  <c r="CQ57" i="2"/>
  <c r="CQ64" i="2" s="1"/>
  <c r="CP107" i="2"/>
  <c r="CO107" i="2"/>
  <c r="CN107" i="2"/>
  <c r="CM107" i="2"/>
  <c r="CP106" i="2"/>
  <c r="CO106" i="2"/>
  <c r="CN106" i="2"/>
  <c r="CM106" i="2"/>
  <c r="CQ131" i="2"/>
  <c r="CO131" i="2"/>
  <c r="CM131" i="2"/>
  <c r="CQ54" i="3" l="1"/>
  <c r="CQ90" i="3"/>
  <c r="CN165" i="2"/>
  <c r="CO165" i="2"/>
  <c r="CP165" i="2"/>
  <c r="CP149" i="3"/>
  <c r="CQ149" i="3" s="1"/>
  <c r="CQ230" i="3"/>
  <c r="CN25" i="2"/>
  <c r="CN131" i="2"/>
  <c r="CP25" i="2"/>
  <c r="CP131" i="2"/>
  <c r="CQ150" i="2"/>
  <c r="CO220" i="2"/>
  <c r="CP3" i="11"/>
  <c r="CO25" i="2"/>
  <c r="CQ40" i="2"/>
  <c r="W127" i="9" s="1"/>
  <c r="CM38" i="2"/>
  <c r="CQ38" i="2" s="1"/>
  <c r="CN220" i="2"/>
  <c r="CP220" i="2"/>
  <c r="CN3" i="11"/>
  <c r="CM25" i="2"/>
  <c r="CQ25" i="2"/>
  <c r="CM220" i="2"/>
  <c r="CO3" i="11"/>
  <c r="CN7" i="3"/>
  <c r="CN214" i="3" s="1"/>
  <c r="CQ3" i="11"/>
  <c r="CP7" i="3"/>
  <c r="CP214" i="3" s="1"/>
  <c r="CM7" i="3"/>
  <c r="CM118" i="3" s="1"/>
  <c r="CO7" i="3"/>
  <c r="CO118" i="3" s="1"/>
  <c r="CQ7" i="3"/>
  <c r="CR3" i="11"/>
  <c r="CQ13" i="2"/>
  <c r="CQ15" i="2"/>
  <c r="CQ106" i="2" s="1"/>
  <c r="CQ16" i="2"/>
  <c r="CQ107" i="2" s="1"/>
  <c r="CN161" i="2"/>
  <c r="CP161" i="2"/>
  <c r="CQ159" i="2"/>
  <c r="CQ160" i="2"/>
  <c r="CO161" i="2"/>
  <c r="CO236" i="3"/>
  <c r="CO243" i="3" s="1"/>
  <c r="CO271" i="3"/>
  <c r="CP24" i="3"/>
  <c r="CO36" i="3"/>
  <c r="CP36" i="3" s="1"/>
  <c r="CQ102" i="2"/>
  <c r="CO12" i="3"/>
  <c r="CP12" i="3" s="1"/>
  <c r="CQ144" i="2"/>
  <c r="CM161" i="2"/>
  <c r="CQ214" i="3" l="1"/>
  <c r="W6" i="9"/>
  <c r="CO166" i="2"/>
  <c r="CP166" i="2"/>
  <c r="CN166" i="2"/>
  <c r="CQ166" i="2"/>
  <c r="CQ118" i="3"/>
  <c r="CM6" i="3"/>
  <c r="CM213" i="3" s="1"/>
  <c r="CM214" i="3"/>
  <c r="CN118" i="3"/>
  <c r="CQ71" i="2"/>
  <c r="CO214" i="3"/>
  <c r="CP118" i="3"/>
  <c r="CQ161" i="2"/>
  <c r="W128" i="9"/>
  <c r="CQ220" i="2"/>
  <c r="CN236" i="3"/>
  <c r="CN243" i="3" s="1"/>
  <c r="CP271" i="3"/>
  <c r="CQ36" i="3"/>
  <c r="CQ12" i="3"/>
  <c r="W12" i="9" l="1"/>
  <c r="W77" i="9" s="1"/>
  <c r="CM117" i="3"/>
  <c r="CM236" i="3"/>
  <c r="CP236" i="3" l="1"/>
  <c r="CP243" i="3" s="1"/>
  <c r="CM243" i="3"/>
  <c r="BW12" i="2"/>
  <c r="BR12" i="2"/>
  <c r="BM12" i="2"/>
  <c r="BH12" i="2"/>
  <c r="BC12" i="2"/>
  <c r="AX12" i="2"/>
  <c r="AS12" i="2"/>
  <c r="AN12" i="2"/>
  <c r="AI12" i="2"/>
  <c r="AD12" i="2"/>
  <c r="Y12" i="2"/>
  <c r="T12" i="2"/>
  <c r="O12" i="2"/>
  <c r="CQ236" i="3" l="1"/>
  <c r="CQ243" i="3" s="1"/>
  <c r="W61" i="9" l="1"/>
  <c r="CI271" i="3" l="1"/>
  <c r="CJ271" i="3" s="1"/>
  <c r="CK271" i="3" s="1"/>
  <c r="BX230" i="3" l="1"/>
  <c r="CB57" i="2"/>
  <c r="CG57" i="2"/>
  <c r="CG64" i="2" s="1"/>
  <c r="CL57" i="2"/>
  <c r="CL64" i="2" s="1"/>
  <c r="CB64" i="2" l="1"/>
  <c r="CB71" i="2" l="1"/>
  <c r="CG71" i="2"/>
  <c r="CL71" i="2"/>
  <c r="BZ132" i="11"/>
  <c r="BY225" i="3"/>
  <c r="BZ225" i="3" s="1"/>
  <c r="BY224" i="3"/>
  <c r="BZ224" i="3" s="1"/>
  <c r="BY223" i="3"/>
  <c r="BZ223" i="3" s="1"/>
  <c r="BY46" i="3"/>
  <c r="BY215" i="2" l="1"/>
  <c r="BY145" i="2"/>
  <c r="BY144" i="2"/>
  <c r="BY40" i="2"/>
  <c r="BY132" i="2"/>
  <c r="BY95" i="2"/>
  <c r="BY26" i="2"/>
  <c r="G66" i="10"/>
  <c r="E66" i="10"/>
  <c r="F67" i="10" s="1"/>
  <c r="BZ204" i="11"/>
  <c r="BZ203" i="11"/>
  <c r="BY277" i="3"/>
  <c r="BY259" i="3"/>
  <c r="BZ259" i="3" s="1"/>
  <c r="BY255" i="3"/>
  <c r="BZ255" i="3" s="1"/>
  <c r="BY250" i="3"/>
  <c r="BZ250" i="3" s="1"/>
  <c r="BY253" i="3"/>
  <c r="BZ253" i="3" s="1"/>
  <c r="BY246" i="3"/>
  <c r="BZ246" i="3" s="1"/>
  <c r="BY241" i="3"/>
  <c r="BZ241" i="3" s="1"/>
  <c r="BY236" i="3"/>
  <c r="BZ236" i="3" s="1"/>
  <c r="BZ214" i="2" s="1"/>
  <c r="BY229" i="3"/>
  <c r="BZ229" i="3" s="1"/>
  <c r="BY220" i="3"/>
  <c r="BZ220" i="3" s="1"/>
  <c r="BY24" i="3"/>
  <c r="BY214" i="2" l="1"/>
  <c r="H67" i="10"/>
  <c r="AE66" i="10"/>
  <c r="BY42" i="2"/>
  <c r="BY146" i="2"/>
  <c r="C31" i="35"/>
  <c r="BW201" i="2" l="1"/>
  <c r="BV201" i="2"/>
  <c r="BU201" i="2"/>
  <c r="BT201" i="2"/>
  <c r="BS201" i="2"/>
  <c r="BR201" i="2"/>
  <c r="BQ201" i="2"/>
  <c r="BP201" i="2"/>
  <c r="BO201" i="2"/>
  <c r="BN201" i="2"/>
  <c r="BM201" i="2"/>
  <c r="BL201" i="2"/>
  <c r="BK201" i="2"/>
  <c r="BJ201" i="2"/>
  <c r="BI201" i="2"/>
  <c r="BH201" i="2"/>
  <c r="BG201" i="2"/>
  <c r="BF201" i="2"/>
  <c r="BE201" i="2"/>
  <c r="BD201" i="2"/>
  <c r="BC201" i="2"/>
  <c r="BB201" i="2"/>
  <c r="BA201" i="2"/>
  <c r="AZ201" i="2"/>
  <c r="AY201" i="2"/>
  <c r="AX201" i="2"/>
  <c r="AW201" i="2"/>
  <c r="AV201" i="2"/>
  <c r="AU201" i="2"/>
  <c r="AT201" i="2"/>
  <c r="AS201" i="2"/>
  <c r="AR201" i="2"/>
  <c r="AQ201" i="2"/>
  <c r="AP201" i="2"/>
  <c r="AO201" i="2"/>
  <c r="AN201" i="2"/>
  <c r="AM201" i="2"/>
  <c r="AL201" i="2"/>
  <c r="AK201" i="2"/>
  <c r="AJ201" i="2"/>
  <c r="AI201" i="2"/>
  <c r="AH201" i="2"/>
  <c r="AG201" i="2"/>
  <c r="AF201" i="2"/>
  <c r="AE201" i="2"/>
  <c r="AD201" i="2"/>
  <c r="AC201" i="2"/>
  <c r="AB201" i="2"/>
  <c r="AA201" i="2"/>
  <c r="Z201" i="2"/>
  <c r="Y201" i="2"/>
  <c r="X201" i="2"/>
  <c r="W201" i="2"/>
  <c r="V201" i="2"/>
  <c r="U201" i="2"/>
  <c r="BW200" i="2"/>
  <c r="BV200" i="2"/>
  <c r="BU200" i="2"/>
  <c r="BT200" i="2"/>
  <c r="BS200" i="2"/>
  <c r="BR200" i="2"/>
  <c r="BQ200" i="2"/>
  <c r="BP200" i="2"/>
  <c r="BO200" i="2"/>
  <c r="BN200" i="2"/>
  <c r="BM200" i="2"/>
  <c r="BL200" i="2"/>
  <c r="BK200" i="2"/>
  <c r="BJ200" i="2"/>
  <c r="BI200" i="2"/>
  <c r="BH200" i="2"/>
  <c r="BG200" i="2"/>
  <c r="BF200" i="2"/>
  <c r="BE200" i="2"/>
  <c r="BD200" i="2"/>
  <c r="BC200" i="2"/>
  <c r="BB200" i="2"/>
  <c r="BA200" i="2"/>
  <c r="AZ200" i="2"/>
  <c r="AY200" i="2"/>
  <c r="AX200" i="2"/>
  <c r="AW200" i="2"/>
  <c r="AV200" i="2"/>
  <c r="AU200" i="2"/>
  <c r="AT200" i="2"/>
  <c r="AS200" i="2"/>
  <c r="AR200" i="2"/>
  <c r="AQ200" i="2"/>
  <c r="AP200" i="2"/>
  <c r="AO200" i="2"/>
  <c r="AN200" i="2"/>
  <c r="AM200" i="2"/>
  <c r="AL200" i="2"/>
  <c r="AK200" i="2"/>
  <c r="AJ200" i="2"/>
  <c r="AI200" i="2"/>
  <c r="AH200" i="2"/>
  <c r="AG200" i="2"/>
  <c r="AF200" i="2"/>
  <c r="AE200" i="2"/>
  <c r="AD200" i="2"/>
  <c r="AC200" i="2"/>
  <c r="AB200" i="2"/>
  <c r="AA200" i="2"/>
  <c r="Z200" i="2"/>
  <c r="Y200" i="2"/>
  <c r="X200" i="2"/>
  <c r="W200" i="2"/>
  <c r="V200" i="2"/>
  <c r="U200" i="2"/>
  <c r="BW199" i="2"/>
  <c r="BV199" i="2"/>
  <c r="BU199" i="2"/>
  <c r="BT199" i="2"/>
  <c r="BS199" i="2"/>
  <c r="BR199" i="2"/>
  <c r="BQ199" i="2"/>
  <c r="BP199" i="2"/>
  <c r="BO199" i="2"/>
  <c r="BN199" i="2"/>
  <c r="BM199" i="2"/>
  <c r="BL199" i="2"/>
  <c r="BK199" i="2"/>
  <c r="BJ199" i="2"/>
  <c r="BI199" i="2"/>
  <c r="BH199" i="2"/>
  <c r="BG199" i="2"/>
  <c r="BF199" i="2"/>
  <c r="BE199" i="2"/>
  <c r="BD199" i="2"/>
  <c r="BB199" i="2"/>
  <c r="BA199" i="2"/>
  <c r="AZ199" i="2"/>
  <c r="AY199" i="2"/>
  <c r="AW199" i="2"/>
  <c r="AV199" i="2"/>
  <c r="AU199" i="2"/>
  <c r="AT199" i="2"/>
  <c r="AP199" i="2"/>
  <c r="AN199" i="2"/>
  <c r="AM199" i="2"/>
  <c r="AL199" i="2"/>
  <c r="AK199" i="2"/>
  <c r="AJ199" i="2"/>
  <c r="AI199" i="2"/>
  <c r="AH199" i="2"/>
  <c r="AG199" i="2"/>
  <c r="AF199" i="2"/>
  <c r="AE199" i="2"/>
  <c r="AD199" i="2"/>
  <c r="AC199" i="2"/>
  <c r="AB199" i="2"/>
  <c r="AA199" i="2"/>
  <c r="Z199" i="2"/>
  <c r="Y199" i="2"/>
  <c r="X199" i="2"/>
  <c r="W199" i="2"/>
  <c r="V199" i="2"/>
  <c r="U199" i="2"/>
  <c r="BX201" i="2"/>
  <c r="BX200" i="2"/>
  <c r="BX199" i="2"/>
  <c r="BY132" i="11" l="1"/>
  <c r="BX215" i="2" l="1"/>
  <c r="CB215" i="2" s="1"/>
  <c r="BX214" i="2"/>
  <c r="BY218" i="11"/>
  <c r="BY216" i="11"/>
  <c r="BY204" i="11"/>
  <c r="BY203" i="11"/>
  <c r="BX145" i="2"/>
  <c r="BX144" i="2"/>
  <c r="BX132" i="2"/>
  <c r="G65" i="10"/>
  <c r="AE65" i="10" s="1"/>
  <c r="BX33" i="3"/>
  <c r="BX10" i="3"/>
  <c r="BX103" i="2"/>
  <c r="BX102" i="2"/>
  <c r="BX40" i="2"/>
  <c r="BX95" i="2"/>
  <c r="BX26" i="2"/>
  <c r="E65" i="10"/>
  <c r="BX34" i="3"/>
  <c r="BX32" i="3"/>
  <c r="BX11" i="3"/>
  <c r="BX9" i="3"/>
  <c r="BY2" i="11"/>
  <c r="BX109" i="3"/>
  <c r="BX4" i="3"/>
  <c r="BY164" i="2"/>
  <c r="BX107" i="2"/>
  <c r="BX106" i="2"/>
  <c r="BY184" i="11"/>
  <c r="BY165" i="11"/>
  <c r="BY154" i="11"/>
  <c r="BY21" i="11"/>
  <c r="BY12" i="11"/>
  <c r="BX278" i="3"/>
  <c r="BX257" i="3"/>
  <c r="BX243" i="3"/>
  <c r="BX228" i="3"/>
  <c r="BX219" i="3"/>
  <c r="BY219" i="3" s="1"/>
  <c r="BZ219" i="3" s="1"/>
  <c r="BX218" i="3"/>
  <c r="BX190" i="3"/>
  <c r="BX180" i="3"/>
  <c r="BX179" i="3"/>
  <c r="BX152" i="3"/>
  <c r="BX161" i="3" s="1"/>
  <c r="BX277" i="3"/>
  <c r="BX99" i="3"/>
  <c r="BX90" i="3"/>
  <c r="BX78" i="3"/>
  <c r="BX73" i="3"/>
  <c r="BX62" i="3"/>
  <c r="BX54" i="3"/>
  <c r="BX24" i="3"/>
  <c r="BX16" i="3"/>
  <c r="BX15" i="3"/>
  <c r="CB214" i="2" l="1"/>
  <c r="T63" i="9" s="1"/>
  <c r="BY165" i="2"/>
  <c r="BX220" i="2"/>
  <c r="BX12" i="3"/>
  <c r="BX161" i="2"/>
  <c r="BX108" i="2"/>
  <c r="BX40" i="3"/>
  <c r="H66" i="10"/>
  <c r="F66" i="10"/>
  <c r="BY219" i="11"/>
  <c r="BX146" i="2"/>
  <c r="BX42" i="2"/>
  <c r="BX218" i="2"/>
  <c r="BX39" i="3"/>
  <c r="BX44" i="3"/>
  <c r="BX184" i="3"/>
  <c r="L65" i="10" l="1"/>
  <c r="BX22" i="2"/>
  <c r="BX48" i="3"/>
  <c r="BX28" i="3"/>
  <c r="BX205" i="2" s="1"/>
  <c r="BX98" i="3"/>
  <c r="BX59" i="3" l="1"/>
  <c r="BX206" i="2" s="1"/>
  <c r="BX49" i="3"/>
  <c r="BX52" i="3"/>
  <c r="BX101" i="3"/>
  <c r="BX18" i="3"/>
  <c r="BX29" i="3"/>
  <c r="BX272" i="3" l="1"/>
  <c r="BX273" i="3"/>
  <c r="BX202" i="2"/>
  <c r="BX209" i="2"/>
  <c r="BX102" i="3"/>
  <c r="BX92" i="3"/>
  <c r="BX64" i="3"/>
  <c r="BX207" i="2" s="1"/>
  <c r="BX60" i="3"/>
  <c r="BX20" i="3"/>
  <c r="BX275" i="3" l="1"/>
  <c r="BX70" i="3"/>
  <c r="BX94" i="3"/>
  <c r="BX95" i="3" s="1"/>
  <c r="BX96" i="3" s="1"/>
  <c r="BX217" i="3"/>
  <c r="BX233" i="3" s="1"/>
  <c r="BX210" i="2" s="1"/>
  <c r="BX182" i="3"/>
  <c r="BY210" i="11" l="1"/>
  <c r="BX181" i="3"/>
  <c r="BX183" i="3"/>
  <c r="BX261" i="3"/>
  <c r="BX267" i="3"/>
  <c r="BX211" i="2" s="1"/>
  <c r="BX212" i="2" s="1"/>
  <c r="BX268" i="3" l="1"/>
  <c r="O40" i="37" l="1"/>
  <c r="O37" i="37"/>
  <c r="O40" i="36"/>
  <c r="O13" i="37"/>
  <c r="O10" i="37"/>
  <c r="O9" i="37"/>
  <c r="O24" i="36"/>
  <c r="BW132" i="11"/>
  <c r="BV271" i="3"/>
  <c r="O41" i="37" l="1"/>
  <c r="AQ174" i="37" l="1"/>
  <c r="N45" i="37"/>
  <c r="M45" i="37"/>
  <c r="L45" i="37"/>
  <c r="K45" i="37"/>
  <c r="J45" i="37"/>
  <c r="I45" i="37"/>
  <c r="H45" i="37"/>
  <c r="G45" i="37"/>
  <c r="F45" i="37"/>
  <c r="E45" i="37"/>
  <c r="D45" i="37"/>
  <c r="N44" i="37"/>
  <c r="M44" i="37"/>
  <c r="N66" i="37" s="1"/>
  <c r="L44" i="37"/>
  <c r="K44" i="37"/>
  <c r="J44" i="37"/>
  <c r="I44" i="37"/>
  <c r="H44" i="37"/>
  <c r="G44" i="37"/>
  <c r="F44" i="37"/>
  <c r="E44" i="37"/>
  <c r="D44" i="37"/>
  <c r="BX25" i="2" l="1"/>
  <c r="BX131" i="2"/>
  <c r="BY3" i="11"/>
  <c r="BX7" i="3"/>
  <c r="CJ42" i="37"/>
  <c r="CI42" i="37"/>
  <c r="CH42" i="37"/>
  <c r="CG42" i="37"/>
  <c r="CF42" i="37"/>
  <c r="CE42" i="37"/>
  <c r="CD42" i="37"/>
  <c r="CH41" i="37"/>
  <c r="CD41" i="37"/>
  <c r="CJ40" i="37"/>
  <c r="CJ41" i="37" s="1"/>
  <c r="CI40" i="37"/>
  <c r="CI41" i="37" s="1"/>
  <c r="CH40" i="37"/>
  <c r="CG40" i="37"/>
  <c r="CG41" i="37" s="1"/>
  <c r="CF40" i="37"/>
  <c r="CF41" i="37" s="1"/>
  <c r="CE40" i="37"/>
  <c r="CE41" i="37" s="1"/>
  <c r="CD40" i="37"/>
  <c r="CC40" i="37"/>
  <c r="S40" i="37"/>
  <c r="R40" i="37"/>
  <c r="Q40" i="37"/>
  <c r="N40" i="37"/>
  <c r="M40" i="37"/>
  <c r="L39" i="37"/>
  <c r="K39" i="37"/>
  <c r="J39" i="37"/>
  <c r="I39" i="37"/>
  <c r="H39" i="37"/>
  <c r="G39" i="37"/>
  <c r="F39" i="37"/>
  <c r="E39" i="37"/>
  <c r="D39" i="37"/>
  <c r="BX214" i="3" l="1"/>
  <c r="BX118" i="3"/>
  <c r="N37" i="37"/>
  <c r="N41" i="37" s="1"/>
  <c r="M37" i="37"/>
  <c r="M41" i="37" s="1"/>
  <c r="L37" i="37"/>
  <c r="K37" i="37"/>
  <c r="J37" i="37"/>
  <c r="I37" i="37"/>
  <c r="H37" i="37"/>
  <c r="G37" i="37"/>
  <c r="F37" i="37"/>
  <c r="E37" i="37"/>
  <c r="K41" i="37" l="1"/>
  <c r="L41" i="37"/>
  <c r="T40" i="37"/>
  <c r="L33" i="37"/>
  <c r="L40" i="37" s="1"/>
  <c r="K33" i="37"/>
  <c r="K40" i="37" s="1"/>
  <c r="J33" i="37"/>
  <c r="J40" i="37" s="1"/>
  <c r="J41" i="37" s="1"/>
  <c r="I33" i="37"/>
  <c r="I40" i="37" s="1"/>
  <c r="I41" i="37" s="1"/>
  <c r="H33" i="37"/>
  <c r="H40" i="37" s="1"/>
  <c r="H41" i="37" s="1"/>
  <c r="G33" i="37"/>
  <c r="G40" i="37" s="1"/>
  <c r="G41" i="37" s="1"/>
  <c r="F33" i="37"/>
  <c r="F40" i="37" s="1"/>
  <c r="F41" i="37" s="1"/>
  <c r="E33" i="37"/>
  <c r="E40" i="37" s="1"/>
  <c r="E41" i="37" s="1"/>
  <c r="D33" i="37"/>
  <c r="D40" i="37" s="1"/>
  <c r="D41" i="37" s="1"/>
  <c r="N31" i="37"/>
  <c r="M31" i="37"/>
  <c r="L31" i="37"/>
  <c r="K31" i="37"/>
  <c r="J31" i="37"/>
  <c r="I31" i="37"/>
  <c r="H31" i="37"/>
  <c r="G31" i="37"/>
  <c r="F31" i="37"/>
  <c r="E31" i="37"/>
  <c r="D31" i="37"/>
  <c r="N30" i="37"/>
  <c r="M30" i="37"/>
  <c r="L30" i="37"/>
  <c r="K30" i="37"/>
  <c r="J30" i="37"/>
  <c r="I30" i="37"/>
  <c r="H30" i="37"/>
  <c r="G30" i="37"/>
  <c r="F30" i="37"/>
  <c r="E30" i="37"/>
  <c r="D30" i="37"/>
  <c r="D34" i="37" s="1"/>
  <c r="O29" i="37" l="1"/>
  <c r="N29" i="37"/>
  <c r="N34" i="37" s="1"/>
  <c r="M29" i="37"/>
  <c r="M34" i="37" s="1"/>
  <c r="L29" i="37"/>
  <c r="L34" i="37" s="1"/>
  <c r="K29" i="37"/>
  <c r="K34" i="37" s="1"/>
  <c r="J29" i="37"/>
  <c r="J34" i="37" s="1"/>
  <c r="I29" i="37"/>
  <c r="I34" i="37" s="1"/>
  <c r="H29" i="37"/>
  <c r="H34" i="37" s="1"/>
  <c r="G29" i="37"/>
  <c r="G34" i="37" s="1"/>
  <c r="F29" i="37"/>
  <c r="F34" i="37" s="1"/>
  <c r="E29" i="37"/>
  <c r="E34" i="37" s="1"/>
  <c r="N24" i="37" l="1"/>
  <c r="M24" i="37"/>
  <c r="L24" i="37"/>
  <c r="K24" i="37"/>
  <c r="J24" i="37"/>
  <c r="I24" i="37"/>
  <c r="H24" i="37"/>
  <c r="G24" i="37"/>
  <c r="F24" i="37"/>
  <c r="E24" i="37"/>
  <c r="D24" i="37"/>
  <c r="K23" i="37"/>
  <c r="J23" i="37"/>
  <c r="I23" i="37"/>
  <c r="H23" i="37"/>
  <c r="G23" i="37"/>
  <c r="F23" i="37"/>
  <c r="E23" i="37"/>
  <c r="D23" i="37"/>
  <c r="AZ21" i="37" l="1"/>
  <c r="O25" i="37" s="1"/>
  <c r="O31" i="37"/>
  <c r="Q20" i="37"/>
  <c r="R20" i="37" s="1"/>
  <c r="S20" i="37" s="1"/>
  <c r="T20" i="37" s="1"/>
  <c r="T13" i="37"/>
  <c r="S13" i="37"/>
  <c r="R13" i="37"/>
  <c r="Q13" i="37"/>
  <c r="P13" i="37"/>
  <c r="N13" i="37"/>
  <c r="M13" i="37"/>
  <c r="M52" i="37" s="1"/>
  <c r="L13" i="37"/>
  <c r="L52" i="37" s="1"/>
  <c r="K13" i="37"/>
  <c r="K52" i="37" s="1"/>
  <c r="J13" i="37"/>
  <c r="J52" i="37" s="1"/>
  <c r="I13" i="37"/>
  <c r="I52" i="37" s="1"/>
  <c r="H13" i="37"/>
  <c r="H52" i="37" s="1"/>
  <c r="G13" i="37"/>
  <c r="G52" i="37" s="1"/>
  <c r="F13" i="37"/>
  <c r="F52" i="37" s="1"/>
  <c r="E13" i="37"/>
  <c r="E52" i="37" s="1"/>
  <c r="D13" i="37"/>
  <c r="N12" i="37"/>
  <c r="N23" i="37" s="1"/>
  <c r="M12" i="37"/>
  <c r="M23" i="37" s="1"/>
  <c r="L12" i="37"/>
  <c r="L23" i="37" s="1"/>
  <c r="K12" i="37"/>
  <c r="J12" i="37"/>
  <c r="I12" i="37"/>
  <c r="H12" i="37"/>
  <c r="G12" i="37"/>
  <c r="F12" i="37"/>
  <c r="E12" i="37"/>
  <c r="D12" i="37"/>
  <c r="N52" i="37" l="1"/>
  <c r="N59" i="37"/>
  <c r="R59" i="37"/>
  <c r="R52" i="37"/>
  <c r="O52" i="37"/>
  <c r="O59" i="37"/>
  <c r="S59" i="37"/>
  <c r="S52" i="37"/>
  <c r="D47" i="37"/>
  <c r="E47" i="37" s="1"/>
  <c r="F47" i="37" s="1"/>
  <c r="G47" i="37" s="1"/>
  <c r="H47" i="37" s="1"/>
  <c r="I47" i="37" s="1"/>
  <c r="J47" i="37" s="1"/>
  <c r="K47" i="37" s="1"/>
  <c r="L47" i="37" s="1"/>
  <c r="M47" i="37" s="1"/>
  <c r="N47" i="37" s="1"/>
  <c r="D52" i="37"/>
  <c r="P59" i="37"/>
  <c r="P52" i="37"/>
  <c r="T59" i="37"/>
  <c r="T52" i="37"/>
  <c r="Q52" i="37"/>
  <c r="Q59" i="37"/>
  <c r="N67" i="37"/>
  <c r="N68" i="37" s="1"/>
  <c r="N25" i="37"/>
  <c r="J25" i="37"/>
  <c r="J51" i="37" s="1"/>
  <c r="F25" i="37"/>
  <c r="F51" i="37" s="1"/>
  <c r="M25" i="37"/>
  <c r="M51" i="37" s="1"/>
  <c r="I25" i="37"/>
  <c r="I51" i="37" s="1"/>
  <c r="E25" i="37"/>
  <c r="E51" i="37" s="1"/>
  <c r="L25" i="37"/>
  <c r="L51" i="37" s="1"/>
  <c r="H25" i="37"/>
  <c r="H51" i="37" s="1"/>
  <c r="D25" i="37"/>
  <c r="D51" i="37" s="1"/>
  <c r="K25" i="37"/>
  <c r="K51" i="37" s="1"/>
  <c r="G25" i="37"/>
  <c r="G51" i="37" s="1"/>
  <c r="BG10" i="37"/>
  <c r="N10" i="37"/>
  <c r="M10" i="37"/>
  <c r="L10" i="37"/>
  <c r="K10" i="37"/>
  <c r="J10" i="37"/>
  <c r="I10" i="37"/>
  <c r="H10" i="37"/>
  <c r="G10" i="37"/>
  <c r="F10" i="37"/>
  <c r="E10" i="37"/>
  <c r="D10" i="37"/>
  <c r="N9" i="37"/>
  <c r="P9" i="37" s="1"/>
  <c r="Q9" i="37" s="1"/>
  <c r="R9" i="37" s="1"/>
  <c r="S9" i="37" s="1"/>
  <c r="T9" i="37" s="1"/>
  <c r="M9" i="37"/>
  <c r="L9" i="37"/>
  <c r="K9" i="37"/>
  <c r="J9" i="37"/>
  <c r="I9" i="37"/>
  <c r="H9" i="37"/>
  <c r="G9" i="37"/>
  <c r="F9" i="37"/>
  <c r="E9" i="37"/>
  <c r="D9" i="37"/>
  <c r="P11" i="37" l="1"/>
  <c r="N60" i="37"/>
  <c r="N51" i="37"/>
  <c r="N61" i="37"/>
  <c r="H8" i="37"/>
  <c r="G8" i="37"/>
  <c r="F8" i="37"/>
  <c r="K6" i="37"/>
  <c r="J6" i="37" s="1"/>
  <c r="H2" i="37"/>
  <c r="H1" i="37"/>
  <c r="AR245" i="36"/>
  <c r="AR244" i="36"/>
  <c r="AR243" i="36"/>
  <c r="AR242" i="36"/>
  <c r="AR241" i="36"/>
  <c r="AR240" i="36"/>
  <c r="AR239" i="36"/>
  <c r="AR238" i="36"/>
  <c r="AR237" i="36"/>
  <c r="AR236" i="36"/>
  <c r="AR235" i="36"/>
  <c r="AR234" i="36"/>
  <c r="AR233" i="36"/>
  <c r="AR232" i="36"/>
  <c r="AR231" i="36"/>
  <c r="AR230" i="36"/>
  <c r="AR229" i="36"/>
  <c r="AR228" i="36"/>
  <c r="AR227" i="36"/>
  <c r="AR226" i="36"/>
  <c r="AR225" i="36"/>
  <c r="AR224" i="36"/>
  <c r="AR223" i="36"/>
  <c r="AR222" i="36"/>
  <c r="AR221" i="36"/>
  <c r="AR220" i="36"/>
  <c r="AR219" i="36"/>
  <c r="AR218" i="36"/>
  <c r="AR217" i="36"/>
  <c r="AR216" i="36"/>
  <c r="AR215" i="36"/>
  <c r="AR214" i="36"/>
  <c r="AR213" i="36"/>
  <c r="AR212" i="36"/>
  <c r="AR211" i="36"/>
  <c r="AR210" i="36"/>
  <c r="AR209" i="36"/>
  <c r="AR208" i="36"/>
  <c r="AR207" i="36"/>
  <c r="AR206" i="36"/>
  <c r="AR205" i="36"/>
  <c r="AR204" i="36"/>
  <c r="AR203" i="36"/>
  <c r="AR202" i="36"/>
  <c r="AR201" i="36"/>
  <c r="AR200" i="36"/>
  <c r="AR199" i="36"/>
  <c r="AR198" i="36"/>
  <c r="AR197" i="36"/>
  <c r="AR196" i="36"/>
  <c r="AR195" i="36"/>
  <c r="AR194" i="36"/>
  <c r="AR193" i="36"/>
  <c r="AR192" i="36"/>
  <c r="AR191" i="36"/>
  <c r="AR190" i="36"/>
  <c r="AQ189" i="36"/>
  <c r="AQ186" i="36"/>
  <c r="AQ182" i="36"/>
  <c r="AP189" i="36" s="1"/>
  <c r="O97" i="36"/>
  <c r="P97" i="36" s="1"/>
  <c r="Q97" i="36" s="1"/>
  <c r="R97" i="36" s="1"/>
  <c r="S97" i="36" s="1"/>
  <c r="T97" i="36" s="1"/>
  <c r="C93" i="36"/>
  <c r="N89" i="36"/>
  <c r="M89" i="36"/>
  <c r="M91" i="36" s="1"/>
  <c r="L89" i="36"/>
  <c r="K89" i="36"/>
  <c r="J89" i="36"/>
  <c r="I89" i="36"/>
  <c r="I91" i="36" s="1"/>
  <c r="H89" i="36"/>
  <c r="G89" i="36"/>
  <c r="F89" i="36"/>
  <c r="E89" i="36"/>
  <c r="E91" i="36" s="1"/>
  <c r="D89" i="36"/>
  <c r="D91" i="36" s="1"/>
  <c r="T87" i="36"/>
  <c r="S87" i="36"/>
  <c r="R87" i="36"/>
  <c r="Q87" i="36"/>
  <c r="P87" i="36"/>
  <c r="O87" i="36"/>
  <c r="N87" i="36"/>
  <c r="M87" i="36"/>
  <c r="L87" i="36"/>
  <c r="K87" i="36"/>
  <c r="J87" i="36"/>
  <c r="I87" i="36"/>
  <c r="H87" i="36"/>
  <c r="G87" i="36"/>
  <c r="F87" i="36"/>
  <c r="E87" i="36"/>
  <c r="D87" i="36"/>
  <c r="T52" i="36"/>
  <c r="T59" i="36" s="1"/>
  <c r="S52" i="36"/>
  <c r="S59" i="36" s="1"/>
  <c r="R52" i="36"/>
  <c r="R59" i="36" s="1"/>
  <c r="Q52" i="36"/>
  <c r="Q59" i="36" s="1"/>
  <c r="P52" i="36"/>
  <c r="P59" i="36" s="1"/>
  <c r="O52" i="36"/>
  <c r="O59" i="36" s="1"/>
  <c r="N52" i="36"/>
  <c r="N59" i="36" s="1"/>
  <c r="M52" i="36"/>
  <c r="L52" i="36"/>
  <c r="K52" i="36"/>
  <c r="J52" i="36"/>
  <c r="I52" i="36"/>
  <c r="H52" i="36"/>
  <c r="G52" i="36"/>
  <c r="F52" i="36"/>
  <c r="E52" i="36"/>
  <c r="D52" i="36"/>
  <c r="N45" i="36"/>
  <c r="M45" i="36"/>
  <c r="L45" i="36"/>
  <c r="K45" i="36"/>
  <c r="J45" i="36"/>
  <c r="I45" i="36"/>
  <c r="H45" i="36"/>
  <c r="G45" i="36"/>
  <c r="F45" i="36"/>
  <c r="E45" i="36"/>
  <c r="D45" i="36"/>
  <c r="N44" i="36"/>
  <c r="O90" i="36" s="1"/>
  <c r="M44" i="36"/>
  <c r="N90" i="36" s="1"/>
  <c r="L44" i="36"/>
  <c r="M90" i="36" s="1"/>
  <c r="K44" i="36"/>
  <c r="L90" i="36" s="1"/>
  <c r="J44" i="36"/>
  <c r="K90" i="36" s="1"/>
  <c r="K91" i="36" s="1"/>
  <c r="I44" i="36"/>
  <c r="J90" i="36" s="1"/>
  <c r="H44" i="36"/>
  <c r="I90" i="36" s="1"/>
  <c r="G44" i="36"/>
  <c r="H90" i="36" s="1"/>
  <c r="F44" i="36"/>
  <c r="G90" i="36" s="1"/>
  <c r="G91" i="36" s="1"/>
  <c r="E44" i="36"/>
  <c r="F90" i="36" s="1"/>
  <c r="D44" i="36"/>
  <c r="E90" i="36" s="1"/>
  <c r="F91" i="36" l="1"/>
  <c r="J91" i="36"/>
  <c r="N91" i="36"/>
  <c r="AR186" i="36"/>
  <c r="AS186" i="36" s="1"/>
  <c r="AX25" i="37"/>
  <c r="N62" i="37"/>
  <c r="N69" i="37" s="1"/>
  <c r="CF38" i="37"/>
  <c r="J15" i="37"/>
  <c r="J54" i="37" s="1"/>
  <c r="I6" i="37"/>
  <c r="CG38" i="37"/>
  <c r="K15" i="37"/>
  <c r="K54" i="37" s="1"/>
  <c r="L6" i="37"/>
  <c r="P8" i="37"/>
  <c r="Q8" i="37" s="1"/>
  <c r="R8" i="37" s="1"/>
  <c r="S8" i="37" s="1"/>
  <c r="T8" i="37" s="1"/>
  <c r="P12" i="37"/>
  <c r="Q11" i="37"/>
  <c r="H91" i="36"/>
  <c r="L91" i="36"/>
  <c r="N66" i="36"/>
  <c r="D47" i="36"/>
  <c r="E47" i="36" s="1"/>
  <c r="F47" i="36" s="1"/>
  <c r="G47" i="36" s="1"/>
  <c r="H47" i="36" s="1"/>
  <c r="I47" i="36" s="1"/>
  <c r="J47" i="36" s="1"/>
  <c r="K47" i="36" s="1"/>
  <c r="L47" i="36" s="1"/>
  <c r="M47" i="36" s="1"/>
  <c r="N47" i="36" s="1"/>
  <c r="O30" i="37" l="1"/>
  <c r="O34" i="37" s="1"/>
  <c r="CH38" i="37"/>
  <c r="L15" i="37"/>
  <c r="L54" i="37" s="1"/>
  <c r="M6" i="37"/>
  <c r="CE38" i="37"/>
  <c r="I15" i="37"/>
  <c r="I54" i="37" s="1"/>
  <c r="H6" i="37"/>
  <c r="Q12" i="37"/>
  <c r="R11" i="37"/>
  <c r="N61" i="36"/>
  <c r="CJ43" i="36"/>
  <c r="CI43" i="36"/>
  <c r="CH43" i="36"/>
  <c r="CG43" i="36"/>
  <c r="CF43" i="36"/>
  <c r="CE43" i="36"/>
  <c r="CD43" i="36"/>
  <c r="CG42" i="36"/>
  <c r="CF42" i="36"/>
  <c r="CJ41" i="36"/>
  <c r="CJ42" i="36" s="1"/>
  <c r="CI41" i="36"/>
  <c r="CI42" i="36" s="1"/>
  <c r="CH41" i="36"/>
  <c r="CH42" i="36" s="1"/>
  <c r="CG41" i="36"/>
  <c r="CF41" i="36"/>
  <c r="CE41" i="36"/>
  <c r="CE42" i="36" s="1"/>
  <c r="CD41" i="36"/>
  <c r="CD42" i="36" s="1"/>
  <c r="S40" i="36"/>
  <c r="R40" i="36"/>
  <c r="Q40" i="36"/>
  <c r="N40" i="36"/>
  <c r="M40" i="36"/>
  <c r="L40" i="36"/>
  <c r="K40" i="36"/>
  <c r="J40" i="36"/>
  <c r="I40" i="36"/>
  <c r="H40" i="36"/>
  <c r="G40" i="36"/>
  <c r="F40" i="36"/>
  <c r="E40" i="36"/>
  <c r="D40" i="36"/>
  <c r="D41" i="36" s="1"/>
  <c r="CJ38" i="36"/>
  <c r="CI38" i="36"/>
  <c r="CH38" i="36"/>
  <c r="CG38" i="36"/>
  <c r="CF38" i="36"/>
  <c r="CE38" i="36"/>
  <c r="CD38" i="36"/>
  <c r="O37" i="36"/>
  <c r="O41" i="36" s="1"/>
  <c r="N37" i="36"/>
  <c r="M37" i="36"/>
  <c r="M41" i="36" s="1"/>
  <c r="L37" i="36"/>
  <c r="L41" i="36" s="1"/>
  <c r="K37" i="36"/>
  <c r="J37" i="36"/>
  <c r="I37" i="36"/>
  <c r="I41" i="36" s="1"/>
  <c r="H37" i="36"/>
  <c r="H41" i="36" s="1"/>
  <c r="G37" i="36"/>
  <c r="F37" i="36"/>
  <c r="E37" i="36"/>
  <c r="E41" i="36" s="1"/>
  <c r="J41" i="36" l="1"/>
  <c r="F41" i="36"/>
  <c r="N41" i="36"/>
  <c r="G41" i="36"/>
  <c r="K41" i="36"/>
  <c r="R12" i="37"/>
  <c r="S11" i="37"/>
  <c r="CI38" i="37"/>
  <c r="M15" i="37"/>
  <c r="M54" i="37" s="1"/>
  <c r="N6" i="37"/>
  <c r="O51" i="37"/>
  <c r="O60" i="37"/>
  <c r="CD38" i="37"/>
  <c r="H15" i="37"/>
  <c r="H54" i="37" s="1"/>
  <c r="G6" i="37"/>
  <c r="Q19" i="37"/>
  <c r="T40" i="36"/>
  <c r="CG31" i="36"/>
  <c r="CF31" i="36"/>
  <c r="CE31" i="36"/>
  <c r="CD31" i="36"/>
  <c r="N31" i="36"/>
  <c r="M31" i="36"/>
  <c r="L31" i="36"/>
  <c r="K31" i="36"/>
  <c r="J31" i="36"/>
  <c r="I31" i="36"/>
  <c r="H31" i="36"/>
  <c r="G31" i="36"/>
  <c r="F31" i="36"/>
  <c r="E31" i="36"/>
  <c r="D31" i="36"/>
  <c r="N30" i="36"/>
  <c r="M30" i="36"/>
  <c r="L30" i="36"/>
  <c r="K30" i="36"/>
  <c r="J30" i="36"/>
  <c r="I30" i="36"/>
  <c r="H30" i="36"/>
  <c r="G30" i="36"/>
  <c r="F30" i="36"/>
  <c r="E30" i="36"/>
  <c r="D30" i="36"/>
  <c r="G15" i="37" l="1"/>
  <c r="G54" i="37" s="1"/>
  <c r="F6" i="37"/>
  <c r="S12" i="37"/>
  <c r="T11" i="37"/>
  <c r="T12" i="37" s="1"/>
  <c r="Q30" i="37"/>
  <c r="R19" i="37"/>
  <c r="CJ38" i="37"/>
  <c r="N15" i="37"/>
  <c r="N54" i="37" s="1"/>
  <c r="O6" i="37"/>
  <c r="D34" i="36"/>
  <c r="O29" i="36"/>
  <c r="N29" i="36"/>
  <c r="N34" i="36" s="1"/>
  <c r="M29" i="36"/>
  <c r="M34" i="36" s="1"/>
  <c r="L29" i="36"/>
  <c r="L34" i="36" s="1"/>
  <c r="K29" i="36"/>
  <c r="K34" i="36" s="1"/>
  <c r="J29" i="36"/>
  <c r="J34" i="36" s="1"/>
  <c r="I29" i="36"/>
  <c r="I34" i="36" s="1"/>
  <c r="H29" i="36"/>
  <c r="H34" i="36" s="1"/>
  <c r="G29" i="36"/>
  <c r="G34" i="36" s="1"/>
  <c r="F29" i="36"/>
  <c r="F34" i="36" s="1"/>
  <c r="E29" i="36"/>
  <c r="E34" i="36" s="1"/>
  <c r="CG26" i="36"/>
  <c r="CF26" i="36"/>
  <c r="CE26" i="36"/>
  <c r="CD26" i="36"/>
  <c r="F15" i="37" l="1"/>
  <c r="F54" i="37" s="1"/>
  <c r="E6" i="37"/>
  <c r="Q29" i="37"/>
  <c r="Q32" i="37"/>
  <c r="Q21" i="37"/>
  <c r="R30" i="37"/>
  <c r="S19" i="37"/>
  <c r="O15" i="37"/>
  <c r="O54" i="37" s="1"/>
  <c r="P6" i="37"/>
  <c r="AX25" i="36"/>
  <c r="N24" i="36"/>
  <c r="M24" i="36"/>
  <c r="L24" i="36"/>
  <c r="K24" i="36"/>
  <c r="J24" i="36"/>
  <c r="I24" i="36"/>
  <c r="H24" i="36"/>
  <c r="G24" i="36"/>
  <c r="F24" i="36"/>
  <c r="E24" i="36"/>
  <c r="D24" i="36"/>
  <c r="K23" i="36"/>
  <c r="J23" i="36"/>
  <c r="I23" i="36"/>
  <c r="H23" i="36"/>
  <c r="G23" i="36"/>
  <c r="F23" i="36"/>
  <c r="E23" i="36"/>
  <c r="D23" i="36"/>
  <c r="AZ21" i="36"/>
  <c r="O31" i="36"/>
  <c r="Q31" i="37" l="1"/>
  <c r="Q35" i="37" s="1"/>
  <c r="P15" i="37"/>
  <c r="P54" i="37" s="1"/>
  <c r="Q6" i="37"/>
  <c r="S30" i="37"/>
  <c r="T19" i="37"/>
  <c r="E15" i="37"/>
  <c r="E54" i="37" s="1"/>
  <c r="D6" i="37"/>
  <c r="N67" i="36"/>
  <c r="N68" i="36" s="1"/>
  <c r="N25" i="36"/>
  <c r="J25" i="36"/>
  <c r="F25" i="36"/>
  <c r="M25" i="36"/>
  <c r="I25" i="36"/>
  <c r="D25" i="36"/>
  <c r="L25" i="36"/>
  <c r="K25" i="36"/>
  <c r="G25" i="36"/>
  <c r="E25" i="36"/>
  <c r="H25" i="36"/>
  <c r="Q20" i="36"/>
  <c r="R20" i="36" s="1"/>
  <c r="S20" i="36" s="1"/>
  <c r="T20" i="36" s="1"/>
  <c r="AZ15" i="36"/>
  <c r="AZ13" i="36" s="1"/>
  <c r="T15" i="36"/>
  <c r="T54" i="36" s="1"/>
  <c r="S15" i="36"/>
  <c r="S54" i="36" s="1"/>
  <c r="R15" i="36"/>
  <c r="R54" i="36" s="1"/>
  <c r="Q15" i="36"/>
  <c r="Q54" i="36" s="1"/>
  <c r="P15" i="36"/>
  <c r="P54" i="36" s="1"/>
  <c r="O15" i="36"/>
  <c r="O54" i="36" s="1"/>
  <c r="N15" i="36"/>
  <c r="N54" i="36" s="1"/>
  <c r="M15" i="36"/>
  <c r="M54" i="36" s="1"/>
  <c r="L15" i="36"/>
  <c r="L54" i="36" s="1"/>
  <c r="K15" i="36"/>
  <c r="K54" i="36" s="1"/>
  <c r="J15" i="36"/>
  <c r="J54" i="36" s="1"/>
  <c r="I15" i="36"/>
  <c r="I54" i="36" s="1"/>
  <c r="H15" i="36"/>
  <c r="H54" i="36" s="1"/>
  <c r="G15" i="36"/>
  <c r="G54" i="36" s="1"/>
  <c r="F15" i="36"/>
  <c r="F54" i="36" s="1"/>
  <c r="E15" i="36"/>
  <c r="E54" i="36" s="1"/>
  <c r="D15" i="36"/>
  <c r="D54" i="36" s="1"/>
  <c r="N12" i="36"/>
  <c r="N23" i="36" s="1"/>
  <c r="M12" i="36"/>
  <c r="M23" i="36" s="1"/>
  <c r="L12" i="36"/>
  <c r="L23" i="36" s="1"/>
  <c r="K12" i="36"/>
  <c r="J12" i="36"/>
  <c r="I12" i="36"/>
  <c r="H12" i="36"/>
  <c r="G12" i="36"/>
  <c r="F12" i="36"/>
  <c r="E12" i="36"/>
  <c r="D12" i="36"/>
  <c r="T30" i="37" l="1"/>
  <c r="R29" i="37"/>
  <c r="R32" i="37"/>
  <c r="R21" i="37"/>
  <c r="Q15" i="37"/>
  <c r="Q54" i="37" s="1"/>
  <c r="R6" i="37"/>
  <c r="D15" i="37"/>
  <c r="D54" i="37" s="1"/>
  <c r="F93" i="36"/>
  <c r="F95" i="36" s="1"/>
  <c r="F99" i="36" s="1"/>
  <c r="F51" i="36"/>
  <c r="H93" i="36"/>
  <c r="H95" i="36" s="1"/>
  <c r="H99" i="36" s="1"/>
  <c r="H51" i="36"/>
  <c r="D93" i="36"/>
  <c r="D95" i="36" s="1"/>
  <c r="D99" i="36" s="1"/>
  <c r="D51" i="36"/>
  <c r="AZ16" i="36"/>
  <c r="E93" i="36"/>
  <c r="E95" i="36" s="1"/>
  <c r="E99" i="36" s="1"/>
  <c r="E51" i="36"/>
  <c r="I51" i="36"/>
  <c r="I93" i="36"/>
  <c r="I95" i="36" s="1"/>
  <c r="I99" i="36" s="1"/>
  <c r="J93" i="36"/>
  <c r="J95" i="36" s="1"/>
  <c r="J99" i="36" s="1"/>
  <c r="J51" i="36"/>
  <c r="BA12" i="36"/>
  <c r="K93" i="36"/>
  <c r="K95" i="36" s="1"/>
  <c r="K99" i="36" s="1"/>
  <c r="K51" i="36"/>
  <c r="G93" i="36"/>
  <c r="G95" i="36" s="1"/>
  <c r="G99" i="36" s="1"/>
  <c r="G51" i="36"/>
  <c r="L93" i="36"/>
  <c r="L95" i="36" s="1"/>
  <c r="L99" i="36" s="1"/>
  <c r="L51" i="36"/>
  <c r="M93" i="36"/>
  <c r="M95" i="36" s="1"/>
  <c r="M99" i="36" s="1"/>
  <c r="M51" i="36"/>
  <c r="N93" i="36"/>
  <c r="N95" i="36" s="1"/>
  <c r="N99" i="36" s="1"/>
  <c r="N60" i="36"/>
  <c r="N62" i="36" s="1"/>
  <c r="N69" i="36" s="1"/>
  <c r="N51" i="36"/>
  <c r="BG7" i="36"/>
  <c r="R10" i="36"/>
  <c r="S10" i="36" s="1"/>
  <c r="T10" i="36" s="1"/>
  <c r="R9" i="36"/>
  <c r="S9" i="36" s="1"/>
  <c r="T9" i="36" s="1"/>
  <c r="R8" i="36"/>
  <c r="S8" i="36" s="1"/>
  <c r="T8" i="36" s="1"/>
  <c r="CJ3" i="36"/>
  <c r="CI3" i="36"/>
  <c r="BG6" i="36" l="1"/>
  <c r="BG6" i="37" s="1"/>
  <c r="BG7" i="37"/>
  <c r="R31" i="37"/>
  <c r="R35" i="37" s="1"/>
  <c r="R15" i="37"/>
  <c r="R54" i="37" s="1"/>
  <c r="S6" i="37"/>
  <c r="AZ12" i="36"/>
  <c r="AZ11" i="36"/>
  <c r="R11" i="36"/>
  <c r="H3" i="36"/>
  <c r="K1" i="36"/>
  <c r="D47" i="19"/>
  <c r="E47" i="19" s="1"/>
  <c r="E46" i="19"/>
  <c r="D46" i="19"/>
  <c r="D44" i="19"/>
  <c r="D43" i="19"/>
  <c r="D42" i="19"/>
  <c r="D33" i="19"/>
  <c r="K21" i="19"/>
  <c r="K20" i="19"/>
  <c r="K19" i="19"/>
  <c r="K12" i="19"/>
  <c r="K9" i="19"/>
  <c r="I63" i="9"/>
  <c r="F61" i="9"/>
  <c r="F63" i="9" s="1"/>
  <c r="E61" i="9"/>
  <c r="E63" i="9" s="1"/>
  <c r="D61" i="9"/>
  <c r="D63" i="9" s="1"/>
  <c r="I60" i="9"/>
  <c r="H60" i="9"/>
  <c r="G60" i="9"/>
  <c r="V60" i="9"/>
  <c r="U60" i="9"/>
  <c r="T60" i="9"/>
  <c r="S60" i="9"/>
  <c r="R60" i="9"/>
  <c r="Q60" i="9"/>
  <c r="P60" i="9"/>
  <c r="O60" i="9"/>
  <c r="N60" i="9"/>
  <c r="M60" i="9"/>
  <c r="L60" i="9"/>
  <c r="K60" i="9"/>
  <c r="J60" i="9"/>
  <c r="V59" i="9"/>
  <c r="U59" i="9"/>
  <c r="T59" i="9"/>
  <c r="S59" i="9"/>
  <c r="R59" i="9"/>
  <c r="Q59" i="9"/>
  <c r="P59" i="9"/>
  <c r="O59" i="9"/>
  <c r="N59" i="9"/>
  <c r="M59" i="9"/>
  <c r="L59" i="9"/>
  <c r="K59" i="9"/>
  <c r="J59" i="9"/>
  <c r="V58" i="9"/>
  <c r="U58" i="9"/>
  <c r="T58" i="9"/>
  <c r="S58" i="9"/>
  <c r="R58" i="9"/>
  <c r="Q58" i="9"/>
  <c r="P58" i="9"/>
  <c r="O58" i="9"/>
  <c r="N58" i="9"/>
  <c r="M58" i="9"/>
  <c r="L58" i="9"/>
  <c r="K58" i="9"/>
  <c r="J58" i="9"/>
  <c r="F117" i="9"/>
  <c r="E117" i="9"/>
  <c r="D117" i="9"/>
  <c r="I116" i="9"/>
  <c r="H116" i="9"/>
  <c r="G116" i="9"/>
  <c r="F116" i="9"/>
  <c r="E116" i="9"/>
  <c r="D116" i="9"/>
  <c r="S34" i="9"/>
  <c r="R34" i="9"/>
  <c r="Q34" i="9"/>
  <c r="P34" i="9"/>
  <c r="L34" i="9"/>
  <c r="K34" i="9"/>
  <c r="J34" i="9"/>
  <c r="I34" i="9"/>
  <c r="I115" i="9" s="1"/>
  <c r="H34" i="9"/>
  <c r="G34" i="9"/>
  <c r="F34" i="9"/>
  <c r="E34" i="9"/>
  <c r="D34" i="9"/>
  <c r="D14" i="9"/>
  <c r="E21" i="9"/>
  <c r="D35" i="35"/>
  <c r="D34" i="35"/>
  <c r="J35" i="35"/>
  <c r="K35" i="35" s="1"/>
  <c r="J34" i="35"/>
  <c r="K34" i="35" s="1"/>
  <c r="G35" i="35"/>
  <c r="H35" i="35" s="1"/>
  <c r="G34" i="35"/>
  <c r="D32" i="35"/>
  <c r="D31" i="35"/>
  <c r="D30" i="35"/>
  <c r="Q31" i="35"/>
  <c r="J32" i="35"/>
  <c r="J31" i="35"/>
  <c r="K31" i="35" s="1"/>
  <c r="J30" i="35"/>
  <c r="G32" i="35"/>
  <c r="G31" i="35"/>
  <c r="G30" i="35"/>
  <c r="H28" i="35"/>
  <c r="D28" i="35"/>
  <c r="D27" i="35"/>
  <c r="J28" i="35"/>
  <c r="K28" i="35" s="1"/>
  <c r="J27" i="35"/>
  <c r="K27" i="35" s="1"/>
  <c r="G27" i="35"/>
  <c r="H27" i="35" s="1"/>
  <c r="D25" i="35"/>
  <c r="D24" i="35"/>
  <c r="D23" i="35"/>
  <c r="D22" i="35"/>
  <c r="Q23" i="35"/>
  <c r="Q22" i="35"/>
  <c r="J25" i="35"/>
  <c r="K25" i="35" s="1"/>
  <c r="J24" i="35"/>
  <c r="J23" i="35"/>
  <c r="K23" i="35" s="1"/>
  <c r="J22" i="35"/>
  <c r="K22" i="35" s="1"/>
  <c r="G25" i="35"/>
  <c r="H25" i="35" s="1"/>
  <c r="G24" i="35"/>
  <c r="G23" i="35"/>
  <c r="H23" i="35" s="1"/>
  <c r="G22" i="35"/>
  <c r="H22" i="35" s="1"/>
  <c r="C19" i="35"/>
  <c r="D18" i="35"/>
  <c r="D17" i="35"/>
  <c r="D16" i="35"/>
  <c r="R18" i="35"/>
  <c r="Q18" i="35"/>
  <c r="R17" i="35"/>
  <c r="Q17" i="35"/>
  <c r="J18" i="35"/>
  <c r="K18" i="35" s="1"/>
  <c r="J17" i="35"/>
  <c r="J16" i="35"/>
  <c r="K16" i="35" s="1"/>
  <c r="G18" i="35"/>
  <c r="H18" i="35" s="1"/>
  <c r="G17" i="35"/>
  <c r="G16" i="35"/>
  <c r="H16" i="35" s="1"/>
  <c r="C14" i="35"/>
  <c r="D13" i="35"/>
  <c r="D12" i="35"/>
  <c r="D11" i="35"/>
  <c r="R13" i="35"/>
  <c r="Q13" i="35"/>
  <c r="R12" i="35"/>
  <c r="Q12" i="35"/>
  <c r="J13" i="35"/>
  <c r="K13" i="35" s="1"/>
  <c r="J12" i="35"/>
  <c r="K12" i="35" s="1"/>
  <c r="J11" i="35"/>
  <c r="K11" i="35" s="1"/>
  <c r="G13" i="35"/>
  <c r="H13" i="35" s="1"/>
  <c r="G12" i="35"/>
  <c r="H12" i="35" s="1"/>
  <c r="G11" i="35"/>
  <c r="H11" i="35" s="1"/>
  <c r="C9" i="35"/>
  <c r="D8" i="35"/>
  <c r="D7" i="35"/>
  <c r="D6" i="35"/>
  <c r="R8" i="35"/>
  <c r="Q8" i="35"/>
  <c r="R7" i="35"/>
  <c r="Q7" i="35"/>
  <c r="J8" i="35"/>
  <c r="K8" i="35" s="1"/>
  <c r="J7" i="35"/>
  <c r="K7" i="35" s="1"/>
  <c r="J6" i="35"/>
  <c r="K6" i="35" s="1"/>
  <c r="G8" i="35"/>
  <c r="H8" i="35" s="1"/>
  <c r="G7" i="35"/>
  <c r="H7" i="35" s="1"/>
  <c r="G6" i="35"/>
  <c r="H6" i="35" s="1"/>
  <c r="O3" i="35"/>
  <c r="N3" i="35"/>
  <c r="M3" i="35"/>
  <c r="D54" i="19" l="1"/>
  <c r="D59" i="19" s="1"/>
  <c r="D65" i="19"/>
  <c r="E115" i="9"/>
  <c r="E97" i="9"/>
  <c r="E103" i="9" s="1"/>
  <c r="G115" i="9"/>
  <c r="D115" i="9"/>
  <c r="D97" i="9"/>
  <c r="F115" i="9"/>
  <c r="H115" i="9"/>
  <c r="E42" i="9"/>
  <c r="E90" i="9" s="1"/>
  <c r="F44" i="9"/>
  <c r="D9" i="35"/>
  <c r="E17" i="9"/>
  <c r="E19" i="9"/>
  <c r="D22" i="9"/>
  <c r="D19" i="9"/>
  <c r="E18" i="9"/>
  <c r="E22" i="9"/>
  <c r="E20" i="9"/>
  <c r="I122" i="9"/>
  <c r="D37" i="9"/>
  <c r="D100" i="9" s="1"/>
  <c r="D42" i="9"/>
  <c r="F37" i="9"/>
  <c r="H37" i="9"/>
  <c r="G19" i="35"/>
  <c r="H19" i="35" s="1"/>
  <c r="J19" i="35"/>
  <c r="K19" i="35" s="1"/>
  <c r="G9" i="35"/>
  <c r="H9" i="35" s="1"/>
  <c r="J9" i="35"/>
  <c r="K9" i="35" s="1"/>
  <c r="D14" i="35"/>
  <c r="H17" i="35"/>
  <c r="K17" i="35"/>
  <c r="K24" i="35"/>
  <c r="H3" i="37"/>
  <c r="S29" i="37"/>
  <c r="S32" i="37"/>
  <c r="S21" i="37"/>
  <c r="S15" i="37"/>
  <c r="S54" i="37" s="1"/>
  <c r="T6" i="37"/>
  <c r="T15" i="37" s="1"/>
  <c r="T54" i="37" s="1"/>
  <c r="O89" i="36"/>
  <c r="O91" i="36" s="1"/>
  <c r="O30" i="36"/>
  <c r="O25" i="36"/>
  <c r="R12" i="36"/>
  <c r="S11" i="36"/>
  <c r="G46" i="19"/>
  <c r="H46" i="19" s="1"/>
  <c r="G76" i="9"/>
  <c r="F74" i="9"/>
  <c r="F42" i="9"/>
  <c r="F90" i="9" s="1"/>
  <c r="H76" i="9"/>
  <c r="H44" i="9"/>
  <c r="H92" i="9" s="1"/>
  <c r="E77" i="9"/>
  <c r="G44" i="9"/>
  <c r="G92" i="9" s="1"/>
  <c r="H122" i="9"/>
  <c r="E43" i="9"/>
  <c r="E91" i="9" s="1"/>
  <c r="E74" i="9"/>
  <c r="E31" i="9"/>
  <c r="F75" i="9"/>
  <c r="D77" i="9"/>
  <c r="G75" i="9"/>
  <c r="G43" i="9"/>
  <c r="G91" i="9" s="1"/>
  <c r="D44" i="9"/>
  <c r="D92" i="9" s="1"/>
  <c r="D31" i="9"/>
  <c r="D79" i="9" s="1"/>
  <c r="F43" i="9"/>
  <c r="F91" i="9" s="1"/>
  <c r="L115" i="9"/>
  <c r="P115" i="9"/>
  <c r="K116" i="9"/>
  <c r="O116" i="9"/>
  <c r="J117" i="9"/>
  <c r="N117" i="9"/>
  <c r="R117" i="9"/>
  <c r="V117" i="9"/>
  <c r="I117" i="9"/>
  <c r="D75" i="9"/>
  <c r="D74" i="9"/>
  <c r="F76" i="9"/>
  <c r="E37" i="9"/>
  <c r="G42" i="9"/>
  <c r="G90" i="9" s="1"/>
  <c r="D43" i="9"/>
  <c r="D91" i="9" s="1"/>
  <c r="H43" i="9"/>
  <c r="H91" i="9" s="1"/>
  <c r="E44" i="9"/>
  <c r="E92" i="9" s="1"/>
  <c r="Q115" i="9"/>
  <c r="L116" i="9"/>
  <c r="P116" i="9"/>
  <c r="K117" i="9"/>
  <c r="O117" i="9"/>
  <c r="S117" i="9"/>
  <c r="E75" i="9"/>
  <c r="J115" i="9"/>
  <c r="R115" i="9"/>
  <c r="M116" i="9"/>
  <c r="Q116" i="9"/>
  <c r="L117" i="9"/>
  <c r="P117" i="9"/>
  <c r="G117" i="9"/>
  <c r="K115" i="9"/>
  <c r="S115" i="9"/>
  <c r="J116" i="9"/>
  <c r="N116" i="9"/>
  <c r="R116" i="9"/>
  <c r="M117" i="9"/>
  <c r="Q117" i="9"/>
  <c r="U117" i="9"/>
  <c r="H117" i="9"/>
  <c r="D105" i="9"/>
  <c r="D19" i="35"/>
  <c r="H30" i="35"/>
  <c r="C32" i="35"/>
  <c r="G14" i="35"/>
  <c r="H14" i="35" s="1"/>
  <c r="J14" i="35"/>
  <c r="K14" i="35" s="1"/>
  <c r="H24" i="35"/>
  <c r="K30" i="35"/>
  <c r="H34" i="35"/>
  <c r="O28" i="10"/>
  <c r="O27" i="10"/>
  <c r="O26" i="10"/>
  <c r="O25" i="10"/>
  <c r="O24" i="10"/>
  <c r="O23" i="10"/>
  <c r="O22" i="10"/>
  <c r="O21" i="10"/>
  <c r="O20" i="10"/>
  <c r="O19" i="10"/>
  <c r="O18" i="10"/>
  <c r="O17" i="10"/>
  <c r="O16" i="10"/>
  <c r="O15" i="10"/>
  <c r="O14" i="10"/>
  <c r="O13" i="10"/>
  <c r="O12" i="10"/>
  <c r="O11" i="10"/>
  <c r="O10" i="10"/>
  <c r="O9" i="10"/>
  <c r="O8" i="10"/>
  <c r="O7" i="10"/>
  <c r="G64" i="10"/>
  <c r="AE64" i="10" s="1"/>
  <c r="E64" i="10"/>
  <c r="F65" i="10" s="1"/>
  <c r="G63" i="10"/>
  <c r="AE63" i="10" s="1"/>
  <c r="E63" i="10"/>
  <c r="G62" i="10"/>
  <c r="E62" i="10"/>
  <c r="G61" i="10"/>
  <c r="E61" i="10"/>
  <c r="C61" i="10"/>
  <c r="G60" i="10"/>
  <c r="AE60" i="10" s="1"/>
  <c r="E60" i="10"/>
  <c r="C60" i="10"/>
  <c r="Z60" i="10" s="1"/>
  <c r="G59" i="10"/>
  <c r="E59" i="10"/>
  <c r="C59" i="10"/>
  <c r="G58" i="10"/>
  <c r="E58" i="10"/>
  <c r="C58" i="10"/>
  <c r="Z58" i="10" s="1"/>
  <c r="G57" i="10"/>
  <c r="E57" i="10"/>
  <c r="C57" i="10"/>
  <c r="Z57" i="10" s="1"/>
  <c r="G56" i="10"/>
  <c r="AE56" i="10" s="1"/>
  <c r="E56" i="10"/>
  <c r="C56" i="10"/>
  <c r="Z56" i="10" s="1"/>
  <c r="G55" i="10"/>
  <c r="AE55" i="10" s="1"/>
  <c r="E55" i="10"/>
  <c r="C55" i="10"/>
  <c r="Z55" i="10" s="1"/>
  <c r="G54" i="10"/>
  <c r="E54" i="10"/>
  <c r="C54" i="10"/>
  <c r="Z54" i="10" s="1"/>
  <c r="G53" i="10"/>
  <c r="E53" i="10"/>
  <c r="C53" i="10"/>
  <c r="G52" i="10"/>
  <c r="E52" i="10"/>
  <c r="C52" i="10"/>
  <c r="G51" i="10"/>
  <c r="E51" i="10"/>
  <c r="C51" i="10"/>
  <c r="G50" i="10"/>
  <c r="E50" i="10"/>
  <c r="C50" i="10"/>
  <c r="G49" i="10"/>
  <c r="E49" i="10"/>
  <c r="C49" i="10"/>
  <c r="G48" i="10"/>
  <c r="E48" i="10"/>
  <c r="C48" i="10"/>
  <c r="G47" i="10"/>
  <c r="E47" i="10"/>
  <c r="C47" i="10"/>
  <c r="G46" i="10"/>
  <c r="E46" i="10"/>
  <c r="C46" i="10"/>
  <c r="G45" i="10"/>
  <c r="E45" i="10"/>
  <c r="C45" i="10"/>
  <c r="G44" i="10"/>
  <c r="E44" i="10"/>
  <c r="C44" i="10"/>
  <c r="G43" i="10"/>
  <c r="E43" i="10"/>
  <c r="C43" i="10"/>
  <c r="G42" i="10"/>
  <c r="E42" i="10"/>
  <c r="C42" i="10"/>
  <c r="G41" i="10"/>
  <c r="E41" i="10"/>
  <c r="C41" i="10"/>
  <c r="G40" i="10"/>
  <c r="E40" i="10"/>
  <c r="C40" i="10"/>
  <c r="G39" i="10"/>
  <c r="E39" i="10"/>
  <c r="C39" i="10"/>
  <c r="G38" i="10"/>
  <c r="E38" i="10"/>
  <c r="C38" i="10"/>
  <c r="G37" i="10"/>
  <c r="E37" i="10"/>
  <c r="C37" i="10"/>
  <c r="G36" i="10"/>
  <c r="E36" i="10"/>
  <c r="C36" i="10"/>
  <c r="G35" i="10"/>
  <c r="E35" i="10"/>
  <c r="C35" i="10"/>
  <c r="G34" i="10"/>
  <c r="E34" i="10"/>
  <c r="C34" i="10"/>
  <c r="G33" i="10"/>
  <c r="E33" i="10"/>
  <c r="C33" i="10"/>
  <c r="G32" i="10"/>
  <c r="E32" i="10"/>
  <c r="C32" i="10"/>
  <c r="G31" i="10"/>
  <c r="E31" i="10"/>
  <c r="C31" i="10"/>
  <c r="G30" i="10"/>
  <c r="E30" i="10"/>
  <c r="C30" i="10"/>
  <c r="G29" i="10"/>
  <c r="E29" i="10"/>
  <c r="C29" i="10"/>
  <c r="G28" i="10"/>
  <c r="E28" i="10"/>
  <c r="C28" i="10"/>
  <c r="G27" i="10"/>
  <c r="H27" i="10" s="1"/>
  <c r="E27" i="10"/>
  <c r="C27" i="10"/>
  <c r="H26" i="10"/>
  <c r="H25" i="10"/>
  <c r="H24" i="10"/>
  <c r="H23" i="10"/>
  <c r="H22" i="10"/>
  <c r="H21" i="10"/>
  <c r="H20" i="10"/>
  <c r="H19" i="10"/>
  <c r="H18" i="10"/>
  <c r="H17" i="10"/>
  <c r="H16" i="10"/>
  <c r="H15" i="10"/>
  <c r="H14" i="10"/>
  <c r="H13" i="10"/>
  <c r="H12" i="10"/>
  <c r="H11" i="10"/>
  <c r="H10" i="10"/>
  <c r="E26" i="10"/>
  <c r="F26" i="10" s="1"/>
  <c r="C26" i="10"/>
  <c r="F25" i="10"/>
  <c r="F24" i="10"/>
  <c r="F23" i="10"/>
  <c r="F22" i="10"/>
  <c r="F21" i="10"/>
  <c r="F20" i="10"/>
  <c r="F19" i="10"/>
  <c r="F18" i="10"/>
  <c r="F17" i="10"/>
  <c r="F16" i="10"/>
  <c r="F15" i="10"/>
  <c r="F14" i="10"/>
  <c r="F13" i="10"/>
  <c r="F12" i="10"/>
  <c r="F11" i="10"/>
  <c r="F10" i="10"/>
  <c r="D25" i="10"/>
  <c r="D24" i="10"/>
  <c r="D23" i="10"/>
  <c r="D22" i="10"/>
  <c r="D21" i="10"/>
  <c r="D20" i="10"/>
  <c r="D19" i="10"/>
  <c r="D18" i="10"/>
  <c r="D17" i="10"/>
  <c r="D16" i="10"/>
  <c r="D15" i="10"/>
  <c r="D14" i="10"/>
  <c r="D13" i="10"/>
  <c r="D12" i="10"/>
  <c r="D11" i="10"/>
  <c r="D10" i="10"/>
  <c r="T201" i="2"/>
  <c r="BT144" i="2"/>
  <c r="BP144" i="2"/>
  <c r="AZ144" i="2"/>
  <c r="AV144" i="2"/>
  <c r="AJ144" i="2"/>
  <c r="AF144" i="2"/>
  <c r="AB144" i="2"/>
  <c r="P144" i="2"/>
  <c r="O144" i="2"/>
  <c r="G128" i="9" s="1"/>
  <c r="J144" i="2"/>
  <c r="F128" i="9" s="1"/>
  <c r="BU218" i="11"/>
  <c r="BT218" i="11"/>
  <c r="BT216" i="11"/>
  <c r="BP218" i="11"/>
  <c r="BO218" i="11"/>
  <c r="BO216" i="11"/>
  <c r="BJ218" i="11"/>
  <c r="BJ216" i="11"/>
  <c r="BH218" i="11"/>
  <c r="BE218" i="11"/>
  <c r="BE216" i="11"/>
  <c r="BA218" i="11"/>
  <c r="AZ218" i="11"/>
  <c r="AZ216" i="11"/>
  <c r="AU218" i="11"/>
  <c r="AU216" i="11"/>
  <c r="AP217" i="11"/>
  <c r="AP216" i="11"/>
  <c r="AN217" i="11"/>
  <c r="AM217" i="11"/>
  <c r="AL217" i="11"/>
  <c r="AK217" i="11"/>
  <c r="AK216" i="11"/>
  <c r="AK207" i="11"/>
  <c r="AI204" i="11"/>
  <c r="AI203" i="11"/>
  <c r="AS204" i="11"/>
  <c r="AR204" i="11"/>
  <c r="AQ204" i="11"/>
  <c r="AP204" i="11"/>
  <c r="AR203" i="11"/>
  <c r="AQ203" i="11"/>
  <c r="AP203" i="11"/>
  <c r="CL203" i="11"/>
  <c r="CM203" i="11" s="1"/>
  <c r="CG203" i="11"/>
  <c r="CH203" i="11" s="1"/>
  <c r="BW204" i="11"/>
  <c r="BV204" i="11"/>
  <c r="BU204" i="11"/>
  <c r="BT204" i="11"/>
  <c r="BW203" i="11"/>
  <c r="BV203" i="11"/>
  <c r="BU203" i="11"/>
  <c r="BT203" i="11"/>
  <c r="BR204" i="11"/>
  <c r="BQ204" i="11"/>
  <c r="BP204" i="11"/>
  <c r="BO204" i="11"/>
  <c r="BR203" i="11"/>
  <c r="BS203" i="11" s="1"/>
  <c r="BQ203" i="11"/>
  <c r="BP203" i="11"/>
  <c r="BO203" i="11"/>
  <c r="BM204" i="11"/>
  <c r="BL204" i="11"/>
  <c r="BK204" i="11"/>
  <c r="BJ204" i="11"/>
  <c r="BM203" i="11"/>
  <c r="BN203" i="11" s="1"/>
  <c r="BL203" i="11"/>
  <c r="BK203" i="11"/>
  <c r="BJ203" i="11"/>
  <c r="BH204" i="11"/>
  <c r="BG204" i="11"/>
  <c r="BF204" i="11"/>
  <c r="BE204" i="11"/>
  <c r="BH203" i="11"/>
  <c r="BI203" i="11" s="1"/>
  <c r="BG203" i="11"/>
  <c r="BF203" i="11"/>
  <c r="BE203" i="11"/>
  <c r="BC204" i="11"/>
  <c r="BB204" i="11"/>
  <c r="BA204" i="11"/>
  <c r="AZ204" i="11"/>
  <c r="BC203" i="11"/>
  <c r="BD203" i="11" s="1"/>
  <c r="BB203" i="11"/>
  <c r="BA203" i="11"/>
  <c r="AZ203" i="11"/>
  <c r="AX204" i="11"/>
  <c r="AW204" i="11"/>
  <c r="AV204" i="11"/>
  <c r="AU204" i="11"/>
  <c r="AX203" i="11"/>
  <c r="AY203" i="11" s="1"/>
  <c r="AW203" i="11"/>
  <c r="AV203" i="11"/>
  <c r="AU203" i="11"/>
  <c r="AS202" i="11"/>
  <c r="AT202" i="11" s="1"/>
  <c r="AN204" i="11"/>
  <c r="AO204" i="11" s="1"/>
  <c r="AM204" i="11"/>
  <c r="AL204" i="11"/>
  <c r="AK204" i="11"/>
  <c r="AN203" i="11"/>
  <c r="AO203" i="11" s="1"/>
  <c r="AM203" i="11"/>
  <c r="AL203" i="11"/>
  <c r="AK203" i="11"/>
  <c r="AK202" i="11"/>
  <c r="AL202" i="11" s="1"/>
  <c r="AM202" i="11" s="1"/>
  <c r="AN202" i="11" s="1"/>
  <c r="AZ193" i="11"/>
  <c r="AL193" i="11"/>
  <c r="AM188" i="11"/>
  <c r="AL188" i="11"/>
  <c r="AK188" i="11"/>
  <c r="BR186" i="11"/>
  <c r="BS186" i="11" s="1"/>
  <c r="BT185" i="11" s="1"/>
  <c r="BQ186" i="11"/>
  <c r="BP186" i="11"/>
  <c r="BQ185" i="11" s="1"/>
  <c r="BO186" i="11"/>
  <c r="BP185" i="11" s="1"/>
  <c r="BM186" i="11"/>
  <c r="BN186" i="11" s="1"/>
  <c r="BO185" i="11" s="1"/>
  <c r="BL186" i="11"/>
  <c r="BM185" i="11" s="1"/>
  <c r="BK186" i="11"/>
  <c r="BL185" i="11" s="1"/>
  <c r="BJ186" i="11"/>
  <c r="BK185" i="11" s="1"/>
  <c r="BH186" i="11"/>
  <c r="BI186" i="11" s="1"/>
  <c r="BJ185" i="11" s="1"/>
  <c r="BG186" i="11"/>
  <c r="BH185" i="11" s="1"/>
  <c r="BF186" i="11"/>
  <c r="BG185" i="11" s="1"/>
  <c r="BE186" i="11"/>
  <c r="BF185" i="11" s="1"/>
  <c r="BC186" i="11"/>
  <c r="BD186" i="11" s="1"/>
  <c r="BE185" i="11" s="1"/>
  <c r="BB186" i="11"/>
  <c r="BC185" i="11" s="1"/>
  <c r="BA186" i="11"/>
  <c r="BB185" i="11" s="1"/>
  <c r="AZ186" i="11"/>
  <c r="BA185" i="11" s="1"/>
  <c r="AX186" i="11"/>
  <c r="AY186" i="11" s="1"/>
  <c r="AZ185" i="11" s="1"/>
  <c r="AW186" i="11"/>
  <c r="AX185" i="11" s="1"/>
  <c r="AV186" i="11"/>
  <c r="AW185" i="11" s="1"/>
  <c r="AU186" i="11"/>
  <c r="AV185" i="11" s="1"/>
  <c r="AS186" i="11"/>
  <c r="AT186" i="11" s="1"/>
  <c r="AU185" i="11" s="1"/>
  <c r="AR186" i="11"/>
  <c r="AS185" i="11" s="1"/>
  <c r="AQ186" i="11"/>
  <c r="AR185" i="11" s="1"/>
  <c r="AP186" i="11"/>
  <c r="AQ185" i="11" s="1"/>
  <c r="CA184" i="11"/>
  <c r="BZ184" i="11"/>
  <c r="BW184" i="11"/>
  <c r="BV184" i="11"/>
  <c r="BU184" i="11"/>
  <c r="BT184" i="11"/>
  <c r="BR185" i="11"/>
  <c r="BR184" i="11"/>
  <c r="BQ184" i="11"/>
  <c r="BP184" i="11"/>
  <c r="BO184" i="11"/>
  <c r="BM184" i="11"/>
  <c r="BL184" i="11"/>
  <c r="BK184" i="11"/>
  <c r="BJ184" i="11"/>
  <c r="BH184" i="11"/>
  <c r="BG184" i="11"/>
  <c r="BF184" i="11"/>
  <c r="BE184" i="11"/>
  <c r="BC184" i="11"/>
  <c r="BB184" i="11"/>
  <c r="BA184" i="11"/>
  <c r="AZ184" i="11"/>
  <c r="AX184" i="11"/>
  <c r="AP185" i="11"/>
  <c r="AS184" i="11"/>
  <c r="AR184" i="11"/>
  <c r="AQ184" i="11"/>
  <c r="AP184" i="11"/>
  <c r="AN186" i="11"/>
  <c r="AM186" i="11"/>
  <c r="AN185" i="11" s="1"/>
  <c r="AL186" i="11"/>
  <c r="AM185" i="11" s="1"/>
  <c r="AK186" i="11"/>
  <c r="AL185" i="11" s="1"/>
  <c r="AN184" i="11"/>
  <c r="AM184" i="11"/>
  <c r="BR181" i="11"/>
  <c r="BQ181" i="11"/>
  <c r="BM181" i="11"/>
  <c r="BL181" i="11"/>
  <c r="BK181" i="11"/>
  <c r="BH181" i="11"/>
  <c r="BG181" i="11"/>
  <c r="BF181" i="11"/>
  <c r="BC181" i="11"/>
  <c r="BB181" i="11"/>
  <c r="BA181" i="11"/>
  <c r="AX181" i="11"/>
  <c r="AW181" i="11"/>
  <c r="AV181" i="11"/>
  <c r="AS181" i="11"/>
  <c r="AR181" i="11"/>
  <c r="AQ181" i="11"/>
  <c r="AN181" i="11"/>
  <c r="AM181" i="11"/>
  <c r="AL181" i="11"/>
  <c r="AQ170" i="11"/>
  <c r="AI170" i="11"/>
  <c r="AJ170" i="11" s="1"/>
  <c r="AR167" i="11"/>
  <c r="AK169" i="11"/>
  <c r="AK168" i="11"/>
  <c r="AK192" i="11" s="1"/>
  <c r="AJ249" i="3" s="1"/>
  <c r="AK167" i="11"/>
  <c r="CL165" i="11"/>
  <c r="CK165" i="11"/>
  <c r="CJ165" i="11"/>
  <c r="CI165" i="11"/>
  <c r="CG165" i="11"/>
  <c r="CF165" i="11"/>
  <c r="CE165" i="11"/>
  <c r="CD165" i="11"/>
  <c r="CB165" i="11"/>
  <c r="CA165" i="11"/>
  <c r="BZ165" i="11"/>
  <c r="BW165" i="11"/>
  <c r="BV165" i="11"/>
  <c r="BU165" i="11"/>
  <c r="BT165" i="11"/>
  <c r="BR165" i="11"/>
  <c r="BQ165" i="11"/>
  <c r="BP165" i="11"/>
  <c r="BO165" i="11"/>
  <c r="BM165" i="11"/>
  <c r="BL165" i="11"/>
  <c r="BK165" i="11"/>
  <c r="BJ165" i="11"/>
  <c r="BH165" i="11"/>
  <c r="BG165" i="11"/>
  <c r="BF165" i="11"/>
  <c r="BE165" i="11"/>
  <c r="BC165" i="11"/>
  <c r="BB165" i="11"/>
  <c r="BA165" i="11"/>
  <c r="AZ165" i="11"/>
  <c r="AX165" i="11"/>
  <c r="AQ164" i="11"/>
  <c r="AI164" i="11"/>
  <c r="AJ159" i="11"/>
  <c r="AK156" i="11" s="1"/>
  <c r="CL154" i="11"/>
  <c r="CK154" i="11"/>
  <c r="CJ154" i="11"/>
  <c r="CI154" i="11"/>
  <c r="CG154" i="11"/>
  <c r="CF154" i="11"/>
  <c r="CE154" i="11"/>
  <c r="CD154" i="11"/>
  <c r="CB154" i="11"/>
  <c r="CA154" i="11"/>
  <c r="BZ154" i="11"/>
  <c r="BW154" i="11"/>
  <c r="BV154" i="11"/>
  <c r="BU154" i="11"/>
  <c r="BT154" i="11"/>
  <c r="BR154" i="11"/>
  <c r="BQ154" i="11"/>
  <c r="BP154" i="11"/>
  <c r="BO154" i="11"/>
  <c r="BM154" i="11"/>
  <c r="BL154" i="11"/>
  <c r="BK154" i="11"/>
  <c r="BJ154" i="11"/>
  <c r="BH154" i="11"/>
  <c r="BG154" i="11"/>
  <c r="BF154" i="11"/>
  <c r="BE154" i="11"/>
  <c r="BC154" i="11"/>
  <c r="BB154" i="11"/>
  <c r="BA154" i="11"/>
  <c r="AZ154" i="11"/>
  <c r="AX154" i="11"/>
  <c r="AR156" i="11"/>
  <c r="AR155" i="11"/>
  <c r="AQ155" i="11"/>
  <c r="AP155" i="11"/>
  <c r="AP169" i="11" s="1"/>
  <c r="AS154" i="11"/>
  <c r="AR154" i="11"/>
  <c r="AQ154" i="11"/>
  <c r="AP154" i="11"/>
  <c r="AN155" i="11"/>
  <c r="AN169" i="11" s="1"/>
  <c r="AN194" i="11" s="1"/>
  <c r="AM155" i="11"/>
  <c r="AL155" i="11"/>
  <c r="AN154" i="11"/>
  <c r="AM154" i="11"/>
  <c r="AL154" i="11"/>
  <c r="AK154" i="11"/>
  <c r="AL149" i="11"/>
  <c r="AL150" i="11" s="1"/>
  <c r="BR146" i="11"/>
  <c r="BF146" i="11"/>
  <c r="G146" i="11" s="1"/>
  <c r="AM146" i="11"/>
  <c r="AK146" i="11"/>
  <c r="AK148" i="11" s="1"/>
  <c r="AK149" i="11" s="1"/>
  <c r="AK150" i="11" s="1"/>
  <c r="AL151" i="11" s="1"/>
  <c r="AL141" i="11"/>
  <c r="AL142" i="11" s="1"/>
  <c r="AM138" i="11"/>
  <c r="AM140" i="11" s="1"/>
  <c r="AK138" i="11"/>
  <c r="AK140" i="11" s="1"/>
  <c r="AK141" i="11" s="1"/>
  <c r="AK142" i="11" s="1"/>
  <c r="BU132" i="11"/>
  <c r="BV130" i="11" s="1"/>
  <c r="BR132" i="11"/>
  <c r="BS132" i="11" s="1"/>
  <c r="BT130" i="11" s="1"/>
  <c r="BV132" i="11"/>
  <c r="BT132" i="11"/>
  <c r="BU130" i="11" s="1"/>
  <c r="BQ132" i="11"/>
  <c r="BR130" i="11" s="1"/>
  <c r="BN132" i="11"/>
  <c r="BO130" i="11" s="1"/>
  <c r="BO132" i="11" s="1"/>
  <c r="BP130" i="11" s="1"/>
  <c r="AJ132" i="11"/>
  <c r="AK130" i="11" s="1"/>
  <c r="BF130" i="11"/>
  <c r="BF132" i="11" s="1"/>
  <c r="BG130" i="11" s="1"/>
  <c r="AR130" i="11"/>
  <c r="AK122" i="11"/>
  <c r="AI123" i="11"/>
  <c r="AI117" i="11"/>
  <c r="AI124" i="11" s="1"/>
  <c r="AJ115" i="11"/>
  <c r="AK113" i="11" s="1"/>
  <c r="AR112" i="11"/>
  <c r="AQ112" i="11"/>
  <c r="AP112" i="11"/>
  <c r="AP122" i="11" s="1"/>
  <c r="AP181" i="11" s="1"/>
  <c r="AN112" i="11"/>
  <c r="AM112" i="11"/>
  <c r="AL112" i="11"/>
  <c r="BU107" i="11"/>
  <c r="BU108" i="11" s="1"/>
  <c r="BU109" i="11" s="1"/>
  <c r="BU105" i="11"/>
  <c r="BW104" i="11"/>
  <c r="BW105" i="11" s="1"/>
  <c r="BV104" i="11"/>
  <c r="BV107" i="11" s="1"/>
  <c r="BV108" i="11" s="1"/>
  <c r="BA92" i="11"/>
  <c r="BS90" i="11"/>
  <c r="BT88" i="11" s="1"/>
  <c r="BT91" i="11" s="1"/>
  <c r="BT92" i="11" s="1"/>
  <c r="AJ90" i="11"/>
  <c r="AK88" i="11" s="1"/>
  <c r="AK90" i="11" s="1"/>
  <c r="AL88" i="11" s="1"/>
  <c r="BW88" i="11"/>
  <c r="BW89" i="11" s="1"/>
  <c r="BV88" i="11"/>
  <c r="BV91" i="11" s="1"/>
  <c r="BV92" i="11" s="1"/>
  <c r="BU88" i="11"/>
  <c r="BU91" i="11" s="1"/>
  <c r="BU92" i="11" s="1"/>
  <c r="BR88" i="11"/>
  <c r="BR91" i="11" s="1"/>
  <c r="BR92" i="11" s="1"/>
  <c r="BF88" i="11"/>
  <c r="BA84" i="11"/>
  <c r="AJ82" i="11"/>
  <c r="AK80" i="11" s="1"/>
  <c r="BS74" i="11"/>
  <c r="BT72" i="11" s="1"/>
  <c r="BT75" i="11" s="1"/>
  <c r="BT76" i="11" s="1"/>
  <c r="AJ74" i="11"/>
  <c r="AK72" i="11" s="1"/>
  <c r="AK74" i="11" s="1"/>
  <c r="AL72" i="11" s="1"/>
  <c r="BU72" i="11"/>
  <c r="BU75" i="11" s="1"/>
  <c r="BU76" i="11" s="1"/>
  <c r="BV72" i="11"/>
  <c r="BV74" i="11" s="1"/>
  <c r="BW72" i="11" s="1"/>
  <c r="BR72" i="11"/>
  <c r="BR75" i="11" s="1"/>
  <c r="BR76" i="11" s="1"/>
  <c r="BS66" i="11"/>
  <c r="BT64" i="11" s="1"/>
  <c r="BT67" i="11" s="1"/>
  <c r="BT68" i="11" s="1"/>
  <c r="AJ66" i="11"/>
  <c r="AK64" i="11" s="1"/>
  <c r="BW64" i="11"/>
  <c r="BW65" i="11" s="1"/>
  <c r="BV64" i="11"/>
  <c r="BV67" i="11" s="1"/>
  <c r="BV68" i="11" s="1"/>
  <c r="BU64" i="11"/>
  <c r="BU67" i="11" s="1"/>
  <c r="BU68" i="11" s="1"/>
  <c r="BR64" i="11"/>
  <c r="BR67" i="11" s="1"/>
  <c r="BR68" i="11" s="1"/>
  <c r="BS58" i="11"/>
  <c r="BW56" i="11"/>
  <c r="BV56" i="11"/>
  <c r="BV59" i="11" s="1"/>
  <c r="BV60" i="11" s="1"/>
  <c r="BU56" i="11"/>
  <c r="BU59" i="11" s="1"/>
  <c r="BU60" i="11" s="1"/>
  <c r="BT56" i="11"/>
  <c r="BT59" i="11" s="1"/>
  <c r="BT60" i="11" s="1"/>
  <c r="BR56" i="11"/>
  <c r="BR59" i="11" s="1"/>
  <c r="BR60" i="11" s="1"/>
  <c r="AQ56" i="11"/>
  <c r="AQ58" i="11" s="1"/>
  <c r="AR56" i="11" s="1"/>
  <c r="AP56" i="11"/>
  <c r="AP59" i="11" s="1"/>
  <c r="AP60" i="11" s="1"/>
  <c r="AZ52" i="11"/>
  <c r="BS50" i="11"/>
  <c r="BT48" i="11" s="1"/>
  <c r="BT51" i="11" s="1"/>
  <c r="BT52" i="11" s="1"/>
  <c r="AJ50" i="11"/>
  <c r="BW48" i="11"/>
  <c r="BV48" i="11"/>
  <c r="BV51" i="11" s="1"/>
  <c r="BV52" i="11" s="1"/>
  <c r="BU48" i="11"/>
  <c r="BU51" i="11" s="1"/>
  <c r="BU52" i="11" s="1"/>
  <c r="BR48" i="11"/>
  <c r="BR51" i="11" s="1"/>
  <c r="BR52" i="11" s="1"/>
  <c r="BA48" i="11"/>
  <c r="AK48" i="11"/>
  <c r="BS42" i="11"/>
  <c r="BT40" i="11" s="1"/>
  <c r="BT43" i="11" s="1"/>
  <c r="BT44" i="11" s="1"/>
  <c r="AJ42" i="11"/>
  <c r="AK40" i="11" s="1"/>
  <c r="BW40" i="11"/>
  <c r="BV40" i="11"/>
  <c r="BV43" i="11" s="1"/>
  <c r="BV44" i="11" s="1"/>
  <c r="BU40" i="11"/>
  <c r="BU43" i="11" s="1"/>
  <c r="BU44" i="11" s="1"/>
  <c r="BR40" i="11"/>
  <c r="BR43" i="11" s="1"/>
  <c r="BR44" i="11" s="1"/>
  <c r="AJ34" i="11"/>
  <c r="AK32" i="11" s="1"/>
  <c r="AK34" i="11" s="1"/>
  <c r="AL32" i="11" s="1"/>
  <c r="AJ26" i="11"/>
  <c r="AK24" i="11" s="1"/>
  <c r="AK26" i="11" s="1"/>
  <c r="AL24" i="11" s="1"/>
  <c r="AL26" i="11" s="1"/>
  <c r="AM24" i="11" s="1"/>
  <c r="CL21" i="11"/>
  <c r="CK21" i="11"/>
  <c r="CJ21" i="11"/>
  <c r="CI21" i="11"/>
  <c r="CG21" i="11"/>
  <c r="CF21" i="11"/>
  <c r="CE21" i="11"/>
  <c r="CD21" i="11"/>
  <c r="CB21" i="11"/>
  <c r="CA21" i="11"/>
  <c r="BZ21" i="11"/>
  <c r="BW21" i="11"/>
  <c r="BV21" i="11"/>
  <c r="BU21" i="11"/>
  <c r="BT21" i="11"/>
  <c r="BR21" i="11"/>
  <c r="BQ21" i="11"/>
  <c r="BP21" i="11"/>
  <c r="BO21" i="11"/>
  <c r="BM21" i="11"/>
  <c r="BL21" i="11"/>
  <c r="BK21" i="11"/>
  <c r="BJ21" i="11"/>
  <c r="BH21" i="11"/>
  <c r="BG21" i="11"/>
  <c r="BF21" i="11"/>
  <c r="BE21" i="11"/>
  <c r="BC21" i="11"/>
  <c r="BB21" i="11"/>
  <c r="BA21" i="11"/>
  <c r="AZ21" i="11"/>
  <c r="AX21" i="11"/>
  <c r="AW21" i="11"/>
  <c r="AV21" i="11"/>
  <c r="AU21" i="11"/>
  <c r="AS21" i="11"/>
  <c r="AR21" i="11"/>
  <c r="AQ21" i="11"/>
  <c r="AP21" i="11"/>
  <c r="AN21" i="11"/>
  <c r="AM21" i="11"/>
  <c r="AL21" i="11"/>
  <c r="AK21" i="11"/>
  <c r="AI21" i="11"/>
  <c r="AU16" i="11"/>
  <c r="AU17" i="11" s="1"/>
  <c r="AJ16" i="11"/>
  <c r="AK13" i="11" s="1"/>
  <c r="AK16" i="11" s="1"/>
  <c r="CL12" i="11"/>
  <c r="CK12" i="11"/>
  <c r="CJ12" i="11"/>
  <c r="CI12" i="11"/>
  <c r="CG12" i="11"/>
  <c r="CF12" i="11"/>
  <c r="CE12" i="11"/>
  <c r="CD12" i="11"/>
  <c r="CB12" i="11"/>
  <c r="CA12" i="11"/>
  <c r="BZ12" i="11"/>
  <c r="BW12" i="11"/>
  <c r="BV12" i="11"/>
  <c r="BU12" i="11"/>
  <c r="BT12" i="11"/>
  <c r="BR12" i="11"/>
  <c r="BQ12" i="11"/>
  <c r="BP12" i="11"/>
  <c r="BO12" i="11"/>
  <c r="BM12" i="11"/>
  <c r="BL12" i="11"/>
  <c r="BK12" i="11"/>
  <c r="BJ12" i="11"/>
  <c r="BH12" i="11"/>
  <c r="BG12" i="11"/>
  <c r="BF12" i="11"/>
  <c r="BE12" i="11"/>
  <c r="BC12" i="11"/>
  <c r="BB12" i="11"/>
  <c r="BA12" i="11"/>
  <c r="AZ12" i="11"/>
  <c r="AX12" i="11"/>
  <c r="AS12" i="11"/>
  <c r="AR12" i="11"/>
  <c r="AQ12" i="11"/>
  <c r="AP12" i="11"/>
  <c r="AN12" i="11"/>
  <c r="AM12" i="11"/>
  <c r="AL12" i="11"/>
  <c r="AK12" i="11"/>
  <c r="AS9" i="11"/>
  <c r="AU9" i="11" s="1"/>
  <c r="AV9" i="11" s="1"/>
  <c r="AW9" i="11" s="1"/>
  <c r="AS8" i="11"/>
  <c r="AU8" i="11" s="1"/>
  <c r="BG8" i="11"/>
  <c r="BH8" i="11" s="1"/>
  <c r="CM5" i="11"/>
  <c r="CH5" i="11"/>
  <c r="CC5" i="11"/>
  <c r="BX5" i="11"/>
  <c r="BS5" i="11"/>
  <c r="BN5" i="11"/>
  <c r="BI5" i="11"/>
  <c r="BD5" i="11"/>
  <c r="AU5" i="11"/>
  <c r="AU12" i="11" s="1"/>
  <c r="AT5" i="11"/>
  <c r="AO5" i="11"/>
  <c r="AJ5" i="11"/>
  <c r="BX3" i="11"/>
  <c r="BS3" i="11"/>
  <c r="BN3" i="11"/>
  <c r="BI3" i="11"/>
  <c r="BD3" i="11"/>
  <c r="AY3" i="11"/>
  <c r="AT3" i="11"/>
  <c r="AO3" i="11"/>
  <c r="AN3" i="11"/>
  <c r="AM3" i="11"/>
  <c r="AL3" i="11"/>
  <c r="AK3" i="11"/>
  <c r="AJ3" i="11"/>
  <c r="AI3" i="11"/>
  <c r="AH3" i="11"/>
  <c r="AG3" i="11"/>
  <c r="CL2" i="11"/>
  <c r="CM2" i="11" s="1"/>
  <c r="CK2" i="11"/>
  <c r="CJ2" i="11"/>
  <c r="CI2" i="11"/>
  <c r="CG2" i="11"/>
  <c r="CH2" i="11" s="1"/>
  <c r="CF2" i="11"/>
  <c r="CE2" i="11"/>
  <c r="CD2" i="11"/>
  <c r="CB2" i="11"/>
  <c r="CC2" i="11" s="1"/>
  <c r="CA2" i="11"/>
  <c r="BZ2" i="11"/>
  <c r="BV278" i="3"/>
  <c r="BU278" i="3"/>
  <c r="BT278" i="3"/>
  <c r="BS278" i="3"/>
  <c r="BV277" i="3"/>
  <c r="CC277" i="3" s="1"/>
  <c r="CD277" i="3" s="1"/>
  <c r="CE277" i="3" s="1"/>
  <c r="CF277" i="3" s="1"/>
  <c r="CH277" i="3" s="1"/>
  <c r="CI277" i="3" s="1"/>
  <c r="CJ277" i="3" s="1"/>
  <c r="CK277" i="3" s="1"/>
  <c r="CM277" i="3" s="1"/>
  <c r="CN277" i="3" s="1"/>
  <c r="CO277" i="3" s="1"/>
  <c r="CP277" i="3" s="1"/>
  <c r="BU277" i="3"/>
  <c r="BT277" i="3"/>
  <c r="BS277" i="3"/>
  <c r="BP278" i="3"/>
  <c r="BO278" i="3"/>
  <c r="BN278" i="3"/>
  <c r="BP277" i="3"/>
  <c r="BO277" i="3"/>
  <c r="BN277" i="3"/>
  <c r="BL278" i="3"/>
  <c r="BK278" i="3"/>
  <c r="BJ278" i="3"/>
  <c r="BI278" i="3"/>
  <c r="BL277" i="3"/>
  <c r="BK277" i="3"/>
  <c r="BJ277" i="3"/>
  <c r="BI277" i="3"/>
  <c r="BG278" i="3"/>
  <c r="BF278" i="3"/>
  <c r="BE278" i="3"/>
  <c r="BD278" i="3"/>
  <c r="BG277" i="3"/>
  <c r="BF277" i="3"/>
  <c r="BE277" i="3"/>
  <c r="BD277" i="3"/>
  <c r="BB278" i="3"/>
  <c r="BA278" i="3"/>
  <c r="AZ278" i="3"/>
  <c r="AY278" i="3"/>
  <c r="BB277" i="3"/>
  <c r="BA277" i="3"/>
  <c r="AZ277" i="3"/>
  <c r="AY277" i="3"/>
  <c r="AW278" i="3"/>
  <c r="AV278" i="3"/>
  <c r="AU278" i="3"/>
  <c r="AT278" i="3"/>
  <c r="AV277" i="3"/>
  <c r="AT277" i="3"/>
  <c r="AR278" i="3"/>
  <c r="AQ278" i="3"/>
  <c r="AP278" i="3"/>
  <c r="AO278" i="3"/>
  <c r="AM278" i="3"/>
  <c r="AL278" i="3"/>
  <c r="AA278" i="3"/>
  <c r="AA277" i="3"/>
  <c r="BU271" i="3"/>
  <c r="BT271" i="3"/>
  <c r="BP271" i="3"/>
  <c r="BO271" i="3"/>
  <c r="BN271" i="3"/>
  <c r="BL271" i="3"/>
  <c r="BK271" i="3"/>
  <c r="BJ271" i="3"/>
  <c r="BI271" i="3"/>
  <c r="BG271" i="3"/>
  <c r="BF271" i="3"/>
  <c r="BE271" i="3"/>
  <c r="BD271" i="3"/>
  <c r="BB271" i="3"/>
  <c r="BA271" i="3"/>
  <c r="AZ271" i="3"/>
  <c r="AV271" i="3"/>
  <c r="AU271" i="3"/>
  <c r="AQ271" i="3"/>
  <c r="AP271" i="3"/>
  <c r="AO271" i="3"/>
  <c r="AM271" i="3"/>
  <c r="AL271" i="3"/>
  <c r="AA271" i="3"/>
  <c r="BQ264" i="3"/>
  <c r="BP264" i="3"/>
  <c r="BO264" i="3"/>
  <c r="BL264" i="3"/>
  <c r="BK264" i="3"/>
  <c r="BJ264" i="3"/>
  <c r="BG264" i="3"/>
  <c r="BF264" i="3"/>
  <c r="BE264" i="3"/>
  <c r="BB264" i="3"/>
  <c r="BA264" i="3"/>
  <c r="AZ264" i="3"/>
  <c r="AW264" i="3"/>
  <c r="AV264" i="3"/>
  <c r="AU264" i="3"/>
  <c r="AR264" i="3"/>
  <c r="AQ264" i="3"/>
  <c r="AP264" i="3"/>
  <c r="AM264" i="3"/>
  <c r="AL264" i="3"/>
  <c r="AK264" i="3"/>
  <c r="AH264" i="3"/>
  <c r="AG264" i="3"/>
  <c r="AF264" i="3"/>
  <c r="AC264" i="3"/>
  <c r="AB264" i="3"/>
  <c r="AA264" i="3"/>
  <c r="AA262" i="3"/>
  <c r="Z262" i="3"/>
  <c r="AD262" i="3" s="1"/>
  <c r="X264" i="3"/>
  <c r="W264" i="3"/>
  <c r="V264" i="3"/>
  <c r="W262" i="3"/>
  <c r="V262" i="3"/>
  <c r="U262" i="3"/>
  <c r="S264" i="3"/>
  <c r="R264" i="3"/>
  <c r="Q264" i="3"/>
  <c r="S262" i="3"/>
  <c r="R262" i="3"/>
  <c r="Q262" i="3"/>
  <c r="P262" i="3"/>
  <c r="N264" i="3"/>
  <c r="M264" i="3"/>
  <c r="L264" i="3"/>
  <c r="N262" i="3"/>
  <c r="M262" i="3"/>
  <c r="L262" i="3"/>
  <c r="K262" i="3"/>
  <c r="I264" i="3"/>
  <c r="H264" i="3"/>
  <c r="G264" i="3"/>
  <c r="I262" i="3"/>
  <c r="G262" i="3"/>
  <c r="BT259" i="3"/>
  <c r="BU259" i="3" s="1"/>
  <c r="BO259" i="3"/>
  <c r="BJ259" i="3"/>
  <c r="BE259" i="3"/>
  <c r="AZ259" i="3"/>
  <c r="AU259" i="3"/>
  <c r="AV259" i="3" s="1"/>
  <c r="AP259" i="3"/>
  <c r="AQ259" i="3" s="1"/>
  <c r="AR259" i="3" s="1"/>
  <c r="AK259" i="3"/>
  <c r="AL259" i="3" s="1"/>
  <c r="AM259" i="3" s="1"/>
  <c r="AF259" i="3"/>
  <c r="AA259" i="3"/>
  <c r="AB259" i="3" s="1"/>
  <c r="W259" i="3"/>
  <c r="X259" i="3" s="1"/>
  <c r="Q259" i="3"/>
  <c r="N259" i="3"/>
  <c r="BS257" i="3"/>
  <c r="BN257" i="3"/>
  <c r="BI257" i="3"/>
  <c r="BD257" i="3"/>
  <c r="AT257" i="3"/>
  <c r="AE257" i="3"/>
  <c r="AD257" i="3"/>
  <c r="U257" i="3"/>
  <c r="T257" i="3"/>
  <c r="P257" i="3"/>
  <c r="O257" i="3"/>
  <c r="F257" i="3"/>
  <c r="BU255" i="3"/>
  <c r="BV255" i="3" s="1"/>
  <c r="BP255" i="3"/>
  <c r="BQ218" i="11" s="1"/>
  <c r="BJ255" i="3"/>
  <c r="BK218" i="11" s="1"/>
  <c r="BH255" i="3"/>
  <c r="BH254" i="3"/>
  <c r="BH252" i="3"/>
  <c r="BH251" i="3"/>
  <c r="BH248" i="3"/>
  <c r="BH247" i="3"/>
  <c r="BI217" i="11" s="1"/>
  <c r="BH246" i="3"/>
  <c r="BA255" i="3"/>
  <c r="BB255" i="3" s="1"/>
  <c r="AX255" i="3"/>
  <c r="AV255" i="3"/>
  <c r="AS255" i="3"/>
  <c r="AS254" i="3"/>
  <c r="AN255" i="3"/>
  <c r="AI255" i="3"/>
  <c r="AF255" i="3"/>
  <c r="AG255" i="3" s="1"/>
  <c r="Z255" i="3"/>
  <c r="AA255" i="3" s="1"/>
  <c r="AB255" i="3" s="1"/>
  <c r="V255" i="3"/>
  <c r="W255" i="3" s="1"/>
  <c r="X255" i="3" s="1"/>
  <c r="S255" i="3"/>
  <c r="S251" i="3"/>
  <c r="S249" i="3"/>
  <c r="S248" i="3"/>
  <c r="S247" i="3"/>
  <c r="N255" i="3"/>
  <c r="N252" i="3"/>
  <c r="N249" i="3"/>
  <c r="N248" i="3"/>
  <c r="N247" i="3"/>
  <c r="I255" i="3"/>
  <c r="I254" i="3"/>
  <c r="I252" i="3"/>
  <c r="CL254" i="3"/>
  <c r="CL252" i="3"/>
  <c r="CL251" i="3"/>
  <c r="CL248" i="3"/>
  <c r="CL247" i="3"/>
  <c r="CM217" i="11" s="1"/>
  <c r="CL246" i="3"/>
  <c r="CG254" i="3"/>
  <c r="CG252" i="3"/>
  <c r="CG251" i="3"/>
  <c r="CG248" i="3"/>
  <c r="CG247" i="3"/>
  <c r="CH217" i="11" s="1"/>
  <c r="CG246" i="3"/>
  <c r="CB254" i="3"/>
  <c r="CB252" i="3"/>
  <c r="CB251" i="3"/>
  <c r="CB248" i="3"/>
  <c r="CB247" i="3"/>
  <c r="CC217" i="11" s="1"/>
  <c r="CB246" i="3"/>
  <c r="BW254" i="3"/>
  <c r="BW252" i="3"/>
  <c r="BW251" i="3"/>
  <c r="BW248" i="3"/>
  <c r="BW247" i="3"/>
  <c r="BX217" i="11" s="1"/>
  <c r="BR254" i="3"/>
  <c r="BR252" i="3"/>
  <c r="BR251" i="3"/>
  <c r="BR249" i="3"/>
  <c r="BR248" i="3"/>
  <c r="BR247" i="3"/>
  <c r="BS217" i="11" s="1"/>
  <c r="BR246" i="3"/>
  <c r="BM254" i="3"/>
  <c r="BM252" i="3"/>
  <c r="BM251" i="3"/>
  <c r="BM249" i="3"/>
  <c r="BM248" i="3"/>
  <c r="BM247" i="3"/>
  <c r="BN217" i="11" s="1"/>
  <c r="BM246" i="3"/>
  <c r="BC254" i="3"/>
  <c r="AH254" i="3"/>
  <c r="AC254" i="3"/>
  <c r="AC251" i="3"/>
  <c r="AC248" i="3"/>
  <c r="BT253" i="3"/>
  <c r="BU216" i="11" s="1"/>
  <c r="BO253" i="3"/>
  <c r="BP253" i="3" s="1"/>
  <c r="BQ253" i="3" s="1"/>
  <c r="BR216" i="11" s="1"/>
  <c r="BJ253" i="3"/>
  <c r="BK216" i="11" s="1"/>
  <c r="BE253" i="3"/>
  <c r="BF253" i="3" s="1"/>
  <c r="AZ253" i="3"/>
  <c r="BA216" i="11" s="1"/>
  <c r="AV254" i="3"/>
  <c r="AW254" i="3" s="1"/>
  <c r="AU253" i="3"/>
  <c r="AV216" i="11" s="1"/>
  <c r="AP253" i="3"/>
  <c r="AQ216" i="11" s="1"/>
  <c r="AK254" i="3"/>
  <c r="AL254" i="3" s="1"/>
  <c r="AK253" i="3"/>
  <c r="AL253" i="3" s="1"/>
  <c r="AM253" i="3" s="1"/>
  <c r="AN216" i="11" s="1"/>
  <c r="AF253" i="3"/>
  <c r="AG253" i="3" s="1"/>
  <c r="AG180" i="3" s="1"/>
  <c r="Z253" i="3"/>
  <c r="L254" i="3"/>
  <c r="L253" i="3"/>
  <c r="M253" i="3" s="1"/>
  <c r="G253" i="3"/>
  <c r="H253" i="3" s="1"/>
  <c r="H180" i="3" s="1"/>
  <c r="BC252" i="3"/>
  <c r="BC251" i="3"/>
  <c r="BC250" i="3"/>
  <c r="BC249" i="3"/>
  <c r="BC248" i="3"/>
  <c r="BC247" i="3"/>
  <c r="BD217" i="11" s="1"/>
  <c r="BC246" i="3"/>
  <c r="AW252" i="3"/>
  <c r="AW251" i="3"/>
  <c r="AW248" i="3"/>
  <c r="AW247" i="3"/>
  <c r="AX217" i="11" s="1"/>
  <c r="AS252" i="3"/>
  <c r="AS251" i="3"/>
  <c r="AS250" i="3"/>
  <c r="AS249" i="3"/>
  <c r="AN252" i="3"/>
  <c r="AN251" i="3"/>
  <c r="AI252" i="3"/>
  <c r="AI251" i="3"/>
  <c r="AI250" i="3"/>
  <c r="AA252" i="3"/>
  <c r="Y254" i="3"/>
  <c r="V254" i="3"/>
  <c r="W254" i="3" s="1"/>
  <c r="Y253" i="3"/>
  <c r="Y180" i="3" s="1"/>
  <c r="V253" i="3"/>
  <c r="W253" i="3" s="1"/>
  <c r="Y252" i="3"/>
  <c r="V252" i="3"/>
  <c r="W252" i="3" s="1"/>
  <c r="Q254" i="3"/>
  <c r="R254" i="3" s="1"/>
  <c r="Q253" i="3"/>
  <c r="Q252" i="3"/>
  <c r="Y251" i="3"/>
  <c r="Y250" i="3"/>
  <c r="Y249" i="3"/>
  <c r="Y248" i="3"/>
  <c r="Y247" i="3"/>
  <c r="K251" i="3"/>
  <c r="J251" i="3"/>
  <c r="BO250" i="3"/>
  <c r="BO257" i="3" s="1"/>
  <c r="BJ250" i="3"/>
  <c r="AX250" i="3"/>
  <c r="AX249" i="3"/>
  <c r="AO250" i="3"/>
  <c r="AO257" i="3" s="1"/>
  <c r="AF250" i="3"/>
  <c r="Z250" i="3"/>
  <c r="V250" i="3"/>
  <c r="W250" i="3" s="1"/>
  <c r="R250" i="3"/>
  <c r="S250" i="3" s="1"/>
  <c r="L250" i="3"/>
  <c r="H250" i="3"/>
  <c r="I250" i="3" s="1"/>
  <c r="H249" i="3"/>
  <c r="I249" i="3" s="1"/>
  <c r="BT250" i="3"/>
  <c r="BU250" i="3" s="1"/>
  <c r="BT249" i="3"/>
  <c r="BE250" i="3"/>
  <c r="BE249" i="3"/>
  <c r="AY250" i="3"/>
  <c r="AZ250" i="3" s="1"/>
  <c r="BA250" i="3" s="1"/>
  <c r="AY249" i="3"/>
  <c r="AU250" i="3"/>
  <c r="AV250" i="3" s="1"/>
  <c r="AU249" i="3"/>
  <c r="AV249" i="3" s="1"/>
  <c r="AP249" i="3"/>
  <c r="AQ249" i="3" s="1"/>
  <c r="AK250" i="3"/>
  <c r="AL250" i="3" s="1"/>
  <c r="AM250" i="3" s="1"/>
  <c r="AK249" i="3"/>
  <c r="AG249" i="3"/>
  <c r="AH249" i="3" s="1"/>
  <c r="AA249" i="3"/>
  <c r="AR248" i="3"/>
  <c r="AR247" i="3"/>
  <c r="AS217" i="11" s="1"/>
  <c r="AN248" i="3"/>
  <c r="AN247" i="3"/>
  <c r="AI248" i="3"/>
  <c r="G248" i="3"/>
  <c r="Z247" i="3"/>
  <c r="AA247" i="3" s="1"/>
  <c r="AB247" i="3" s="1"/>
  <c r="BU246" i="3"/>
  <c r="BV218" i="11" s="1"/>
  <c r="AU246" i="3"/>
  <c r="AP246" i="3"/>
  <c r="AK246" i="3"/>
  <c r="AK257" i="3" s="1"/>
  <c r="AF247" i="3"/>
  <c r="AF246" i="3"/>
  <c r="AG246" i="3" s="1"/>
  <c r="AA246" i="3"/>
  <c r="AB246" i="3" s="1"/>
  <c r="V247" i="3"/>
  <c r="V246" i="3"/>
  <c r="Q246" i="3"/>
  <c r="Q257" i="3" s="1"/>
  <c r="L246" i="3"/>
  <c r="M246" i="3" s="1"/>
  <c r="G246" i="3"/>
  <c r="BS243" i="3"/>
  <c r="BN243" i="3"/>
  <c r="BI243" i="3"/>
  <c r="AY243" i="3"/>
  <c r="AT243" i="3"/>
  <c r="AO243" i="3"/>
  <c r="AE243" i="3"/>
  <c r="U243" i="3"/>
  <c r="P243" i="3"/>
  <c r="F243" i="3"/>
  <c r="CL241" i="3"/>
  <c r="CL240" i="3"/>
  <c r="CL239" i="3"/>
  <c r="CL238" i="3"/>
  <c r="CL237" i="3"/>
  <c r="CG241" i="3"/>
  <c r="CG240" i="3"/>
  <c r="CG239" i="3"/>
  <c r="CG238" i="3"/>
  <c r="CG237" i="3"/>
  <c r="CB241" i="3"/>
  <c r="CB240" i="3"/>
  <c r="CB239" i="3"/>
  <c r="CB238" i="3"/>
  <c r="CB237" i="3"/>
  <c r="BT241" i="3"/>
  <c r="BU241" i="3" s="1"/>
  <c r="BD241" i="3"/>
  <c r="AZ241" i="3"/>
  <c r="BA241" i="3" s="1"/>
  <c r="BB241" i="3" s="1"/>
  <c r="AX241" i="3"/>
  <c r="AU241" i="3"/>
  <c r="AV241" i="3" s="1"/>
  <c r="AP241" i="3"/>
  <c r="AN241" i="3"/>
  <c r="AK241" i="3"/>
  <c r="AF241" i="3"/>
  <c r="AG241" i="3" s="1"/>
  <c r="AA241" i="3"/>
  <c r="Z241" i="3"/>
  <c r="V241" i="3"/>
  <c r="W241" i="3" s="1"/>
  <c r="T241" i="3"/>
  <c r="Q241" i="3"/>
  <c r="R241" i="3" s="1"/>
  <c r="O241" i="3"/>
  <c r="K241" i="3"/>
  <c r="K243" i="3" s="1"/>
  <c r="J241" i="3"/>
  <c r="G241" i="3"/>
  <c r="H241" i="3" s="1"/>
  <c r="I241" i="3" s="1"/>
  <c r="BW240" i="3"/>
  <c r="BW238" i="3"/>
  <c r="BW237" i="3"/>
  <c r="BH240" i="3"/>
  <c r="BH237" i="3"/>
  <c r="AS240" i="3"/>
  <c r="AP240" i="3"/>
  <c r="AH240" i="3"/>
  <c r="AC240" i="3"/>
  <c r="Y240" i="3"/>
  <c r="Y239" i="3"/>
  <c r="Y238" i="3"/>
  <c r="S240" i="3"/>
  <c r="N240" i="3"/>
  <c r="BT239" i="3"/>
  <c r="BJ241" i="3"/>
  <c r="BJ240" i="3"/>
  <c r="BJ239" i="3"/>
  <c r="BA240" i="3"/>
  <c r="BB240" i="3" s="1"/>
  <c r="AZ239" i="3"/>
  <c r="BA239" i="3" s="1"/>
  <c r="AU240" i="3"/>
  <c r="AU239" i="3"/>
  <c r="AV239" i="3" s="1"/>
  <c r="AW239" i="3" s="1"/>
  <c r="AP239" i="3"/>
  <c r="AK240" i="3"/>
  <c r="AL240" i="3" s="1"/>
  <c r="AK239" i="3"/>
  <c r="AA239" i="3"/>
  <c r="V239" i="3"/>
  <c r="W239" i="3" s="1"/>
  <c r="Q239" i="3"/>
  <c r="R239" i="3" s="1"/>
  <c r="O239" i="3"/>
  <c r="L239" i="3"/>
  <c r="M239" i="3" s="1"/>
  <c r="G240" i="3"/>
  <c r="H240" i="3" s="1"/>
  <c r="G239" i="3"/>
  <c r="BO241" i="3"/>
  <c r="BO240" i="3"/>
  <c r="BO239" i="3"/>
  <c r="BO238" i="3"/>
  <c r="BM238" i="3"/>
  <c r="BM237" i="3"/>
  <c r="BE239" i="3"/>
  <c r="BE238" i="3"/>
  <c r="BF238" i="3" s="1"/>
  <c r="BC238" i="3"/>
  <c r="BC237" i="3"/>
  <c r="AW238" i="3"/>
  <c r="AW237" i="3"/>
  <c r="AS238" i="3"/>
  <c r="AS237" i="3"/>
  <c r="AM238" i="3"/>
  <c r="AI238" i="3"/>
  <c r="AF239" i="3"/>
  <c r="AG239" i="3" s="1"/>
  <c r="AF238" i="3"/>
  <c r="AG238" i="3" s="1"/>
  <c r="AD238" i="3"/>
  <c r="AB238" i="3"/>
  <c r="H238" i="3"/>
  <c r="I238" i="3" s="1"/>
  <c r="BR237" i="3"/>
  <c r="BT236" i="3"/>
  <c r="BO236" i="3"/>
  <c r="BJ236" i="3"/>
  <c r="BJ243" i="3" s="1"/>
  <c r="BE236" i="3"/>
  <c r="AZ236" i="3"/>
  <c r="AZ243" i="3" s="1"/>
  <c r="AU236" i="3"/>
  <c r="AV236" i="3" s="1"/>
  <c r="AW236" i="3" s="1"/>
  <c r="AW214" i="2" s="1"/>
  <c r="AP236" i="3"/>
  <c r="AP243" i="3" s="1"/>
  <c r="AK237" i="3"/>
  <c r="AK236" i="3"/>
  <c r="AL236" i="3" s="1"/>
  <c r="AL214" i="2" s="1"/>
  <c r="AJ236" i="3"/>
  <c r="AJ243" i="3" s="1"/>
  <c r="AF236" i="3"/>
  <c r="AG236" i="3" s="1"/>
  <c r="AG214" i="2" s="1"/>
  <c r="Z236" i="3"/>
  <c r="Z243" i="3" s="1"/>
  <c r="Y236" i="3"/>
  <c r="Y300" i="3" s="1"/>
  <c r="Y301" i="3" s="1"/>
  <c r="Y302" i="3" s="1"/>
  <c r="V236" i="3"/>
  <c r="Q236" i="3"/>
  <c r="R236" i="3" s="1"/>
  <c r="R214" i="2" s="1"/>
  <c r="L236" i="3"/>
  <c r="L214" i="2" s="1"/>
  <c r="G236" i="3"/>
  <c r="BM231" i="3"/>
  <c r="BH231" i="3"/>
  <c r="BC231" i="3"/>
  <c r="AX231" i="3"/>
  <c r="AS231" i="3"/>
  <c r="AN231" i="3"/>
  <c r="AI231" i="3"/>
  <c r="AD231" i="3"/>
  <c r="Y231" i="3"/>
  <c r="T231" i="3"/>
  <c r="O231" i="3"/>
  <c r="J231" i="3"/>
  <c r="BV230" i="3"/>
  <c r="BU230" i="3"/>
  <c r="BT230" i="3"/>
  <c r="BS230" i="3"/>
  <c r="BQ230" i="3"/>
  <c r="BP230" i="3"/>
  <c r="BO230" i="3"/>
  <c r="BN230" i="3"/>
  <c r="BL230" i="3"/>
  <c r="BK230" i="3"/>
  <c r="BJ230" i="3"/>
  <c r="BI230" i="3"/>
  <c r="BG230" i="3"/>
  <c r="BF230" i="3"/>
  <c r="BE230" i="3"/>
  <c r="BD230" i="3"/>
  <c r="BA230" i="3"/>
  <c r="BC230" i="3" s="1"/>
  <c r="AW230" i="3"/>
  <c r="AV230" i="3"/>
  <c r="AU230" i="3"/>
  <c r="AT230" i="3"/>
  <c r="AQ230" i="3"/>
  <c r="AS230" i="3" s="1"/>
  <c r="AM230" i="3"/>
  <c r="AL230" i="3"/>
  <c r="AK230" i="3"/>
  <c r="AJ230" i="3"/>
  <c r="AG230" i="3"/>
  <c r="AF230" i="3"/>
  <c r="AE230" i="3"/>
  <c r="AZ229" i="3"/>
  <c r="BA229" i="3" s="1"/>
  <c r="BB229" i="3" s="1"/>
  <c r="AU229" i="3"/>
  <c r="AV229" i="3" s="1"/>
  <c r="AW229" i="3" s="1"/>
  <c r="AR227" i="3"/>
  <c r="AP229" i="3"/>
  <c r="AQ229" i="3" s="1"/>
  <c r="AR229" i="3" s="1"/>
  <c r="AK229" i="3"/>
  <c r="AL229" i="3" s="1"/>
  <c r="AM229" i="3" s="1"/>
  <c r="AF229" i="3"/>
  <c r="AG229" i="3" s="1"/>
  <c r="AC230" i="3"/>
  <c r="AB230" i="3"/>
  <c r="AA230" i="3"/>
  <c r="Z229" i="3"/>
  <c r="AA229" i="3" s="1"/>
  <c r="AB229" i="3" s="1"/>
  <c r="Z228" i="3"/>
  <c r="Q230" i="3"/>
  <c r="Q229" i="3"/>
  <c r="R229" i="3" s="1"/>
  <c r="L230" i="3"/>
  <c r="M230" i="3" s="1"/>
  <c r="N230" i="3" s="1"/>
  <c r="L229" i="3"/>
  <c r="G230" i="3"/>
  <c r="H230" i="3" s="1"/>
  <c r="G229" i="3"/>
  <c r="H229" i="3" s="1"/>
  <c r="CK230" i="3"/>
  <c r="CJ230" i="3"/>
  <c r="CI230" i="3"/>
  <c r="CH230" i="3"/>
  <c r="CF230" i="3"/>
  <c r="CE230" i="3"/>
  <c r="CD230" i="3"/>
  <c r="CC230" i="3"/>
  <c r="CA230" i="3"/>
  <c r="BZ230" i="3"/>
  <c r="BY230" i="3"/>
  <c r="BT229" i="3"/>
  <c r="BU229" i="3" s="1"/>
  <c r="BV229" i="3" s="1"/>
  <c r="BS228" i="3"/>
  <c r="BO229" i="3"/>
  <c r="BP229" i="3" s="1"/>
  <c r="BQ229" i="3" s="1"/>
  <c r="BR229" i="3" s="1"/>
  <c r="BJ229" i="3"/>
  <c r="BK229" i="3" s="1"/>
  <c r="BE229" i="3"/>
  <c r="BF229" i="3" s="1"/>
  <c r="BG229" i="3" s="1"/>
  <c r="BH229" i="3" s="1"/>
  <c r="BC228" i="3"/>
  <c r="AN228" i="3"/>
  <c r="AI228" i="3"/>
  <c r="V230" i="3"/>
  <c r="V229" i="3"/>
  <c r="W229" i="3" s="1"/>
  <c r="X229" i="3" s="1"/>
  <c r="U228" i="3"/>
  <c r="T228" i="3"/>
  <c r="F228" i="3"/>
  <c r="BN226" i="3"/>
  <c r="BN228" i="3" s="1"/>
  <c r="BI226" i="3"/>
  <c r="BI228" i="3" s="1"/>
  <c r="BD226" i="3"/>
  <c r="BD228" i="3" s="1"/>
  <c r="AY226" i="3"/>
  <c r="AY228" i="3" s="1"/>
  <c r="AX226" i="3"/>
  <c r="AT226" i="3"/>
  <c r="AT228" i="3" s="1"/>
  <c r="AS226" i="3"/>
  <c r="AO226" i="3"/>
  <c r="AO228" i="3" s="1"/>
  <c r="I226" i="3"/>
  <c r="L226" i="3"/>
  <c r="M226" i="3" s="1"/>
  <c r="N226" i="3" s="1"/>
  <c r="L225" i="3"/>
  <c r="M225" i="3" s="1"/>
  <c r="O224" i="3"/>
  <c r="K224" i="3"/>
  <c r="K228" i="3" s="1"/>
  <c r="BT226" i="3"/>
  <c r="BU226" i="3" s="1"/>
  <c r="BT225" i="3"/>
  <c r="BU225" i="3" s="1"/>
  <c r="BT224" i="3"/>
  <c r="BU224" i="3" s="1"/>
  <c r="BT223" i="3"/>
  <c r="BU223" i="3" s="1"/>
  <c r="BO225" i="3"/>
  <c r="BP225" i="3" s="1"/>
  <c r="BQ225" i="3" s="1"/>
  <c r="BO224" i="3"/>
  <c r="BP224" i="3" s="1"/>
  <c r="BQ224" i="3" s="1"/>
  <c r="BO223" i="3"/>
  <c r="BP223" i="3" s="1"/>
  <c r="BJ225" i="3"/>
  <c r="BK225" i="3" s="1"/>
  <c r="BL225" i="3" s="1"/>
  <c r="BJ224" i="3"/>
  <c r="BK224" i="3" s="1"/>
  <c r="BL224" i="3" s="1"/>
  <c r="BJ223" i="3"/>
  <c r="BK223" i="3" s="1"/>
  <c r="BE225" i="3"/>
  <c r="BF225" i="3" s="1"/>
  <c r="BG225" i="3" s="1"/>
  <c r="BE224" i="3"/>
  <c r="BF224" i="3" s="1"/>
  <c r="BG224" i="3" s="1"/>
  <c r="BE223" i="3"/>
  <c r="BF223" i="3" s="1"/>
  <c r="AZ225" i="3"/>
  <c r="BA225" i="3" s="1"/>
  <c r="AZ224" i="3"/>
  <c r="AZ223" i="3"/>
  <c r="BA223" i="3" s="1"/>
  <c r="AU225" i="3"/>
  <c r="AU224" i="3"/>
  <c r="AV224" i="3" s="1"/>
  <c r="AU223" i="3"/>
  <c r="AP225" i="3"/>
  <c r="AQ225" i="3" s="1"/>
  <c r="AP224" i="3"/>
  <c r="AQ224" i="3" s="1"/>
  <c r="AP223" i="3"/>
  <c r="AQ223" i="3" s="1"/>
  <c r="AK226" i="3"/>
  <c r="AL226" i="3" s="1"/>
  <c r="AK225" i="3"/>
  <c r="AL225" i="3" s="1"/>
  <c r="AM225" i="3" s="1"/>
  <c r="AK224" i="3"/>
  <c r="AL224" i="3" s="1"/>
  <c r="AK223" i="3"/>
  <c r="AF226" i="3"/>
  <c r="AG226" i="3" s="1"/>
  <c r="AF225" i="3"/>
  <c r="AG225" i="3" s="1"/>
  <c r="AH225" i="3" s="1"/>
  <c r="AF224" i="3"/>
  <c r="AG224" i="3" s="1"/>
  <c r="AE223" i="3"/>
  <c r="AE228" i="3" s="1"/>
  <c r="AA226" i="3"/>
  <c r="AA225" i="3"/>
  <c r="AB225" i="3" s="1"/>
  <c r="AA224" i="3"/>
  <c r="AB224" i="3" s="1"/>
  <c r="AC224" i="3" s="1"/>
  <c r="AA223" i="3"/>
  <c r="AB223" i="3" s="1"/>
  <c r="V226" i="3"/>
  <c r="W226" i="3" s="1"/>
  <c r="V225" i="3"/>
  <c r="W225" i="3" s="1"/>
  <c r="V224" i="3"/>
  <c r="W224" i="3" s="1"/>
  <c r="V223" i="3"/>
  <c r="W223" i="3" s="1"/>
  <c r="Q226" i="3"/>
  <c r="R226" i="3" s="1"/>
  <c r="Q225" i="3"/>
  <c r="R225" i="3" s="1"/>
  <c r="Q224" i="3"/>
  <c r="R224" i="3" s="1"/>
  <c r="S224" i="3" s="1"/>
  <c r="L223" i="3"/>
  <c r="J223" i="3"/>
  <c r="G225" i="3"/>
  <c r="H225" i="3" s="1"/>
  <c r="G224" i="3"/>
  <c r="G223" i="3"/>
  <c r="AZ220" i="3"/>
  <c r="BA220" i="3" s="1"/>
  <c r="BB220" i="3" s="1"/>
  <c r="AU220" i="3"/>
  <c r="AV220" i="3" s="1"/>
  <c r="AP220" i="3"/>
  <c r="AK220" i="3"/>
  <c r="AL220" i="3" s="1"/>
  <c r="AF220" i="3"/>
  <c r="AG220" i="3" s="1"/>
  <c r="AH220" i="3" s="1"/>
  <c r="AA220" i="3"/>
  <c r="P220" i="3"/>
  <c r="Q220" i="3" s="1"/>
  <c r="G220" i="3"/>
  <c r="CL219" i="3"/>
  <c r="CG219" i="3"/>
  <c r="CB219" i="3"/>
  <c r="BS219" i="3"/>
  <c r="BS218" i="3"/>
  <c r="BN219" i="3"/>
  <c r="BO219" i="3" s="1"/>
  <c r="BP219" i="3" s="1"/>
  <c r="BN218" i="3"/>
  <c r="BI219" i="3"/>
  <c r="BI218" i="3"/>
  <c r="BD219" i="3"/>
  <c r="BE219" i="3" s="1"/>
  <c r="BF219" i="3" s="1"/>
  <c r="BC219" i="3"/>
  <c r="AY219" i="3"/>
  <c r="AZ219" i="3" s="1"/>
  <c r="BA219" i="3" s="1"/>
  <c r="AX219" i="3"/>
  <c r="AT219" i="3"/>
  <c r="AU219" i="3" s="1"/>
  <c r="AS219" i="3"/>
  <c r="AO219" i="3"/>
  <c r="AP219" i="3" s="1"/>
  <c r="AN219" i="3"/>
  <c r="AJ219" i="3"/>
  <c r="AK219" i="3" s="1"/>
  <c r="AL219" i="3" s="1"/>
  <c r="Z219" i="3"/>
  <c r="V220" i="3"/>
  <c r="W220" i="3" s="1"/>
  <c r="X220" i="3" s="1"/>
  <c r="Y219" i="3"/>
  <c r="U219" i="3"/>
  <c r="V219" i="3" s="1"/>
  <c r="W219" i="3" s="1"/>
  <c r="T219" i="3"/>
  <c r="P219" i="3"/>
  <c r="Q219" i="3" s="1"/>
  <c r="O220" i="3"/>
  <c r="K220" i="3"/>
  <c r="L220" i="3" s="1"/>
  <c r="M220" i="3" s="1"/>
  <c r="O219" i="3"/>
  <c r="K219" i="3"/>
  <c r="L219" i="3" s="1"/>
  <c r="M219" i="3" s="1"/>
  <c r="J219" i="3"/>
  <c r="G219" i="3"/>
  <c r="F219" i="3"/>
  <c r="AZ218" i="3"/>
  <c r="BA218" i="3" s="1"/>
  <c r="AP218" i="3"/>
  <c r="AO218" i="3"/>
  <c r="AK218" i="3"/>
  <c r="AL218" i="3" s="1"/>
  <c r="Q218" i="3"/>
  <c r="R218" i="3" s="1"/>
  <c r="S218" i="3" s="1"/>
  <c r="S215" i="2" s="1"/>
  <c r="L218" i="3"/>
  <c r="M218" i="3" s="1"/>
  <c r="G218" i="3"/>
  <c r="G215" i="2" s="1"/>
  <c r="BT220" i="3"/>
  <c r="BT219" i="3"/>
  <c r="BU219" i="3" s="1"/>
  <c r="BV218" i="3"/>
  <c r="BU218" i="3"/>
  <c r="BT218" i="3"/>
  <c r="BO220" i="3"/>
  <c r="BP220" i="3" s="1"/>
  <c r="BQ220" i="3" s="1"/>
  <c r="BQ218" i="3"/>
  <c r="BP218" i="3"/>
  <c r="BO218" i="3"/>
  <c r="BJ220" i="3"/>
  <c r="BJ219" i="3"/>
  <c r="BL218" i="3"/>
  <c r="BK218" i="3"/>
  <c r="BJ218" i="3"/>
  <c r="BE220" i="3"/>
  <c r="BF220" i="3" s="1"/>
  <c r="BG218" i="3"/>
  <c r="BF218" i="3"/>
  <c r="BE218" i="3"/>
  <c r="AW218" i="3"/>
  <c r="AU218" i="3"/>
  <c r="AV218" i="3" s="1"/>
  <c r="AX218" i="3" s="1"/>
  <c r="AI219" i="3"/>
  <c r="AE219" i="3"/>
  <c r="AF219" i="3" s="1"/>
  <c r="AH218" i="3"/>
  <c r="AE218" i="3"/>
  <c r="AF218" i="3" s="1"/>
  <c r="AG218" i="3" s="1"/>
  <c r="Z218" i="3"/>
  <c r="AA218" i="3" s="1"/>
  <c r="AB218" i="3" s="1"/>
  <c r="Z217" i="3"/>
  <c r="V218" i="3"/>
  <c r="W218" i="3" s="1"/>
  <c r="X218" i="3" s="1"/>
  <c r="I192" i="3"/>
  <c r="H192" i="3"/>
  <c r="G192" i="3"/>
  <c r="F192" i="3"/>
  <c r="CL196" i="3"/>
  <c r="CK196" i="3" s="1"/>
  <c r="CJ196" i="3" s="1"/>
  <c r="CI196" i="3" s="1"/>
  <c r="CH196" i="3" s="1"/>
  <c r="BV190" i="3"/>
  <c r="BU190" i="3"/>
  <c r="BT190" i="3"/>
  <c r="BS190" i="3"/>
  <c r="BR196" i="3"/>
  <c r="BQ196" i="3" s="1"/>
  <c r="BP196" i="3" s="1"/>
  <c r="BQ192" i="3"/>
  <c r="BP192" i="3"/>
  <c r="BO192" i="3"/>
  <c r="BN192" i="3"/>
  <c r="BQ190" i="3"/>
  <c r="BP190" i="3"/>
  <c r="BO190" i="3"/>
  <c r="BN190" i="3"/>
  <c r="BM196" i="3"/>
  <c r="BL196" i="3" s="1"/>
  <c r="BK196" i="3" s="1"/>
  <c r="BJ196" i="3" s="1"/>
  <c r="BL192" i="3"/>
  <c r="BK192" i="3"/>
  <c r="BJ192" i="3"/>
  <c r="BI192" i="3"/>
  <c r="BL190" i="3"/>
  <c r="BK190" i="3"/>
  <c r="BJ190" i="3"/>
  <c r="BI190" i="3"/>
  <c r="BH196" i="3"/>
  <c r="BG196" i="3" s="1"/>
  <c r="BF196" i="3" s="1"/>
  <c r="BE196" i="3" s="1"/>
  <c r="BD196" i="3" s="1"/>
  <c r="BG192" i="3"/>
  <c r="BF192" i="3"/>
  <c r="BE192" i="3"/>
  <c r="BD192" i="3"/>
  <c r="BG190" i="3"/>
  <c r="BF190" i="3"/>
  <c r="BE190" i="3"/>
  <c r="BD190" i="3"/>
  <c r="BC196" i="3"/>
  <c r="BB196" i="3" s="1"/>
  <c r="BB192" i="3"/>
  <c r="BA192" i="3"/>
  <c r="AZ192" i="3"/>
  <c r="AY192" i="3"/>
  <c r="BB190" i="3"/>
  <c r="BA190" i="3"/>
  <c r="AZ190" i="3"/>
  <c r="AY190" i="3"/>
  <c r="AX196" i="3"/>
  <c r="AW196" i="3" s="1"/>
  <c r="AV196" i="3" s="1"/>
  <c r="AW192" i="3"/>
  <c r="AV192" i="3"/>
  <c r="AU192" i="3"/>
  <c r="AT192" i="3"/>
  <c r="AW190" i="3"/>
  <c r="AV190" i="3"/>
  <c r="AU190" i="3"/>
  <c r="AT190" i="3"/>
  <c r="AS196" i="3"/>
  <c r="AR196" i="3" s="1"/>
  <c r="AQ196" i="3" s="1"/>
  <c r="AP196" i="3" s="1"/>
  <c r="AQ192" i="3"/>
  <c r="AP192" i="3"/>
  <c r="AO192" i="3"/>
  <c r="AQ190" i="3"/>
  <c r="AP190" i="3"/>
  <c r="AO190" i="3"/>
  <c r="AM192" i="3"/>
  <c r="AL192" i="3"/>
  <c r="AK192" i="3"/>
  <c r="AJ192" i="3"/>
  <c r="D68" i="19" s="1"/>
  <c r="AM190" i="3"/>
  <c r="AL190" i="3"/>
  <c r="AK190" i="3"/>
  <c r="AJ190" i="3"/>
  <c r="AH192" i="3"/>
  <c r="AG192" i="3"/>
  <c r="AF192" i="3"/>
  <c r="AE192" i="3"/>
  <c r="AH190" i="3"/>
  <c r="AG190" i="3"/>
  <c r="AF190" i="3"/>
  <c r="AE190" i="3"/>
  <c r="AC192" i="3"/>
  <c r="AB192" i="3"/>
  <c r="AA192" i="3"/>
  <c r="Z192" i="3"/>
  <c r="AC190" i="3"/>
  <c r="AB190" i="3"/>
  <c r="AA190" i="3"/>
  <c r="Z190" i="3"/>
  <c r="X192" i="3"/>
  <c r="W192" i="3"/>
  <c r="V192" i="3"/>
  <c r="U192" i="3"/>
  <c r="X190" i="3"/>
  <c r="W190" i="3"/>
  <c r="V190" i="3"/>
  <c r="U190" i="3"/>
  <c r="S192" i="3"/>
  <c r="R192" i="3"/>
  <c r="Q192" i="3"/>
  <c r="P192" i="3"/>
  <c r="S190" i="3"/>
  <c r="R190" i="3"/>
  <c r="Q190" i="3"/>
  <c r="P190" i="3"/>
  <c r="N192" i="3"/>
  <c r="M192" i="3"/>
  <c r="L192" i="3"/>
  <c r="K192" i="3"/>
  <c r="N190" i="3"/>
  <c r="M190" i="3"/>
  <c r="L190" i="3"/>
  <c r="K190" i="3"/>
  <c r="I190" i="3"/>
  <c r="H190" i="3"/>
  <c r="G190" i="3"/>
  <c r="F190" i="3"/>
  <c r="AM184" i="3"/>
  <c r="AM179" i="3"/>
  <c r="AJ184" i="3"/>
  <c r="AJ180" i="3"/>
  <c r="H184" i="3"/>
  <c r="G184" i="3"/>
  <c r="AN180" i="3"/>
  <c r="I183" i="3"/>
  <c r="H183" i="3"/>
  <c r="G183" i="3"/>
  <c r="J180" i="3"/>
  <c r="F180" i="3"/>
  <c r="I179" i="3"/>
  <c r="H179" i="3"/>
  <c r="G179" i="3"/>
  <c r="BU184" i="3"/>
  <c r="BT184" i="3"/>
  <c r="BS184" i="3"/>
  <c r="BU183" i="3"/>
  <c r="BT183" i="3"/>
  <c r="BS183" i="3"/>
  <c r="BS180" i="3"/>
  <c r="BU179" i="3"/>
  <c r="BT179" i="3"/>
  <c r="BS179" i="3"/>
  <c r="BQ184" i="3"/>
  <c r="BP184" i="3"/>
  <c r="BO184" i="3"/>
  <c r="BN184" i="3"/>
  <c r="BQ183" i="3"/>
  <c r="BP183" i="3"/>
  <c r="BO183" i="3"/>
  <c r="BN183" i="3"/>
  <c r="BP180" i="3"/>
  <c r="BN180" i="3"/>
  <c r="BQ179" i="3"/>
  <c r="BP179" i="3"/>
  <c r="BO179" i="3"/>
  <c r="BL184" i="3"/>
  <c r="BK184" i="3"/>
  <c r="BJ184" i="3"/>
  <c r="BI184" i="3"/>
  <c r="BL183" i="3"/>
  <c r="BK183" i="3"/>
  <c r="BJ183" i="3"/>
  <c r="BI183" i="3"/>
  <c r="BJ180" i="3"/>
  <c r="BI180" i="3"/>
  <c r="BK179" i="3"/>
  <c r="BJ179" i="3"/>
  <c r="BI179" i="3"/>
  <c r="BG184" i="3"/>
  <c r="BF184" i="3"/>
  <c r="BE184" i="3"/>
  <c r="BD184" i="3"/>
  <c r="BG183" i="3"/>
  <c r="BF183" i="3"/>
  <c r="BE183" i="3"/>
  <c r="BD183" i="3"/>
  <c r="BE180" i="3"/>
  <c r="BD180" i="3"/>
  <c r="BG179" i="3"/>
  <c r="BF179" i="3"/>
  <c r="BE179" i="3"/>
  <c r="BD179" i="3"/>
  <c r="BB184" i="3"/>
  <c r="BA184" i="3"/>
  <c r="AZ184" i="3"/>
  <c r="AZ183" i="3"/>
  <c r="BC180" i="3"/>
  <c r="AZ180" i="3"/>
  <c r="AY180" i="3"/>
  <c r="BB179" i="3"/>
  <c r="BA179" i="3"/>
  <c r="AZ179" i="3"/>
  <c r="AV184" i="3"/>
  <c r="AU184" i="3"/>
  <c r="AX180" i="3"/>
  <c r="AU180" i="3"/>
  <c r="AT180" i="3"/>
  <c r="AV179" i="3"/>
  <c r="AU179" i="3"/>
  <c r="AQ184" i="3"/>
  <c r="AP184" i="3"/>
  <c r="AO184" i="3"/>
  <c r="AS180" i="3"/>
  <c r="AP180" i="3"/>
  <c r="AO180" i="3"/>
  <c r="AQ179" i="3"/>
  <c r="AP179" i="3"/>
  <c r="AO179" i="3"/>
  <c r="AK180" i="3"/>
  <c r="AL179" i="3"/>
  <c r="AK179" i="3"/>
  <c r="AH184" i="3"/>
  <c r="AG184" i="3"/>
  <c r="AF184" i="3"/>
  <c r="AE184" i="3"/>
  <c r="AI180" i="3"/>
  <c r="AE180" i="3"/>
  <c r="AH179" i="3"/>
  <c r="AG179" i="3"/>
  <c r="AF179" i="3"/>
  <c r="AC184" i="3"/>
  <c r="AB184" i="3"/>
  <c r="AA184" i="3"/>
  <c r="Z184" i="3"/>
  <c r="AD180" i="3"/>
  <c r="Z180" i="3"/>
  <c r="AC179" i="3"/>
  <c r="AB179" i="3"/>
  <c r="AA179" i="3"/>
  <c r="X184" i="3"/>
  <c r="W184" i="3"/>
  <c r="V184" i="3"/>
  <c r="U184" i="3"/>
  <c r="X183" i="3"/>
  <c r="W183" i="3"/>
  <c r="V183" i="3"/>
  <c r="W180" i="3"/>
  <c r="V180" i="3"/>
  <c r="U180" i="3"/>
  <c r="X179" i="3"/>
  <c r="W179" i="3"/>
  <c r="V179" i="3"/>
  <c r="S184" i="3"/>
  <c r="R184" i="3"/>
  <c r="Q184" i="3"/>
  <c r="P184" i="3"/>
  <c r="S183" i="3"/>
  <c r="R183" i="3"/>
  <c r="Q183" i="3"/>
  <c r="T180" i="3"/>
  <c r="Q180" i="3"/>
  <c r="P180" i="3"/>
  <c r="S179" i="3"/>
  <c r="R179" i="3"/>
  <c r="Q179" i="3"/>
  <c r="N184" i="3"/>
  <c r="M184" i="3"/>
  <c r="L184" i="3"/>
  <c r="N183" i="3"/>
  <c r="M183" i="3"/>
  <c r="L183" i="3"/>
  <c r="O180" i="3"/>
  <c r="M180" i="3"/>
  <c r="K180" i="3"/>
  <c r="N179" i="3"/>
  <c r="M179" i="3"/>
  <c r="L179" i="3"/>
  <c r="BU172" i="3"/>
  <c r="BT172" i="3"/>
  <c r="BS172" i="3"/>
  <c r="BQ172" i="3"/>
  <c r="BP172" i="3"/>
  <c r="BO172" i="3"/>
  <c r="BN172" i="3"/>
  <c r="BK172" i="3"/>
  <c r="BJ172" i="3"/>
  <c r="BI172" i="3"/>
  <c r="BG172" i="3"/>
  <c r="BF172" i="3"/>
  <c r="BE172" i="3"/>
  <c r="BD172" i="3"/>
  <c r="BB172" i="3"/>
  <c r="AZ172" i="3"/>
  <c r="AY172" i="3"/>
  <c r="Z172" i="3"/>
  <c r="W172" i="3"/>
  <c r="V172" i="3"/>
  <c r="U172" i="3"/>
  <c r="S172" i="3"/>
  <c r="H172" i="3"/>
  <c r="G172" i="3"/>
  <c r="F172" i="3"/>
  <c r="BW170" i="3"/>
  <c r="BW167" i="3"/>
  <c r="BW163" i="3"/>
  <c r="BR170" i="3"/>
  <c r="BR169" i="3"/>
  <c r="BR168" i="3"/>
  <c r="BR167" i="3"/>
  <c r="BR166" i="3"/>
  <c r="BR165" i="3"/>
  <c r="BR164" i="3"/>
  <c r="BR163" i="3"/>
  <c r="BM170" i="3"/>
  <c r="BM169" i="3"/>
  <c r="BM168" i="3"/>
  <c r="BM167" i="3"/>
  <c r="BM166" i="3"/>
  <c r="BM164" i="3"/>
  <c r="BM163" i="3"/>
  <c r="BH170" i="3"/>
  <c r="BH169" i="3"/>
  <c r="BH168" i="3"/>
  <c r="BH167" i="3"/>
  <c r="BH166" i="3"/>
  <c r="BH165" i="3"/>
  <c r="BH164" i="3"/>
  <c r="BH163" i="3"/>
  <c r="BC170" i="3"/>
  <c r="BC169" i="3"/>
  <c r="BC168" i="3"/>
  <c r="BC167" i="3"/>
  <c r="BC166" i="3"/>
  <c r="BC165" i="3"/>
  <c r="BC164" i="3"/>
  <c r="BC163" i="3"/>
  <c r="AX170" i="3"/>
  <c r="AX168" i="3"/>
  <c r="AX166" i="3"/>
  <c r="AX165" i="3"/>
  <c r="AS170" i="3"/>
  <c r="AN170" i="3"/>
  <c r="AN169" i="3"/>
  <c r="AN168" i="3"/>
  <c r="AN166" i="3"/>
  <c r="AN165" i="3"/>
  <c r="AN164" i="3"/>
  <c r="AI170" i="3"/>
  <c r="AI169" i="3"/>
  <c r="AI168" i="3"/>
  <c r="AI166" i="3"/>
  <c r="AI165" i="3"/>
  <c r="AI164" i="3"/>
  <c r="AD170" i="3"/>
  <c r="AD169" i="3"/>
  <c r="AD168" i="3"/>
  <c r="AD166" i="3"/>
  <c r="AD165" i="3"/>
  <c r="AD164" i="3"/>
  <c r="Y170" i="3"/>
  <c r="Y169" i="3"/>
  <c r="Y168" i="3"/>
  <c r="Y167" i="3"/>
  <c r="Y166" i="3"/>
  <c r="Y165" i="3"/>
  <c r="Y164" i="3"/>
  <c r="T170" i="3"/>
  <c r="T169" i="3"/>
  <c r="T168" i="3"/>
  <c r="T167" i="3"/>
  <c r="T166" i="3"/>
  <c r="T165" i="3"/>
  <c r="T164" i="3"/>
  <c r="T163" i="3"/>
  <c r="O170" i="3"/>
  <c r="O169" i="3"/>
  <c r="O168" i="3"/>
  <c r="O167" i="3"/>
  <c r="O165" i="3"/>
  <c r="O164" i="3"/>
  <c r="O163" i="3"/>
  <c r="BV184" i="3"/>
  <c r="BW168" i="3"/>
  <c r="AW169" i="3"/>
  <c r="AY184" i="3" s="1"/>
  <c r="AR169" i="3"/>
  <c r="AR164" i="3"/>
  <c r="AS164" i="3" s="1"/>
  <c r="AR163" i="3"/>
  <c r="AS163" i="3" s="1"/>
  <c r="I169" i="3"/>
  <c r="I184" i="3" s="1"/>
  <c r="J168" i="3"/>
  <c r="J167" i="3"/>
  <c r="J166" i="3"/>
  <c r="J165" i="3"/>
  <c r="J164" i="3"/>
  <c r="J163" i="3"/>
  <c r="BA167" i="3"/>
  <c r="BB183" i="3" s="1"/>
  <c r="AF167" i="3"/>
  <c r="AF183" i="3" s="1"/>
  <c r="AA167" i="3"/>
  <c r="AA183" i="3" s="1"/>
  <c r="BW165" i="3"/>
  <c r="BW164" i="3"/>
  <c r="R166" i="3"/>
  <c r="R172" i="3" s="1"/>
  <c r="Q166" i="3"/>
  <c r="P166" i="3"/>
  <c r="N166" i="3"/>
  <c r="M166" i="3"/>
  <c r="L166" i="3"/>
  <c r="K166" i="3"/>
  <c r="BL165" i="3"/>
  <c r="BN179" i="3" s="1"/>
  <c r="AW164" i="3"/>
  <c r="AX164" i="3" s="1"/>
  <c r="BA163" i="3"/>
  <c r="AA163" i="3"/>
  <c r="AA172" i="3" s="1"/>
  <c r="X163" i="3"/>
  <c r="Y163" i="3" s="1"/>
  <c r="BR159" i="3"/>
  <c r="BR158" i="3"/>
  <c r="BR157" i="3"/>
  <c r="BR156" i="3"/>
  <c r="BR155" i="3"/>
  <c r="BR154" i="3"/>
  <c r="BN159" i="3"/>
  <c r="BM159" i="3"/>
  <c r="BM158" i="3"/>
  <c r="BM157" i="3"/>
  <c r="BM156" i="3"/>
  <c r="BM155" i="3"/>
  <c r="BM154" i="3"/>
  <c r="BJ159" i="3"/>
  <c r="BI159" i="3"/>
  <c r="BG159" i="3"/>
  <c r="BH159" i="3" s="1"/>
  <c r="BC159" i="3"/>
  <c r="BC157" i="3"/>
  <c r="BC154" i="3"/>
  <c r="AX159" i="3"/>
  <c r="AX157" i="3"/>
  <c r="AX154" i="3"/>
  <c r="AS159" i="3"/>
  <c r="AS157" i="3"/>
  <c r="AS154" i="3"/>
  <c r="AN159" i="3"/>
  <c r="AN157" i="3"/>
  <c r="AN154" i="3"/>
  <c r="AI159" i="3"/>
  <c r="AI157" i="3"/>
  <c r="AI155" i="3"/>
  <c r="AI154" i="3"/>
  <c r="AD159" i="3"/>
  <c r="AD157" i="3"/>
  <c r="AD155" i="3"/>
  <c r="AD154" i="3"/>
  <c r="Y159" i="3"/>
  <c r="Y157" i="3"/>
  <c r="Y154" i="3"/>
  <c r="T159" i="3"/>
  <c r="T158" i="3"/>
  <c r="T157" i="3"/>
  <c r="T156" i="3"/>
  <c r="T155" i="3"/>
  <c r="T154" i="3"/>
  <c r="O159" i="3"/>
  <c r="O158" i="3"/>
  <c r="O157" i="3"/>
  <c r="O156" i="3"/>
  <c r="O155" i="3"/>
  <c r="O154" i="3"/>
  <c r="J159" i="3"/>
  <c r="J158" i="3"/>
  <c r="J157" i="3"/>
  <c r="J155" i="3"/>
  <c r="J154" i="3"/>
  <c r="BW158" i="3"/>
  <c r="BW157" i="3"/>
  <c r="BW156" i="3"/>
  <c r="BW154" i="3"/>
  <c r="BS158" i="3"/>
  <c r="BT158" i="3" s="1"/>
  <c r="BU158" i="3" s="1"/>
  <c r="BH158" i="3"/>
  <c r="BH157" i="3"/>
  <c r="BH156" i="3"/>
  <c r="BH155" i="3"/>
  <c r="BH154" i="3"/>
  <c r="BA158" i="3"/>
  <c r="BB158" i="3" s="1"/>
  <c r="BC158" i="3" s="1"/>
  <c r="AF158" i="3"/>
  <c r="AG158" i="3" s="1"/>
  <c r="AH158" i="3" s="1"/>
  <c r="X158" i="3"/>
  <c r="Y158" i="3" s="1"/>
  <c r="Z157" i="3"/>
  <c r="BS156" i="3"/>
  <c r="BT156" i="3" s="1"/>
  <c r="BU156" i="3" s="1"/>
  <c r="BB156" i="3"/>
  <c r="BC156" i="3" s="1"/>
  <c r="BB155" i="3"/>
  <c r="BC155" i="3" s="1"/>
  <c r="AF156" i="3"/>
  <c r="AG156" i="3" s="1"/>
  <c r="AH156" i="3" s="1"/>
  <c r="X156" i="3"/>
  <c r="Y156" i="3" s="1"/>
  <c r="X155" i="3"/>
  <c r="Z155" i="3" s="1"/>
  <c r="I156" i="3"/>
  <c r="J156" i="3" s="1"/>
  <c r="BW155" i="3"/>
  <c r="AK155" i="3"/>
  <c r="AL155" i="3" s="1"/>
  <c r="AM155" i="3" s="1"/>
  <c r="BU152" i="3"/>
  <c r="BT152" i="3"/>
  <c r="BS152" i="3"/>
  <c r="BQ152" i="3"/>
  <c r="BQ161" i="3" s="1"/>
  <c r="BP152" i="3"/>
  <c r="BP161" i="3" s="1"/>
  <c r="BO152" i="3"/>
  <c r="BO161" i="3" s="1"/>
  <c r="BN152" i="3"/>
  <c r="BN161" i="3" s="1"/>
  <c r="BL152" i="3"/>
  <c r="BM152" i="3" s="1"/>
  <c r="BJ152" i="3"/>
  <c r="BJ161" i="3" s="1"/>
  <c r="BI152" i="3"/>
  <c r="BG152" i="3"/>
  <c r="BG161" i="3" s="1"/>
  <c r="BF152" i="3"/>
  <c r="BF161" i="3" s="1"/>
  <c r="BE152" i="3"/>
  <c r="BE161" i="3" s="1"/>
  <c r="BD152" i="3"/>
  <c r="BD161" i="3" s="1"/>
  <c r="BB152" i="3"/>
  <c r="BA152" i="3"/>
  <c r="AZ152" i="3"/>
  <c r="AZ161" i="3" s="1"/>
  <c r="AY152" i="3"/>
  <c r="AY161" i="3" s="1"/>
  <c r="AE152" i="3"/>
  <c r="AE161" i="3" s="1"/>
  <c r="W152" i="3"/>
  <c r="W161" i="3" s="1"/>
  <c r="V152" i="3"/>
  <c r="V161" i="3" s="1"/>
  <c r="U152" i="3"/>
  <c r="U161" i="3" s="1"/>
  <c r="S152" i="3"/>
  <c r="S161" i="3" s="1"/>
  <c r="R152" i="3"/>
  <c r="R161" i="3" s="1"/>
  <c r="Q152" i="3"/>
  <c r="Q161" i="3" s="1"/>
  <c r="P152" i="3"/>
  <c r="P161" i="3" s="1"/>
  <c r="M152" i="3"/>
  <c r="M161" i="3" s="1"/>
  <c r="L152" i="3"/>
  <c r="L161" i="3" s="1"/>
  <c r="K152" i="3"/>
  <c r="K161" i="3" s="1"/>
  <c r="I152" i="3"/>
  <c r="H152" i="3"/>
  <c r="H161" i="3" s="1"/>
  <c r="G152" i="3"/>
  <c r="G161" i="3" s="1"/>
  <c r="F152" i="3"/>
  <c r="F161" i="3" s="1"/>
  <c r="BW150" i="3"/>
  <c r="BW149" i="3"/>
  <c r="BW147" i="3"/>
  <c r="BW145" i="3"/>
  <c r="BW144" i="3"/>
  <c r="BR150" i="3"/>
  <c r="BR149" i="3"/>
  <c r="BR148" i="3"/>
  <c r="BR147" i="3"/>
  <c r="BR146" i="3"/>
  <c r="BR145" i="3"/>
  <c r="BR144" i="3"/>
  <c r="BR143" i="3"/>
  <c r="BR142" i="3"/>
  <c r="BM150" i="3"/>
  <c r="BM149" i="3"/>
  <c r="BM148" i="3"/>
  <c r="BM147" i="3"/>
  <c r="BM146" i="3"/>
  <c r="BM145" i="3"/>
  <c r="BM144" i="3"/>
  <c r="BM143" i="3"/>
  <c r="BM142" i="3"/>
  <c r="BH150" i="3"/>
  <c r="BH149" i="3"/>
  <c r="BH148" i="3"/>
  <c r="BH147" i="3"/>
  <c r="BH146" i="3"/>
  <c r="BH145" i="3"/>
  <c r="BH144" i="3"/>
  <c r="BH143" i="3"/>
  <c r="BH142" i="3"/>
  <c r="BC150" i="3"/>
  <c r="BC149" i="3"/>
  <c r="BC148" i="3"/>
  <c r="BC147" i="3"/>
  <c r="BC146" i="3"/>
  <c r="BC145" i="3"/>
  <c r="BC144" i="3"/>
  <c r="BC143" i="3"/>
  <c r="BC142" i="3"/>
  <c r="AX150" i="3"/>
  <c r="AX149" i="3"/>
  <c r="AX148" i="3"/>
  <c r="AX146" i="3"/>
  <c r="AX145" i="3"/>
  <c r="AX144" i="3"/>
  <c r="AX143" i="3"/>
  <c r="AX142" i="3"/>
  <c r="AS150" i="3"/>
  <c r="AS145" i="3"/>
  <c r="AN150" i="3"/>
  <c r="AN149" i="3"/>
  <c r="AN148" i="3"/>
  <c r="AN146" i="3"/>
  <c r="AN145" i="3"/>
  <c r="AN144" i="3"/>
  <c r="AN143" i="3"/>
  <c r="AN142" i="3"/>
  <c r="AI150" i="3"/>
  <c r="AI149" i="3"/>
  <c r="AI148" i="3"/>
  <c r="AI146" i="3"/>
  <c r="AI145" i="3"/>
  <c r="AI144" i="3"/>
  <c r="AI143" i="3"/>
  <c r="AI142" i="3"/>
  <c r="AD150" i="3"/>
  <c r="AD149" i="3"/>
  <c r="AD148" i="3"/>
  <c r="AD146" i="3"/>
  <c r="AD145" i="3"/>
  <c r="AD144" i="3"/>
  <c r="AD143" i="3"/>
  <c r="AD142" i="3"/>
  <c r="Y150" i="3"/>
  <c r="Y149" i="3"/>
  <c r="Y148" i="3"/>
  <c r="Y146" i="3"/>
  <c r="Y145" i="3"/>
  <c r="Y144" i="3"/>
  <c r="Y143" i="3"/>
  <c r="Y142" i="3"/>
  <c r="T150" i="3"/>
  <c r="T149" i="3"/>
  <c r="T148" i="3"/>
  <c r="T147" i="3"/>
  <c r="T146" i="3"/>
  <c r="T145" i="3"/>
  <c r="T144" i="3"/>
  <c r="T143" i="3"/>
  <c r="T142" i="3"/>
  <c r="O150" i="3"/>
  <c r="O149" i="3"/>
  <c r="O148" i="3"/>
  <c r="O146" i="3"/>
  <c r="O145" i="3"/>
  <c r="O144" i="3"/>
  <c r="O143" i="3"/>
  <c r="O142" i="3"/>
  <c r="AR148" i="3"/>
  <c r="AS148" i="3" s="1"/>
  <c r="J149" i="3"/>
  <c r="BW148" i="3"/>
  <c r="AF147" i="3"/>
  <c r="AF152" i="3" s="1"/>
  <c r="X147" i="3"/>
  <c r="Z147" i="3" s="1"/>
  <c r="AA147" i="3" s="1"/>
  <c r="N147" i="3"/>
  <c r="N152" i="3" s="1"/>
  <c r="N161" i="3" s="1"/>
  <c r="J146" i="3"/>
  <c r="BK145" i="3"/>
  <c r="BK152" i="3" s="1"/>
  <c r="BK161" i="3" s="1"/>
  <c r="Z145" i="3"/>
  <c r="Z152" i="3" s="1"/>
  <c r="AR144" i="3"/>
  <c r="AS144" i="3" s="1"/>
  <c r="AR143" i="3"/>
  <c r="AS143" i="3" s="1"/>
  <c r="BW143" i="3"/>
  <c r="J143" i="3"/>
  <c r="BW137" i="3"/>
  <c r="BW135" i="3"/>
  <c r="BW133" i="3"/>
  <c r="BW132" i="3"/>
  <c r="BW131" i="3"/>
  <c r="BW130" i="3"/>
  <c r="BR137" i="3"/>
  <c r="BR136" i="3"/>
  <c r="BR135" i="3"/>
  <c r="BR134" i="3"/>
  <c r="BR133" i="3"/>
  <c r="BR132" i="3"/>
  <c r="BR131" i="3"/>
  <c r="BR130" i="3"/>
  <c r="BM137" i="3"/>
  <c r="BM136" i="3"/>
  <c r="BM135" i="3"/>
  <c r="BM134" i="3"/>
  <c r="BM133" i="3"/>
  <c r="BM132" i="3"/>
  <c r="BM131" i="3"/>
  <c r="BM130" i="3"/>
  <c r="BH137" i="3"/>
  <c r="BH136" i="3"/>
  <c r="BH135" i="3"/>
  <c r="BH133" i="3"/>
  <c r="BH132" i="3"/>
  <c r="BH131" i="3"/>
  <c r="BH130" i="3"/>
  <c r="BC137" i="3"/>
  <c r="BC136" i="3"/>
  <c r="BC135" i="3"/>
  <c r="BC134" i="3"/>
  <c r="BC132" i="3"/>
  <c r="BC130" i="3"/>
  <c r="AW137" i="3"/>
  <c r="AW277" i="3" s="1"/>
  <c r="AU137" i="3"/>
  <c r="AU277" i="3" s="1"/>
  <c r="AQ137" i="3"/>
  <c r="AQ277" i="3" s="1"/>
  <c r="AP137" i="3"/>
  <c r="AP277" i="3" s="1"/>
  <c r="AO137" i="3"/>
  <c r="AO277" i="3" s="1"/>
  <c r="AM137" i="3"/>
  <c r="AM277" i="3" s="1"/>
  <c r="AL137" i="3"/>
  <c r="AL277" i="3" s="1"/>
  <c r="AK137" i="3"/>
  <c r="AJ137" i="3"/>
  <c r="AH137" i="3"/>
  <c r="AI137" i="3" s="1"/>
  <c r="AG137" i="3"/>
  <c r="AF137" i="3"/>
  <c r="AE137" i="3"/>
  <c r="AC137" i="3"/>
  <c r="AD137" i="3" s="1"/>
  <c r="AB137" i="3"/>
  <c r="Y137" i="3"/>
  <c r="Y136" i="3"/>
  <c r="Y135" i="3"/>
  <c r="T137" i="3"/>
  <c r="T136" i="3"/>
  <c r="T135" i="3"/>
  <c r="O137" i="3"/>
  <c r="O136" i="3"/>
  <c r="O135" i="3"/>
  <c r="BW136" i="3"/>
  <c r="AX136" i="3"/>
  <c r="AX135" i="3"/>
  <c r="AX132" i="3"/>
  <c r="AX130" i="3"/>
  <c r="AN136" i="3"/>
  <c r="AN135" i="3"/>
  <c r="AN134" i="3"/>
  <c r="AN132" i="3"/>
  <c r="AN130" i="3"/>
  <c r="AI136" i="3"/>
  <c r="AI135" i="3"/>
  <c r="AI134" i="3"/>
  <c r="AI133" i="3"/>
  <c r="AI132" i="3"/>
  <c r="AI130" i="3"/>
  <c r="AD136" i="3"/>
  <c r="AD135" i="3"/>
  <c r="AD134" i="3"/>
  <c r="AD133" i="3"/>
  <c r="AD132" i="3"/>
  <c r="AD130" i="3"/>
  <c r="J136" i="3"/>
  <c r="J135" i="3"/>
  <c r="AU135" i="3"/>
  <c r="AU134" i="3" s="1"/>
  <c r="Z135" i="3"/>
  <c r="BW134" i="3"/>
  <c r="BG134" i="3"/>
  <c r="BH134" i="3" s="1"/>
  <c r="AW134" i="3"/>
  <c r="AX134" i="3" s="1"/>
  <c r="AK134" i="3"/>
  <c r="AK133" i="3"/>
  <c r="AL133" i="3" s="1"/>
  <c r="AM133" i="3" s="1"/>
  <c r="BA133" i="3"/>
  <c r="BB133" i="3" s="1"/>
  <c r="BC133" i="3" s="1"/>
  <c r="AR135" i="3"/>
  <c r="Z133" i="3"/>
  <c r="Y133" i="3"/>
  <c r="Y132" i="3"/>
  <c r="Y131" i="3"/>
  <c r="Y130" i="3"/>
  <c r="V133" i="3"/>
  <c r="T133" i="3"/>
  <c r="T132" i="3"/>
  <c r="T131" i="3"/>
  <c r="T130" i="3"/>
  <c r="O133" i="3"/>
  <c r="O132" i="3"/>
  <c r="O131" i="3"/>
  <c r="O130" i="3"/>
  <c r="K133" i="3"/>
  <c r="J133" i="3"/>
  <c r="I133" i="3"/>
  <c r="H133" i="3"/>
  <c r="G133" i="3"/>
  <c r="F133" i="3"/>
  <c r="AS132" i="3"/>
  <c r="AS130" i="3"/>
  <c r="BA131" i="3"/>
  <c r="BB131" i="3" s="1"/>
  <c r="BC131" i="3" s="1"/>
  <c r="AF131" i="3"/>
  <c r="AG131" i="3" s="1"/>
  <c r="AH131" i="3" s="1"/>
  <c r="AC131" i="3"/>
  <c r="AD131" i="3" s="1"/>
  <c r="AA131" i="3"/>
  <c r="I131" i="3"/>
  <c r="J131" i="3" s="1"/>
  <c r="BN130" i="3"/>
  <c r="J130" i="3"/>
  <c r="BQ128" i="3"/>
  <c r="BP128" i="3"/>
  <c r="BO128" i="3"/>
  <c r="BN128" i="3"/>
  <c r="BF128" i="3"/>
  <c r="BE128" i="3"/>
  <c r="BD128" i="3"/>
  <c r="BB128" i="3"/>
  <c r="BA128" i="3"/>
  <c r="AZ128" i="3"/>
  <c r="AY128" i="3"/>
  <c r="AJ128" i="3"/>
  <c r="AH128" i="3"/>
  <c r="AG128" i="3"/>
  <c r="AF128" i="3"/>
  <c r="AE128" i="3"/>
  <c r="AC128" i="3"/>
  <c r="AB128" i="3"/>
  <c r="AA128" i="3"/>
  <c r="Z128" i="3"/>
  <c r="W128" i="3"/>
  <c r="V128" i="3"/>
  <c r="U128" i="3"/>
  <c r="S128" i="3"/>
  <c r="I128" i="3"/>
  <c r="H128" i="3"/>
  <c r="G128" i="3"/>
  <c r="F128" i="3"/>
  <c r="BW126" i="3"/>
  <c r="BW125" i="3"/>
  <c r="BW124" i="3"/>
  <c r="BR126" i="3"/>
  <c r="BR125" i="3"/>
  <c r="BR124" i="3"/>
  <c r="BR123" i="3"/>
  <c r="BR122" i="3"/>
  <c r="BR121" i="3"/>
  <c r="BL126" i="3"/>
  <c r="BM126" i="3" s="1"/>
  <c r="BK126" i="3"/>
  <c r="BK128" i="3" s="1"/>
  <c r="BJ126" i="3"/>
  <c r="BJ128" i="3" s="1"/>
  <c r="BI126" i="3"/>
  <c r="BI128" i="3" s="1"/>
  <c r="BG126" i="3"/>
  <c r="BG128" i="3" s="1"/>
  <c r="BC126" i="3"/>
  <c r="BC125" i="3"/>
  <c r="BC124" i="3"/>
  <c r="BC123" i="3"/>
  <c r="BC122" i="3"/>
  <c r="BC121" i="3"/>
  <c r="AW126" i="3"/>
  <c r="AX126" i="3" s="1"/>
  <c r="AV126" i="3"/>
  <c r="AV128" i="3" s="1"/>
  <c r="AU126" i="3"/>
  <c r="AU128" i="3" s="1"/>
  <c r="AT126" i="3"/>
  <c r="AT128" i="3" s="1"/>
  <c r="AQ126" i="3"/>
  <c r="AP126" i="3"/>
  <c r="AP128" i="3" s="1"/>
  <c r="AO126" i="3"/>
  <c r="AO128" i="3" s="1"/>
  <c r="AM126" i="3"/>
  <c r="AL126" i="3"/>
  <c r="AL128" i="3" s="1"/>
  <c r="AK126" i="3"/>
  <c r="AK128" i="3" s="1"/>
  <c r="AI126" i="3"/>
  <c r="AI125" i="3"/>
  <c r="AI124" i="3"/>
  <c r="AI123" i="3"/>
  <c r="AI122" i="3"/>
  <c r="AI121" i="3"/>
  <c r="AD126" i="3"/>
  <c r="AD125" i="3"/>
  <c r="AD124" i="3"/>
  <c r="AD123" i="3"/>
  <c r="AD122" i="3"/>
  <c r="AD121" i="3"/>
  <c r="Y126" i="3"/>
  <c r="Y125" i="3"/>
  <c r="Y124" i="3"/>
  <c r="Y123" i="3"/>
  <c r="Y121" i="3"/>
  <c r="T126" i="3"/>
  <c r="T125" i="3"/>
  <c r="T124" i="3"/>
  <c r="T123" i="3"/>
  <c r="T122" i="3"/>
  <c r="T121" i="3"/>
  <c r="O126" i="3"/>
  <c r="O125" i="3"/>
  <c r="O123" i="3"/>
  <c r="O122" i="3"/>
  <c r="O121" i="3"/>
  <c r="BM125" i="3"/>
  <c r="BM124" i="3"/>
  <c r="BM123" i="3"/>
  <c r="BM122" i="3"/>
  <c r="BM121" i="3"/>
  <c r="BH125" i="3"/>
  <c r="BH124" i="3"/>
  <c r="BH123" i="3"/>
  <c r="BH122" i="3"/>
  <c r="BH121" i="3"/>
  <c r="AX125" i="3"/>
  <c r="AX124" i="3"/>
  <c r="AX123" i="3"/>
  <c r="AX121" i="3"/>
  <c r="AN125" i="3"/>
  <c r="AN124" i="3"/>
  <c r="AN123" i="3"/>
  <c r="AN122" i="3"/>
  <c r="AN121" i="3"/>
  <c r="M125" i="3"/>
  <c r="M124" i="3"/>
  <c r="J125" i="3"/>
  <c r="J124" i="3"/>
  <c r="AS124" i="3"/>
  <c r="AS121" i="3"/>
  <c r="R125" i="3"/>
  <c r="Q125" i="3"/>
  <c r="P125" i="3"/>
  <c r="R124" i="3"/>
  <c r="Q124" i="3"/>
  <c r="P124" i="3"/>
  <c r="N124" i="3"/>
  <c r="N128" i="3" s="1"/>
  <c r="L124" i="3"/>
  <c r="L128" i="3" s="1"/>
  <c r="K124" i="3"/>
  <c r="K128" i="3" s="1"/>
  <c r="BW123" i="3"/>
  <c r="AR123" i="3"/>
  <c r="AS123" i="3" s="1"/>
  <c r="AW122" i="3"/>
  <c r="X122" i="3"/>
  <c r="Y122" i="3" s="1"/>
  <c r="J121" i="3"/>
  <c r="F117" i="3"/>
  <c r="BV109" i="3"/>
  <c r="BU109" i="3"/>
  <c r="BT109" i="3"/>
  <c r="BS109" i="3"/>
  <c r="BR109" i="3"/>
  <c r="BQ109" i="3"/>
  <c r="BP109" i="3"/>
  <c r="BO109" i="3"/>
  <c r="BN109" i="3"/>
  <c r="BV99" i="3"/>
  <c r="Q27" i="35" s="1"/>
  <c r="BU99" i="3"/>
  <c r="BT99" i="3"/>
  <c r="BS99" i="3"/>
  <c r="BQ99" i="3"/>
  <c r="BP99" i="3"/>
  <c r="BO99" i="3"/>
  <c r="BN99" i="3"/>
  <c r="BL99" i="3"/>
  <c r="BK99" i="3"/>
  <c r="BJ99" i="3"/>
  <c r="BI99" i="3"/>
  <c r="BG99" i="3"/>
  <c r="BF99" i="3"/>
  <c r="BE99" i="3"/>
  <c r="BD99" i="3"/>
  <c r="BB99" i="3"/>
  <c r="BA99" i="3"/>
  <c r="AZ99" i="3"/>
  <c r="AY99" i="3"/>
  <c r="AW99" i="3"/>
  <c r="AV99" i="3"/>
  <c r="AU99" i="3"/>
  <c r="AT99" i="3"/>
  <c r="AR99" i="3"/>
  <c r="AQ99" i="3"/>
  <c r="AP99" i="3"/>
  <c r="AO99" i="3"/>
  <c r="AM99" i="3"/>
  <c r="AL99" i="3"/>
  <c r="AK99" i="3"/>
  <c r="AJ99" i="3"/>
  <c r="AH99" i="3"/>
  <c r="AG99" i="3"/>
  <c r="AF99" i="3"/>
  <c r="AE99" i="3"/>
  <c r="AC99" i="3"/>
  <c r="AB99" i="3"/>
  <c r="AA99" i="3"/>
  <c r="Z99" i="3"/>
  <c r="X99" i="3"/>
  <c r="W99" i="3"/>
  <c r="V99" i="3"/>
  <c r="U99" i="3"/>
  <c r="T99" i="3"/>
  <c r="R99" i="3"/>
  <c r="Q99" i="3"/>
  <c r="P99" i="3"/>
  <c r="M99" i="3"/>
  <c r="L99" i="3"/>
  <c r="K99" i="3"/>
  <c r="J99" i="3"/>
  <c r="H99" i="3"/>
  <c r="CK90" i="3"/>
  <c r="CJ90" i="3"/>
  <c r="CI90" i="3"/>
  <c r="CH90" i="3"/>
  <c r="CF90" i="3"/>
  <c r="CE90" i="3"/>
  <c r="CD90" i="3"/>
  <c r="CC90" i="3"/>
  <c r="CA90" i="3"/>
  <c r="BZ90" i="3"/>
  <c r="BY90" i="3"/>
  <c r="BU90" i="3"/>
  <c r="BT90" i="3"/>
  <c r="BS90" i="3"/>
  <c r="BN90" i="3"/>
  <c r="BL90" i="3"/>
  <c r="BI90" i="3"/>
  <c r="BE90" i="3"/>
  <c r="BD90" i="3"/>
  <c r="BB90" i="3"/>
  <c r="AZ90" i="3"/>
  <c r="AV90" i="3"/>
  <c r="AU90" i="3"/>
  <c r="AT90" i="3"/>
  <c r="AQ90" i="3"/>
  <c r="AP90" i="3"/>
  <c r="AM90" i="3"/>
  <c r="AL90" i="3"/>
  <c r="AK90" i="3"/>
  <c r="AJ90" i="3"/>
  <c r="AH90" i="3"/>
  <c r="AF90" i="3"/>
  <c r="AE90" i="3"/>
  <c r="AB90" i="3"/>
  <c r="AA90" i="3"/>
  <c r="Z90" i="3"/>
  <c r="X90" i="3"/>
  <c r="W90" i="3"/>
  <c r="V90" i="3"/>
  <c r="U90" i="3"/>
  <c r="S90" i="3"/>
  <c r="R90" i="3"/>
  <c r="Q90" i="3"/>
  <c r="P90" i="3"/>
  <c r="N90" i="3"/>
  <c r="M90" i="3"/>
  <c r="L90" i="3"/>
  <c r="K90" i="3"/>
  <c r="H90" i="3"/>
  <c r="G90" i="3"/>
  <c r="F90" i="3"/>
  <c r="CL88" i="3"/>
  <c r="CL87" i="3"/>
  <c r="CL86" i="3"/>
  <c r="CL85" i="3"/>
  <c r="CL84" i="3"/>
  <c r="CL83" i="3"/>
  <c r="CL82" i="3"/>
  <c r="CG88" i="3"/>
  <c r="CG87" i="3"/>
  <c r="CG86" i="3"/>
  <c r="CG85" i="3"/>
  <c r="CG84" i="3"/>
  <c r="CG83" i="3"/>
  <c r="CG82" i="3"/>
  <c r="CB88" i="3"/>
  <c r="CB87" i="3"/>
  <c r="CB86" i="3"/>
  <c r="CB85" i="3"/>
  <c r="CB84" i="3"/>
  <c r="CB83" i="3"/>
  <c r="CB82" i="3"/>
  <c r="BV88" i="3"/>
  <c r="BV90" i="3" s="1"/>
  <c r="BQ88" i="3"/>
  <c r="BR88" i="3" s="1"/>
  <c r="BM87" i="3"/>
  <c r="BM86" i="3"/>
  <c r="BM85" i="3"/>
  <c r="BM84" i="3"/>
  <c r="BM82" i="3"/>
  <c r="BJ88" i="3"/>
  <c r="BJ90" i="3" s="1"/>
  <c r="BG88" i="3"/>
  <c r="BG90" i="3" s="1"/>
  <c r="BF88" i="3"/>
  <c r="BF90" i="3" s="1"/>
  <c r="BC86" i="3"/>
  <c r="BC85" i="3"/>
  <c r="BC84" i="3"/>
  <c r="BC83" i="3"/>
  <c r="BC82" i="3"/>
  <c r="BA88" i="3"/>
  <c r="BA90" i="3" s="1"/>
  <c r="AW88" i="3"/>
  <c r="AW90" i="3" s="1"/>
  <c r="AR88" i="3"/>
  <c r="AR90" i="3" s="1"/>
  <c r="AO88" i="3"/>
  <c r="AN88" i="3"/>
  <c r="AN87" i="3"/>
  <c r="AN86" i="3"/>
  <c r="AN85" i="3"/>
  <c r="AN84" i="3"/>
  <c r="AN83" i="3"/>
  <c r="AN82" i="3"/>
  <c r="AI87" i="3"/>
  <c r="AI86" i="3"/>
  <c r="AI85" i="3"/>
  <c r="AI84" i="3"/>
  <c r="AI83" i="3"/>
  <c r="AI82" i="3"/>
  <c r="AG88" i="3"/>
  <c r="AG90" i="3" s="1"/>
  <c r="AC88" i="3"/>
  <c r="AC90" i="3" s="1"/>
  <c r="Y88" i="3"/>
  <c r="Y87" i="3"/>
  <c r="Y86" i="3"/>
  <c r="Y85" i="3"/>
  <c r="Y84" i="3"/>
  <c r="Y83" i="3"/>
  <c r="Y82" i="3"/>
  <c r="T88" i="3"/>
  <c r="T87" i="3"/>
  <c r="T86" i="3"/>
  <c r="T85" i="3"/>
  <c r="T84" i="3"/>
  <c r="T83" i="3"/>
  <c r="T82" i="3"/>
  <c r="O88" i="3"/>
  <c r="O87" i="3"/>
  <c r="O86" i="3"/>
  <c r="O85" i="3"/>
  <c r="O84" i="3"/>
  <c r="O83" i="3"/>
  <c r="O82" i="3"/>
  <c r="I88" i="3"/>
  <c r="I90" i="3" s="1"/>
  <c r="BW87" i="3"/>
  <c r="BW86" i="3"/>
  <c r="BW85" i="3"/>
  <c r="BW84" i="3"/>
  <c r="BW83" i="3"/>
  <c r="BW82" i="3"/>
  <c r="BR87" i="3"/>
  <c r="BR86" i="3"/>
  <c r="BR85" i="3"/>
  <c r="BR82" i="3"/>
  <c r="BH87" i="3"/>
  <c r="BH86" i="3"/>
  <c r="BH85" i="3"/>
  <c r="BH84" i="3"/>
  <c r="BH83" i="3"/>
  <c r="BH82" i="3"/>
  <c r="AY87" i="3"/>
  <c r="AY90" i="3" s="1"/>
  <c r="AX87" i="3"/>
  <c r="AX86" i="3"/>
  <c r="AX85" i="3"/>
  <c r="AX84" i="3"/>
  <c r="AX83" i="3"/>
  <c r="AX82" i="3"/>
  <c r="AS87" i="3"/>
  <c r="AS86" i="3"/>
  <c r="AS85" i="3"/>
  <c r="AS84" i="3"/>
  <c r="AS83" i="3"/>
  <c r="AS82" i="3"/>
  <c r="AD87" i="3"/>
  <c r="AD86" i="3"/>
  <c r="AD85" i="3"/>
  <c r="AD84" i="3"/>
  <c r="AD83" i="3"/>
  <c r="AD82" i="3"/>
  <c r="J87" i="3"/>
  <c r="J86" i="3"/>
  <c r="J85" i="3"/>
  <c r="J84" i="3"/>
  <c r="J83" i="3"/>
  <c r="J82" i="3"/>
  <c r="BQ84" i="3"/>
  <c r="BR84" i="3" s="1"/>
  <c r="BP83" i="3"/>
  <c r="BP90" i="3" s="1"/>
  <c r="BO83" i="3"/>
  <c r="BO90" i="3" s="1"/>
  <c r="BK83" i="3"/>
  <c r="BK90" i="3" s="1"/>
  <c r="BR79" i="3"/>
  <c r="R79" i="3"/>
  <c r="S79" i="3" s="1"/>
  <c r="N79" i="3"/>
  <c r="N78" i="3"/>
  <c r="I79" i="3"/>
  <c r="BV78" i="3"/>
  <c r="BU78" i="3"/>
  <c r="BT78" i="3"/>
  <c r="BS78" i="3"/>
  <c r="BQ78" i="3"/>
  <c r="BP78" i="3"/>
  <c r="BO78" i="3"/>
  <c r="BN78" i="3"/>
  <c r="BL79" i="3"/>
  <c r="BM79" i="3" s="1"/>
  <c r="BK79" i="3"/>
  <c r="BJ79" i="3"/>
  <c r="BI79" i="3"/>
  <c r="BL78" i="3"/>
  <c r="BK78" i="3"/>
  <c r="BJ78" i="3"/>
  <c r="BI78" i="3"/>
  <c r="BG79" i="3"/>
  <c r="BH79" i="3" s="1"/>
  <c r="BF79" i="3"/>
  <c r="BE79" i="3"/>
  <c r="BD79" i="3"/>
  <c r="BG78" i="3"/>
  <c r="BF78" i="3"/>
  <c r="BE78" i="3"/>
  <c r="BD78" i="3"/>
  <c r="BB79" i="3"/>
  <c r="BC79" i="3" s="1"/>
  <c r="BA79" i="3"/>
  <c r="AZ79" i="3"/>
  <c r="AY79" i="3"/>
  <c r="BB78" i="3"/>
  <c r="BA78" i="3"/>
  <c r="AZ78" i="3"/>
  <c r="AY78" i="3"/>
  <c r="AW79" i="3"/>
  <c r="AX79" i="3" s="1"/>
  <c r="AV79" i="3"/>
  <c r="AU79" i="3"/>
  <c r="AT79" i="3"/>
  <c r="AW78" i="3"/>
  <c r="AV78" i="3"/>
  <c r="AU78" i="3"/>
  <c r="AT78" i="3"/>
  <c r="AR79" i="3"/>
  <c r="AS79" i="3" s="1"/>
  <c r="AQ79" i="3"/>
  <c r="AP79" i="3"/>
  <c r="AO79" i="3"/>
  <c r="AQ78" i="3"/>
  <c r="AP78" i="3"/>
  <c r="AO78" i="3"/>
  <c r="AM79" i="3"/>
  <c r="AN79" i="3" s="1"/>
  <c r="AL79" i="3"/>
  <c r="AK79" i="3"/>
  <c r="AJ79" i="3"/>
  <c r="AL78" i="3"/>
  <c r="AK78" i="3"/>
  <c r="AJ78" i="3"/>
  <c r="AH79" i="3"/>
  <c r="AI79" i="3" s="1"/>
  <c r="AG79" i="3"/>
  <c r="AF79" i="3"/>
  <c r="AE79" i="3"/>
  <c r="AH78" i="3"/>
  <c r="AG78" i="3"/>
  <c r="AF78" i="3"/>
  <c r="AC79" i="3"/>
  <c r="AD79" i="3" s="1"/>
  <c r="AB79" i="3"/>
  <c r="AA79" i="3"/>
  <c r="Z79" i="3"/>
  <c r="AC78" i="3"/>
  <c r="AB78" i="3"/>
  <c r="AA78" i="3"/>
  <c r="Y79" i="3"/>
  <c r="X79" i="3"/>
  <c r="W78" i="3"/>
  <c r="V78" i="3"/>
  <c r="U78" i="3"/>
  <c r="T78" i="3"/>
  <c r="R78" i="3"/>
  <c r="Q78" i="3"/>
  <c r="P78" i="3"/>
  <c r="O78" i="3"/>
  <c r="M78" i="3"/>
  <c r="L78" i="3"/>
  <c r="K78" i="3"/>
  <c r="BW77" i="3"/>
  <c r="BM77" i="3"/>
  <c r="BM67" i="3" s="1"/>
  <c r="BH77" i="3"/>
  <c r="BC77" i="3"/>
  <c r="AX77" i="3"/>
  <c r="AS77" i="3"/>
  <c r="AS67" i="3" s="1"/>
  <c r="AI77" i="3"/>
  <c r="Z77" i="3"/>
  <c r="Z78" i="3" s="1"/>
  <c r="Y77" i="3"/>
  <c r="S77" i="3"/>
  <c r="X78" i="3" s="1"/>
  <c r="BV73" i="3"/>
  <c r="BU73" i="3"/>
  <c r="BT73" i="3"/>
  <c r="BS73" i="3"/>
  <c r="BL73" i="3"/>
  <c r="BE73" i="3"/>
  <c r="AV73" i="3"/>
  <c r="AU73" i="3"/>
  <c r="AQ73" i="3"/>
  <c r="AL73" i="3"/>
  <c r="V73" i="3"/>
  <c r="L73" i="3"/>
  <c r="BW69" i="3"/>
  <c r="BR69" i="3"/>
  <c r="AL69" i="3"/>
  <c r="AM69" i="3" s="1"/>
  <c r="AO69" i="3" s="1"/>
  <c r="AH69" i="3"/>
  <c r="AJ69" i="3" s="1"/>
  <c r="Z69" i="3"/>
  <c r="W69" i="3"/>
  <c r="Y69" i="3" s="1"/>
  <c r="T69" i="3"/>
  <c r="O69" i="3"/>
  <c r="J69" i="3"/>
  <c r="BK67" i="3"/>
  <c r="AV67" i="3"/>
  <c r="AP67" i="3"/>
  <c r="AO67" i="3"/>
  <c r="AI67" i="3"/>
  <c r="Z67" i="3"/>
  <c r="AD67" i="3" s="1"/>
  <c r="Y67" i="3"/>
  <c r="S67" i="3"/>
  <c r="CL62" i="3"/>
  <c r="CK62" i="3"/>
  <c r="CJ62" i="3"/>
  <c r="CI62" i="3"/>
  <c r="CH62" i="3"/>
  <c r="CG62" i="3"/>
  <c r="CF62" i="3"/>
  <c r="CE62" i="3"/>
  <c r="CD62" i="3"/>
  <c r="CC62" i="3"/>
  <c r="CB62" i="3"/>
  <c r="CA62" i="3"/>
  <c r="BZ62" i="3"/>
  <c r="BY62" i="3"/>
  <c r="BW62" i="3"/>
  <c r="BV62" i="3"/>
  <c r="BU62" i="3"/>
  <c r="BT62" i="3"/>
  <c r="BS62" i="3"/>
  <c r="BR62" i="3"/>
  <c r="BQ62" i="3"/>
  <c r="BP62" i="3"/>
  <c r="BO62" i="3"/>
  <c r="BN62" i="3"/>
  <c r="BM62" i="3"/>
  <c r="BL62" i="3"/>
  <c r="BK62" i="3"/>
  <c r="BJ62" i="3"/>
  <c r="J57" i="3"/>
  <c r="CL56" i="3"/>
  <c r="CL55" i="3"/>
  <c r="CG56" i="3"/>
  <c r="CG55" i="3"/>
  <c r="CB56" i="3"/>
  <c r="CB55" i="3"/>
  <c r="BW56" i="3"/>
  <c r="BW55" i="3"/>
  <c r="BR56" i="3"/>
  <c r="BR55" i="3"/>
  <c r="BM56" i="3"/>
  <c r="BM55" i="3"/>
  <c r="BH56" i="3"/>
  <c r="BH55" i="3"/>
  <c r="BC56" i="3"/>
  <c r="BC55" i="3"/>
  <c r="AX56" i="3"/>
  <c r="AX55" i="3"/>
  <c r="AS56" i="3"/>
  <c r="AS55" i="3"/>
  <c r="AN56" i="3"/>
  <c r="AN55" i="3"/>
  <c r="AI56" i="3"/>
  <c r="AI55" i="3"/>
  <c r="AD56" i="3"/>
  <c r="AD55" i="3"/>
  <c r="Y56" i="3"/>
  <c r="Y55" i="3"/>
  <c r="S56" i="3"/>
  <c r="S55" i="3"/>
  <c r="N56" i="3"/>
  <c r="N55" i="3"/>
  <c r="I56" i="3"/>
  <c r="I54" i="3" s="1"/>
  <c r="J55" i="3"/>
  <c r="CK54" i="3"/>
  <c r="CJ54" i="3"/>
  <c r="CI54" i="3"/>
  <c r="CH54" i="3"/>
  <c r="CF54" i="3"/>
  <c r="CE54" i="3"/>
  <c r="CD54" i="3"/>
  <c r="CC54" i="3"/>
  <c r="CA54" i="3"/>
  <c r="BZ54" i="3"/>
  <c r="BY54" i="3"/>
  <c r="BV54" i="3"/>
  <c r="BU54" i="3"/>
  <c r="BT54" i="3"/>
  <c r="BS54" i="3"/>
  <c r="BQ54" i="3"/>
  <c r="BP54" i="3"/>
  <c r="BO54" i="3"/>
  <c r="BN54" i="3"/>
  <c r="BL54" i="3"/>
  <c r="BK54" i="3"/>
  <c r="BJ54" i="3"/>
  <c r="BI54" i="3"/>
  <c r="BG54" i="3"/>
  <c r="BF54" i="3"/>
  <c r="BE54" i="3"/>
  <c r="BD54" i="3"/>
  <c r="BB54" i="3"/>
  <c r="BA54" i="3"/>
  <c r="AZ54" i="3"/>
  <c r="AY54" i="3"/>
  <c r="AW54" i="3"/>
  <c r="AV54" i="3"/>
  <c r="AU54" i="3"/>
  <c r="AT54" i="3"/>
  <c r="AR54" i="3"/>
  <c r="AQ54" i="3"/>
  <c r="AP54" i="3"/>
  <c r="AO54" i="3"/>
  <c r="AM54" i="3"/>
  <c r="AL54" i="3"/>
  <c r="AK54" i="3"/>
  <c r="AJ54" i="3"/>
  <c r="AH54" i="3"/>
  <c r="AG54" i="3"/>
  <c r="AF54" i="3"/>
  <c r="AE54" i="3"/>
  <c r="AC54" i="3"/>
  <c r="AB54" i="3"/>
  <c r="AA54" i="3"/>
  <c r="Z54" i="3"/>
  <c r="X54" i="3"/>
  <c r="W54" i="3"/>
  <c r="V54" i="3"/>
  <c r="U54" i="3"/>
  <c r="T54" i="3"/>
  <c r="R54" i="3"/>
  <c r="Q54" i="3"/>
  <c r="P54" i="3"/>
  <c r="O54" i="3"/>
  <c r="M54" i="3"/>
  <c r="L54" i="3"/>
  <c r="K54" i="3"/>
  <c r="H54" i="3"/>
  <c r="G54" i="3"/>
  <c r="F54" i="3"/>
  <c r="BW51" i="3"/>
  <c r="BP51" i="3"/>
  <c r="BO51" i="3"/>
  <c r="BN51" i="3"/>
  <c r="BK51" i="3"/>
  <c r="BK73" i="3" s="1"/>
  <c r="BJ51" i="3"/>
  <c r="BJ73" i="3" s="1"/>
  <c r="BI51" i="3"/>
  <c r="BI73" i="3" s="1"/>
  <c r="BG51" i="3"/>
  <c r="BG73" i="3" s="1"/>
  <c r="BF51" i="3"/>
  <c r="BF73" i="3" s="1"/>
  <c r="BD51" i="3"/>
  <c r="BB51" i="3"/>
  <c r="BB73" i="3" s="1"/>
  <c r="BA51" i="3"/>
  <c r="AZ51" i="3"/>
  <c r="AY51" i="3"/>
  <c r="AX51" i="3"/>
  <c r="AT51" i="3"/>
  <c r="AT73" i="3" s="1"/>
  <c r="AR51" i="3"/>
  <c r="AR73" i="3" s="1"/>
  <c r="AP51" i="3"/>
  <c r="AP73" i="3" s="1"/>
  <c r="AO51" i="3"/>
  <c r="AM51" i="3"/>
  <c r="AM73" i="3" s="1"/>
  <c r="AK51" i="3"/>
  <c r="AJ51" i="3"/>
  <c r="AH51" i="3"/>
  <c r="AH73" i="3" s="1"/>
  <c r="AG51" i="3"/>
  <c r="AF51" i="3"/>
  <c r="AF73" i="3" s="1"/>
  <c r="AE51" i="3"/>
  <c r="AE73" i="3" s="1"/>
  <c r="AC51" i="3"/>
  <c r="AC73" i="3" s="1"/>
  <c r="AB51" i="3"/>
  <c r="AB73" i="3" s="1"/>
  <c r="AA51" i="3"/>
  <c r="AA73" i="3" s="1"/>
  <c r="Z51" i="3"/>
  <c r="X51" i="3"/>
  <c r="X73" i="3" s="1"/>
  <c r="W51" i="3"/>
  <c r="W73" i="3" s="1"/>
  <c r="U51" i="3"/>
  <c r="U73" i="3" s="1"/>
  <c r="T51" i="3"/>
  <c r="R51" i="3"/>
  <c r="R73" i="3" s="1"/>
  <c r="Q51" i="3"/>
  <c r="P51" i="3"/>
  <c r="P73" i="3" s="1"/>
  <c r="O51" i="3"/>
  <c r="M51" i="3"/>
  <c r="M73" i="3" s="1"/>
  <c r="K51" i="3"/>
  <c r="K73" i="3" s="1"/>
  <c r="I51" i="3"/>
  <c r="H51" i="3"/>
  <c r="H73" i="3" s="1"/>
  <c r="G51" i="3"/>
  <c r="G73" i="3" s="1"/>
  <c r="F51" i="3"/>
  <c r="CL46" i="3"/>
  <c r="CG46" i="3"/>
  <c r="CB46" i="3"/>
  <c r="BW46" i="3"/>
  <c r="BQ46" i="3"/>
  <c r="BR46" i="3" s="1"/>
  <c r="BL46" i="3"/>
  <c r="BM46" i="3" s="1"/>
  <c r="BF46" i="3"/>
  <c r="BD46" i="3"/>
  <c r="BC46" i="3"/>
  <c r="AZ46" i="3"/>
  <c r="AX46" i="3"/>
  <c r="AP46" i="3"/>
  <c r="AO46" i="3"/>
  <c r="T46" i="3"/>
  <c r="O46" i="3"/>
  <c r="J46" i="3"/>
  <c r="BU44" i="3"/>
  <c r="BT44" i="3"/>
  <c r="BS44" i="3"/>
  <c r="BP44" i="3"/>
  <c r="BO44" i="3"/>
  <c r="BN44" i="3"/>
  <c r="BK44" i="3"/>
  <c r="BJ44" i="3"/>
  <c r="BI44" i="3"/>
  <c r="BG44" i="3"/>
  <c r="BF44" i="3"/>
  <c r="BE44" i="3"/>
  <c r="BC44" i="3"/>
  <c r="BA44" i="3"/>
  <c r="AZ44" i="3"/>
  <c r="AY44" i="3"/>
  <c r="AX44" i="3"/>
  <c r="AV44" i="3"/>
  <c r="AV46" i="3" s="1"/>
  <c r="AU44" i="3"/>
  <c r="AU46" i="3" s="1"/>
  <c r="AT44" i="3"/>
  <c r="AT46" i="3" s="1"/>
  <c r="AQ44" i="3"/>
  <c r="AQ46" i="3" s="1"/>
  <c r="AP44" i="3"/>
  <c r="AO44" i="3"/>
  <c r="AL44" i="3"/>
  <c r="AL46" i="3" s="1"/>
  <c r="AK44" i="3"/>
  <c r="AK46" i="3" s="1"/>
  <c r="AJ44" i="3"/>
  <c r="AJ46" i="3" s="1"/>
  <c r="AG44" i="3"/>
  <c r="AG46" i="3" s="1"/>
  <c r="AF44" i="3"/>
  <c r="AF46" i="3" s="1"/>
  <c r="AE44" i="3"/>
  <c r="T44" i="3"/>
  <c r="BH42" i="3"/>
  <c r="BD43" i="3"/>
  <c r="BD44" i="3" s="1"/>
  <c r="BB43" i="3"/>
  <c r="BB42" i="3"/>
  <c r="AW43" i="3"/>
  <c r="AW42" i="3"/>
  <c r="AH43" i="3"/>
  <c r="AH42" i="3"/>
  <c r="AD43" i="3"/>
  <c r="X43" i="3"/>
  <c r="S43" i="3"/>
  <c r="O43" i="3"/>
  <c r="J43" i="3"/>
  <c r="BQ43" i="3"/>
  <c r="BQ42" i="3"/>
  <c r="BL43" i="3"/>
  <c r="BL42" i="3"/>
  <c r="AC42" i="3"/>
  <c r="X42" i="3"/>
  <c r="S42" i="3"/>
  <c r="N42" i="3"/>
  <c r="M42" i="3"/>
  <c r="L42" i="3"/>
  <c r="K42" i="3"/>
  <c r="I42" i="3"/>
  <c r="H42" i="3"/>
  <c r="G42" i="3"/>
  <c r="F42" i="3"/>
  <c r="CL37" i="3"/>
  <c r="CL35" i="3"/>
  <c r="CG37" i="3"/>
  <c r="CG35" i="3"/>
  <c r="CB37" i="3"/>
  <c r="CB35" i="3"/>
  <c r="BW37" i="3"/>
  <c r="BW36" i="3"/>
  <c r="BW35" i="3"/>
  <c r="BR37" i="3"/>
  <c r="BR36" i="3"/>
  <c r="BR35" i="3"/>
  <c r="BM37" i="3"/>
  <c r="BM36" i="3"/>
  <c r="BH37" i="3"/>
  <c r="BH36" i="3"/>
  <c r="BH35" i="3"/>
  <c r="P28" i="9" s="1"/>
  <c r="BC37" i="3"/>
  <c r="BC36" i="3"/>
  <c r="BC35" i="3"/>
  <c r="O28" i="9" s="1"/>
  <c r="AX37" i="3"/>
  <c r="AX36" i="3"/>
  <c r="AX35" i="3"/>
  <c r="N28" i="9" s="1"/>
  <c r="AS37" i="3"/>
  <c r="AS35" i="3"/>
  <c r="M28" i="9" s="1"/>
  <c r="AN37" i="3"/>
  <c r="AN35" i="3"/>
  <c r="L28" i="9" s="1"/>
  <c r="AI37" i="3"/>
  <c r="AI36" i="3"/>
  <c r="AI35" i="3"/>
  <c r="K28" i="9" s="1"/>
  <c r="AD37" i="3"/>
  <c r="AD35" i="3"/>
  <c r="J28" i="9" s="1"/>
  <c r="Y37" i="3"/>
  <c r="Y36" i="3"/>
  <c r="S37" i="3"/>
  <c r="S35" i="3"/>
  <c r="S34" i="3"/>
  <c r="S124" i="2" s="1"/>
  <c r="S33" i="3"/>
  <c r="S173" i="2" s="1"/>
  <c r="N37" i="3"/>
  <c r="N34" i="3"/>
  <c r="N124" i="2" s="1"/>
  <c r="N33" i="3"/>
  <c r="N173" i="2" s="1"/>
  <c r="N32" i="3"/>
  <c r="N84" i="2" s="1"/>
  <c r="CI36" i="3"/>
  <c r="AQ36" i="3"/>
  <c r="AS36" i="3" s="1"/>
  <c r="AJ36" i="3"/>
  <c r="AN36" i="3" s="1"/>
  <c r="AB36" i="3"/>
  <c r="Z36" i="3"/>
  <c r="R36" i="3"/>
  <c r="R39" i="3" s="1"/>
  <c r="Q36" i="3"/>
  <c r="Q39" i="3" s="1"/>
  <c r="P36" i="3"/>
  <c r="P39" i="3" s="1"/>
  <c r="O36" i="3"/>
  <c r="O35" i="3"/>
  <c r="G28" i="9" s="1"/>
  <c r="I36" i="3"/>
  <c r="I34" i="3"/>
  <c r="I124" i="2" s="1"/>
  <c r="I33" i="3"/>
  <c r="I173" i="2" s="1"/>
  <c r="BI35" i="3"/>
  <c r="BM35" i="3" s="1"/>
  <c r="BI34" i="3"/>
  <c r="BI33" i="3"/>
  <c r="BI32" i="3"/>
  <c r="X35" i="3"/>
  <c r="Y35" i="3" s="1"/>
  <c r="I28" i="9" s="1"/>
  <c r="X34" i="3"/>
  <c r="X33" i="3"/>
  <c r="X32" i="3"/>
  <c r="M36" i="3"/>
  <c r="L36" i="3"/>
  <c r="K36" i="3"/>
  <c r="M35" i="3"/>
  <c r="L35" i="3"/>
  <c r="K35" i="3"/>
  <c r="J35" i="3"/>
  <c r="F28" i="9" s="1"/>
  <c r="H35" i="3"/>
  <c r="G35" i="3"/>
  <c r="F35" i="3"/>
  <c r="BV34" i="3"/>
  <c r="Q16" i="35" s="1"/>
  <c r="Q19" i="35" s="1"/>
  <c r="BU34" i="3"/>
  <c r="BT34" i="3"/>
  <c r="BS34" i="3"/>
  <c r="BV33" i="3"/>
  <c r="Q11" i="35" s="1"/>
  <c r="Q14" i="35" s="1"/>
  <c r="BU33" i="3"/>
  <c r="BT33" i="3"/>
  <c r="BS33" i="3"/>
  <c r="BV32" i="3"/>
  <c r="BU32" i="3"/>
  <c r="BT32" i="3"/>
  <c r="BS32" i="3"/>
  <c r="BQ34" i="3"/>
  <c r="BP34" i="3"/>
  <c r="BO34" i="3"/>
  <c r="BN34" i="3"/>
  <c r="BQ33" i="3"/>
  <c r="BP33" i="3"/>
  <c r="BO33" i="3"/>
  <c r="BN33" i="3"/>
  <c r="BQ32" i="3"/>
  <c r="BP32" i="3"/>
  <c r="BO32" i="3"/>
  <c r="BN32" i="3"/>
  <c r="BL34" i="3"/>
  <c r="BK34" i="3"/>
  <c r="BJ34" i="3"/>
  <c r="BL33" i="3"/>
  <c r="BK33" i="3"/>
  <c r="BJ33" i="3"/>
  <c r="BL32" i="3"/>
  <c r="BK32" i="3"/>
  <c r="BJ32" i="3"/>
  <c r="BG34" i="3"/>
  <c r="BF34" i="3"/>
  <c r="BE34" i="3"/>
  <c r="BD34" i="3"/>
  <c r="BG33" i="3"/>
  <c r="BF33" i="3"/>
  <c r="BE33" i="3"/>
  <c r="BD33" i="3"/>
  <c r="BG32" i="3"/>
  <c r="BF32" i="3"/>
  <c r="BF40" i="3" s="1"/>
  <c r="BE32" i="3"/>
  <c r="BE40" i="3" s="1"/>
  <c r="BD32" i="3"/>
  <c r="BB34" i="3"/>
  <c r="BA34" i="3"/>
  <c r="AZ34" i="3"/>
  <c r="AY34" i="3"/>
  <c r="BB33" i="3"/>
  <c r="BA33" i="3"/>
  <c r="AZ33" i="3"/>
  <c r="AY33" i="3"/>
  <c r="BB32" i="3"/>
  <c r="BA32" i="3"/>
  <c r="AZ32" i="3"/>
  <c r="AZ39" i="3" s="1"/>
  <c r="AY32" i="3"/>
  <c r="AW34" i="3"/>
  <c r="AV34" i="3"/>
  <c r="AU34" i="3"/>
  <c r="AT34" i="3"/>
  <c r="AW33" i="3"/>
  <c r="AV33" i="3"/>
  <c r="AU33" i="3"/>
  <c r="AT33" i="3"/>
  <c r="AW32" i="3"/>
  <c r="AW39" i="3" s="1"/>
  <c r="AV32" i="3"/>
  <c r="AU32" i="3"/>
  <c r="AT32" i="3"/>
  <c r="AR34" i="3"/>
  <c r="AQ34" i="3"/>
  <c r="AP34" i="3"/>
  <c r="AO34" i="3"/>
  <c r="AR33" i="3"/>
  <c r="AQ33" i="3"/>
  <c r="AP33" i="3"/>
  <c r="AO33" i="3"/>
  <c r="AR32" i="3"/>
  <c r="AR39" i="3" s="1"/>
  <c r="AQ32" i="3"/>
  <c r="AQ39" i="3" s="1"/>
  <c r="AP32" i="3"/>
  <c r="AP39" i="3" s="1"/>
  <c r="AO32" i="3"/>
  <c r="AM34" i="3"/>
  <c r="AL34" i="3"/>
  <c r="AK34" i="3"/>
  <c r="AJ34" i="3"/>
  <c r="AM33" i="3"/>
  <c r="AL33" i="3"/>
  <c r="AK33" i="3"/>
  <c r="AJ33" i="3"/>
  <c r="AM32" i="3"/>
  <c r="AM39" i="3" s="1"/>
  <c r="AL32" i="3"/>
  <c r="AK32" i="3"/>
  <c r="AJ32" i="3"/>
  <c r="AH34" i="3"/>
  <c r="AG34" i="3"/>
  <c r="AF34" i="3"/>
  <c r="AE34" i="3"/>
  <c r="AH33" i="3"/>
  <c r="AG33" i="3"/>
  <c r="AF33" i="3"/>
  <c r="AE33" i="3"/>
  <c r="AH32" i="3"/>
  <c r="AH39" i="3" s="1"/>
  <c r="AG32" i="3"/>
  <c r="AG39" i="3" s="1"/>
  <c r="AF32" i="3"/>
  <c r="AE32" i="3"/>
  <c r="AE39" i="3" s="1"/>
  <c r="AC34" i="3"/>
  <c r="AB34" i="3"/>
  <c r="AA34" i="3"/>
  <c r="Z34" i="3"/>
  <c r="AC33" i="3"/>
  <c r="AB33" i="3"/>
  <c r="AA33" i="3"/>
  <c r="Z33" i="3"/>
  <c r="AC32" i="3"/>
  <c r="AB32" i="3"/>
  <c r="AB39" i="3" s="1"/>
  <c r="AA32" i="3"/>
  <c r="Z32" i="3"/>
  <c r="W34" i="3"/>
  <c r="V34" i="3"/>
  <c r="U34" i="3"/>
  <c r="W33" i="3"/>
  <c r="V33" i="3"/>
  <c r="U33" i="3"/>
  <c r="W32" i="3"/>
  <c r="V32" i="3"/>
  <c r="U32" i="3"/>
  <c r="T32" i="3"/>
  <c r="H25" i="9" s="1"/>
  <c r="H32" i="3"/>
  <c r="G32" i="3"/>
  <c r="F32" i="3"/>
  <c r="CL26" i="3"/>
  <c r="CG26" i="3"/>
  <c r="CB26" i="3"/>
  <c r="BW26" i="3"/>
  <c r="BW25" i="3"/>
  <c r="BW23" i="3"/>
  <c r="BL26" i="3"/>
  <c r="BK26" i="3"/>
  <c r="BJ26" i="3"/>
  <c r="BI26" i="3"/>
  <c r="BG26" i="3"/>
  <c r="BF26" i="3"/>
  <c r="BE26" i="3"/>
  <c r="BD26" i="3"/>
  <c r="BB26" i="3"/>
  <c r="BA26" i="3"/>
  <c r="AZ26" i="3"/>
  <c r="AY26" i="3"/>
  <c r="AW26" i="3"/>
  <c r="AV26" i="3"/>
  <c r="AU26" i="3"/>
  <c r="AT26" i="3"/>
  <c r="AR26" i="3"/>
  <c r="AQ26" i="3"/>
  <c r="AP26" i="3"/>
  <c r="AO26" i="3"/>
  <c r="AM26" i="3"/>
  <c r="AL26" i="3"/>
  <c r="AK26" i="3"/>
  <c r="AJ26" i="3"/>
  <c r="AH26" i="3"/>
  <c r="AG26" i="3"/>
  <c r="AF26" i="3"/>
  <c r="AE26" i="3"/>
  <c r="AD25" i="3"/>
  <c r="J39" i="9" s="1"/>
  <c r="Z26" i="3"/>
  <c r="AD26" i="3" s="1"/>
  <c r="X26" i="3"/>
  <c r="W26" i="3"/>
  <c r="V26" i="3"/>
  <c r="U26" i="3"/>
  <c r="T26" i="3"/>
  <c r="R26" i="3"/>
  <c r="Q26" i="3"/>
  <c r="P26" i="3"/>
  <c r="O26" i="3"/>
  <c r="M26" i="3"/>
  <c r="L26" i="3"/>
  <c r="K26" i="3"/>
  <c r="J26" i="3"/>
  <c r="H26" i="3"/>
  <c r="G26" i="3"/>
  <c r="BR99" i="3"/>
  <c r="BM23" i="3"/>
  <c r="BH25" i="3"/>
  <c r="BH23" i="3"/>
  <c r="BC25" i="3"/>
  <c r="BC23" i="3"/>
  <c r="AX25" i="3"/>
  <c r="AX23" i="3"/>
  <c r="AS25" i="3"/>
  <c r="AS23" i="3"/>
  <c r="AN25" i="3"/>
  <c r="AN23" i="3"/>
  <c r="AI25" i="3"/>
  <c r="AI23" i="3"/>
  <c r="Y25" i="3"/>
  <c r="I39" i="9" s="1"/>
  <c r="S25" i="3"/>
  <c r="S99" i="3" s="1"/>
  <c r="I23" i="3"/>
  <c r="F25" i="3"/>
  <c r="F99" i="3" s="1"/>
  <c r="BV24" i="3"/>
  <c r="BU24" i="3"/>
  <c r="BT24" i="3"/>
  <c r="BS24" i="3"/>
  <c r="BP24" i="3"/>
  <c r="BO24" i="3"/>
  <c r="BN24" i="3"/>
  <c r="BL24" i="3"/>
  <c r="BK24" i="3"/>
  <c r="BJ24" i="3"/>
  <c r="BI24" i="3"/>
  <c r="BG24" i="3"/>
  <c r="BF24" i="3"/>
  <c r="BE24" i="3"/>
  <c r="BD24" i="3"/>
  <c r="BB24" i="3"/>
  <c r="BA24" i="3"/>
  <c r="AZ24" i="3"/>
  <c r="AY24" i="3"/>
  <c r="AW24" i="3"/>
  <c r="AV24" i="3"/>
  <c r="AU24" i="3"/>
  <c r="AT24" i="3"/>
  <c r="AR24" i="3"/>
  <c r="AQ24" i="3"/>
  <c r="AP24" i="3"/>
  <c r="AO24" i="3"/>
  <c r="AM24" i="3"/>
  <c r="AL24" i="3"/>
  <c r="AA24" i="3"/>
  <c r="T23" i="3"/>
  <c r="CI24" i="3"/>
  <c r="CJ24" i="3" s="1"/>
  <c r="CD24" i="3"/>
  <c r="CE24" i="3" s="1"/>
  <c r="CF24" i="3" s="1"/>
  <c r="BQ23" i="3"/>
  <c r="Z23" i="3"/>
  <c r="AD23" i="3" s="1"/>
  <c r="X23" i="3"/>
  <c r="W23" i="3"/>
  <c r="V23" i="3"/>
  <c r="U23" i="3"/>
  <c r="R23" i="3"/>
  <c r="Q23" i="3"/>
  <c r="P23" i="3"/>
  <c r="O25" i="3"/>
  <c r="G39" i="9" s="1"/>
  <c r="O23" i="3"/>
  <c r="M23" i="3"/>
  <c r="L23" i="3"/>
  <c r="K23" i="3"/>
  <c r="BV16" i="3"/>
  <c r="BU16" i="3"/>
  <c r="BT16" i="3"/>
  <c r="BP16" i="3"/>
  <c r="BO16" i="3"/>
  <c r="BN16" i="3"/>
  <c r="BL16" i="3"/>
  <c r="BK16" i="3"/>
  <c r="BJ16" i="3"/>
  <c r="BI16" i="3"/>
  <c r="BG16" i="3"/>
  <c r="BF16" i="3"/>
  <c r="BE16" i="3"/>
  <c r="BD16" i="3"/>
  <c r="BB16" i="3"/>
  <c r="BA16" i="3"/>
  <c r="AZ16" i="3"/>
  <c r="AY16" i="3"/>
  <c r="AW16" i="3"/>
  <c r="AV16" i="3"/>
  <c r="AU16" i="3"/>
  <c r="AT16" i="3"/>
  <c r="AR16" i="3"/>
  <c r="AQ16" i="3"/>
  <c r="AP16" i="3"/>
  <c r="AO16" i="3"/>
  <c r="AM16" i="3"/>
  <c r="BU15" i="3"/>
  <c r="BT15" i="3"/>
  <c r="BS15" i="3"/>
  <c r="BP15" i="3"/>
  <c r="BO15" i="3"/>
  <c r="BN15" i="3"/>
  <c r="BL15" i="3"/>
  <c r="BK15" i="3"/>
  <c r="BJ15" i="3"/>
  <c r="BI15" i="3"/>
  <c r="BG15" i="3"/>
  <c r="BF15" i="3"/>
  <c r="BE15" i="3"/>
  <c r="BD15" i="3"/>
  <c r="BB15" i="3"/>
  <c r="BA15" i="3"/>
  <c r="AZ15" i="3"/>
  <c r="AY15" i="3"/>
  <c r="AW15" i="3"/>
  <c r="AV15" i="3"/>
  <c r="AU15" i="3"/>
  <c r="AT15" i="3"/>
  <c r="AR15" i="3"/>
  <c r="AQ15" i="3"/>
  <c r="BQ14" i="3"/>
  <c r="BQ204" i="2" s="1"/>
  <c r="Z14" i="3"/>
  <c r="Z204" i="2" s="1"/>
  <c r="N13" i="3"/>
  <c r="N11" i="3"/>
  <c r="N113" i="2" s="1"/>
  <c r="N10" i="3"/>
  <c r="N152" i="2" s="1"/>
  <c r="N9" i="3"/>
  <c r="N48" i="2" s="1"/>
  <c r="N46" i="2" s="1"/>
  <c r="N45" i="2" s="1"/>
  <c r="AB11" i="3"/>
  <c r="AB10" i="3"/>
  <c r="AB9" i="3"/>
  <c r="W12" i="3"/>
  <c r="V12" i="3"/>
  <c r="U12" i="3"/>
  <c r="T12" i="3"/>
  <c r="H12" i="9" s="1"/>
  <c r="H14" i="9" s="1"/>
  <c r="R12" i="3"/>
  <c r="R14" i="3" s="1"/>
  <c r="R204" i="2" s="1"/>
  <c r="Q12" i="3"/>
  <c r="Q14" i="3" s="1"/>
  <c r="Q204" i="2" s="1"/>
  <c r="P12" i="3"/>
  <c r="P14" i="3" s="1"/>
  <c r="P204" i="2" s="1"/>
  <c r="O12" i="3"/>
  <c r="G12" i="9" s="1"/>
  <c r="G14" i="9" s="1"/>
  <c r="M12" i="3"/>
  <c r="M14" i="3" s="1"/>
  <c r="M204" i="2" s="1"/>
  <c r="L12" i="3"/>
  <c r="L14" i="3" s="1"/>
  <c r="L204" i="2" s="1"/>
  <c r="K12" i="3"/>
  <c r="K14" i="3" s="1"/>
  <c r="J12" i="3"/>
  <c r="F12" i="9" s="1"/>
  <c r="F14" i="9" s="1"/>
  <c r="H12" i="3"/>
  <c r="H14" i="3" s="1"/>
  <c r="G12" i="3"/>
  <c r="G14" i="3" s="1"/>
  <c r="F12" i="3"/>
  <c r="F14" i="3" s="1"/>
  <c r="AC11" i="3"/>
  <c r="AC10" i="3"/>
  <c r="AC9" i="3"/>
  <c r="S11" i="3"/>
  <c r="S113" i="2" s="1"/>
  <c r="S10" i="3"/>
  <c r="S152" i="2" s="1"/>
  <c r="S9" i="3"/>
  <c r="S48" i="2" s="1"/>
  <c r="S46" i="2" s="1"/>
  <c r="S45" i="2" s="1"/>
  <c r="I11" i="3"/>
  <c r="I113" i="2" s="1"/>
  <c r="I10" i="3"/>
  <c r="I152" i="2" s="1"/>
  <c r="I9" i="3"/>
  <c r="I48" i="2" s="1"/>
  <c r="I46" i="2" s="1"/>
  <c r="I45" i="2" s="1"/>
  <c r="CI12" i="3"/>
  <c r="CD12" i="3"/>
  <c r="BV11" i="3"/>
  <c r="BU11" i="3"/>
  <c r="BT11" i="3"/>
  <c r="BS11" i="3"/>
  <c r="BV10" i="3"/>
  <c r="BU10" i="3"/>
  <c r="BT10" i="3"/>
  <c r="BS10" i="3"/>
  <c r="BV9" i="3"/>
  <c r="BU9" i="3"/>
  <c r="BT9" i="3"/>
  <c r="BS9" i="3"/>
  <c r="BQ11" i="3"/>
  <c r="BP11" i="3"/>
  <c r="BO11" i="3"/>
  <c r="BN11" i="3"/>
  <c r="BQ10" i="3"/>
  <c r="BP10" i="3"/>
  <c r="BO10" i="3"/>
  <c r="BN10" i="3"/>
  <c r="BQ9" i="3"/>
  <c r="BP9" i="3"/>
  <c r="BO9" i="3"/>
  <c r="BN9" i="3"/>
  <c r="BL11" i="3"/>
  <c r="BK11" i="3"/>
  <c r="BJ11" i="3"/>
  <c r="BI11" i="3"/>
  <c r="BL10" i="3"/>
  <c r="BK10" i="3"/>
  <c r="BJ10" i="3"/>
  <c r="BI10" i="3"/>
  <c r="BL9" i="3"/>
  <c r="BK9" i="3"/>
  <c r="BJ9" i="3"/>
  <c r="BI9" i="3"/>
  <c r="BG11" i="3"/>
  <c r="BF11" i="3"/>
  <c r="BE11" i="3"/>
  <c r="BD11" i="3"/>
  <c r="BG10" i="3"/>
  <c r="BF10" i="3"/>
  <c r="BE10" i="3"/>
  <c r="BD10" i="3"/>
  <c r="BG9" i="3"/>
  <c r="BF9" i="3"/>
  <c r="BE9" i="3"/>
  <c r="BD9" i="3"/>
  <c r="BB11" i="3"/>
  <c r="BA11" i="3"/>
  <c r="AZ11" i="3"/>
  <c r="AY11" i="3"/>
  <c r="BB10" i="3"/>
  <c r="BA10" i="3"/>
  <c r="AZ10" i="3"/>
  <c r="AY10" i="3"/>
  <c r="BB9" i="3"/>
  <c r="BB12" i="3" s="1"/>
  <c r="BA9" i="3"/>
  <c r="AZ9" i="3"/>
  <c r="AY9" i="3"/>
  <c r="AW11" i="3"/>
  <c r="AV11" i="3"/>
  <c r="AU11" i="3"/>
  <c r="AT11" i="3"/>
  <c r="AW10" i="3"/>
  <c r="AV10" i="3"/>
  <c r="AU10" i="3"/>
  <c r="AT10" i="3"/>
  <c r="AW9" i="3"/>
  <c r="AW12" i="3" s="1"/>
  <c r="AV9" i="3"/>
  <c r="AU9" i="3"/>
  <c r="AT9" i="3"/>
  <c r="AR11" i="3"/>
  <c r="AQ11" i="3"/>
  <c r="AP11" i="3"/>
  <c r="AO11" i="3"/>
  <c r="AR10" i="3"/>
  <c r="AQ10" i="3"/>
  <c r="AP10" i="3"/>
  <c r="AO10" i="3"/>
  <c r="AR9" i="3"/>
  <c r="AQ9" i="3"/>
  <c r="AP9" i="3"/>
  <c r="AO9" i="3"/>
  <c r="AM11" i="3"/>
  <c r="AL11" i="3"/>
  <c r="AK11" i="3"/>
  <c r="AJ11" i="3"/>
  <c r="AM10" i="3"/>
  <c r="AL10" i="3"/>
  <c r="AK10" i="3"/>
  <c r="AJ10" i="3"/>
  <c r="AM9" i="3"/>
  <c r="AM12" i="3" s="1"/>
  <c r="AL9" i="3"/>
  <c r="AK9" i="3"/>
  <c r="AJ9" i="3"/>
  <c r="AH11" i="3"/>
  <c r="AG11" i="3"/>
  <c r="AF11" i="3"/>
  <c r="AE11" i="3"/>
  <c r="AH10" i="3"/>
  <c r="AG10" i="3"/>
  <c r="AF10" i="3"/>
  <c r="AE10" i="3"/>
  <c r="AH9" i="3"/>
  <c r="AG9" i="3"/>
  <c r="AF9" i="3"/>
  <c r="AE9" i="3"/>
  <c r="AA11" i="3"/>
  <c r="Z11" i="3"/>
  <c r="AA10" i="3"/>
  <c r="Z10" i="3"/>
  <c r="AA9" i="3"/>
  <c r="Z9" i="3"/>
  <c r="X11" i="3"/>
  <c r="W11" i="3"/>
  <c r="V11" i="3"/>
  <c r="U11" i="3"/>
  <c r="X10" i="3"/>
  <c r="W10" i="3"/>
  <c r="V10" i="3"/>
  <c r="U10" i="3"/>
  <c r="W9" i="3"/>
  <c r="V9" i="3"/>
  <c r="U9" i="3"/>
  <c r="BW7" i="3"/>
  <c r="BR7" i="3"/>
  <c r="BM7" i="3"/>
  <c r="BH7" i="3"/>
  <c r="BC7" i="3"/>
  <c r="AX7" i="3"/>
  <c r="AS7" i="3"/>
  <c r="AN7" i="3"/>
  <c r="AJ6" i="3" s="1"/>
  <c r="AM7" i="3"/>
  <c r="AL7" i="3"/>
  <c r="AK7" i="3"/>
  <c r="AJ7" i="3"/>
  <c r="AI7" i="3"/>
  <c r="AE6" i="3" s="1"/>
  <c r="AH7" i="3"/>
  <c r="AG7" i="3"/>
  <c r="AF7" i="3"/>
  <c r="AE7" i="3"/>
  <c r="AD7" i="3"/>
  <c r="Z6" i="3" s="1"/>
  <c r="AC7" i="3"/>
  <c r="AB7" i="3"/>
  <c r="AA7" i="3"/>
  <c r="Z7" i="3"/>
  <c r="Y7" i="3"/>
  <c r="U6" i="3" s="1"/>
  <c r="X7" i="3"/>
  <c r="W7" i="3"/>
  <c r="V7" i="3"/>
  <c r="U7" i="3"/>
  <c r="T7" i="3"/>
  <c r="T214" i="3" s="1"/>
  <c r="S7" i="3"/>
  <c r="S214" i="3" s="1"/>
  <c r="R7" i="3"/>
  <c r="R214" i="3" s="1"/>
  <c r="Q7" i="3"/>
  <c r="Q214" i="3" s="1"/>
  <c r="P7" i="3"/>
  <c r="P214" i="3" s="1"/>
  <c r="CL4" i="3"/>
  <c r="CK4" i="3"/>
  <c r="CJ4" i="3"/>
  <c r="CI4" i="3"/>
  <c r="CH4" i="3"/>
  <c r="CG4" i="3"/>
  <c r="CF4" i="3"/>
  <c r="CE4" i="3"/>
  <c r="CD4" i="3"/>
  <c r="CC4" i="3"/>
  <c r="CB4" i="3"/>
  <c r="CA4" i="3"/>
  <c r="BZ4" i="3"/>
  <c r="BY4" i="3"/>
  <c r="BW4" i="3"/>
  <c r="BV4" i="3"/>
  <c r="BU4" i="3"/>
  <c r="BT4" i="3"/>
  <c r="BS4" i="3"/>
  <c r="BR4" i="3"/>
  <c r="BQ4" i="3"/>
  <c r="BP4" i="3"/>
  <c r="BO4" i="3"/>
  <c r="BN4" i="3"/>
  <c r="BM4" i="3"/>
  <c r="BL4" i="3"/>
  <c r="BK4" i="3"/>
  <c r="BH4" i="3"/>
  <c r="BG4" i="3"/>
  <c r="BF4" i="3"/>
  <c r="BE4" i="3"/>
  <c r="BD4" i="3"/>
  <c r="BC4" i="3"/>
  <c r="BB4" i="3"/>
  <c r="BA4" i="3"/>
  <c r="AZ4" i="3"/>
  <c r="AY4" i="3"/>
  <c r="AX4" i="3"/>
  <c r="AW4" i="3"/>
  <c r="AV4" i="3"/>
  <c r="AU4" i="3"/>
  <c r="AT4" i="3"/>
  <c r="AS4" i="3"/>
  <c r="AR4" i="3"/>
  <c r="AQ4" i="3"/>
  <c r="AP4" i="3"/>
  <c r="AO4" i="3"/>
  <c r="AN4" i="3"/>
  <c r="AM4" i="3"/>
  <c r="AL4" i="3"/>
  <c r="AK4" i="3"/>
  <c r="AJ4" i="3"/>
  <c r="AI4" i="3"/>
  <c r="AH4" i="3"/>
  <c r="AG4" i="3"/>
  <c r="AF4" i="3"/>
  <c r="AE4" i="3"/>
  <c r="BW109" i="3"/>
  <c r="M215" i="2"/>
  <c r="L215" i="2"/>
  <c r="K215" i="2"/>
  <c r="BZ243" i="3"/>
  <c r="BV215" i="2"/>
  <c r="BU215" i="2"/>
  <c r="BT215" i="2"/>
  <c r="BS215" i="2"/>
  <c r="BS214" i="2"/>
  <c r="BQ215" i="2"/>
  <c r="BP215" i="2"/>
  <c r="BO215" i="2"/>
  <c r="BN215" i="2"/>
  <c r="BO214" i="2"/>
  <c r="BN214" i="2"/>
  <c r="BL215" i="2"/>
  <c r="BK215" i="2"/>
  <c r="BJ215" i="2"/>
  <c r="BI215" i="2"/>
  <c r="BI214" i="2"/>
  <c r="BG215" i="2"/>
  <c r="BF215" i="2"/>
  <c r="BE215" i="2"/>
  <c r="BD215" i="2"/>
  <c r="BE214" i="2"/>
  <c r="BD214" i="2"/>
  <c r="BB215" i="2"/>
  <c r="BA215" i="2"/>
  <c r="AZ215" i="2"/>
  <c r="AY215" i="2"/>
  <c r="AZ214" i="2"/>
  <c r="AY214" i="2"/>
  <c r="AW215" i="2"/>
  <c r="AV215" i="2"/>
  <c r="AU215" i="2"/>
  <c r="AT215" i="2"/>
  <c r="AU214" i="2"/>
  <c r="AT214" i="2"/>
  <c r="AR215" i="2"/>
  <c r="AQ215" i="2"/>
  <c r="AP215" i="2"/>
  <c r="AO215" i="2"/>
  <c r="AO214" i="2"/>
  <c r="AM215" i="2"/>
  <c r="AL215" i="2"/>
  <c r="AK215" i="2"/>
  <c r="AJ215" i="2"/>
  <c r="AJ214" i="2"/>
  <c r="AH215" i="2"/>
  <c r="AG215" i="2"/>
  <c r="AF215" i="2"/>
  <c r="AE215" i="2"/>
  <c r="AE214" i="2"/>
  <c r="AC215" i="2"/>
  <c r="AB215" i="2"/>
  <c r="AA215" i="2"/>
  <c r="Z215" i="2"/>
  <c r="Z214" i="2"/>
  <c r="Y215" i="2"/>
  <c r="X215" i="2"/>
  <c r="V215" i="2"/>
  <c r="U215" i="2"/>
  <c r="V214" i="2"/>
  <c r="U214" i="2"/>
  <c r="P215" i="2"/>
  <c r="T214" i="2"/>
  <c r="Q214" i="2"/>
  <c r="P214" i="2"/>
  <c r="J103" i="2"/>
  <c r="J102" i="2"/>
  <c r="CL102" i="2"/>
  <c r="CK102" i="2"/>
  <c r="CJ102" i="2"/>
  <c r="CI102" i="2"/>
  <c r="CH102" i="2"/>
  <c r="CG102" i="2"/>
  <c r="CF102" i="2"/>
  <c r="CE102" i="2"/>
  <c r="CD102" i="2"/>
  <c r="CC102" i="2"/>
  <c r="CB102" i="2"/>
  <c r="CA102" i="2"/>
  <c r="BY102" i="2"/>
  <c r="BV103" i="2"/>
  <c r="BU103" i="2"/>
  <c r="BT103" i="2"/>
  <c r="BW102" i="2"/>
  <c r="BV102" i="2"/>
  <c r="BU102" i="2"/>
  <c r="BT102" i="2"/>
  <c r="BS102" i="2"/>
  <c r="BQ103" i="2"/>
  <c r="BP103" i="2"/>
  <c r="BO103" i="2"/>
  <c r="BN103" i="2"/>
  <c r="BQ102" i="2"/>
  <c r="BP102" i="2"/>
  <c r="BO102" i="2"/>
  <c r="BN102" i="2"/>
  <c r="BL103" i="2"/>
  <c r="BK103" i="2"/>
  <c r="BJ103" i="2"/>
  <c r="BI103" i="2"/>
  <c r="BL102" i="2"/>
  <c r="BK102" i="2"/>
  <c r="BJ102" i="2"/>
  <c r="BI102" i="2"/>
  <c r="BG103" i="2"/>
  <c r="BF103" i="2"/>
  <c r="BE103" i="2"/>
  <c r="BD103" i="2"/>
  <c r="BH102" i="2"/>
  <c r="BG102" i="2"/>
  <c r="BF102" i="2"/>
  <c r="BE102" i="2"/>
  <c r="BD102" i="2"/>
  <c r="BB103" i="2"/>
  <c r="BA103" i="2"/>
  <c r="AZ103" i="2"/>
  <c r="AY103" i="2"/>
  <c r="BB102" i="2"/>
  <c r="BA102" i="2"/>
  <c r="AZ102" i="2"/>
  <c r="AY102" i="2"/>
  <c r="AW103" i="2"/>
  <c r="AV103" i="2"/>
  <c r="AU103" i="2"/>
  <c r="AT103" i="2"/>
  <c r="AX102" i="2"/>
  <c r="AW102" i="2"/>
  <c r="AV102" i="2"/>
  <c r="AU102" i="2"/>
  <c r="AT102" i="2"/>
  <c r="AR103" i="2"/>
  <c r="AQ103" i="2"/>
  <c r="AP103" i="2"/>
  <c r="AO103" i="2"/>
  <c r="AR102" i="2"/>
  <c r="AQ102" i="2"/>
  <c r="AP102" i="2"/>
  <c r="AO102" i="2"/>
  <c r="AM103" i="2"/>
  <c r="AL103" i="2"/>
  <c r="AK103" i="2"/>
  <c r="AJ103" i="2"/>
  <c r="AN102" i="2"/>
  <c r="AM102" i="2"/>
  <c r="AL102" i="2"/>
  <c r="AK102" i="2"/>
  <c r="AJ102" i="2"/>
  <c r="AH103" i="2"/>
  <c r="AG103" i="2"/>
  <c r="AF103" i="2"/>
  <c r="AE103" i="2"/>
  <c r="AH102" i="2"/>
  <c r="AG102" i="2"/>
  <c r="AF102" i="2"/>
  <c r="AE102" i="2"/>
  <c r="AC103" i="2"/>
  <c r="AB103" i="2"/>
  <c r="AA103" i="2"/>
  <c r="Z103" i="2"/>
  <c r="AD102" i="2"/>
  <c r="AC102" i="2"/>
  <c r="AB102" i="2"/>
  <c r="AA102" i="2"/>
  <c r="Z102" i="2"/>
  <c r="X103" i="2"/>
  <c r="W103" i="2"/>
  <c r="V103" i="2"/>
  <c r="U103" i="2"/>
  <c r="X102" i="2"/>
  <c r="W102" i="2"/>
  <c r="V102" i="2"/>
  <c r="U102" i="2"/>
  <c r="T103" i="2"/>
  <c r="S103" i="2"/>
  <c r="R103" i="2"/>
  <c r="Q103" i="2"/>
  <c r="P103" i="2"/>
  <c r="T102" i="2"/>
  <c r="S102" i="2"/>
  <c r="R102" i="2"/>
  <c r="Q102" i="2"/>
  <c r="P102" i="2"/>
  <c r="N103" i="2"/>
  <c r="M103" i="2"/>
  <c r="L103" i="2"/>
  <c r="K103" i="2"/>
  <c r="N102" i="2"/>
  <c r="M102" i="2"/>
  <c r="L102" i="2"/>
  <c r="K102" i="2"/>
  <c r="BU145" i="2"/>
  <c r="BU144" i="2"/>
  <c r="J145" i="2"/>
  <c r="CK144" i="2"/>
  <c r="CK150" i="2" s="1"/>
  <c r="CJ144" i="2"/>
  <c r="CJ150" i="2" s="1"/>
  <c r="CI144" i="2"/>
  <c r="CI150" i="2" s="1"/>
  <c r="CH144" i="2"/>
  <c r="CH150" i="2" s="1"/>
  <c r="CF144" i="2"/>
  <c r="CF150" i="2" s="1"/>
  <c r="CE144" i="2"/>
  <c r="CE150" i="2" s="1"/>
  <c r="CD144" i="2"/>
  <c r="CD150" i="2" s="1"/>
  <c r="CC144" i="2"/>
  <c r="CC150" i="2" s="1"/>
  <c r="CB150" i="2"/>
  <c r="BV145" i="2"/>
  <c r="BV144" i="2"/>
  <c r="BT145" i="2"/>
  <c r="BS145" i="2"/>
  <c r="BS144" i="2"/>
  <c r="BQ145" i="2"/>
  <c r="BP145" i="2"/>
  <c r="BO145" i="2"/>
  <c r="BN145" i="2"/>
  <c r="BQ144" i="2"/>
  <c r="BO144" i="2"/>
  <c r="BN144" i="2"/>
  <c r="BL145" i="2"/>
  <c r="BK145" i="2"/>
  <c r="BJ145" i="2"/>
  <c r="BI145" i="2"/>
  <c r="BL144" i="2"/>
  <c r="BK144" i="2"/>
  <c r="BJ144" i="2"/>
  <c r="BJ146" i="2" s="1"/>
  <c r="BI144" i="2"/>
  <c r="BG145" i="2"/>
  <c r="BF145" i="2"/>
  <c r="BE145" i="2"/>
  <c r="BD145" i="2"/>
  <c r="BG144" i="2"/>
  <c r="BF144" i="2"/>
  <c r="BE144" i="2"/>
  <c r="BB145" i="2"/>
  <c r="BA145" i="2"/>
  <c r="AZ145" i="2"/>
  <c r="AY145" i="2"/>
  <c r="BB144" i="2"/>
  <c r="BA144" i="2"/>
  <c r="AY144" i="2"/>
  <c r="AW145" i="2"/>
  <c r="AV145" i="2"/>
  <c r="AU145" i="2"/>
  <c r="AT145" i="2"/>
  <c r="AW144" i="2"/>
  <c r="AU144" i="2"/>
  <c r="AT144" i="2"/>
  <c r="AR145" i="2"/>
  <c r="AQ145" i="2"/>
  <c r="AP145" i="2"/>
  <c r="AO145" i="2"/>
  <c r="AR144" i="2"/>
  <c r="AQ144" i="2"/>
  <c r="AP144" i="2"/>
  <c r="AO144" i="2"/>
  <c r="AM145" i="2"/>
  <c r="AL145" i="2"/>
  <c r="AK145" i="2"/>
  <c r="AJ145" i="2"/>
  <c r="AM144" i="2"/>
  <c r="AL144" i="2"/>
  <c r="AK144" i="2"/>
  <c r="AH145" i="2"/>
  <c r="AG145" i="2"/>
  <c r="AF145" i="2"/>
  <c r="AE145" i="2"/>
  <c r="AH144" i="2"/>
  <c r="AG144" i="2"/>
  <c r="AE144" i="2"/>
  <c r="AC145" i="2"/>
  <c r="AB145" i="2"/>
  <c r="AA145" i="2"/>
  <c r="Z145" i="2"/>
  <c r="AC144" i="2"/>
  <c r="AA144" i="2"/>
  <c r="Z144" i="2"/>
  <c r="X145" i="2"/>
  <c r="W145" i="2"/>
  <c r="V145" i="2"/>
  <c r="U145" i="2"/>
  <c r="X144" i="2"/>
  <c r="W144" i="2"/>
  <c r="V144" i="2"/>
  <c r="U144" i="2"/>
  <c r="T145" i="2"/>
  <c r="S145" i="2"/>
  <c r="R145" i="2"/>
  <c r="Q145" i="2"/>
  <c r="P145" i="2"/>
  <c r="S144" i="2"/>
  <c r="R144" i="2"/>
  <c r="Q144" i="2"/>
  <c r="O145" i="2"/>
  <c r="N145" i="2"/>
  <c r="M145" i="2"/>
  <c r="L145" i="2"/>
  <c r="K145" i="2"/>
  <c r="N144" i="2"/>
  <c r="N146" i="2" s="1"/>
  <c r="M144" i="2"/>
  <c r="L144" i="2"/>
  <c r="K144" i="2"/>
  <c r="J41" i="2"/>
  <c r="J40" i="2"/>
  <c r="F127" i="9" s="1"/>
  <c r="CK40" i="2"/>
  <c r="CJ40" i="2"/>
  <c r="CJ38" i="2" s="1"/>
  <c r="CI40" i="2"/>
  <c r="CI38" i="2" s="1"/>
  <c r="CH40" i="2"/>
  <c r="CF40" i="2"/>
  <c r="CE40" i="2"/>
  <c r="CD40" i="2"/>
  <c r="CD38" i="2" s="1"/>
  <c r="CC40" i="2"/>
  <c r="BW40" i="2"/>
  <c r="S127" i="9" s="1"/>
  <c r="BV40" i="2"/>
  <c r="BU40" i="2"/>
  <c r="BT40" i="2"/>
  <c r="BS40" i="2"/>
  <c r="BQ40" i="2"/>
  <c r="BP40" i="2"/>
  <c r="BO40" i="2"/>
  <c r="BN40" i="2"/>
  <c r="BL40" i="2"/>
  <c r="BK40" i="2"/>
  <c r="BJ40" i="2"/>
  <c r="BI40" i="2"/>
  <c r="BG41" i="2"/>
  <c r="BF41" i="2"/>
  <c r="BE41" i="2"/>
  <c r="BD41" i="2"/>
  <c r="BG40" i="2"/>
  <c r="BF40" i="2"/>
  <c r="BE40" i="2"/>
  <c r="BD40" i="2"/>
  <c r="BB41" i="2"/>
  <c r="BA41" i="2"/>
  <c r="AZ41" i="2"/>
  <c r="AY41" i="2"/>
  <c r="BB40" i="2"/>
  <c r="BA40" i="2"/>
  <c r="BA220" i="2" s="1"/>
  <c r="AZ40" i="2"/>
  <c r="AY40" i="2"/>
  <c r="AW41" i="2"/>
  <c r="AV41" i="2"/>
  <c r="AU41" i="2"/>
  <c r="AT41" i="2"/>
  <c r="AW40" i="2"/>
  <c r="AV40" i="2"/>
  <c r="AU40" i="2"/>
  <c r="AT40" i="2"/>
  <c r="AR41" i="2"/>
  <c r="AQ41" i="2"/>
  <c r="AP41" i="2"/>
  <c r="AO41" i="2"/>
  <c r="AR40" i="2"/>
  <c r="AQ40" i="2"/>
  <c r="AP40" i="2"/>
  <c r="AO40" i="2"/>
  <c r="AM41" i="2"/>
  <c r="AL41" i="2"/>
  <c r="AK41" i="2"/>
  <c r="AJ41" i="2"/>
  <c r="AM40" i="2"/>
  <c r="AL40" i="2"/>
  <c r="AK40" i="2"/>
  <c r="AJ40" i="2"/>
  <c r="AJ42" i="2" s="1"/>
  <c r="AH41" i="2"/>
  <c r="AG41" i="2"/>
  <c r="AF41" i="2"/>
  <c r="AE41" i="2"/>
  <c r="AH40" i="2"/>
  <c r="AG40" i="2"/>
  <c r="AF40" i="2"/>
  <c r="AE40" i="2"/>
  <c r="AC41" i="2"/>
  <c r="AB41" i="2"/>
  <c r="AB218" i="2" s="1"/>
  <c r="AA41" i="2"/>
  <c r="Z41" i="2"/>
  <c r="AC40" i="2"/>
  <c r="AB40" i="2"/>
  <c r="AA40" i="2"/>
  <c r="Z40" i="2"/>
  <c r="X41" i="2"/>
  <c r="W41" i="2"/>
  <c r="V41" i="2"/>
  <c r="U41" i="2"/>
  <c r="X40" i="2"/>
  <c r="W40" i="2"/>
  <c r="V40" i="2"/>
  <c r="U40" i="2"/>
  <c r="T41" i="2"/>
  <c r="S41" i="2"/>
  <c r="R41" i="2"/>
  <c r="Q41" i="2"/>
  <c r="P41" i="2"/>
  <c r="T40" i="2"/>
  <c r="H127" i="9" s="1"/>
  <c r="S40" i="2"/>
  <c r="R40" i="2"/>
  <c r="Q40" i="2"/>
  <c r="P40" i="2"/>
  <c r="O41" i="2"/>
  <c r="N41" i="2"/>
  <c r="M41" i="2"/>
  <c r="L41" i="2"/>
  <c r="K41" i="2"/>
  <c r="O40" i="2"/>
  <c r="G127" i="9" s="1"/>
  <c r="N40" i="2"/>
  <c r="M40" i="2"/>
  <c r="M220" i="2" s="1"/>
  <c r="L40" i="2"/>
  <c r="K40" i="2"/>
  <c r="BW132" i="2"/>
  <c r="BV132" i="2"/>
  <c r="BU132" i="2"/>
  <c r="BT132" i="2"/>
  <c r="BS132" i="2"/>
  <c r="BW95" i="2"/>
  <c r="BV95" i="2"/>
  <c r="BU95" i="2"/>
  <c r="BT95" i="2"/>
  <c r="BS95" i="2"/>
  <c r="BW26" i="2"/>
  <c r="BV26" i="2"/>
  <c r="BU26" i="2"/>
  <c r="BT26" i="2"/>
  <c r="BS26" i="2"/>
  <c r="BR132" i="2"/>
  <c r="BQ132" i="2"/>
  <c r="BP132" i="2"/>
  <c r="BO132" i="2"/>
  <c r="BN132" i="2"/>
  <c r="BR95" i="2"/>
  <c r="BQ95" i="2"/>
  <c r="BP95" i="2"/>
  <c r="BO95" i="2"/>
  <c r="BN95" i="2"/>
  <c r="BR26" i="2"/>
  <c r="BQ26" i="2"/>
  <c r="BP26" i="2"/>
  <c r="BO26" i="2"/>
  <c r="BN26" i="2"/>
  <c r="BM132" i="2"/>
  <c r="BL132" i="2"/>
  <c r="BK132" i="2"/>
  <c r="BJ132" i="2"/>
  <c r="BI132" i="2"/>
  <c r="BM95" i="2"/>
  <c r="BL95" i="2"/>
  <c r="BK95" i="2"/>
  <c r="BJ95" i="2"/>
  <c r="BI95" i="2"/>
  <c r="BM26" i="2"/>
  <c r="BL26" i="2"/>
  <c r="BK26" i="2"/>
  <c r="BJ26" i="2"/>
  <c r="BI26" i="2"/>
  <c r="BG132" i="2"/>
  <c r="BF132" i="2"/>
  <c r="BE132" i="2"/>
  <c r="BD132" i="2"/>
  <c r="BH95" i="2"/>
  <c r="BG95" i="2"/>
  <c r="BF95" i="2"/>
  <c r="BE95" i="2"/>
  <c r="BD95" i="2"/>
  <c r="BH26" i="2"/>
  <c r="BG26" i="2"/>
  <c r="BF26" i="2"/>
  <c r="BE26" i="2"/>
  <c r="BD26" i="2"/>
  <c r="BC132" i="2"/>
  <c r="BB132" i="2"/>
  <c r="BA132" i="2"/>
  <c r="AZ132" i="2"/>
  <c r="AY132" i="2"/>
  <c r="BC95" i="2"/>
  <c r="BB95" i="2"/>
  <c r="BA95" i="2"/>
  <c r="AZ95" i="2"/>
  <c r="AY95" i="2"/>
  <c r="BC26" i="2"/>
  <c r="BB26" i="2"/>
  <c r="BA26" i="2"/>
  <c r="AZ26" i="2"/>
  <c r="AY26" i="2"/>
  <c r="AX132" i="2"/>
  <c r="AW132" i="2"/>
  <c r="AV132" i="2"/>
  <c r="AU132" i="2"/>
  <c r="AT132" i="2"/>
  <c r="AX95" i="2"/>
  <c r="AW95" i="2"/>
  <c r="AV95" i="2"/>
  <c r="AU95" i="2"/>
  <c r="AT95" i="2"/>
  <c r="AX26" i="2"/>
  <c r="AW26" i="2"/>
  <c r="AV26" i="2"/>
  <c r="AU26" i="2"/>
  <c r="AT26" i="2"/>
  <c r="AS132" i="2"/>
  <c r="AR132" i="2"/>
  <c r="AQ132" i="2"/>
  <c r="AP132" i="2"/>
  <c r="AO132" i="2"/>
  <c r="AS95" i="2"/>
  <c r="AR95" i="2"/>
  <c r="AQ95" i="2"/>
  <c r="AP95" i="2"/>
  <c r="AO95" i="2"/>
  <c r="AS26" i="2"/>
  <c r="AR26" i="2"/>
  <c r="AQ26" i="2"/>
  <c r="AP26" i="2"/>
  <c r="AO26" i="2"/>
  <c r="AN132" i="2"/>
  <c r="AM132" i="2"/>
  <c r="AL132" i="2"/>
  <c r="AK132" i="2"/>
  <c r="AJ132" i="2"/>
  <c r="AN95" i="2"/>
  <c r="AM95" i="2"/>
  <c r="AL95" i="2"/>
  <c r="AK95" i="2"/>
  <c r="AJ95" i="2"/>
  <c r="AN26" i="2"/>
  <c r="AM26" i="2"/>
  <c r="AL26" i="2"/>
  <c r="AK26" i="2"/>
  <c r="AJ26" i="2"/>
  <c r="AI132" i="2"/>
  <c r="AH132" i="2"/>
  <c r="AG132" i="2"/>
  <c r="AF132" i="2"/>
  <c r="AE132" i="2"/>
  <c r="AI95" i="2"/>
  <c r="AH95" i="2"/>
  <c r="AG95" i="2"/>
  <c r="AF95" i="2"/>
  <c r="AE95" i="2"/>
  <c r="AI26" i="2"/>
  <c r="AH26" i="2"/>
  <c r="AG26" i="2"/>
  <c r="AF26" i="2"/>
  <c r="AE26" i="2"/>
  <c r="AC132" i="2"/>
  <c r="AB132" i="2"/>
  <c r="AA132" i="2"/>
  <c r="Z132" i="2"/>
  <c r="AD95" i="2"/>
  <c r="AC95" i="2"/>
  <c r="AB95" i="2"/>
  <c r="AA95" i="2"/>
  <c r="Z95" i="2"/>
  <c r="AD26" i="2"/>
  <c r="AC26" i="2"/>
  <c r="AB26" i="2"/>
  <c r="AA26" i="2"/>
  <c r="Z26" i="2"/>
  <c r="Y132" i="2"/>
  <c r="X132" i="2"/>
  <c r="W132" i="2"/>
  <c r="V132" i="2"/>
  <c r="U132" i="2"/>
  <c r="Y95" i="2"/>
  <c r="X95" i="2"/>
  <c r="W95" i="2"/>
  <c r="V95" i="2"/>
  <c r="U95" i="2"/>
  <c r="Y26" i="2"/>
  <c r="X26" i="2"/>
  <c r="W26" i="2"/>
  <c r="V26" i="2"/>
  <c r="U26" i="2"/>
  <c r="T132" i="2"/>
  <c r="S132" i="2"/>
  <c r="R132" i="2"/>
  <c r="Q132" i="2"/>
  <c r="P132" i="2"/>
  <c r="T95" i="2"/>
  <c r="S95" i="2"/>
  <c r="R95" i="2"/>
  <c r="Q95" i="2"/>
  <c r="P95" i="2"/>
  <c r="T26" i="2"/>
  <c r="S26" i="2"/>
  <c r="R26" i="2"/>
  <c r="Q26" i="2"/>
  <c r="P26" i="2"/>
  <c r="O132" i="2"/>
  <c r="M132" i="2"/>
  <c r="L132" i="2"/>
  <c r="K132" i="2"/>
  <c r="O95" i="2"/>
  <c r="N95" i="2"/>
  <c r="M95" i="2"/>
  <c r="L95" i="2"/>
  <c r="K95" i="2"/>
  <c r="O26" i="2"/>
  <c r="N26" i="2"/>
  <c r="M26" i="2"/>
  <c r="L26" i="2"/>
  <c r="K26" i="2"/>
  <c r="E132" i="2"/>
  <c r="J95" i="2"/>
  <c r="E95" i="2"/>
  <c r="J26" i="2"/>
  <c r="E26" i="2"/>
  <c r="BY161" i="2"/>
  <c r="BY166" i="2" s="1"/>
  <c r="BY171" i="2" s="1"/>
  <c r="BY170" i="2" s="1"/>
  <c r="AH161" i="2"/>
  <c r="AG161" i="2"/>
  <c r="AF161" i="2"/>
  <c r="AE161" i="2"/>
  <c r="AC161" i="2"/>
  <c r="AB161" i="2"/>
  <c r="AA161" i="2"/>
  <c r="Z161" i="2"/>
  <c r="X161" i="2"/>
  <c r="W161" i="2"/>
  <c r="V161" i="2"/>
  <c r="U161" i="2"/>
  <c r="S161" i="2"/>
  <c r="R161" i="2"/>
  <c r="Q161" i="2"/>
  <c r="P161" i="2"/>
  <c r="N161" i="2"/>
  <c r="M161" i="2"/>
  <c r="L161" i="2"/>
  <c r="K161" i="2"/>
  <c r="K166" i="2" s="1"/>
  <c r="AS160" i="2"/>
  <c r="AS159" i="2"/>
  <c r="O160" i="2"/>
  <c r="O159" i="2"/>
  <c r="CM164" i="2"/>
  <c r="CK164" i="2"/>
  <c r="CJ164" i="2"/>
  <c r="CI164" i="2"/>
  <c r="CH164" i="2"/>
  <c r="CF164" i="2"/>
  <c r="CE164" i="2"/>
  <c r="CD164" i="2"/>
  <c r="CC164" i="2"/>
  <c r="BZ164" i="2"/>
  <c r="BX164" i="2"/>
  <c r="BV164" i="2"/>
  <c r="BU164" i="2"/>
  <c r="BT164" i="2"/>
  <c r="BS164" i="2"/>
  <c r="BQ164" i="2"/>
  <c r="BP164" i="2"/>
  <c r="BO164" i="2"/>
  <c r="BN164" i="2"/>
  <c r="BL164" i="2"/>
  <c r="BK164" i="2"/>
  <c r="BJ164" i="2"/>
  <c r="BI164" i="2"/>
  <c r="BG164" i="2"/>
  <c r="BF164" i="2"/>
  <c r="BE164" i="2"/>
  <c r="BD164" i="2"/>
  <c r="BB164" i="2"/>
  <c r="BA164" i="2"/>
  <c r="AZ164" i="2"/>
  <c r="AW165" i="2"/>
  <c r="AY164" i="2"/>
  <c r="AW164" i="2"/>
  <c r="AV164" i="2"/>
  <c r="AU164" i="2"/>
  <c r="BW57" i="2"/>
  <c r="BW64" i="2" s="1"/>
  <c r="BR57" i="2"/>
  <c r="BR64" i="2" s="1"/>
  <c r="BM57" i="2"/>
  <c r="BM64" i="2" s="1"/>
  <c r="BH57" i="2"/>
  <c r="BH54" i="2"/>
  <c r="BC57" i="2"/>
  <c r="BC54" i="2"/>
  <c r="AX57" i="2"/>
  <c r="AS57" i="2"/>
  <c r="AO167" i="2"/>
  <c r="BY167" i="2"/>
  <c r="AY61" i="2"/>
  <c r="AP21" i="2"/>
  <c r="AP156" i="2" s="1"/>
  <c r="CK107" i="2"/>
  <c r="CJ107" i="2"/>
  <c r="CI107" i="2"/>
  <c r="CH107" i="2"/>
  <c r="CK106" i="2"/>
  <c r="CJ106" i="2"/>
  <c r="CI106" i="2"/>
  <c r="CH106" i="2"/>
  <c r="CF107" i="2"/>
  <c r="CE107" i="2"/>
  <c r="CD107" i="2"/>
  <c r="CC107" i="2"/>
  <c r="CF106" i="2"/>
  <c r="CE106" i="2"/>
  <c r="CD106" i="2"/>
  <c r="CC106" i="2"/>
  <c r="CA107" i="2"/>
  <c r="BZ107" i="2"/>
  <c r="BY107" i="2"/>
  <c r="CA106" i="2"/>
  <c r="BZ106" i="2"/>
  <c r="BY106" i="2"/>
  <c r="BV107" i="2"/>
  <c r="BU107" i="2"/>
  <c r="BT107" i="2"/>
  <c r="BS107" i="2"/>
  <c r="BV106" i="2"/>
  <c r="BV108" i="2" s="1"/>
  <c r="BU106" i="2"/>
  <c r="BU108" i="2" s="1"/>
  <c r="BT106" i="2"/>
  <c r="BS106" i="2"/>
  <c r="BS108" i="2" s="1"/>
  <c r="BQ107" i="2"/>
  <c r="BP107" i="2"/>
  <c r="BO107" i="2"/>
  <c r="BN107" i="2"/>
  <c r="BQ106" i="2"/>
  <c r="BP106" i="2"/>
  <c r="BO106" i="2"/>
  <c r="BN106" i="2"/>
  <c r="BL107" i="2"/>
  <c r="BK107" i="2"/>
  <c r="BJ107" i="2"/>
  <c r="BI107" i="2"/>
  <c r="BL106" i="2"/>
  <c r="BK106" i="2"/>
  <c r="BK108" i="2" s="1"/>
  <c r="BJ106" i="2"/>
  <c r="BJ108" i="2" s="1"/>
  <c r="BI106" i="2"/>
  <c r="BG107" i="2"/>
  <c r="BF107" i="2"/>
  <c r="BE107" i="2"/>
  <c r="BD107" i="2"/>
  <c r="BG106" i="2"/>
  <c r="BG108" i="2" s="1"/>
  <c r="BF106" i="2"/>
  <c r="BE106" i="2"/>
  <c r="BD106" i="2"/>
  <c r="BB107" i="2"/>
  <c r="BA107" i="2"/>
  <c r="AZ107" i="2"/>
  <c r="AY107" i="2"/>
  <c r="BB106" i="2"/>
  <c r="BB108" i="2" s="1"/>
  <c r="BA106" i="2"/>
  <c r="AZ106" i="2"/>
  <c r="AY106" i="2"/>
  <c r="AW107" i="2"/>
  <c r="AV107" i="2"/>
  <c r="AU107" i="2"/>
  <c r="AT107" i="2"/>
  <c r="AW106" i="2"/>
  <c r="AV106" i="2"/>
  <c r="AU106" i="2"/>
  <c r="AU108" i="2" s="1"/>
  <c r="L42" i="10" s="1"/>
  <c r="AT106" i="2"/>
  <c r="AT108" i="2" s="1"/>
  <c r="L41" i="10" s="1"/>
  <c r="AR107" i="2"/>
  <c r="AQ107" i="2"/>
  <c r="AP107" i="2"/>
  <c r="AO107" i="2"/>
  <c r="AR106" i="2"/>
  <c r="AQ106" i="2"/>
  <c r="AP106" i="2"/>
  <c r="AP108" i="2" s="1"/>
  <c r="L38" i="10" s="1"/>
  <c r="AO106" i="2"/>
  <c r="AM107" i="2"/>
  <c r="AL107" i="2"/>
  <c r="AK107" i="2"/>
  <c r="AJ107" i="2"/>
  <c r="AM106" i="2"/>
  <c r="AL106" i="2"/>
  <c r="AK106" i="2"/>
  <c r="AJ106" i="2"/>
  <c r="AH107" i="2"/>
  <c r="AG107" i="2"/>
  <c r="AF107" i="2"/>
  <c r="AE107" i="2"/>
  <c r="AH106" i="2"/>
  <c r="AG106" i="2"/>
  <c r="AF106" i="2"/>
  <c r="AE106" i="2"/>
  <c r="AC107" i="2"/>
  <c r="AB107" i="2"/>
  <c r="AA107" i="2"/>
  <c r="Z107" i="2"/>
  <c r="AC106" i="2"/>
  <c r="AB106" i="2"/>
  <c r="AA106" i="2"/>
  <c r="Z106" i="2"/>
  <c r="X107" i="2"/>
  <c r="W107" i="2"/>
  <c r="V107" i="2"/>
  <c r="U107" i="2"/>
  <c r="X106" i="2"/>
  <c r="W106" i="2"/>
  <c r="V106" i="2"/>
  <c r="V108" i="2" s="1"/>
  <c r="U106" i="2"/>
  <c r="S107" i="2"/>
  <c r="R107" i="2"/>
  <c r="Q107" i="2"/>
  <c r="P107" i="2"/>
  <c r="S106" i="2"/>
  <c r="R106" i="2"/>
  <c r="Q106" i="2"/>
  <c r="P106" i="2"/>
  <c r="N107" i="2"/>
  <c r="M107" i="2"/>
  <c r="L107" i="2"/>
  <c r="K107" i="2"/>
  <c r="N106" i="2"/>
  <c r="M106" i="2"/>
  <c r="L106" i="2"/>
  <c r="K106" i="2"/>
  <c r="AN11" i="2"/>
  <c r="AI11" i="2"/>
  <c r="AD11" i="2"/>
  <c r="Y11" i="2"/>
  <c r="T11" i="2"/>
  <c r="O11" i="2"/>
  <c r="BY120" i="2"/>
  <c r="BX122" i="2"/>
  <c r="BX120" i="2"/>
  <c r="AK44" i="2"/>
  <c r="AG44" i="2"/>
  <c r="N44" i="2"/>
  <c r="J16" i="10" s="1"/>
  <c r="CL131" i="2"/>
  <c r="CK131" i="2"/>
  <c r="CJ131" i="2"/>
  <c r="CI131" i="2"/>
  <c r="CG131" i="2"/>
  <c r="CF131" i="2"/>
  <c r="CE131" i="2"/>
  <c r="CC131" i="2"/>
  <c r="CB131" i="2"/>
  <c r="CA131" i="2"/>
  <c r="BY131" i="2"/>
  <c r="BU131" i="2"/>
  <c r="BT131" i="2"/>
  <c r="BS131" i="2"/>
  <c r="BQ131" i="2"/>
  <c r="BP131" i="2"/>
  <c r="BO131" i="2"/>
  <c r="BL131" i="2"/>
  <c r="BK131" i="2"/>
  <c r="BI131" i="2"/>
  <c r="BG131" i="2"/>
  <c r="BE131" i="2"/>
  <c r="BD131" i="2"/>
  <c r="BA131" i="2"/>
  <c r="AZ131" i="2"/>
  <c r="AY131" i="2"/>
  <c r="AW131" i="2"/>
  <c r="AV131" i="2"/>
  <c r="AU131" i="2"/>
  <c r="AR131" i="2"/>
  <c r="AQ131" i="2"/>
  <c r="A1" i="2"/>
  <c r="AE108" i="2" l="1"/>
  <c r="L29" i="10" s="1"/>
  <c r="Q44" i="2"/>
  <c r="J19" i="10" s="1"/>
  <c r="AY108" i="2"/>
  <c r="BI108" i="2"/>
  <c r="L53" i="10" s="1"/>
  <c r="BN108" i="2"/>
  <c r="BN22" i="2" s="1"/>
  <c r="BU228" i="3"/>
  <c r="BA236" i="3"/>
  <c r="BA243" i="3" s="1"/>
  <c r="G22" i="34"/>
  <c r="W22" i="34" s="1"/>
  <c r="H22" i="34"/>
  <c r="X22" i="34" s="1"/>
  <c r="AM108" i="2"/>
  <c r="L36" i="10" s="1"/>
  <c r="I121" i="9"/>
  <c r="H121" i="9"/>
  <c r="N108" i="2"/>
  <c r="AL44" i="2"/>
  <c r="S44" i="2"/>
  <c r="J20" i="10" s="1"/>
  <c r="K44" i="2"/>
  <c r="J13" i="10" s="1"/>
  <c r="L44" i="2"/>
  <c r="J14" i="10" s="1"/>
  <c r="BO108" i="2"/>
  <c r="L58" i="10" s="1"/>
  <c r="AO61" i="2"/>
  <c r="AO68" i="2" s="1"/>
  <c r="AB44" i="2"/>
  <c r="Y214" i="2"/>
  <c r="BT180" i="3"/>
  <c r="AG219" i="3"/>
  <c r="BH218" i="3"/>
  <c r="BT243" i="3"/>
  <c r="D62" i="19"/>
  <c r="D67" i="19" s="1"/>
  <c r="D71" i="19" s="1"/>
  <c r="AI176" i="11"/>
  <c r="AF180" i="3"/>
  <c r="AT163" i="3"/>
  <c r="AU163" i="3" s="1"/>
  <c r="AV163" i="3" s="1"/>
  <c r="BA172" i="3"/>
  <c r="BA186" i="3" s="1"/>
  <c r="BB178" i="3" s="1"/>
  <c r="L224" i="3"/>
  <c r="M224" i="3" s="1"/>
  <c r="AW51" i="3"/>
  <c r="BC90" i="3"/>
  <c r="AD88" i="3"/>
  <c r="AX88" i="3"/>
  <c r="AG167" i="3"/>
  <c r="AG183" i="3" s="1"/>
  <c r="BG253" i="3"/>
  <c r="BH216" i="11" s="1"/>
  <c r="BH219" i="11" s="1"/>
  <c r="BF180" i="3"/>
  <c r="R215" i="2"/>
  <c r="AF214" i="2"/>
  <c r="AP214" i="2"/>
  <c r="BW67" i="3"/>
  <c r="S23" i="3"/>
  <c r="L39" i="3"/>
  <c r="L98" i="3" s="1"/>
  <c r="N36" i="3"/>
  <c r="AD36" i="3"/>
  <c r="X44" i="3"/>
  <c r="X46" i="3" s="1"/>
  <c r="BL44" i="3"/>
  <c r="S191" i="3"/>
  <c r="AH191" i="3"/>
  <c r="AW191" i="3"/>
  <c r="BB191" i="3"/>
  <c r="BC51" i="3"/>
  <c r="BC73" i="3" s="1"/>
  <c r="S54" i="3"/>
  <c r="CB54" i="3"/>
  <c r="AM77" i="3"/>
  <c r="AM67" i="3" s="1"/>
  <c r="AN67" i="3" s="1"/>
  <c r="AF257" i="3"/>
  <c r="X250" i="3"/>
  <c r="BJ257" i="3"/>
  <c r="X252" i="3"/>
  <c r="X253" i="3"/>
  <c r="X180" i="3" s="1"/>
  <c r="X254" i="3"/>
  <c r="AV253" i="3"/>
  <c r="AW253" i="3" s="1"/>
  <c r="X12" i="3"/>
  <c r="N23" i="3"/>
  <c r="BM26" i="3"/>
  <c r="BH46" i="3"/>
  <c r="N54" i="3"/>
  <c r="AN69" i="3"/>
  <c r="Y90" i="3"/>
  <c r="AN90" i="3"/>
  <c r="Q128" i="3"/>
  <c r="Q194" i="3" s="1"/>
  <c r="Q195" i="3" s="1"/>
  <c r="BH126" i="3"/>
  <c r="BH128" i="3" s="1"/>
  <c r="BH139" i="3" s="1"/>
  <c r="AX137" i="3"/>
  <c r="I161" i="3"/>
  <c r="BI161" i="3"/>
  <c r="AQ191" i="3"/>
  <c r="AU191" i="3"/>
  <c r="BK191" i="3"/>
  <c r="BO191" i="3"/>
  <c r="BU191" i="3"/>
  <c r="X219" i="3"/>
  <c r="L228" i="3"/>
  <c r="AP250" i="3"/>
  <c r="AQ218" i="11" s="1"/>
  <c r="AQ219" i="11" s="1"/>
  <c r="BM42" i="3"/>
  <c r="BQ44" i="3"/>
  <c r="AN54" i="3"/>
  <c r="AG191" i="3"/>
  <c r="BA191" i="3"/>
  <c r="T152" i="3"/>
  <c r="T161" i="3" s="1"/>
  <c r="BR218" i="3"/>
  <c r="BR306" i="3" s="1"/>
  <c r="BR307" i="3" s="1"/>
  <c r="CB230" i="3"/>
  <c r="AI99" i="3"/>
  <c r="K39" i="9"/>
  <c r="AN99" i="3"/>
  <c r="L39" i="9"/>
  <c r="AS99" i="3"/>
  <c r="M39" i="9"/>
  <c r="AX99" i="3"/>
  <c r="N39" i="9"/>
  <c r="BC99" i="3"/>
  <c r="O39" i="9"/>
  <c r="BH99" i="3"/>
  <c r="P39" i="9"/>
  <c r="R28" i="9"/>
  <c r="T28" i="9"/>
  <c r="U28" i="9"/>
  <c r="V28" i="9"/>
  <c r="BB161" i="3"/>
  <c r="AX311" i="3"/>
  <c r="AX312" i="3" s="1"/>
  <c r="AX306" i="3"/>
  <c r="AX307" i="3" s="1"/>
  <c r="BH311" i="3"/>
  <c r="BH312" i="3" s="1"/>
  <c r="BH306" i="3"/>
  <c r="BH307" i="3" s="1"/>
  <c r="BR311" i="3"/>
  <c r="BR312" i="3" s="1"/>
  <c r="Q215" i="2"/>
  <c r="W215" i="2"/>
  <c r="AK214" i="2"/>
  <c r="AV214" i="2"/>
  <c r="AX214" i="2" s="1"/>
  <c r="N63" i="9" s="1"/>
  <c r="N61" i="9" s="1"/>
  <c r="BA214" i="2"/>
  <c r="BJ214" i="2"/>
  <c r="BT214" i="2"/>
  <c r="M24" i="3"/>
  <c r="N25" i="3"/>
  <c r="N99" i="3" s="1"/>
  <c r="G25" i="3"/>
  <c r="G99" i="3" s="1"/>
  <c r="BW99" i="3"/>
  <c r="R27" i="35" s="1"/>
  <c r="S39" i="9"/>
  <c r="Q28" i="9"/>
  <c r="S28" i="9"/>
  <c r="BL191" i="3"/>
  <c r="BQ191" i="3"/>
  <c r="X191" i="3"/>
  <c r="AH44" i="3"/>
  <c r="AH46" i="3" s="1"/>
  <c r="BB44" i="3"/>
  <c r="J54" i="3"/>
  <c r="AI69" i="3"/>
  <c r="CB90" i="3"/>
  <c r="AR142" i="3"/>
  <c r="AS142" i="3" s="1"/>
  <c r="AF161" i="3"/>
  <c r="BA161" i="3"/>
  <c r="BA174" i="3" s="1"/>
  <c r="BM161" i="3"/>
  <c r="BT161" i="3"/>
  <c r="Z156" i="3"/>
  <c r="AA156" i="3" s="1"/>
  <c r="AB156" i="3" s="1"/>
  <c r="AC156" i="3" s="1"/>
  <c r="AD156" i="3" s="1"/>
  <c r="L180" i="3"/>
  <c r="AL180" i="3"/>
  <c r="BO180" i="3"/>
  <c r="BQ180" i="3"/>
  <c r="G180" i="3"/>
  <c r="AM180" i="3"/>
  <c r="AF191" i="3"/>
  <c r="AK191" i="3"/>
  <c r="AL191" i="3"/>
  <c r="AZ191" i="3"/>
  <c r="BF191" i="3"/>
  <c r="BT191" i="3"/>
  <c r="Z233" i="3"/>
  <c r="Z210" i="2" s="1"/>
  <c r="AQ218" i="3"/>
  <c r="AR218" i="3" s="1"/>
  <c r="AA219" i="3"/>
  <c r="AB219" i="3" s="1"/>
  <c r="AB220" i="3"/>
  <c r="AC220" i="3" s="1"/>
  <c r="G228" i="3"/>
  <c r="AH224" i="3"/>
  <c r="CG230" i="3"/>
  <c r="CL230" i="3"/>
  <c r="M229" i="3"/>
  <c r="N229" i="3" s="1"/>
  <c r="AH230" i="3"/>
  <c r="AX230" i="3"/>
  <c r="G243" i="3"/>
  <c r="G214" i="2"/>
  <c r="Q243" i="3"/>
  <c r="V243" i="3"/>
  <c r="AU243" i="3"/>
  <c r="BO243" i="3"/>
  <c r="BU236" i="3"/>
  <c r="BU214" i="2" s="1"/>
  <c r="V257" i="3"/>
  <c r="AP257" i="3"/>
  <c r="BT257" i="3"/>
  <c r="BK250" i="3"/>
  <c r="BL250" i="3" s="1"/>
  <c r="BK255" i="3"/>
  <c r="BL218" i="11" s="1"/>
  <c r="AO6" i="3"/>
  <c r="AO213" i="3" s="1"/>
  <c r="M6" i="9"/>
  <c r="AY6" i="3"/>
  <c r="AY213" i="3" s="1"/>
  <c r="O6" i="9"/>
  <c r="BI6" i="3"/>
  <c r="BI213" i="3" s="1"/>
  <c r="Q6" i="9"/>
  <c r="BS6" i="3"/>
  <c r="BS213" i="3" s="1"/>
  <c r="S6" i="9"/>
  <c r="D82" i="9"/>
  <c r="D90" i="9"/>
  <c r="F84" i="9"/>
  <c r="F92" i="9"/>
  <c r="AT6" i="3"/>
  <c r="AT117" i="3" s="1"/>
  <c r="N6" i="9"/>
  <c r="BD6" i="3"/>
  <c r="BD213" i="3" s="1"/>
  <c r="P6" i="9"/>
  <c r="BN6" i="3"/>
  <c r="BN117" i="3" s="1"/>
  <c r="R6" i="9"/>
  <c r="BL108" i="2"/>
  <c r="BL22" i="2" s="1"/>
  <c r="H118" i="9"/>
  <c r="E45" i="9"/>
  <c r="E85" i="9" s="1"/>
  <c r="E100" i="9"/>
  <c r="E106" i="9" s="1"/>
  <c r="R44" i="2"/>
  <c r="BS167" i="2"/>
  <c r="AY167" i="2"/>
  <c r="BD167" i="2"/>
  <c r="BJ167" i="2"/>
  <c r="AP167" i="2"/>
  <c r="BB165" i="2"/>
  <c r="BB166" i="2"/>
  <c r="BB171" i="2" s="1"/>
  <c r="BB170" i="2" s="1"/>
  <c r="BG165" i="2"/>
  <c r="CD165" i="2"/>
  <c r="AZ167" i="2"/>
  <c r="BE167" i="2"/>
  <c r="BK167" i="2"/>
  <c r="AQ167" i="2"/>
  <c r="AY165" i="2"/>
  <c r="BD165" i="2"/>
  <c r="BD166" i="2"/>
  <c r="BD171" i="2" s="1"/>
  <c r="BJ165" i="2"/>
  <c r="BO165" i="2"/>
  <c r="BT165" i="2"/>
  <c r="CE165" i="2"/>
  <c r="CJ165" i="2"/>
  <c r="M166" i="2"/>
  <c r="R166" i="2"/>
  <c r="W166" i="2"/>
  <c r="W171" i="2" s="1"/>
  <c r="W170" i="2" s="1"/>
  <c r="AB166" i="2"/>
  <c r="AB171" i="2" s="1"/>
  <c r="AB170" i="2" s="1"/>
  <c r="AG166" i="2"/>
  <c r="AG171" i="2" s="1"/>
  <c r="AG170" i="2" s="1"/>
  <c r="AL166" i="2"/>
  <c r="AL171" i="2" s="1"/>
  <c r="AL170" i="2" s="1"/>
  <c r="AQ166" i="2"/>
  <c r="AQ171" i="2" s="1"/>
  <c r="AQ170" i="2" s="1"/>
  <c r="AT167" i="2"/>
  <c r="BN167" i="2"/>
  <c r="AY166" i="2"/>
  <c r="AY171" i="2" s="1"/>
  <c r="AV166" i="2"/>
  <c r="AV171" i="2" s="1"/>
  <c r="AV170" i="2" s="1"/>
  <c r="P166" i="2"/>
  <c r="U166" i="2"/>
  <c r="Z166" i="2"/>
  <c r="Z171" i="2" s="1"/>
  <c r="AE166" i="2"/>
  <c r="AE171" i="2" s="1"/>
  <c r="AJ166" i="2"/>
  <c r="AJ171" i="2" s="1"/>
  <c r="AO166" i="2"/>
  <c r="AO171" i="2" s="1"/>
  <c r="AR12" i="3"/>
  <c r="L166" i="2"/>
  <c r="Q166" i="2"/>
  <c r="V166" i="2"/>
  <c r="V171" i="2" s="1"/>
  <c r="V170" i="2" s="1"/>
  <c r="AA166" i="2"/>
  <c r="AA171" i="2" s="1"/>
  <c r="AA170" i="2" s="1"/>
  <c r="AF166" i="2"/>
  <c r="AF171" i="2" s="1"/>
  <c r="AF170" i="2" s="1"/>
  <c r="AK166" i="2"/>
  <c r="AK171" i="2" s="1"/>
  <c r="AK170" i="2" s="1"/>
  <c r="AP166" i="2"/>
  <c r="AP171" i="2" s="1"/>
  <c r="AP170" i="2" s="1"/>
  <c r="AU166" i="2"/>
  <c r="AU171" i="2" s="1"/>
  <c r="AU170" i="2" s="1"/>
  <c r="AZ166" i="2"/>
  <c r="AZ171" i="2" s="1"/>
  <c r="AZ170" i="2" s="1"/>
  <c r="BE166" i="2"/>
  <c r="BE171" i="2" s="1"/>
  <c r="BE170" i="2" s="1"/>
  <c r="N166" i="2"/>
  <c r="S166" i="2"/>
  <c r="X166" i="2"/>
  <c r="X171" i="2" s="1"/>
  <c r="X170" i="2" s="1"/>
  <c r="AC166" i="2"/>
  <c r="AC171" i="2" s="1"/>
  <c r="AC170" i="2" s="1"/>
  <c r="AH166" i="2"/>
  <c r="AH171" i="2" s="1"/>
  <c r="AH170" i="2" s="1"/>
  <c r="AM166" i="2"/>
  <c r="AM171" i="2" s="1"/>
  <c r="AM170" i="2" s="1"/>
  <c r="AR166" i="2"/>
  <c r="AR171" i="2" s="1"/>
  <c r="AR170" i="2" s="1"/>
  <c r="AW166" i="2"/>
  <c r="AW171" i="2" s="1"/>
  <c r="AW170" i="2" s="1"/>
  <c r="BA166" i="2"/>
  <c r="BA171" i="2" s="1"/>
  <c r="BA170" i="2" s="1"/>
  <c r="BF166" i="2"/>
  <c r="BF171" i="2" s="1"/>
  <c r="BF170" i="2" s="1"/>
  <c r="AT166" i="2"/>
  <c r="AT171" i="2" s="1"/>
  <c r="BC166" i="2"/>
  <c r="CI165" i="2"/>
  <c r="AU167" i="2"/>
  <c r="BO167" i="2"/>
  <c r="BT167" i="2"/>
  <c r="O166" i="2"/>
  <c r="T166" i="2"/>
  <c r="Y166" i="2"/>
  <c r="AD166" i="2"/>
  <c r="AI166" i="2"/>
  <c r="AN166" i="2"/>
  <c r="AS166" i="2"/>
  <c r="AX166" i="2"/>
  <c r="BI165" i="2"/>
  <c r="BN165" i="2"/>
  <c r="BS165" i="2"/>
  <c r="AZ165" i="2"/>
  <c r="BE165" i="2"/>
  <c r="BK165" i="2"/>
  <c r="BP165" i="2"/>
  <c r="BU165" i="2"/>
  <c r="CF165" i="2"/>
  <c r="CK165" i="2"/>
  <c r="CM165" i="2"/>
  <c r="CQ165" i="2" s="1"/>
  <c r="BA165" i="2"/>
  <c r="BF165" i="2"/>
  <c r="BL165" i="2"/>
  <c r="BQ165" i="2"/>
  <c r="BV165" i="2"/>
  <c r="BX165" i="2"/>
  <c r="CC165" i="2"/>
  <c r="CH165" i="2"/>
  <c r="AV167" i="2"/>
  <c r="BP167" i="2"/>
  <c r="BU167" i="2"/>
  <c r="BA167" i="2"/>
  <c r="BF167" i="2"/>
  <c r="BL167" i="2"/>
  <c r="AR167" i="2"/>
  <c r="AZ108" i="2"/>
  <c r="AZ22" i="2" s="1"/>
  <c r="AW167" i="2"/>
  <c r="BQ167" i="2"/>
  <c r="BV167" i="2"/>
  <c r="BX167" i="2"/>
  <c r="BB167" i="2"/>
  <c r="BG167" i="2"/>
  <c r="BI167" i="2"/>
  <c r="BA40" i="3"/>
  <c r="P108" i="2"/>
  <c r="W44" i="2"/>
  <c r="AA108" i="2"/>
  <c r="L26" i="10" s="1"/>
  <c r="BP108" i="2"/>
  <c r="BP22" i="2" s="1"/>
  <c r="BI63" i="2"/>
  <c r="AJ39" i="3"/>
  <c r="AJ98" i="3" s="1"/>
  <c r="P44" i="2"/>
  <c r="J18" i="10" s="1"/>
  <c r="Q108" i="2"/>
  <c r="Z108" i="2"/>
  <c r="AP146" i="2"/>
  <c r="AC44" i="2"/>
  <c r="BJ22" i="2"/>
  <c r="L54" i="10"/>
  <c r="BO22" i="2"/>
  <c r="BK22" i="2"/>
  <c r="L55" i="10"/>
  <c r="L48" i="10"/>
  <c r="BB22" i="2"/>
  <c r="L52" i="10"/>
  <c r="BG22" i="2"/>
  <c r="L64" i="10"/>
  <c r="BV22" i="2"/>
  <c r="BU22" i="2"/>
  <c r="L63" i="10"/>
  <c r="AY22" i="2"/>
  <c r="L45" i="10"/>
  <c r="BS22" i="2"/>
  <c r="L61" i="10"/>
  <c r="AG108" i="2"/>
  <c r="L31" i="10" s="1"/>
  <c r="AJ44" i="2"/>
  <c r="BL146" i="2"/>
  <c r="AF39" i="3"/>
  <c r="AF48" i="3" s="1"/>
  <c r="AM44" i="2"/>
  <c r="AL61" i="2"/>
  <c r="AL68" i="2" s="1"/>
  <c r="AR61" i="2"/>
  <c r="AR68" i="2" s="1"/>
  <c r="AW61" i="2"/>
  <c r="AW68" i="2" s="1"/>
  <c r="AW63" i="2"/>
  <c r="AP61" i="2"/>
  <c r="AP68" i="2" s="1"/>
  <c r="AU61" i="2"/>
  <c r="AU68" i="2" s="1"/>
  <c r="AQ61" i="2"/>
  <c r="AQ68" i="2" s="1"/>
  <c r="AV61" i="2"/>
  <c r="AV68" i="2" s="1"/>
  <c r="BU63" i="2"/>
  <c r="BA63" i="2"/>
  <c r="AR63" i="2"/>
  <c r="AR85" i="2" s="1"/>
  <c r="AK61" i="2"/>
  <c r="AK68" i="2" s="1"/>
  <c r="AJ61" i="2"/>
  <c r="AV63" i="2"/>
  <c r="BP63" i="2"/>
  <c r="BF63" i="2"/>
  <c r="BL63" i="2"/>
  <c r="BL70" i="2" s="1"/>
  <c r="BQ63" i="2"/>
  <c r="BV63" i="2"/>
  <c r="BB63" i="2"/>
  <c r="BG63" i="2"/>
  <c r="BN63" i="2"/>
  <c r="AT63" i="2"/>
  <c r="AH44" i="2"/>
  <c r="AM61" i="2"/>
  <c r="AM68" i="2" s="1"/>
  <c r="AT61" i="2"/>
  <c r="AT68" i="2" s="1"/>
  <c r="AY63" i="2"/>
  <c r="BS63" i="2"/>
  <c r="BX63" i="2"/>
  <c r="BD63" i="2"/>
  <c r="BJ63" i="2"/>
  <c r="AO63" i="2"/>
  <c r="AP63" i="2"/>
  <c r="AU63" i="2"/>
  <c r="BO63" i="2"/>
  <c r="BT63" i="2"/>
  <c r="BY63" i="2"/>
  <c r="AZ63" i="2"/>
  <c r="BA62" i="2" s="1"/>
  <c r="BA69" i="2" s="1"/>
  <c r="BE63" i="2"/>
  <c r="BK63" i="2"/>
  <c r="AQ63" i="2"/>
  <c r="AV39" i="3"/>
  <c r="AV28" i="3" s="1"/>
  <c r="AV205" i="2" s="1"/>
  <c r="AF44" i="2"/>
  <c r="V44" i="2"/>
  <c r="J22" i="10" s="1"/>
  <c r="BA12" i="3"/>
  <c r="W108" i="2"/>
  <c r="K108" i="2"/>
  <c r="AB108" i="2"/>
  <c r="L27" i="10" s="1"/>
  <c r="Z44" i="2"/>
  <c r="U108" i="2"/>
  <c r="M44" i="2"/>
  <c r="J15" i="10" s="1"/>
  <c r="AV12" i="3"/>
  <c r="AE44" i="2"/>
  <c r="AQ108" i="2"/>
  <c r="L39" i="10" s="1"/>
  <c r="AL108" i="2"/>
  <c r="L35" i="10" s="1"/>
  <c r="AA44" i="2"/>
  <c r="AC108" i="2"/>
  <c r="L28" i="10" s="1"/>
  <c r="AR108" i="2"/>
  <c r="L40" i="10" s="1"/>
  <c r="U44" i="2"/>
  <c r="J21" i="10" s="1"/>
  <c r="BD108" i="2"/>
  <c r="BF146" i="2"/>
  <c r="AK39" i="3"/>
  <c r="AK28" i="3" s="1"/>
  <c r="AK205" i="2" s="1"/>
  <c r="X44" i="2"/>
  <c r="AW108" i="2"/>
  <c r="AO44" i="2"/>
  <c r="AP44" i="2"/>
  <c r="BQ108" i="2"/>
  <c r="AH146" i="2"/>
  <c r="BL12" i="3"/>
  <c r="AY40" i="3"/>
  <c r="AV108" i="2"/>
  <c r="L43" i="10" s="1"/>
  <c r="BA108" i="2"/>
  <c r="BK12" i="3"/>
  <c r="BG39" i="3"/>
  <c r="BG98" i="3" s="1"/>
  <c r="BF12" i="3"/>
  <c r="AA39" i="3"/>
  <c r="AA28" i="3" s="1"/>
  <c r="AA205" i="2" s="1"/>
  <c r="R146" i="2"/>
  <c r="AF108" i="2"/>
  <c r="L30" i="10" s="1"/>
  <c r="AJ108" i="2"/>
  <c r="L33" i="10" s="1"/>
  <c r="M108" i="2"/>
  <c r="AL146" i="2"/>
  <c r="AL12" i="3"/>
  <c r="L108" i="2"/>
  <c r="R108" i="2"/>
  <c r="V146" i="2"/>
  <c r="AK108" i="2"/>
  <c r="L34" i="10" s="1"/>
  <c r="X146" i="2"/>
  <c r="AQ12" i="3"/>
  <c r="BD42" i="2"/>
  <c r="AR146" i="2"/>
  <c r="E66" i="9"/>
  <c r="E82" i="9"/>
  <c r="AC39" i="3"/>
  <c r="AC98" i="3" s="1"/>
  <c r="AL39" i="3"/>
  <c r="AL98" i="3" s="1"/>
  <c r="BV12" i="3"/>
  <c r="BG12" i="3"/>
  <c r="S108" i="2"/>
  <c r="BE108" i="2"/>
  <c r="BT108" i="2"/>
  <c r="BB40" i="3"/>
  <c r="X108" i="2"/>
  <c r="BU12" i="3"/>
  <c r="F68" i="9"/>
  <c r="AH108" i="2"/>
  <c r="L32" i="10" s="1"/>
  <c r="BP12" i="3"/>
  <c r="AJ218" i="2"/>
  <c r="AO220" i="2"/>
  <c r="AT220" i="2"/>
  <c r="BS220" i="2"/>
  <c r="BV218" i="2"/>
  <c r="AO108" i="2"/>
  <c r="L37" i="10" s="1"/>
  <c r="BB146" i="2"/>
  <c r="AD32" i="3"/>
  <c r="J25" i="9" s="1"/>
  <c r="AD34" i="3"/>
  <c r="J27" i="9" s="1"/>
  <c r="AI34" i="3"/>
  <c r="K27" i="9" s="1"/>
  <c r="AN34" i="3"/>
  <c r="L27" i="9" s="1"/>
  <c r="AS32" i="3"/>
  <c r="M25" i="9" s="1"/>
  <c r="AS34" i="3"/>
  <c r="M27" i="9" s="1"/>
  <c r="AX32" i="3"/>
  <c r="N25" i="9" s="1"/>
  <c r="AX34" i="3"/>
  <c r="BC34" i="3"/>
  <c r="BH32" i="3"/>
  <c r="P25" i="9" s="1"/>
  <c r="BH34" i="3"/>
  <c r="AU39" i="3"/>
  <c r="AU98" i="3" s="1"/>
  <c r="AL220" i="2"/>
  <c r="AQ220" i="2"/>
  <c r="AQ218" i="2"/>
  <c r="BP218" i="2"/>
  <c r="CK149" i="3"/>
  <c r="CL149" i="3" s="1"/>
  <c r="BA219" i="11"/>
  <c r="AU18" i="11"/>
  <c r="AU19" i="11" s="1"/>
  <c r="BU93" i="11"/>
  <c r="CF149" i="3"/>
  <c r="CG149" i="3" s="1"/>
  <c r="BU219" i="11"/>
  <c r="AV5" i="11"/>
  <c r="AW5" i="11" s="1"/>
  <c r="AW184" i="11" s="1"/>
  <c r="AW188" i="11" s="1"/>
  <c r="BU45" i="11"/>
  <c r="AV13" i="11"/>
  <c r="AV16" i="11" s="1"/>
  <c r="BU73" i="11"/>
  <c r="BU77" i="11"/>
  <c r="BR133" i="11"/>
  <c r="BR134" i="11" s="1"/>
  <c r="AS188" i="11"/>
  <c r="AR42" i="3" s="1"/>
  <c r="AS42" i="3" s="1"/>
  <c r="AV187" i="11"/>
  <c r="BE219" i="11"/>
  <c r="BT219" i="11"/>
  <c r="BV53" i="11"/>
  <c r="AK115" i="11"/>
  <c r="AK116" i="11" s="1"/>
  <c r="BT133" i="11"/>
  <c r="BT134" i="11" s="1"/>
  <c r="AL143" i="11"/>
  <c r="BB187" i="11"/>
  <c r="AK159" i="11"/>
  <c r="AK160" i="11" s="1"/>
  <c r="AK161" i="11" s="1"/>
  <c r="BG188" i="11"/>
  <c r="BE188" i="11"/>
  <c r="BU61" i="11"/>
  <c r="BT69" i="11"/>
  <c r="BU65" i="11"/>
  <c r="AJ117" i="11"/>
  <c r="BV133" i="11"/>
  <c r="BV134" i="11" s="1"/>
  <c r="AQ188" i="11"/>
  <c r="AX188" i="11"/>
  <c r="BK188" i="11"/>
  <c r="BR188" i="11"/>
  <c r="BC188" i="11"/>
  <c r="BF188" i="11"/>
  <c r="BH188" i="11"/>
  <c r="BM188" i="11"/>
  <c r="AU219" i="11"/>
  <c r="AZ219" i="11"/>
  <c r="BJ219" i="11"/>
  <c r="AK27" i="11"/>
  <c r="AK28" i="11" s="1"/>
  <c r="AK29" i="11" s="1"/>
  <c r="BT53" i="11"/>
  <c r="BX58" i="11"/>
  <c r="BY56" i="11" s="1"/>
  <c r="BW57" i="11"/>
  <c r="BV75" i="11"/>
  <c r="BV76" i="11" s="1"/>
  <c r="BO219" i="11"/>
  <c r="BF108" i="2"/>
  <c r="D66" i="9"/>
  <c r="BQ12" i="3"/>
  <c r="I154" i="2"/>
  <c r="I153" i="2" s="1"/>
  <c r="T14" i="3"/>
  <c r="T204" i="2" s="1"/>
  <c r="O99" i="3"/>
  <c r="Y99" i="3"/>
  <c r="BM99" i="3"/>
  <c r="I26" i="3"/>
  <c r="N26" i="3"/>
  <c r="Y26" i="3"/>
  <c r="AS26" i="3"/>
  <c r="AX26" i="3"/>
  <c r="BC26" i="3"/>
  <c r="BH26" i="3"/>
  <c r="R23" i="35"/>
  <c r="F39" i="3"/>
  <c r="F28" i="3" s="1"/>
  <c r="F29" i="3" s="1"/>
  <c r="F84" i="2"/>
  <c r="H39" i="3"/>
  <c r="H28" i="3" s="1"/>
  <c r="H29" i="3" s="1"/>
  <c r="H84" i="2"/>
  <c r="K39" i="3"/>
  <c r="K98" i="3" s="1"/>
  <c r="M39" i="3"/>
  <c r="M28" i="3" s="1"/>
  <c r="M205" i="2" s="1"/>
  <c r="I175" i="2"/>
  <c r="E201" i="2" s="1"/>
  <c r="O89" i="2"/>
  <c r="AN89" i="2"/>
  <c r="N86" i="2"/>
  <c r="N87" i="2" s="1"/>
  <c r="N73" i="2" s="1"/>
  <c r="N126" i="2"/>
  <c r="N127" i="2" s="1"/>
  <c r="N118" i="2" s="1"/>
  <c r="S175" i="2"/>
  <c r="S176" i="2" s="1"/>
  <c r="S169" i="2" s="1"/>
  <c r="Y89" i="2"/>
  <c r="AX89" i="2"/>
  <c r="BH89" i="2"/>
  <c r="BM89" i="2"/>
  <c r="BW89" i="2"/>
  <c r="BR42" i="3"/>
  <c r="I43" i="3"/>
  <c r="I191" i="3" s="1"/>
  <c r="N43" i="3"/>
  <c r="O44" i="3"/>
  <c r="AW44" i="3"/>
  <c r="BB46" i="3"/>
  <c r="O73" i="3"/>
  <c r="T73" i="3"/>
  <c r="AX73" i="3"/>
  <c r="BO73" i="3"/>
  <c r="R31" i="35"/>
  <c r="Y54" i="3"/>
  <c r="AD54" i="3"/>
  <c r="AI54" i="3"/>
  <c r="AN230" i="3"/>
  <c r="AS54" i="3"/>
  <c r="AX54" i="3"/>
  <c r="BH54" i="3"/>
  <c r="BW54" i="3"/>
  <c r="CG54" i="3"/>
  <c r="CL54" i="3"/>
  <c r="Y78" i="3"/>
  <c r="BC78" i="3"/>
  <c r="BR78" i="3"/>
  <c r="AD90" i="3"/>
  <c r="J88" i="3"/>
  <c r="T90" i="3"/>
  <c r="AS88" i="3"/>
  <c r="CG90" i="3"/>
  <c r="CL90" i="3"/>
  <c r="AQ128" i="3"/>
  <c r="AR126" i="3"/>
  <c r="AS135" i="3"/>
  <c r="AR134" i="3"/>
  <c r="AS134" i="3" s="1"/>
  <c r="R220" i="3"/>
  <c r="S220" i="3" s="1"/>
  <c r="X224" i="3"/>
  <c r="Y224" i="3" s="1"/>
  <c r="I50" i="2"/>
  <c r="I49" i="2" s="1"/>
  <c r="I115" i="2"/>
  <c r="I114" i="2" s="1"/>
  <c r="J14" i="3"/>
  <c r="J204" i="2" s="1"/>
  <c r="N12" i="3"/>
  <c r="N14" i="3" s="1"/>
  <c r="S12" i="3"/>
  <c r="R16" i="3"/>
  <c r="BQ15" i="3"/>
  <c r="R24" i="3"/>
  <c r="BQ24" i="3"/>
  <c r="AD99" i="3"/>
  <c r="G39" i="3"/>
  <c r="G28" i="3" s="1"/>
  <c r="G29" i="3" s="1"/>
  <c r="G84" i="2"/>
  <c r="T39" i="3"/>
  <c r="H31" i="9" s="1"/>
  <c r="H29" i="9" s="1"/>
  <c r="T84" i="2"/>
  <c r="J39" i="3"/>
  <c r="F31" i="9" s="1"/>
  <c r="F29" i="9" s="1"/>
  <c r="I77" i="9"/>
  <c r="I126" i="2"/>
  <c r="E200" i="2" s="1"/>
  <c r="O39" i="3"/>
  <c r="G31" i="9" s="1"/>
  <c r="G29" i="9" s="1"/>
  <c r="AD89" i="2"/>
  <c r="AS89" i="2"/>
  <c r="N175" i="2"/>
  <c r="N176" i="2" s="1"/>
  <c r="N169" i="2" s="1"/>
  <c r="S126" i="2"/>
  <c r="S127" i="2" s="1"/>
  <c r="S118" i="2" s="1"/>
  <c r="AI89" i="2"/>
  <c r="BC89" i="2"/>
  <c r="BR89" i="2"/>
  <c r="AC43" i="3"/>
  <c r="AC44" i="3" s="1"/>
  <c r="AW46" i="3"/>
  <c r="BN73" i="3"/>
  <c r="BP73" i="3"/>
  <c r="BC54" i="3"/>
  <c r="BM54" i="3"/>
  <c r="BR54" i="3"/>
  <c r="AX78" i="3"/>
  <c r="BW78" i="3"/>
  <c r="S78" i="3"/>
  <c r="D72" i="19"/>
  <c r="O90" i="3"/>
  <c r="AD128" i="3"/>
  <c r="AD139" i="3" s="1"/>
  <c r="AI186" i="11"/>
  <c r="AJ186" i="11" s="1"/>
  <c r="AK185" i="11" s="1"/>
  <c r="AK187" i="11" s="1"/>
  <c r="AK184" i="11" s="1"/>
  <c r="AM128" i="3"/>
  <c r="AN126" i="3"/>
  <c r="X226" i="3"/>
  <c r="Y226" i="3" s="1"/>
  <c r="BK219" i="11"/>
  <c r="J152" i="3"/>
  <c r="J161" i="3" s="1"/>
  <c r="AR149" i="3"/>
  <c r="AR190" i="3" s="1"/>
  <c r="O179" i="3"/>
  <c r="O183" i="3"/>
  <c r="T172" i="3"/>
  <c r="T208" i="3" s="1"/>
  <c r="T183" i="3"/>
  <c r="U179" i="3"/>
  <c r="Y179" i="3"/>
  <c r="Z183" i="3"/>
  <c r="BM183" i="3"/>
  <c r="BM184" i="3"/>
  <c r="BR172" i="3"/>
  <c r="BR183" i="3"/>
  <c r="BX163" i="3"/>
  <c r="BX172" i="3" s="1"/>
  <c r="BD193" i="3"/>
  <c r="BD199" i="3" s="1"/>
  <c r="N218" i="3"/>
  <c r="N215" i="2" s="1"/>
  <c r="O215" i="2" s="1"/>
  <c r="BV219" i="3"/>
  <c r="BW219" i="3" s="1"/>
  <c r="AW220" i="3"/>
  <c r="AM224" i="3"/>
  <c r="BB223" i="3"/>
  <c r="AH229" i="3"/>
  <c r="R243" i="3"/>
  <c r="AD243" i="3"/>
  <c r="O243" i="3"/>
  <c r="T243" i="3"/>
  <c r="AN243" i="3"/>
  <c r="AX243" i="3"/>
  <c r="AN257" i="3"/>
  <c r="I251" i="3"/>
  <c r="Y257" i="3"/>
  <c r="AS257" i="3"/>
  <c r="BC257" i="3"/>
  <c r="AH255" i="3"/>
  <c r="AL216" i="11"/>
  <c r="AP218" i="11"/>
  <c r="AP219" i="11" s="1"/>
  <c r="BG216" i="11"/>
  <c r="BQ216" i="11"/>
  <c r="BQ219" i="11" s="1"/>
  <c r="P128" i="3"/>
  <c r="P139" i="3" s="1"/>
  <c r="R128" i="3"/>
  <c r="R139" i="3" s="1"/>
  <c r="M128" i="3"/>
  <c r="M139" i="3" s="1"/>
  <c r="AN128" i="3"/>
  <c r="P223" i="3"/>
  <c r="Q223" i="3" s="1"/>
  <c r="T128" i="3"/>
  <c r="T139" i="3" s="1"/>
  <c r="AN137" i="3"/>
  <c r="AR137" i="3"/>
  <c r="AS137" i="3" s="1"/>
  <c r="BH152" i="3"/>
  <c r="BH161" i="3" s="1"/>
  <c r="BS161" i="3"/>
  <c r="BS174" i="3" s="1"/>
  <c r="BU161" i="3"/>
  <c r="BU174" i="3" s="1"/>
  <c r="Z158" i="3"/>
  <c r="AA158" i="3" s="1"/>
  <c r="AB158" i="3" s="1"/>
  <c r="AC158" i="3" s="1"/>
  <c r="AD158" i="3" s="1"/>
  <c r="Y155" i="3"/>
  <c r="Y172" i="3"/>
  <c r="Y208" i="3" s="1"/>
  <c r="AB163" i="3"/>
  <c r="AC163" i="3" s="1"/>
  <c r="AE163" i="3" s="1"/>
  <c r="AE172" i="3" s="1"/>
  <c r="AE198" i="3" s="1"/>
  <c r="K183" i="3"/>
  <c r="P183" i="3"/>
  <c r="T179" i="3"/>
  <c r="U183" i="3"/>
  <c r="Y183" i="3"/>
  <c r="Z179" i="3"/>
  <c r="AD179" i="3"/>
  <c r="AD184" i="3"/>
  <c r="AI179" i="3"/>
  <c r="BC172" i="3"/>
  <c r="BC186" i="3" s="1"/>
  <c r="BH172" i="3"/>
  <c r="BH186" i="3" s="1"/>
  <c r="BM178" i="3" s="1"/>
  <c r="BH183" i="3"/>
  <c r="BH184" i="3"/>
  <c r="AP191" i="3"/>
  <c r="AV191" i="3"/>
  <c r="BE191" i="3"/>
  <c r="BG191" i="3"/>
  <c r="BJ191" i="3"/>
  <c r="BP191" i="3"/>
  <c r="AC218" i="3"/>
  <c r="AI218" i="3"/>
  <c r="BG219" i="3"/>
  <c r="BH219" i="3" s="1"/>
  <c r="BG220" i="3"/>
  <c r="BM218" i="3"/>
  <c r="BK219" i="3"/>
  <c r="BL219" i="3" s="1"/>
  <c r="BM219" i="3" s="1"/>
  <c r="BK220" i="3"/>
  <c r="BL220" i="3" s="1"/>
  <c r="BM220" i="3" s="1"/>
  <c r="BQ219" i="3"/>
  <c r="BR219" i="3" s="1"/>
  <c r="BR220" i="3"/>
  <c r="BU220" i="3"/>
  <c r="BV220" i="3" s="1"/>
  <c r="BW220" i="3" s="1"/>
  <c r="H218" i="3"/>
  <c r="BB218" i="3"/>
  <c r="H219" i="3"/>
  <c r="I219" i="3" s="1"/>
  <c r="N219" i="3"/>
  <c r="N220" i="3"/>
  <c r="AV219" i="3"/>
  <c r="AW219" i="3" s="1"/>
  <c r="BB219" i="3"/>
  <c r="BW218" i="3"/>
  <c r="H220" i="3"/>
  <c r="I220" i="3" s="1"/>
  <c r="AQ220" i="3"/>
  <c r="AR220" i="3" s="1"/>
  <c r="H223" i="3"/>
  <c r="I223" i="3" s="1"/>
  <c r="I225" i="3"/>
  <c r="J228" i="3"/>
  <c r="M223" i="3"/>
  <c r="S226" i="3"/>
  <c r="V228" i="3"/>
  <c r="X223" i="3"/>
  <c r="X225" i="3"/>
  <c r="Y225" i="3" s="1"/>
  <c r="AA228" i="3"/>
  <c r="AC223" i="3"/>
  <c r="AB226" i="3"/>
  <c r="AC226" i="3" s="1"/>
  <c r="AF223" i="3"/>
  <c r="AF228" i="3" s="1"/>
  <c r="AL223" i="3"/>
  <c r="AL228" i="3" s="1"/>
  <c r="AV225" i="3"/>
  <c r="AW225" i="3" s="1"/>
  <c r="BH224" i="3"/>
  <c r="BH225" i="3"/>
  <c r="BM224" i="3"/>
  <c r="BM225" i="3"/>
  <c r="BR224" i="3"/>
  <c r="BR225" i="3"/>
  <c r="BT228" i="3"/>
  <c r="BV223" i="3"/>
  <c r="BV224" i="3"/>
  <c r="BW224" i="3" s="1"/>
  <c r="BV225" i="3"/>
  <c r="BW225" i="3" s="1"/>
  <c r="BV226" i="3"/>
  <c r="BW226" i="3" s="1"/>
  <c r="O228" i="3"/>
  <c r="AP226" i="3"/>
  <c r="AQ226" i="3" s="1"/>
  <c r="AQ228" i="3" s="1"/>
  <c r="AU226" i="3"/>
  <c r="AX228" i="3"/>
  <c r="AZ226" i="3"/>
  <c r="BA226" i="3" s="1"/>
  <c r="BE226" i="3"/>
  <c r="BF226" i="3" s="1"/>
  <c r="BF228" i="3" s="1"/>
  <c r="BL229" i="3"/>
  <c r="BM229" i="3" s="1"/>
  <c r="I230" i="3"/>
  <c r="R230" i="3"/>
  <c r="S230" i="3" s="1"/>
  <c r="AD230" i="3"/>
  <c r="BH230" i="3"/>
  <c r="BM230" i="3"/>
  <c r="BR230" i="3"/>
  <c r="BW230" i="3"/>
  <c r="H236" i="3"/>
  <c r="BK236" i="3"/>
  <c r="BK214" i="2" s="1"/>
  <c r="AI243" i="3"/>
  <c r="AS243" i="3"/>
  <c r="BC243" i="3"/>
  <c r="I240" i="3"/>
  <c r="S239" i="3"/>
  <c r="AM240" i="3"/>
  <c r="BB239" i="3"/>
  <c r="X239" i="3"/>
  <c r="J243" i="3"/>
  <c r="AH241" i="3"/>
  <c r="G257" i="3"/>
  <c r="R246" i="3"/>
  <c r="S246" i="3" s="1"/>
  <c r="W246" i="3"/>
  <c r="X246" i="3" s="1"/>
  <c r="AL246" i="3"/>
  <c r="AM246" i="3" s="1"/>
  <c r="AU257" i="3"/>
  <c r="AI257" i="3"/>
  <c r="AR249" i="3"/>
  <c r="AY257" i="3"/>
  <c r="BE257" i="3"/>
  <c r="BF250" i="3"/>
  <c r="BG250" i="3" s="1"/>
  <c r="M250" i="3"/>
  <c r="N250" i="3" s="1"/>
  <c r="AA250" i="3"/>
  <c r="AB250" i="3" s="1"/>
  <c r="I253" i="3"/>
  <c r="I180" i="3" s="1"/>
  <c r="M254" i="3"/>
  <c r="N254" i="3" s="1"/>
  <c r="AW255" i="3"/>
  <c r="BF259" i="3"/>
  <c r="BG259" i="3" s="1"/>
  <c r="BK259" i="3"/>
  <c r="BL259" i="3" s="1"/>
  <c r="BP259" i="3"/>
  <c r="BQ259" i="3" s="1"/>
  <c r="AM216" i="11"/>
  <c r="AL218" i="11"/>
  <c r="AV218" i="11"/>
  <c r="AV219" i="11" s="1"/>
  <c r="BF216" i="11"/>
  <c r="BP216" i="11"/>
  <c r="BP219" i="11" s="1"/>
  <c r="BZ108" i="2"/>
  <c r="AO25" i="2"/>
  <c r="AO131" i="2"/>
  <c r="AT25" i="2"/>
  <c r="AT131" i="2"/>
  <c r="BN25" i="2"/>
  <c r="BN131" i="2"/>
  <c r="BC164" i="2"/>
  <c r="BR164" i="2"/>
  <c r="BW164" i="2"/>
  <c r="CG164" i="2"/>
  <c r="CH161" i="2"/>
  <c r="S154" i="2"/>
  <c r="S153" i="2" s="1"/>
  <c r="N50" i="2"/>
  <c r="N49" i="2" s="1"/>
  <c r="N115" i="2"/>
  <c r="N114" i="2" s="1"/>
  <c r="AE57" i="10"/>
  <c r="AE59" i="10"/>
  <c r="AE61" i="10"/>
  <c r="AE62" i="10"/>
  <c r="BF25" i="2"/>
  <c r="BF131" i="2"/>
  <c r="AP25" i="2"/>
  <c r="AP131" i="2"/>
  <c r="BB25" i="2"/>
  <c r="BB131" i="2"/>
  <c r="BJ25" i="2"/>
  <c r="BJ131" i="2"/>
  <c r="BV25" i="2"/>
  <c r="BV131" i="2"/>
  <c r="BZ25" i="2"/>
  <c r="BZ131" i="2"/>
  <c r="CD25" i="2"/>
  <c r="CD131" i="2"/>
  <c r="CH25" i="2"/>
  <c r="CH131" i="2"/>
  <c r="AX164" i="2"/>
  <c r="AX165" i="2"/>
  <c r="BH164" i="2"/>
  <c r="BM164" i="2"/>
  <c r="CL164" i="2"/>
  <c r="CQ164" i="2"/>
  <c r="N218" i="2"/>
  <c r="U220" i="2"/>
  <c r="W220" i="2"/>
  <c r="W218" i="2"/>
  <c r="Z220" i="2"/>
  <c r="AG220" i="2"/>
  <c r="AE218" i="2"/>
  <c r="AV218" i="2"/>
  <c r="AY220" i="2"/>
  <c r="BF220" i="2"/>
  <c r="BD218" i="2"/>
  <c r="BI220" i="2"/>
  <c r="BK220" i="2"/>
  <c r="BK218" i="2"/>
  <c r="BN220" i="2"/>
  <c r="BU220" i="2"/>
  <c r="CG150" i="2"/>
  <c r="CL150" i="2"/>
  <c r="S50" i="2"/>
  <c r="S49" i="2" s="1"/>
  <c r="S115" i="2"/>
  <c r="S114" i="2" s="1"/>
  <c r="N154" i="2"/>
  <c r="N153" i="2" s="1"/>
  <c r="X39" i="3"/>
  <c r="X98" i="3" s="1"/>
  <c r="BI40" i="3"/>
  <c r="AE58" i="10"/>
  <c r="AR25" i="2"/>
  <c r="AU25" i="2"/>
  <c r="AW25" i="2"/>
  <c r="AZ25" i="2"/>
  <c r="BE25" i="2"/>
  <c r="BG25" i="2"/>
  <c r="BL25" i="2"/>
  <c r="BO25" i="2"/>
  <c r="BQ25" i="2"/>
  <c r="BT25" i="2"/>
  <c r="CB25" i="2"/>
  <c r="CF25" i="2"/>
  <c r="CJ25" i="2"/>
  <c r="CL25" i="2"/>
  <c r="BX121" i="2"/>
  <c r="BY108" i="2"/>
  <c r="AX64" i="2"/>
  <c r="BC64" i="2"/>
  <c r="BH64" i="2"/>
  <c r="CC220" i="2"/>
  <c r="CC38" i="2"/>
  <c r="CE220" i="2"/>
  <c r="CE38" i="2"/>
  <c r="CH220" i="2"/>
  <c r="CH38" i="2"/>
  <c r="CD236" i="3"/>
  <c r="CD243" i="3" s="1"/>
  <c r="CB109" i="3"/>
  <c r="AQ25" i="2"/>
  <c r="AV25" i="2"/>
  <c r="AY25" i="2"/>
  <c r="BA25" i="2"/>
  <c r="BD25" i="2"/>
  <c r="BI25" i="2"/>
  <c r="BK25" i="2"/>
  <c r="BP25" i="2"/>
  <c r="BS25" i="2"/>
  <c r="BU25" i="2"/>
  <c r="BY25" i="2"/>
  <c r="CB3" i="11"/>
  <c r="CA25" i="2"/>
  <c r="CC25" i="2"/>
  <c r="CF3" i="11"/>
  <c r="CE25" i="2"/>
  <c r="CG25" i="2"/>
  <c r="CI25" i="2"/>
  <c r="CK25" i="2"/>
  <c r="BC61" i="2"/>
  <c r="BC68" i="2" s="1"/>
  <c r="AY68" i="2"/>
  <c r="AS64" i="2"/>
  <c r="CA220" i="2"/>
  <c r="CB38" i="2"/>
  <c r="CF220" i="2"/>
  <c r="CF38" i="2"/>
  <c r="CK220" i="2"/>
  <c r="CK38" i="2"/>
  <c r="CJ236" i="3"/>
  <c r="CJ243" i="3" s="1"/>
  <c r="Z59" i="10"/>
  <c r="D62" i="10"/>
  <c r="Z61" i="10"/>
  <c r="V218" i="2"/>
  <c r="AA220" i="2"/>
  <c r="AH218" i="2"/>
  <c r="BN146" i="2"/>
  <c r="AW11" i="2"/>
  <c r="AW44" i="2" s="1"/>
  <c r="E104" i="9"/>
  <c r="D103" i="9"/>
  <c r="E105" i="9"/>
  <c r="D21" i="9"/>
  <c r="D17" i="9"/>
  <c r="D20" i="9"/>
  <c r="D104" i="9"/>
  <c r="D106" i="9"/>
  <c r="D18" i="9"/>
  <c r="H75" i="9"/>
  <c r="G74" i="9"/>
  <c r="F28" i="10"/>
  <c r="D29" i="10"/>
  <c r="F30" i="10"/>
  <c r="D31" i="10"/>
  <c r="F32" i="10"/>
  <c r="D33" i="10"/>
  <c r="F34" i="10"/>
  <c r="D35" i="10"/>
  <c r="F36" i="10"/>
  <c r="D37" i="10"/>
  <c r="F38" i="10"/>
  <c r="C84" i="10"/>
  <c r="F39" i="10"/>
  <c r="D40" i="10"/>
  <c r="F43" i="10"/>
  <c r="D50" i="10"/>
  <c r="F51" i="10"/>
  <c r="D54" i="10"/>
  <c r="F55" i="10"/>
  <c r="D58" i="10"/>
  <c r="F59" i="10"/>
  <c r="F63" i="10"/>
  <c r="F45" i="10"/>
  <c r="H44" i="10"/>
  <c r="S220" i="2"/>
  <c r="AC218" i="2"/>
  <c r="AK220" i="2"/>
  <c r="AK218" i="2"/>
  <c r="AP218" i="2"/>
  <c r="AU220" i="2"/>
  <c r="BB218" i="2"/>
  <c r="BQ218" i="2"/>
  <c r="BS218" i="2"/>
  <c r="BU218" i="2"/>
  <c r="AT146" i="2"/>
  <c r="AB12" i="3"/>
  <c r="AD12" i="3" s="1"/>
  <c r="V39" i="3"/>
  <c r="V98" i="3" s="1"/>
  <c r="Y33" i="3"/>
  <c r="I26" i="9" s="1"/>
  <c r="AD33" i="3"/>
  <c r="J26" i="9" s="1"/>
  <c r="AI33" i="3"/>
  <c r="K26" i="9" s="1"/>
  <c r="AN33" i="3"/>
  <c r="L26" i="9" s="1"/>
  <c r="AS33" i="3"/>
  <c r="M26" i="9" s="1"/>
  <c r="AX33" i="3"/>
  <c r="BC33" i="3"/>
  <c r="BH33" i="3"/>
  <c r="BJ39" i="3"/>
  <c r="BJ28" i="3" s="1"/>
  <c r="BJ205" i="2" s="1"/>
  <c r="H29" i="10"/>
  <c r="H31" i="10"/>
  <c r="H33" i="10"/>
  <c r="H35" i="10"/>
  <c r="H37" i="10"/>
  <c r="H40" i="10"/>
  <c r="H42" i="10"/>
  <c r="H48" i="10"/>
  <c r="H52" i="10"/>
  <c r="H56" i="10"/>
  <c r="H60" i="10"/>
  <c r="F118" i="9"/>
  <c r="D118" i="9"/>
  <c r="D45" i="9"/>
  <c r="D85" i="9" s="1"/>
  <c r="H45" i="9"/>
  <c r="H69" i="9" s="1"/>
  <c r="H41" i="10"/>
  <c r="H43" i="10"/>
  <c r="H45" i="10"/>
  <c r="H64" i="10"/>
  <c r="H65" i="10"/>
  <c r="D27" i="10"/>
  <c r="D42" i="10"/>
  <c r="F46" i="10"/>
  <c r="V14" i="3"/>
  <c r="V271" i="3" s="1"/>
  <c r="D46" i="10"/>
  <c r="L121" i="9"/>
  <c r="Y10" i="3"/>
  <c r="I10" i="9" s="1"/>
  <c r="Y11" i="3"/>
  <c r="I11" i="9" s="1"/>
  <c r="AD9" i="3"/>
  <c r="J9" i="9" s="1"/>
  <c r="AD10" i="3"/>
  <c r="J10" i="9" s="1"/>
  <c r="AD11" i="3"/>
  <c r="J11" i="9" s="1"/>
  <c r="AI10" i="3"/>
  <c r="K10" i="9" s="1"/>
  <c r="AI11" i="3"/>
  <c r="K11" i="9" s="1"/>
  <c r="AS9" i="3"/>
  <c r="M9" i="9" s="1"/>
  <c r="AS10" i="3"/>
  <c r="M10" i="9" s="1"/>
  <c r="AS11" i="3"/>
  <c r="M11" i="9" s="1"/>
  <c r="BC9" i="3"/>
  <c r="O9" i="9" s="1"/>
  <c r="BC10" i="3"/>
  <c r="O10" i="9" s="1"/>
  <c r="BC11" i="3"/>
  <c r="O11" i="9" s="1"/>
  <c r="BM9" i="3"/>
  <c r="Q9" i="9" s="1"/>
  <c r="BM10" i="3"/>
  <c r="Q10" i="9" s="1"/>
  <c r="BM11" i="3"/>
  <c r="Q11" i="9" s="1"/>
  <c r="D26" i="10"/>
  <c r="F40" i="10"/>
  <c r="F41" i="10"/>
  <c r="F44" i="10"/>
  <c r="K123" i="9"/>
  <c r="S123" i="9"/>
  <c r="J121" i="9"/>
  <c r="M123" i="9"/>
  <c r="D47" i="10"/>
  <c r="F47" i="10"/>
  <c r="P122" i="9"/>
  <c r="BQ187" i="11"/>
  <c r="BA187" i="11"/>
  <c r="BL187" i="11"/>
  <c r="AL187" i="11"/>
  <c r="AL184" i="11" s="1"/>
  <c r="AN187" i="11"/>
  <c r="AN188" i="11" s="1"/>
  <c r="AM42" i="3" s="1"/>
  <c r="AN42" i="3" s="1"/>
  <c r="AP187" i="11"/>
  <c r="AP188" i="11" s="1"/>
  <c r="AR187" i="11"/>
  <c r="AW187" i="11"/>
  <c r="BP187" i="11"/>
  <c r="W14" i="3"/>
  <c r="W15" i="3" s="1"/>
  <c r="AF12" i="3"/>
  <c r="AF14" i="3" s="1"/>
  <c r="AF204" i="2" s="1"/>
  <c r="AN9" i="3"/>
  <c r="L9" i="9" s="1"/>
  <c r="AN10" i="3"/>
  <c r="L10" i="9" s="1"/>
  <c r="AN11" i="3"/>
  <c r="L11" i="9" s="1"/>
  <c r="AJ12" i="3"/>
  <c r="AJ14" i="3" s="1"/>
  <c r="AP12" i="3"/>
  <c r="AX9" i="3"/>
  <c r="N9" i="9" s="1"/>
  <c r="AX10" i="3"/>
  <c r="N10" i="9" s="1"/>
  <c r="AX11" i="3"/>
  <c r="N11" i="9" s="1"/>
  <c r="AT12" i="3"/>
  <c r="AZ12" i="3"/>
  <c r="BH9" i="3"/>
  <c r="P9" i="9" s="1"/>
  <c r="BH10" i="3"/>
  <c r="P10" i="9" s="1"/>
  <c r="BH11" i="3"/>
  <c r="P11" i="9" s="1"/>
  <c r="BD12" i="3"/>
  <c r="BJ12" i="3"/>
  <c r="BR9" i="3"/>
  <c r="R9" i="9" s="1"/>
  <c r="BR10" i="3"/>
  <c r="R10" i="9" s="1"/>
  <c r="BN12" i="3"/>
  <c r="BW9" i="3"/>
  <c r="S9" i="9" s="1"/>
  <c r="BW10" i="3"/>
  <c r="S10" i="9" s="1"/>
  <c r="BS12" i="3"/>
  <c r="AC14" i="3"/>
  <c r="AC278" i="3" s="1"/>
  <c r="Y32" i="3"/>
  <c r="I25" i="9" s="1"/>
  <c r="W39" i="3"/>
  <c r="W28" i="3" s="1"/>
  <c r="W205" i="2" s="1"/>
  <c r="Y34" i="3"/>
  <c r="I27" i="9" s="1"/>
  <c r="BK40" i="3"/>
  <c r="BR32" i="3"/>
  <c r="BP40" i="3"/>
  <c r="BR33" i="3"/>
  <c r="BR34" i="3"/>
  <c r="BS40" i="3"/>
  <c r="BU40" i="3"/>
  <c r="BW33" i="3"/>
  <c r="BW34" i="3"/>
  <c r="BM34" i="3"/>
  <c r="AG12" i="3"/>
  <c r="AG14" i="3" s="1"/>
  <c r="AG204" i="2" s="1"/>
  <c r="AE12" i="3"/>
  <c r="AE14" i="3" s="1"/>
  <c r="AE204" i="2" s="1"/>
  <c r="AK12" i="3"/>
  <c r="AK14" i="3" s="1"/>
  <c r="AK204" i="2" s="1"/>
  <c r="AO12" i="3"/>
  <c r="AU12" i="3"/>
  <c r="AY12" i="3"/>
  <c r="BE12" i="3"/>
  <c r="BI12" i="3"/>
  <c r="BO12" i="3"/>
  <c r="BT12" i="3"/>
  <c r="BL40" i="3"/>
  <c r="BO40" i="3"/>
  <c r="BQ39" i="3"/>
  <c r="BT39" i="3"/>
  <c r="BT98" i="3" s="1"/>
  <c r="BV40" i="3"/>
  <c r="Q6" i="35"/>
  <c r="Q9" i="35" s="1"/>
  <c r="BM33" i="3"/>
  <c r="AM187" i="11"/>
  <c r="BX203" i="11"/>
  <c r="K218" i="2"/>
  <c r="BE220" i="2"/>
  <c r="BE218" i="2"/>
  <c r="BJ218" i="2"/>
  <c r="BO220" i="2"/>
  <c r="BY220" i="2"/>
  <c r="CD220" i="2"/>
  <c r="CI220" i="2"/>
  <c r="BH145" i="2"/>
  <c r="BM145" i="2"/>
  <c r="BW145" i="2"/>
  <c r="CB144" i="2"/>
  <c r="T128" i="9" s="1"/>
  <c r="CG144" i="2"/>
  <c r="U128" i="9" s="1"/>
  <c r="P218" i="2"/>
  <c r="AW218" i="2"/>
  <c r="K220" i="2"/>
  <c r="AE220" i="2"/>
  <c r="AY218" i="2"/>
  <c r="AN215" i="2"/>
  <c r="BR215" i="2"/>
  <c r="P6" i="3"/>
  <c r="P117" i="3" s="1"/>
  <c r="N30" i="10"/>
  <c r="K146" i="2"/>
  <c r="M42" i="2"/>
  <c r="BW215" i="2"/>
  <c r="AN145" i="2"/>
  <c r="AS145" i="2"/>
  <c r="BR145" i="2"/>
  <c r="AI215" i="2"/>
  <c r="BC215" i="2"/>
  <c r="P146" i="2"/>
  <c r="AN144" i="2"/>
  <c r="L128" i="9" s="1"/>
  <c r="AD145" i="2"/>
  <c r="AD215" i="2"/>
  <c r="AS215" i="2"/>
  <c r="AX215" i="2"/>
  <c r="BM215" i="2"/>
  <c r="AF146" i="2"/>
  <c r="AZ146" i="2"/>
  <c r="BW144" i="2"/>
  <c r="S128" i="9" s="1"/>
  <c r="BS42" i="2"/>
  <c r="Y145" i="2"/>
  <c r="Z146" i="2"/>
  <c r="AX145" i="2"/>
  <c r="BV146" i="2"/>
  <c r="BU146" i="2"/>
  <c r="BH215" i="2"/>
  <c r="AB146" i="2"/>
  <c r="AV146" i="2"/>
  <c r="BP146" i="2"/>
  <c r="M7" i="10"/>
  <c r="M13" i="10"/>
  <c r="M17" i="10"/>
  <c r="M21" i="10"/>
  <c r="M25" i="10"/>
  <c r="M9" i="10"/>
  <c r="M10" i="10"/>
  <c r="BY109" i="3"/>
  <c r="BY243" i="3"/>
  <c r="CE236" i="3"/>
  <c r="CE243" i="3" s="1"/>
  <c r="O161" i="2"/>
  <c r="T161" i="2"/>
  <c r="Y161" i="2"/>
  <c r="AD161" i="2"/>
  <c r="AI161" i="2"/>
  <c r="BE11" i="2"/>
  <c r="BE44" i="2" s="1"/>
  <c r="BB122" i="2"/>
  <c r="BK11" i="2"/>
  <c r="BK44" i="2" s="1"/>
  <c r="N122" i="2"/>
  <c r="BC55" i="2"/>
  <c r="BH55" i="2"/>
  <c r="BK161" i="2"/>
  <c r="AR11" i="2"/>
  <c r="AR44" i="2" s="1"/>
  <c r="BO161" i="2"/>
  <c r="BA11" i="2"/>
  <c r="BA44" i="2" s="1"/>
  <c r="AH122" i="2"/>
  <c r="CK161" i="2"/>
  <c r="M14" i="10"/>
  <c r="M18" i="10"/>
  <c r="M22" i="10"/>
  <c r="N121" i="2"/>
  <c r="AC121" i="2"/>
  <c r="BE122" i="2"/>
  <c r="X122" i="2"/>
  <c r="AQ22" i="2"/>
  <c r="BK23" i="2"/>
  <c r="AX159" i="2"/>
  <c r="BW159" i="2"/>
  <c r="BW160" i="2"/>
  <c r="O9" i="2"/>
  <c r="Y9" i="2"/>
  <c r="AD9" i="2"/>
  <c r="AI9" i="2"/>
  <c r="AJ121" i="2"/>
  <c r="AO121" i="2"/>
  <c r="BH9" i="2"/>
  <c r="BD11" i="2"/>
  <c r="BD44" i="2" s="1"/>
  <c r="AB121" i="2"/>
  <c r="AG121" i="2"/>
  <c r="AS9" i="2"/>
  <c r="AU121" i="2"/>
  <c r="AU11" i="2"/>
  <c r="AU44" i="2" s="1"/>
  <c r="AT122" i="2"/>
  <c r="AY121" i="2"/>
  <c r="BC9" i="2"/>
  <c r="BC10" i="2"/>
  <c r="AZ11" i="2"/>
  <c r="AZ44" i="2" s="1"/>
  <c r="BF121" i="2"/>
  <c r="BF11" i="2"/>
  <c r="BF44" i="2" s="1"/>
  <c r="BI121" i="2"/>
  <c r="BJ11" i="2"/>
  <c r="BJ44" i="2" s="1"/>
  <c r="BP121" i="2"/>
  <c r="BS121" i="2"/>
  <c r="BV122" i="2"/>
  <c r="R122" i="2"/>
  <c r="AB122" i="2"/>
  <c r="AL122" i="2"/>
  <c r="AU22" i="2"/>
  <c r="AQ23" i="2"/>
  <c r="BJ23" i="2"/>
  <c r="AN54" i="2"/>
  <c r="AS54" i="2"/>
  <c r="AX54" i="2"/>
  <c r="AX55" i="2"/>
  <c r="AX56" i="2"/>
  <c r="BM54" i="2"/>
  <c r="BH159" i="2"/>
  <c r="BH160" i="2"/>
  <c r="BM159" i="2"/>
  <c r="BM160" i="2"/>
  <c r="BJ161" i="2"/>
  <c r="BP161" i="2"/>
  <c r="S121" i="2"/>
  <c r="X121" i="2"/>
  <c r="AV11" i="2"/>
  <c r="AV44" i="2" s="1"/>
  <c r="BL122" i="2"/>
  <c r="BO122" i="2"/>
  <c r="AR122" i="2"/>
  <c r="AK55" i="2"/>
  <c r="CF161" i="2"/>
  <c r="O10" i="2"/>
  <c r="T10" i="2"/>
  <c r="Y10" i="2"/>
  <c r="AD10" i="2"/>
  <c r="AI10" i="2"/>
  <c r="AN9" i="2"/>
  <c r="AS10" i="2"/>
  <c r="AV122" i="2"/>
  <c r="BH10" i="2"/>
  <c r="BI122" i="2"/>
  <c r="BY121" i="2"/>
  <c r="K122" i="2"/>
  <c r="U122" i="2"/>
  <c r="AE122" i="2"/>
  <c r="AO122" i="2"/>
  <c r="AR22" i="2"/>
  <c r="AX18" i="2"/>
  <c r="AV22" i="2"/>
  <c r="AS13" i="2"/>
  <c r="AX13" i="2"/>
  <c r="BC13" i="2"/>
  <c r="BH13" i="2"/>
  <c r="BM13" i="2"/>
  <c r="BR13" i="2"/>
  <c r="BW13" i="2"/>
  <c r="CB13" i="2"/>
  <c r="CG13" i="2"/>
  <c r="CL13" i="2"/>
  <c r="AS55" i="2"/>
  <c r="AX160" i="2"/>
  <c r="BQ161" i="2"/>
  <c r="AH121" i="2"/>
  <c r="AM121" i="2"/>
  <c r="AV121" i="2"/>
  <c r="AU122" i="2"/>
  <c r="BS122" i="2"/>
  <c r="K121" i="2"/>
  <c r="P121" i="2"/>
  <c r="T9" i="2"/>
  <c r="U121" i="2"/>
  <c r="Z121" i="2"/>
  <c r="AE121" i="2"/>
  <c r="AN10" i="2"/>
  <c r="AQ11" i="2"/>
  <c r="AQ44" i="2" s="1"/>
  <c r="AY122" i="2"/>
  <c r="BF122" i="2"/>
  <c r="BP122" i="2"/>
  <c r="AT11" i="2"/>
  <c r="AT44" i="2" s="1"/>
  <c r="AX10" i="2"/>
  <c r="BB121" i="2"/>
  <c r="BB11" i="2"/>
  <c r="BB44" i="2" s="1"/>
  <c r="BE121" i="2"/>
  <c r="BG11" i="2"/>
  <c r="BG44" i="2" s="1"/>
  <c r="BL121" i="2"/>
  <c r="BO121" i="2"/>
  <c r="BV121" i="2"/>
  <c r="BY122" i="2"/>
  <c r="AA122" i="2"/>
  <c r="AK122" i="2"/>
  <c r="O15" i="2"/>
  <c r="O106" i="2" s="1"/>
  <c r="O16" i="2"/>
  <c r="O107" i="2" s="1"/>
  <c r="T15" i="2"/>
  <c r="T106" i="2" s="1"/>
  <c r="T16" i="2"/>
  <c r="T107" i="2" s="1"/>
  <c r="Y15" i="2"/>
  <c r="Y106" i="2" s="1"/>
  <c r="Y16" i="2"/>
  <c r="Y107" i="2" s="1"/>
  <c r="AD15" i="2"/>
  <c r="AD106" i="2" s="1"/>
  <c r="AD16" i="2"/>
  <c r="AD107" i="2" s="1"/>
  <c r="AI15" i="2"/>
  <c r="AI106" i="2" s="1"/>
  <c r="AI16" i="2"/>
  <c r="AI107" i="2" s="1"/>
  <c r="AN15" i="2"/>
  <c r="AN106" i="2" s="1"/>
  <c r="AN16" i="2"/>
  <c r="AN107" i="2" s="1"/>
  <c r="AS15" i="2"/>
  <c r="AS106" i="2" s="1"/>
  <c r="AS16" i="2"/>
  <c r="AS107" i="2" s="1"/>
  <c r="AX15" i="2"/>
  <c r="AX106" i="2" s="1"/>
  <c r="AX16" i="2"/>
  <c r="AX107" i="2" s="1"/>
  <c r="BC15" i="2"/>
  <c r="BC106" i="2" s="1"/>
  <c r="BC16" i="2"/>
  <c r="BC107" i="2" s="1"/>
  <c r="BH15" i="2"/>
  <c r="BH106" i="2" s="1"/>
  <c r="BH16" i="2"/>
  <c r="BH107" i="2" s="1"/>
  <c r="BM15" i="2"/>
  <c r="BM106" i="2" s="1"/>
  <c r="BM16" i="2"/>
  <c r="BM107" i="2" s="1"/>
  <c r="BR15" i="2"/>
  <c r="BR106" i="2" s="1"/>
  <c r="BR16" i="2"/>
  <c r="BR107" i="2" s="1"/>
  <c r="BW15" i="2"/>
  <c r="BW106" i="2" s="1"/>
  <c r="BW16" i="2"/>
  <c r="BW107" i="2" s="1"/>
  <c r="CB15" i="2"/>
  <c r="CB106" i="2" s="1"/>
  <c r="CB16" i="2"/>
  <c r="CB107" i="2" s="1"/>
  <c r="CG15" i="2"/>
  <c r="CG106" i="2" s="1"/>
  <c r="CG16" i="2"/>
  <c r="CG107" i="2" s="1"/>
  <c r="CL15" i="2"/>
  <c r="CL106" i="2" s="1"/>
  <c r="CL16" i="2"/>
  <c r="CL107" i="2" s="1"/>
  <c r="BC18" i="2"/>
  <c r="BH18" i="2"/>
  <c r="BI23" i="2"/>
  <c r="BR54" i="2"/>
  <c r="BW54" i="2"/>
  <c r="BC159" i="2"/>
  <c r="BC160" i="2"/>
  <c r="BC161" i="2"/>
  <c r="BG161" i="2"/>
  <c r="BG166" i="2" s="1"/>
  <c r="BG171" i="2" s="1"/>
  <c r="BG170" i="2" s="1"/>
  <c r="BL161" i="2"/>
  <c r="BR159" i="2"/>
  <c r="BR160" i="2"/>
  <c r="BU161" i="2"/>
  <c r="CI161" i="2"/>
  <c r="CL159" i="2"/>
  <c r="CJ161" i="2"/>
  <c r="BV161" i="2"/>
  <c r="CG159" i="2"/>
  <c r="CC161" i="2"/>
  <c r="CE161" i="2"/>
  <c r="AN161" i="2"/>
  <c r="AS161" i="2"/>
  <c r="AX161" i="2"/>
  <c r="BT161" i="2"/>
  <c r="CD161" i="2"/>
  <c r="M11" i="10"/>
  <c r="M15" i="10"/>
  <c r="M19" i="10"/>
  <c r="M23" i="10"/>
  <c r="M12" i="10"/>
  <c r="M16" i="10"/>
  <c r="M20" i="10"/>
  <c r="M24" i="10"/>
  <c r="AP7" i="3"/>
  <c r="AP214" i="3" s="1"/>
  <c r="AT7" i="3"/>
  <c r="AT214" i="3" s="1"/>
  <c r="BB7" i="3"/>
  <c r="BB118" i="3" s="1"/>
  <c r="BF7" i="3"/>
  <c r="BF214" i="3" s="1"/>
  <c r="BJ7" i="3"/>
  <c r="BJ118" i="3" s="1"/>
  <c r="BN7" i="3"/>
  <c r="BN214" i="3" s="1"/>
  <c r="BV7" i="3"/>
  <c r="BV214" i="3" s="1"/>
  <c r="BZ7" i="3"/>
  <c r="BZ118" i="3" s="1"/>
  <c r="CD7" i="3"/>
  <c r="CD118" i="3" s="1"/>
  <c r="CH7" i="3"/>
  <c r="CH118" i="3" s="1"/>
  <c r="CL7" i="3"/>
  <c r="CC3" i="11"/>
  <c r="CG3" i="11"/>
  <c r="CJ3" i="11"/>
  <c r="AR3" i="11"/>
  <c r="AV3" i="11"/>
  <c r="AZ3" i="11"/>
  <c r="BH3" i="11"/>
  <c r="BL3" i="11"/>
  <c r="BP3" i="11"/>
  <c r="BT3" i="11"/>
  <c r="AQ7" i="3"/>
  <c r="AQ214" i="3" s="1"/>
  <c r="AU7" i="3"/>
  <c r="AU118" i="3" s="1"/>
  <c r="AY7" i="3"/>
  <c r="AY214" i="3" s="1"/>
  <c r="BG7" i="3"/>
  <c r="BG214" i="3" s="1"/>
  <c r="BK7" i="3"/>
  <c r="BK118" i="3" s="1"/>
  <c r="BO7" i="3"/>
  <c r="BO214" i="3" s="1"/>
  <c r="BS7" i="3"/>
  <c r="BS118" i="3" s="1"/>
  <c r="CA7" i="3"/>
  <c r="CA118" i="3" s="1"/>
  <c r="CE7" i="3"/>
  <c r="CE214" i="3" s="1"/>
  <c r="CI7" i="3"/>
  <c r="CI118" i="3" s="1"/>
  <c r="BZ3" i="11"/>
  <c r="CD3" i="11"/>
  <c r="CH3" i="11"/>
  <c r="CK3" i="11"/>
  <c r="AS3" i="11"/>
  <c r="AW3" i="11"/>
  <c r="BA3" i="11"/>
  <c r="BE3" i="11"/>
  <c r="BM3" i="11"/>
  <c r="BQ3" i="11"/>
  <c r="BU3" i="11"/>
  <c r="AR7" i="3"/>
  <c r="AR118" i="3" s="1"/>
  <c r="AV7" i="3"/>
  <c r="AV214" i="3" s="1"/>
  <c r="AZ7" i="3"/>
  <c r="AZ118" i="3" s="1"/>
  <c r="BD7" i="3"/>
  <c r="BD214" i="3" s="1"/>
  <c r="BL7" i="3"/>
  <c r="BL214" i="3" s="1"/>
  <c r="BP7" i="3"/>
  <c r="BP214" i="3" s="1"/>
  <c r="BT7" i="3"/>
  <c r="BT214" i="3" s="1"/>
  <c r="CB7" i="3"/>
  <c r="CF7" i="3"/>
  <c r="CF214" i="3" s="1"/>
  <c r="CJ7" i="3"/>
  <c r="CJ118" i="3" s="1"/>
  <c r="CA3" i="11"/>
  <c r="CE3" i="11"/>
  <c r="CL3" i="11"/>
  <c r="AP3" i="11"/>
  <c r="AX3" i="11"/>
  <c r="BB3" i="11"/>
  <c r="BF3" i="11"/>
  <c r="BJ3" i="11"/>
  <c r="BR3" i="11"/>
  <c r="BV3" i="11"/>
  <c r="AO7" i="3"/>
  <c r="AO118" i="3" s="1"/>
  <c r="AW7" i="3"/>
  <c r="AW118" i="3" s="1"/>
  <c r="BA7" i="3"/>
  <c r="BA118" i="3" s="1"/>
  <c r="BE7" i="3"/>
  <c r="BE214" i="3" s="1"/>
  <c r="BI7" i="3"/>
  <c r="BI118" i="3" s="1"/>
  <c r="BQ7" i="3"/>
  <c r="BQ118" i="3" s="1"/>
  <c r="BU7" i="3"/>
  <c r="BU118" i="3" s="1"/>
  <c r="BY7" i="3"/>
  <c r="BY118" i="3" s="1"/>
  <c r="CC7" i="3"/>
  <c r="CC214" i="3" s="1"/>
  <c r="CG7" i="3"/>
  <c r="CK7" i="3"/>
  <c r="CK214" i="3" s="1"/>
  <c r="CI3" i="11"/>
  <c r="CM3" i="11"/>
  <c r="AQ3" i="11"/>
  <c r="AU3" i="11"/>
  <c r="BC3" i="11"/>
  <c r="BG3" i="11"/>
  <c r="BK3" i="11"/>
  <c r="BO3" i="11"/>
  <c r="BW3" i="11"/>
  <c r="S31" i="37"/>
  <c r="S35" i="37" s="1"/>
  <c r="P89" i="36"/>
  <c r="P30" i="36"/>
  <c r="Q19" i="36"/>
  <c r="BF193" i="3"/>
  <c r="BF199" i="3" s="1"/>
  <c r="S12" i="36"/>
  <c r="T11" i="36"/>
  <c r="T12" i="36" s="1"/>
  <c r="O93" i="36"/>
  <c r="O95" i="36" s="1"/>
  <c r="O99" i="36" s="1"/>
  <c r="O60" i="36"/>
  <c r="O51" i="36"/>
  <c r="E69" i="9"/>
  <c r="Q123" i="9"/>
  <c r="N122" i="9"/>
  <c r="E118" i="9"/>
  <c r="N123" i="9"/>
  <c r="F67" i="9"/>
  <c r="F83" i="9"/>
  <c r="M122" i="9"/>
  <c r="E83" i="9"/>
  <c r="E67" i="9"/>
  <c r="L122" i="9"/>
  <c r="G68" i="9"/>
  <c r="G84" i="9"/>
  <c r="H84" i="9"/>
  <c r="H68" i="9"/>
  <c r="L123" i="9"/>
  <c r="Q122" i="9"/>
  <c r="O123" i="9"/>
  <c r="H83" i="9"/>
  <c r="H67" i="9"/>
  <c r="H123" i="9"/>
  <c r="G83" i="9"/>
  <c r="G67" i="9"/>
  <c r="E79" i="9"/>
  <c r="E47" i="9"/>
  <c r="K121" i="9"/>
  <c r="F82" i="9"/>
  <c r="F66" i="9"/>
  <c r="R122" i="9"/>
  <c r="P123" i="9"/>
  <c r="D83" i="9"/>
  <c r="D67" i="9"/>
  <c r="G66" i="9"/>
  <c r="G82" i="9"/>
  <c r="K122" i="9"/>
  <c r="R123" i="9"/>
  <c r="O122" i="9"/>
  <c r="J122" i="9"/>
  <c r="J123" i="9"/>
  <c r="D47" i="9"/>
  <c r="D94" i="9" s="1"/>
  <c r="I123" i="9"/>
  <c r="M8" i="10"/>
  <c r="F27" i="10"/>
  <c r="D28" i="10"/>
  <c r="H28" i="10"/>
  <c r="F29" i="10"/>
  <c r="D30" i="10"/>
  <c r="H30" i="10"/>
  <c r="F31" i="10"/>
  <c r="D32" i="10"/>
  <c r="H32" i="10"/>
  <c r="F33" i="10"/>
  <c r="D34" i="10"/>
  <c r="H34" i="10"/>
  <c r="F35" i="10"/>
  <c r="D36" i="10"/>
  <c r="H36" i="10"/>
  <c r="F37" i="10"/>
  <c r="D38" i="10"/>
  <c r="H38" i="10"/>
  <c r="H39" i="10"/>
  <c r="F42" i="10"/>
  <c r="D44" i="10"/>
  <c r="D45" i="10"/>
  <c r="H46" i="10"/>
  <c r="H47" i="10"/>
  <c r="D49" i="10"/>
  <c r="F50" i="10"/>
  <c r="H51" i="10"/>
  <c r="D53" i="10"/>
  <c r="F54" i="10"/>
  <c r="H55" i="10"/>
  <c r="D57" i="10"/>
  <c r="F58" i="10"/>
  <c r="H59" i="10"/>
  <c r="D61" i="10"/>
  <c r="F62" i="10"/>
  <c r="H63" i="10"/>
  <c r="C83" i="10"/>
  <c r="C85" i="10"/>
  <c r="D39" i="10"/>
  <c r="C86" i="10"/>
  <c r="D48" i="10"/>
  <c r="F49" i="10"/>
  <c r="H50" i="10"/>
  <c r="D52" i="10"/>
  <c r="F53" i="10"/>
  <c r="H54" i="10"/>
  <c r="D56" i="10"/>
  <c r="F57" i="10"/>
  <c r="H58" i="10"/>
  <c r="D60" i="10"/>
  <c r="F61" i="10"/>
  <c r="H62" i="10"/>
  <c r="C89" i="10"/>
  <c r="D43" i="10"/>
  <c r="C87" i="10"/>
  <c r="D41" i="10"/>
  <c r="C88" i="10"/>
  <c r="F48" i="10"/>
  <c r="H49" i="10"/>
  <c r="D51" i="10"/>
  <c r="F52" i="10"/>
  <c r="H53" i="10"/>
  <c r="D55" i="10"/>
  <c r="F56" i="10"/>
  <c r="H57" i="10"/>
  <c r="D59" i="10"/>
  <c r="F60" i="10"/>
  <c r="H61" i="10"/>
  <c r="F64" i="10"/>
  <c r="AF220" i="2"/>
  <c r="AZ220" i="2"/>
  <c r="BT220" i="2"/>
  <c r="BG146" i="2"/>
  <c r="BQ146" i="2"/>
  <c r="J132" i="2"/>
  <c r="AD132" i="2"/>
  <c r="L146" i="2"/>
  <c r="Q146" i="2"/>
  <c r="Y144" i="2"/>
  <c r="I128" i="9" s="1"/>
  <c r="AI144" i="2"/>
  <c r="K128" i="9" s="1"/>
  <c r="AE146" i="2"/>
  <c r="AS144" i="2"/>
  <c r="M128" i="9" s="1"/>
  <c r="BC144" i="2"/>
  <c r="O128" i="9" s="1"/>
  <c r="AY146" i="2"/>
  <c r="BD144" i="2"/>
  <c r="BH144" i="2" s="1"/>
  <c r="BM144" i="2"/>
  <c r="Q128" i="9" s="1"/>
  <c r="D201" i="2"/>
  <c r="P201" i="2"/>
  <c r="AC146" i="2"/>
  <c r="BT146" i="2"/>
  <c r="M201" i="2"/>
  <c r="O220" i="2"/>
  <c r="Q220" i="2"/>
  <c r="T218" i="2"/>
  <c r="X220" i="2"/>
  <c r="AC220" i="2"/>
  <c r="AM220" i="2"/>
  <c r="AR220" i="2"/>
  <c r="AW220" i="2"/>
  <c r="BG220" i="2"/>
  <c r="BL220" i="2"/>
  <c r="BQ220" i="2"/>
  <c r="AA146" i="2"/>
  <c r="AK146" i="2"/>
  <c r="AU146" i="2"/>
  <c r="BE146" i="2"/>
  <c r="BO146" i="2"/>
  <c r="K201" i="2"/>
  <c r="O201" i="2"/>
  <c r="Q201" i="2"/>
  <c r="O146" i="2"/>
  <c r="AM146" i="2"/>
  <c r="AW146" i="2"/>
  <c r="J146" i="2"/>
  <c r="T144" i="2"/>
  <c r="T220" i="2" s="1"/>
  <c r="BH132" i="2"/>
  <c r="L220" i="2"/>
  <c r="O218" i="2"/>
  <c r="S146" i="2"/>
  <c r="W146" i="2"/>
  <c r="AG146" i="2"/>
  <c r="AQ146" i="2"/>
  <c r="BA146" i="2"/>
  <c r="BK146" i="2"/>
  <c r="J201" i="2"/>
  <c r="L201" i="2"/>
  <c r="R201" i="2"/>
  <c r="N31" i="10"/>
  <c r="N33" i="10"/>
  <c r="N36" i="10"/>
  <c r="N32" i="10"/>
  <c r="N34" i="10"/>
  <c r="N35" i="10"/>
  <c r="K42" i="2"/>
  <c r="S42" i="2"/>
  <c r="J42" i="2"/>
  <c r="U42" i="2"/>
  <c r="AK42" i="2"/>
  <c r="BE42" i="2"/>
  <c r="AA42" i="2"/>
  <c r="AO42" i="2"/>
  <c r="BI42" i="2"/>
  <c r="BU42" i="2"/>
  <c r="AG42" i="2"/>
  <c r="BA42" i="2"/>
  <c r="BO42" i="2"/>
  <c r="AD103" i="2"/>
  <c r="AN103" i="2"/>
  <c r="AX103" i="2"/>
  <c r="BH103" i="2"/>
  <c r="P199" i="2"/>
  <c r="K199" i="2"/>
  <c r="O199" i="2"/>
  <c r="Q199" i="2"/>
  <c r="BW103" i="2"/>
  <c r="J199" i="2"/>
  <c r="L199" i="2"/>
  <c r="R199" i="2"/>
  <c r="M199" i="2"/>
  <c r="P200" i="2"/>
  <c r="K200" i="2"/>
  <c r="O200" i="2"/>
  <c r="Q200" i="2"/>
  <c r="D200" i="2"/>
  <c r="T200" i="2"/>
  <c r="J200" i="2"/>
  <c r="L200" i="2"/>
  <c r="R200" i="2"/>
  <c r="M200" i="2"/>
  <c r="BM102" i="2"/>
  <c r="BS103" i="2"/>
  <c r="BR102" i="2"/>
  <c r="Y102" i="2"/>
  <c r="AI102" i="2"/>
  <c r="AS102" i="2"/>
  <c r="BC102" i="2"/>
  <c r="AV8" i="11"/>
  <c r="AL34" i="11"/>
  <c r="AM32" i="11" s="1"/>
  <c r="AL13" i="11"/>
  <c r="AM26" i="11"/>
  <c r="AN24" i="11" s="1"/>
  <c r="AR58" i="11"/>
  <c r="AS56" i="11" s="1"/>
  <c r="BZ56" i="11"/>
  <c r="BZ57" i="11" s="1"/>
  <c r="AU184" i="11"/>
  <c r="AU188" i="11" s="1"/>
  <c r="AU154" i="11"/>
  <c r="AV155" i="11"/>
  <c r="AS155" i="11"/>
  <c r="AU155" i="11"/>
  <c r="AK17" i="11"/>
  <c r="AK18" i="11" s="1"/>
  <c r="BA50" i="11"/>
  <c r="BB48" i="11" s="1"/>
  <c r="BV57" i="11"/>
  <c r="AL74" i="11"/>
  <c r="AM72" i="11" s="1"/>
  <c r="BW74" i="11"/>
  <c r="BX74" i="11" s="1"/>
  <c r="BY72" i="11" s="1"/>
  <c r="AL90" i="11"/>
  <c r="AM88" i="11" s="1"/>
  <c r="AJ257" i="3"/>
  <c r="AK218" i="11"/>
  <c r="AK219" i="11" s="1"/>
  <c r="AW155" i="11"/>
  <c r="BH112" i="11"/>
  <c r="BG112" i="11"/>
  <c r="AK35" i="11"/>
  <c r="AK36" i="11" s="1"/>
  <c r="AK37" i="11" s="1"/>
  <c r="AK42" i="11"/>
  <c r="AL40" i="11" s="1"/>
  <c r="BX50" i="11"/>
  <c r="BY48" i="11" s="1"/>
  <c r="BY51" i="11" s="1"/>
  <c r="BY52" i="11" s="1"/>
  <c r="AQ59" i="11"/>
  <c r="AQ60" i="11" s="1"/>
  <c r="AQ61" i="11" s="1"/>
  <c r="AK66" i="11"/>
  <c r="AL64" i="11" s="1"/>
  <c r="AL27" i="11"/>
  <c r="AL28" i="11" s="1"/>
  <c r="AL29" i="11" s="1"/>
  <c r="BX42" i="11"/>
  <c r="BY40" i="11" s="1"/>
  <c r="BY43" i="11" s="1"/>
  <c r="BY44" i="11" s="1"/>
  <c r="AK50" i="11"/>
  <c r="AL48" i="11" s="1"/>
  <c r="AX9" i="11"/>
  <c r="BJ8" i="11"/>
  <c r="BJ112" i="11" s="1"/>
  <c r="BJ122" i="11" s="1"/>
  <c r="AS112" i="11"/>
  <c r="AU112" i="11"/>
  <c r="AU122" i="11" s="1"/>
  <c r="BU57" i="11"/>
  <c r="BT57" i="11"/>
  <c r="BW59" i="11"/>
  <c r="BW60" i="11" s="1"/>
  <c r="BW61" i="11" s="1"/>
  <c r="BV65" i="11"/>
  <c r="BX66" i="11"/>
  <c r="BY64" i="11" s="1"/>
  <c r="AK75" i="11"/>
  <c r="AK76" i="11" s="1"/>
  <c r="AK82" i="11"/>
  <c r="AL80" i="11" s="1"/>
  <c r="BU89" i="11"/>
  <c r="AK91" i="11"/>
  <c r="AK92" i="11" s="1"/>
  <c r="BG132" i="11"/>
  <c r="BH130" i="11" s="1"/>
  <c r="BF90" i="11"/>
  <c r="BG88" i="11" s="1"/>
  <c r="BV89" i="11"/>
  <c r="AI201" i="11"/>
  <c r="AJ124" i="11"/>
  <c r="AK117" i="11"/>
  <c r="AJ123" i="11"/>
  <c r="AJ176" i="11" s="1"/>
  <c r="AR132" i="11"/>
  <c r="AS130" i="11" s="1"/>
  <c r="BU131" i="11"/>
  <c r="BU133" i="11"/>
  <c r="BU134" i="11" s="1"/>
  <c r="BV105" i="11"/>
  <c r="BX106" i="11"/>
  <c r="BY104" i="11" s="1"/>
  <c r="BX90" i="11"/>
  <c r="BY88" i="11" s="1"/>
  <c r="AK121" i="11"/>
  <c r="BP132" i="11"/>
  <c r="BQ130" i="11" s="1"/>
  <c r="BQ133" i="11" s="1"/>
  <c r="BQ134" i="11" s="1"/>
  <c r="AM141" i="11"/>
  <c r="AM142" i="11" s="1"/>
  <c r="AN138" i="11"/>
  <c r="AK194" i="11"/>
  <c r="AK181" i="11"/>
  <c r="AK132" i="11"/>
  <c r="AL130" i="11" s="1"/>
  <c r="BW130" i="11"/>
  <c r="BW131" i="11" s="1"/>
  <c r="BO133" i="11"/>
  <c r="BO134" i="11" s="1"/>
  <c r="BF133" i="11"/>
  <c r="BF134" i="11" s="1"/>
  <c r="AM148" i="11"/>
  <c r="AN146" i="11" s="1"/>
  <c r="BV131" i="11"/>
  <c r="BF148" i="11"/>
  <c r="BG146" i="11" s="1"/>
  <c r="AL169" i="11"/>
  <c r="AL194" i="11" s="1"/>
  <c r="AL168" i="11"/>
  <c r="AL192" i="11" s="1"/>
  <c r="AQ169" i="11"/>
  <c r="AQ194" i="11" s="1"/>
  <c r="AQ168" i="11"/>
  <c r="AQ192" i="11" s="1"/>
  <c r="BR148" i="11"/>
  <c r="BS148" i="11" s="1"/>
  <c r="BT146" i="11" s="1"/>
  <c r="AM169" i="11"/>
  <c r="AM194" i="11" s="1"/>
  <c r="AM168" i="11"/>
  <c r="AM192" i="11" s="1"/>
  <c r="AR169" i="11"/>
  <c r="AR194" i="11" s="1"/>
  <c r="AR168" i="11"/>
  <c r="AR192" i="11" s="1"/>
  <c r="AR159" i="11"/>
  <c r="AR160" i="11" s="1"/>
  <c r="AR161" i="11" s="1"/>
  <c r="AN168" i="11"/>
  <c r="AN192" i="11" s="1"/>
  <c r="AU187" i="11"/>
  <c r="AZ187" i="11"/>
  <c r="AZ188" i="11"/>
  <c r="AP168" i="11"/>
  <c r="AP192" i="11" s="1"/>
  <c r="BJ188" i="11"/>
  <c r="BJ187" i="11"/>
  <c r="BO188" i="11"/>
  <c r="BO187" i="11"/>
  <c r="BT188" i="11"/>
  <c r="AS187" i="11"/>
  <c r="AX187" i="11"/>
  <c r="BC187" i="11"/>
  <c r="BH187" i="11"/>
  <c r="BM187" i="11"/>
  <c r="BR187" i="11"/>
  <c r="AR188" i="11"/>
  <c r="BL188" i="11"/>
  <c r="BP188" i="11"/>
  <c r="BE187" i="11"/>
  <c r="BA188" i="11"/>
  <c r="BQ188" i="11"/>
  <c r="AQ187" i="11"/>
  <c r="BF187" i="11"/>
  <c r="BK187" i="11"/>
  <c r="BB188" i="11"/>
  <c r="BG187" i="11"/>
  <c r="AP202" i="11"/>
  <c r="AQ202" i="11" s="1"/>
  <c r="AO202" i="11"/>
  <c r="AU202" i="11"/>
  <c r="AV202" i="11" s="1"/>
  <c r="AW202" i="11" s="1"/>
  <c r="AX202" i="11" s="1"/>
  <c r="J277" i="3"/>
  <c r="J24" i="3"/>
  <c r="CK24" i="3"/>
  <c r="F278" i="3"/>
  <c r="F277" i="3"/>
  <c r="F24" i="3"/>
  <c r="K278" i="3"/>
  <c r="K277" i="3"/>
  <c r="K271" i="3"/>
  <c r="K15" i="3"/>
  <c r="K204" i="2"/>
  <c r="P278" i="3"/>
  <c r="P277" i="3"/>
  <c r="P271" i="3"/>
  <c r="P15" i="3"/>
  <c r="G277" i="3"/>
  <c r="G278" i="3"/>
  <c r="G271" i="3"/>
  <c r="G24" i="3"/>
  <c r="G16" i="3"/>
  <c r="L278" i="3"/>
  <c r="L277" i="3"/>
  <c r="L271" i="3"/>
  <c r="L16" i="3"/>
  <c r="L15" i="3"/>
  <c r="L24" i="3"/>
  <c r="Q277" i="3"/>
  <c r="Q278" i="3"/>
  <c r="Q271" i="3"/>
  <c r="Q16" i="3"/>
  <c r="Q24" i="3"/>
  <c r="Q15" i="3"/>
  <c r="H278" i="3"/>
  <c r="H277" i="3"/>
  <c r="H271" i="3"/>
  <c r="H24" i="3"/>
  <c r="H16" i="3"/>
  <c r="M278" i="3"/>
  <c r="M277" i="3"/>
  <c r="M271" i="3"/>
  <c r="M16" i="3"/>
  <c r="M15" i="3"/>
  <c r="Z213" i="3"/>
  <c r="Z117" i="3"/>
  <c r="U214" i="3"/>
  <c r="U118" i="3"/>
  <c r="Y214" i="3"/>
  <c r="Y118" i="3"/>
  <c r="AC214" i="3"/>
  <c r="AC118" i="3"/>
  <c r="AG214" i="3"/>
  <c r="AG118" i="3"/>
  <c r="AK214" i="3"/>
  <c r="AK118" i="3"/>
  <c r="AS214" i="3"/>
  <c r="AS118" i="3"/>
  <c r="BM214" i="3"/>
  <c r="BM118" i="3"/>
  <c r="CE12" i="3"/>
  <c r="CF12" i="3" s="1"/>
  <c r="CJ12" i="3"/>
  <c r="CK12" i="3" s="1"/>
  <c r="I12" i="3"/>
  <c r="I14" i="3" s="1"/>
  <c r="K24" i="3"/>
  <c r="P24" i="3"/>
  <c r="Z24" i="3"/>
  <c r="Y23" i="3"/>
  <c r="BR23" i="3"/>
  <c r="S26" i="3"/>
  <c r="AI26" i="3"/>
  <c r="AN26" i="3"/>
  <c r="F98" i="3"/>
  <c r="F101" i="3" s="1"/>
  <c r="AH98" i="3"/>
  <c r="AH28" i="3"/>
  <c r="AH205" i="2" s="1"/>
  <c r="AH48" i="3"/>
  <c r="AH52" i="3" s="1"/>
  <c r="AM98" i="3"/>
  <c r="AM28" i="3"/>
  <c r="AM205" i="2" s="1"/>
  <c r="AR98" i="3"/>
  <c r="AR28" i="3"/>
  <c r="AR205" i="2" s="1"/>
  <c r="AW98" i="3"/>
  <c r="AW28" i="3"/>
  <c r="AW205" i="2" s="1"/>
  <c r="AE213" i="3"/>
  <c r="AE117" i="3"/>
  <c r="V214" i="3"/>
  <c r="V118" i="3"/>
  <c r="Z214" i="3"/>
  <c r="Z118" i="3"/>
  <c r="AD214" i="3"/>
  <c r="AD118" i="3"/>
  <c r="AH214" i="3"/>
  <c r="AH118" i="3"/>
  <c r="AL214" i="3"/>
  <c r="AL118" i="3"/>
  <c r="AX214" i="3"/>
  <c r="AX118" i="3"/>
  <c r="BR214" i="3"/>
  <c r="BR118" i="3"/>
  <c r="AH12" i="3"/>
  <c r="BR11" i="3"/>
  <c r="R11" i="9" s="1"/>
  <c r="BW11" i="3"/>
  <c r="S11" i="9" s="1"/>
  <c r="O14" i="3"/>
  <c r="O204" i="2" s="1"/>
  <c r="R278" i="3"/>
  <c r="R277" i="3"/>
  <c r="R271" i="3"/>
  <c r="U14" i="3"/>
  <c r="U204" i="2" s="1"/>
  <c r="BQ278" i="3"/>
  <c r="BQ277" i="3"/>
  <c r="BQ271" i="3"/>
  <c r="BV15" i="3"/>
  <c r="BQ16" i="3"/>
  <c r="AE98" i="3"/>
  <c r="AE28" i="3"/>
  <c r="AE205" i="2" s="1"/>
  <c r="P98" i="3"/>
  <c r="P28" i="3"/>
  <c r="AJ213" i="3"/>
  <c r="AJ117" i="3"/>
  <c r="W214" i="3"/>
  <c r="W118" i="3"/>
  <c r="AA214" i="3"/>
  <c r="AA118" i="3"/>
  <c r="AE214" i="3"/>
  <c r="AE118" i="3"/>
  <c r="AI214" i="3"/>
  <c r="AI118" i="3"/>
  <c r="AM214" i="3"/>
  <c r="AM118" i="3"/>
  <c r="BC214" i="3"/>
  <c r="BC118" i="3"/>
  <c r="BW214" i="3"/>
  <c r="BW118" i="3"/>
  <c r="R15" i="3"/>
  <c r="BS16" i="3"/>
  <c r="H98" i="3"/>
  <c r="H101" i="3" s="1"/>
  <c r="AP98" i="3"/>
  <c r="AP28" i="3"/>
  <c r="AP205" i="2" s="1"/>
  <c r="AP48" i="3"/>
  <c r="AP52" i="3" s="1"/>
  <c r="AZ98" i="3"/>
  <c r="AZ28" i="3"/>
  <c r="AZ205" i="2" s="1"/>
  <c r="AZ48" i="3"/>
  <c r="K28" i="3"/>
  <c r="Q98" i="3"/>
  <c r="Q28" i="3"/>
  <c r="H43" i="3"/>
  <c r="U213" i="3"/>
  <c r="U117" i="3"/>
  <c r="X214" i="3"/>
  <c r="X118" i="3"/>
  <c r="AB214" i="3"/>
  <c r="AB118" i="3"/>
  <c r="AF214" i="3"/>
  <c r="AF118" i="3"/>
  <c r="AJ214" i="3"/>
  <c r="AJ118" i="3"/>
  <c r="AN214" i="3"/>
  <c r="AN118" i="3"/>
  <c r="BH214" i="3"/>
  <c r="BH118" i="3"/>
  <c r="AI9" i="3"/>
  <c r="K9" i="9" s="1"/>
  <c r="Z278" i="3"/>
  <c r="Z277" i="3"/>
  <c r="Z271" i="3"/>
  <c r="AA16" i="3"/>
  <c r="AB98" i="3"/>
  <c r="AB28" i="3"/>
  <c r="AB205" i="2" s="1"/>
  <c r="AG98" i="3"/>
  <c r="AG48" i="3"/>
  <c r="AG52" i="3" s="1"/>
  <c r="AG28" i="3"/>
  <c r="AG205" i="2" s="1"/>
  <c r="AQ98" i="3"/>
  <c r="AQ48" i="3"/>
  <c r="AQ28" i="3"/>
  <c r="AQ205" i="2" s="1"/>
  <c r="L28" i="3"/>
  <c r="L205" i="2" s="1"/>
  <c r="R98" i="3"/>
  <c r="R28" i="3"/>
  <c r="CE36" i="3"/>
  <c r="CF36" i="3" s="1"/>
  <c r="N35" i="3"/>
  <c r="U39" i="3"/>
  <c r="AO39" i="3"/>
  <c r="BA39" i="3"/>
  <c r="AZ40" i="3"/>
  <c r="BD39" i="3"/>
  <c r="BG40" i="3"/>
  <c r="BK39" i="3"/>
  <c r="BJ40" i="3"/>
  <c r="BN39" i="3"/>
  <c r="BQ40" i="3"/>
  <c r="BU39" i="3"/>
  <c r="BT40" i="3"/>
  <c r="BM43" i="3"/>
  <c r="BR43" i="3"/>
  <c r="R43" i="3"/>
  <c r="W43" i="3"/>
  <c r="BH43" i="3"/>
  <c r="S51" i="3"/>
  <c r="AI51" i="3"/>
  <c r="Y51" i="3"/>
  <c r="AA69" i="3"/>
  <c r="AB69" i="3" s="1"/>
  <c r="AC69" i="3" s="1"/>
  <c r="AP69" i="3"/>
  <c r="AQ69" i="3" s="1"/>
  <c r="AR69" i="3" s="1"/>
  <c r="AT69" i="3" s="1"/>
  <c r="AJ73" i="3"/>
  <c r="AO73" i="3"/>
  <c r="BD73" i="3"/>
  <c r="BW73" i="3"/>
  <c r="BH90" i="3"/>
  <c r="CB123" i="3"/>
  <c r="CC123" i="3"/>
  <c r="CD123" i="3" s="1"/>
  <c r="CE123" i="3" s="1"/>
  <c r="CF123" i="3" s="1"/>
  <c r="N194" i="3"/>
  <c r="N139" i="3"/>
  <c r="BJ194" i="3"/>
  <c r="BJ195" i="3" s="1"/>
  <c r="BJ139" i="3"/>
  <c r="CC131" i="3"/>
  <c r="CD131" i="3" s="1"/>
  <c r="CE131" i="3" s="1"/>
  <c r="CF131" i="3" s="1"/>
  <c r="CB131" i="3"/>
  <c r="CC135" i="3"/>
  <c r="CD135" i="3" s="1"/>
  <c r="CE135" i="3" s="1"/>
  <c r="CF135" i="3" s="1"/>
  <c r="CB135" i="3"/>
  <c r="I35" i="3"/>
  <c r="AI32" i="3"/>
  <c r="K25" i="9" s="1"/>
  <c r="BC32" i="3"/>
  <c r="O25" i="9" s="1"/>
  <c r="BM32" i="3"/>
  <c r="BW32" i="3"/>
  <c r="Z39" i="3"/>
  <c r="AT39" i="3"/>
  <c r="BB39" i="3"/>
  <c r="BE39" i="3"/>
  <c r="BD40" i="3"/>
  <c r="BL39" i="3"/>
  <c r="BO39" i="3"/>
  <c r="BN40" i="3"/>
  <c r="BV39" i="3"/>
  <c r="Q24" i="35" s="1"/>
  <c r="AE46" i="3"/>
  <c r="AI46" i="3" s="1"/>
  <c r="AN51" i="3"/>
  <c r="BH51" i="3"/>
  <c r="BM51" i="3"/>
  <c r="BQ51" i="3"/>
  <c r="Z73" i="3"/>
  <c r="AK73" i="3"/>
  <c r="BW90" i="3"/>
  <c r="CB126" i="3"/>
  <c r="CC126" i="3"/>
  <c r="CD126" i="3" s="1"/>
  <c r="CE126" i="3" s="1"/>
  <c r="CF126" i="3" s="1"/>
  <c r="BG194" i="3"/>
  <c r="BG195" i="3" s="1"/>
  <c r="BG139" i="3"/>
  <c r="BK194" i="3"/>
  <c r="BK195" i="3" s="1"/>
  <c r="BK139" i="3"/>
  <c r="CC133" i="3"/>
  <c r="CD133" i="3" s="1"/>
  <c r="CE133" i="3" s="1"/>
  <c r="CF133" i="3" s="1"/>
  <c r="CB133" i="3"/>
  <c r="I32" i="3"/>
  <c r="AY39" i="3"/>
  <c r="BF39" i="3"/>
  <c r="BI39" i="3"/>
  <c r="BP39" i="3"/>
  <c r="BS39" i="3"/>
  <c r="AD51" i="3"/>
  <c r="J51" i="3"/>
  <c r="AS51" i="3"/>
  <c r="F73" i="3"/>
  <c r="Q73" i="3"/>
  <c r="AG73" i="3"/>
  <c r="AW73" i="3"/>
  <c r="AI90" i="3"/>
  <c r="BM90" i="3"/>
  <c r="K194" i="3"/>
  <c r="K195" i="3" s="1"/>
  <c r="K139" i="3"/>
  <c r="Q139" i="3"/>
  <c r="CC136" i="3"/>
  <c r="CD136" i="3" s="1"/>
  <c r="CE136" i="3" s="1"/>
  <c r="CF136" i="3" s="1"/>
  <c r="CB136" i="3"/>
  <c r="CJ36" i="3"/>
  <c r="CK36" i="3" s="1"/>
  <c r="S32" i="3"/>
  <c r="S84" i="2" s="1"/>
  <c r="S36" i="3"/>
  <c r="AN32" i="3"/>
  <c r="L25" i="9" s="1"/>
  <c r="J44" i="3"/>
  <c r="N51" i="3"/>
  <c r="AN77" i="3"/>
  <c r="AR78" i="3"/>
  <c r="BH78" i="3"/>
  <c r="AX90" i="3"/>
  <c r="L194" i="3"/>
  <c r="L195" i="3" s="1"/>
  <c r="L139" i="3"/>
  <c r="R194" i="3"/>
  <c r="R195" i="3" s="1"/>
  <c r="BI194" i="3"/>
  <c r="BI195" i="3" s="1"/>
  <c r="BI139" i="3"/>
  <c r="CC130" i="3"/>
  <c r="CD130" i="3" s="1"/>
  <c r="CE130" i="3" s="1"/>
  <c r="CF130" i="3" s="1"/>
  <c r="CB130" i="3"/>
  <c r="CC134" i="3"/>
  <c r="CD134" i="3" s="1"/>
  <c r="CE134" i="3" s="1"/>
  <c r="CF134" i="3" s="1"/>
  <c r="CB134" i="3"/>
  <c r="CC137" i="3"/>
  <c r="CD137" i="3" s="1"/>
  <c r="CE137" i="3" s="1"/>
  <c r="CF137" i="3" s="1"/>
  <c r="CB137" i="3"/>
  <c r="CB277" i="3" s="1"/>
  <c r="AI131" i="3"/>
  <c r="AJ131" i="3"/>
  <c r="AK131" i="3" s="1"/>
  <c r="AL131" i="3" s="1"/>
  <c r="AM131" i="3" s="1"/>
  <c r="AD77" i="3"/>
  <c r="BQ83" i="3"/>
  <c r="BQ90" i="3" s="1"/>
  <c r="BR90" i="3" s="1"/>
  <c r="BC87" i="3"/>
  <c r="BH88" i="3"/>
  <c r="BM88" i="3"/>
  <c r="BW88" i="3"/>
  <c r="AY271" i="3"/>
  <c r="AW271" i="3"/>
  <c r="BN264" i="3"/>
  <c r="BM264" i="3"/>
  <c r="O124" i="3"/>
  <c r="O128" i="3" s="1"/>
  <c r="H194" i="3"/>
  <c r="H195" i="3" s="1"/>
  <c r="H139" i="3"/>
  <c r="X128" i="3"/>
  <c r="AB139" i="3"/>
  <c r="AF194" i="3"/>
  <c r="AF139" i="3"/>
  <c r="AJ139" i="3"/>
  <c r="AZ194" i="3"/>
  <c r="AZ195" i="3" s="1"/>
  <c r="AZ139" i="3"/>
  <c r="BD194" i="3"/>
  <c r="BD195" i="3" s="1"/>
  <c r="BD139" i="3"/>
  <c r="BL128" i="3"/>
  <c r="BP194" i="3"/>
  <c r="BP195" i="3" s="1"/>
  <c r="BP139" i="3"/>
  <c r="AN133" i="3"/>
  <c r="AO133" i="3"/>
  <c r="AP133" i="3" s="1"/>
  <c r="AQ133" i="3" s="1"/>
  <c r="AR133" i="3" s="1"/>
  <c r="CC143" i="3"/>
  <c r="CD143" i="3" s="1"/>
  <c r="CE143" i="3" s="1"/>
  <c r="CF143" i="3" s="1"/>
  <c r="CB143" i="3"/>
  <c r="AA152" i="3"/>
  <c r="AA194" i="3" s="1"/>
  <c r="AA195" i="3" s="1"/>
  <c r="AB147" i="3"/>
  <c r="AI158" i="3"/>
  <c r="AJ158" i="3"/>
  <c r="AK158" i="3" s="1"/>
  <c r="AL158" i="3" s="1"/>
  <c r="AM158" i="3" s="1"/>
  <c r="AA208" i="3"/>
  <c r="AA199" i="3"/>
  <c r="AA207" i="3"/>
  <c r="AA186" i="3"/>
  <c r="AB178" i="3" s="1"/>
  <c r="CC164" i="3"/>
  <c r="CD164" i="3" s="1"/>
  <c r="CE164" i="3" s="1"/>
  <c r="CF164" i="3" s="1"/>
  <c r="CB164" i="3"/>
  <c r="R208" i="3"/>
  <c r="R199" i="3"/>
  <c r="R207" i="3"/>
  <c r="R186" i="3"/>
  <c r="S178" i="3" s="1"/>
  <c r="R174" i="3"/>
  <c r="AY174" i="3"/>
  <c r="BE174" i="3"/>
  <c r="AE78" i="3"/>
  <c r="BM78" i="3"/>
  <c r="AI88" i="3"/>
  <c r="BC88" i="3"/>
  <c r="AO90" i="3"/>
  <c r="AS90" i="3" s="1"/>
  <c r="K264" i="3"/>
  <c r="O262" i="3"/>
  <c r="AR122" i="3"/>
  <c r="O264" i="3"/>
  <c r="T262" i="3"/>
  <c r="P264" i="3"/>
  <c r="Z264" i="3"/>
  <c r="Y264" i="3"/>
  <c r="AI264" i="3"/>
  <c r="AJ264" i="3"/>
  <c r="BC264" i="3"/>
  <c r="BD264" i="3"/>
  <c r="I194" i="3"/>
  <c r="I139" i="3"/>
  <c r="U194" i="3"/>
  <c r="U139" i="3"/>
  <c r="Y128" i="3"/>
  <c r="AC139" i="3"/>
  <c r="AG139" i="3"/>
  <c r="AW128" i="3"/>
  <c r="BA194" i="3"/>
  <c r="BA195" i="3" s="1"/>
  <c r="BA139" i="3"/>
  <c r="BE194" i="3"/>
  <c r="BE195" i="3" s="1"/>
  <c r="BE139" i="3"/>
  <c r="BM128" i="3"/>
  <c r="BQ194" i="3"/>
  <c r="BQ195" i="3" s="1"/>
  <c r="BQ139" i="3"/>
  <c r="CC144" i="3"/>
  <c r="CD144" i="3" s="1"/>
  <c r="CE144" i="3" s="1"/>
  <c r="CF144" i="3" s="1"/>
  <c r="CB144" i="3"/>
  <c r="CD148" i="3"/>
  <c r="CE148" i="3" s="1"/>
  <c r="CF148" i="3" s="1"/>
  <c r="CB148" i="3"/>
  <c r="CB155" i="3"/>
  <c r="CC155" i="3"/>
  <c r="CD155" i="3" s="1"/>
  <c r="CE155" i="3" s="1"/>
  <c r="CF155" i="3" s="1"/>
  <c r="CC165" i="3"/>
  <c r="CD165" i="3" s="1"/>
  <c r="CE165" i="3" s="1"/>
  <c r="CF165" i="3" s="1"/>
  <c r="CB165" i="3"/>
  <c r="G174" i="3"/>
  <c r="BF174" i="3"/>
  <c r="AY264" i="3"/>
  <c r="AX264" i="3"/>
  <c r="BR264" i="3"/>
  <c r="F194" i="3"/>
  <c r="F195" i="3" s="1"/>
  <c r="F139" i="3"/>
  <c r="J128" i="3"/>
  <c r="V194" i="3"/>
  <c r="V139" i="3"/>
  <c r="Z194" i="3"/>
  <c r="Z195" i="3" s="1"/>
  <c r="Z139" i="3"/>
  <c r="AH139" i="3"/>
  <c r="BB194" i="3"/>
  <c r="BB195" i="3" s="1"/>
  <c r="BB139" i="3"/>
  <c r="BF194" i="3"/>
  <c r="BF195" i="3" s="1"/>
  <c r="BF139" i="3"/>
  <c r="BN194" i="3"/>
  <c r="BN195" i="3" s="1"/>
  <c r="BN139" i="3"/>
  <c r="BR128" i="3"/>
  <c r="CB145" i="3"/>
  <c r="CC145" i="3"/>
  <c r="CD145" i="3" s="1"/>
  <c r="CE145" i="3" s="1"/>
  <c r="CF145" i="3" s="1"/>
  <c r="CB158" i="3"/>
  <c r="AI156" i="3"/>
  <c r="AJ156" i="3"/>
  <c r="AK156" i="3" s="1"/>
  <c r="AL156" i="3" s="1"/>
  <c r="AM156" i="3" s="1"/>
  <c r="BW183" i="3"/>
  <c r="BB174" i="3"/>
  <c r="BG174" i="3"/>
  <c r="BM83" i="3"/>
  <c r="AT264" i="3"/>
  <c r="AS264" i="3"/>
  <c r="AO264" i="3"/>
  <c r="AN264" i="3"/>
  <c r="AX122" i="3"/>
  <c r="BI264" i="3"/>
  <c r="BH264" i="3"/>
  <c r="Y262" i="3"/>
  <c r="U264" i="3"/>
  <c r="T264" i="3"/>
  <c r="AE264" i="3"/>
  <c r="AD264" i="3"/>
  <c r="G194" i="3"/>
  <c r="G195" i="3" s="1"/>
  <c r="G139" i="3"/>
  <c r="S194" i="3"/>
  <c r="S139" i="3"/>
  <c r="W194" i="3"/>
  <c r="W139" i="3"/>
  <c r="AA139" i="3"/>
  <c r="AE194" i="3"/>
  <c r="AE139" i="3"/>
  <c r="AI128" i="3"/>
  <c r="AY194" i="3"/>
  <c r="AY195" i="3" s="1"/>
  <c r="AY139" i="3"/>
  <c r="BC128" i="3"/>
  <c r="BO194" i="3"/>
  <c r="BO195" i="3" s="1"/>
  <c r="BO139" i="3"/>
  <c r="CB156" i="3"/>
  <c r="CC156" i="3"/>
  <c r="CD156" i="3" s="1"/>
  <c r="CE156" i="3" s="1"/>
  <c r="CF156" i="3" s="1"/>
  <c r="AO155" i="3"/>
  <c r="AP155" i="3" s="1"/>
  <c r="AQ155" i="3" s="1"/>
  <c r="AR155" i="3" s="1"/>
  <c r="AN155" i="3"/>
  <c r="Y207" i="3"/>
  <c r="CC170" i="3"/>
  <c r="CD170" i="3" s="1"/>
  <c r="CE170" i="3" s="1"/>
  <c r="CF170" i="3" s="1"/>
  <c r="CB170" i="3"/>
  <c r="S174" i="3"/>
  <c r="BO174" i="3"/>
  <c r="AG147" i="3"/>
  <c r="O147" i="3"/>
  <c r="Y190" i="3"/>
  <c r="Y192" i="3"/>
  <c r="BM190" i="3"/>
  <c r="BN191" i="3" s="1"/>
  <c r="BM192" i="3"/>
  <c r="BR152" i="3"/>
  <c r="BR161" i="3" s="1"/>
  <c r="BL161" i="3"/>
  <c r="AJ179" i="3"/>
  <c r="AN179" i="3"/>
  <c r="AS169" i="3"/>
  <c r="AX169" i="3"/>
  <c r="BC179" i="3" s="1"/>
  <c r="BM165" i="3"/>
  <c r="BW169" i="3"/>
  <c r="H208" i="3"/>
  <c r="H207" i="3"/>
  <c r="H186" i="3"/>
  <c r="I178" i="3" s="1"/>
  <c r="H199" i="3"/>
  <c r="H187" i="3"/>
  <c r="L172" i="3"/>
  <c r="L198" i="3" s="1"/>
  <c r="P172" i="3"/>
  <c r="P198" i="3" s="1"/>
  <c r="X172" i="3"/>
  <c r="X198" i="3" s="1"/>
  <c r="AZ186" i="3"/>
  <c r="BA178" i="3" s="1"/>
  <c r="BD186" i="3"/>
  <c r="BE178" i="3" s="1"/>
  <c r="BL172" i="3"/>
  <c r="BL198" i="3" s="1"/>
  <c r="BP186" i="3"/>
  <c r="BQ178" i="3" s="1"/>
  <c r="BT186" i="3"/>
  <c r="BU178" i="3" s="1"/>
  <c r="P179" i="3"/>
  <c r="Y184" i="3"/>
  <c r="AR184" i="3"/>
  <c r="AT184" i="3"/>
  <c r="BA183" i="3"/>
  <c r="BR184" i="3"/>
  <c r="G198" i="3"/>
  <c r="AD192" i="3"/>
  <c r="AD190" i="3"/>
  <c r="AX192" i="3"/>
  <c r="AX190" i="3"/>
  <c r="BR192" i="3"/>
  <c r="BR190" i="3"/>
  <c r="BS191" i="3" s="1"/>
  <c r="BC152" i="3"/>
  <c r="BC161" i="3" s="1"/>
  <c r="BC174" i="3" s="1"/>
  <c r="O166" i="3"/>
  <c r="I172" i="3"/>
  <c r="I198" i="3" s="1"/>
  <c r="M172" i="3"/>
  <c r="M198" i="3" s="1"/>
  <c r="Q172" i="3"/>
  <c r="Q198" i="3" s="1"/>
  <c r="U208" i="3"/>
  <c r="U207" i="3"/>
  <c r="U199" i="3"/>
  <c r="U186" i="3"/>
  <c r="V178" i="3" s="1"/>
  <c r="BE186" i="3"/>
  <c r="BF178" i="3" s="1"/>
  <c r="BI186" i="3"/>
  <c r="BJ178" i="3" s="1"/>
  <c r="BQ186" i="3"/>
  <c r="BS178" i="3" s="1"/>
  <c r="BU186" i="3"/>
  <c r="BV178" i="3" s="1"/>
  <c r="H174" i="3"/>
  <c r="U174" i="3"/>
  <c r="BI174" i="3"/>
  <c r="BP174" i="3"/>
  <c r="T184" i="3"/>
  <c r="AE179" i="3"/>
  <c r="BH179" i="3"/>
  <c r="BV179" i="3"/>
  <c r="BV183" i="3"/>
  <c r="BL193" i="3"/>
  <c r="J190" i="3"/>
  <c r="J192" i="3"/>
  <c r="O192" i="3"/>
  <c r="O190" i="3"/>
  <c r="Y147" i="3"/>
  <c r="AI192" i="3"/>
  <c r="AI190" i="3"/>
  <c r="AJ191" i="3" s="1"/>
  <c r="BC192" i="3"/>
  <c r="BC190" i="3"/>
  <c r="BD191" i="3" s="1"/>
  <c r="BW190" i="3"/>
  <c r="BX191" i="3" s="1"/>
  <c r="X152" i="3"/>
  <c r="F208" i="3"/>
  <c r="F199" i="3"/>
  <c r="F207" i="3"/>
  <c r="F186" i="3"/>
  <c r="G178" i="3" s="1"/>
  <c r="N172" i="3"/>
  <c r="N198" i="3" s="1"/>
  <c r="V207" i="3"/>
  <c r="V199" i="3"/>
  <c r="V208" i="3"/>
  <c r="V186" i="3"/>
  <c r="W178" i="3" s="1"/>
  <c r="Z208" i="3"/>
  <c r="Z199" i="3"/>
  <c r="Z207" i="3"/>
  <c r="Z186" i="3"/>
  <c r="AA178" i="3" s="1"/>
  <c r="BB186" i="3"/>
  <c r="BD178" i="3" s="1"/>
  <c r="BF186" i="3"/>
  <c r="BG178" i="3" s="1"/>
  <c r="BJ186" i="3"/>
  <c r="BK178" i="3" s="1"/>
  <c r="BN186" i="3"/>
  <c r="BO178" i="3" s="1"/>
  <c r="BV172" i="3"/>
  <c r="V174" i="3"/>
  <c r="AZ174" i="3"/>
  <c r="BJ174" i="3"/>
  <c r="BQ174" i="3"/>
  <c r="BT174" i="3"/>
  <c r="K184" i="3"/>
  <c r="AI184" i="3"/>
  <c r="AW179" i="3"/>
  <c r="AY179" i="3"/>
  <c r="AP193" i="3"/>
  <c r="AO196" i="3"/>
  <c r="AO193" i="3" s="1"/>
  <c r="BB193" i="3"/>
  <c r="BA196" i="3"/>
  <c r="AZ196" i="3" s="1"/>
  <c r="AY196" i="3" s="1"/>
  <c r="AY193" i="3" s="1"/>
  <c r="BJ193" i="3"/>
  <c r="BI196" i="3"/>
  <c r="BI193" i="3" s="1"/>
  <c r="O277" i="3"/>
  <c r="AR146" i="3"/>
  <c r="AS146" i="3" s="1"/>
  <c r="T190" i="3"/>
  <c r="T192" i="3"/>
  <c r="AN190" i="3"/>
  <c r="AO191" i="3" s="1"/>
  <c r="AN192" i="3"/>
  <c r="BH190" i="3"/>
  <c r="BI191" i="3" s="1"/>
  <c r="BH192" i="3"/>
  <c r="AB167" i="3"/>
  <c r="AH167" i="3"/>
  <c r="J169" i="3"/>
  <c r="G208" i="3"/>
  <c r="G207" i="3"/>
  <c r="G186" i="3"/>
  <c r="H178" i="3" s="1"/>
  <c r="G199" i="3"/>
  <c r="K172" i="3"/>
  <c r="K198" i="3" s="1"/>
  <c r="S207" i="3"/>
  <c r="S208" i="3"/>
  <c r="S199" i="3"/>
  <c r="S186" i="3"/>
  <c r="S187" i="3" s="1"/>
  <c r="W199" i="3"/>
  <c r="W208" i="3"/>
  <c r="W207" i="3"/>
  <c r="W186" i="3"/>
  <c r="X178" i="3" s="1"/>
  <c r="AY186" i="3"/>
  <c r="AZ178" i="3" s="1"/>
  <c r="BG186" i="3"/>
  <c r="BI178" i="3" s="1"/>
  <c r="BK186" i="3"/>
  <c r="BL178" i="3" s="1"/>
  <c r="BO186" i="3"/>
  <c r="BP178" i="3" s="1"/>
  <c r="BS186" i="3"/>
  <c r="BT178" i="3" s="1"/>
  <c r="F174" i="3"/>
  <c r="W174" i="3"/>
  <c r="BD174" i="3"/>
  <c r="BK174" i="3"/>
  <c r="BN174" i="3"/>
  <c r="AW184" i="3"/>
  <c r="BL179" i="3"/>
  <c r="AV193" i="3"/>
  <c r="AU196" i="3"/>
  <c r="AT196" i="3" s="1"/>
  <c r="AT193" i="3" s="1"/>
  <c r="BP193" i="3"/>
  <c r="BO196" i="3"/>
  <c r="BN196" i="3" s="1"/>
  <c r="BN193" i="3" s="1"/>
  <c r="F198" i="3"/>
  <c r="S198" i="3"/>
  <c r="U198" i="3"/>
  <c r="AA198" i="3"/>
  <c r="BA198" i="3"/>
  <c r="BG198" i="3"/>
  <c r="BI198" i="3"/>
  <c r="BO198" i="3"/>
  <c r="V198" i="3"/>
  <c r="BB198" i="3"/>
  <c r="BD198" i="3"/>
  <c r="BG193" i="3"/>
  <c r="BJ198" i="3"/>
  <c r="BP198" i="3"/>
  <c r="W198" i="3"/>
  <c r="AY198" i="3"/>
  <c r="BE198" i="3"/>
  <c r="BK198" i="3"/>
  <c r="BQ198" i="3"/>
  <c r="H198" i="3"/>
  <c r="R198" i="3"/>
  <c r="Z198" i="3"/>
  <c r="AQ193" i="3"/>
  <c r="AW193" i="3"/>
  <c r="AZ198" i="3"/>
  <c r="BF198" i="3"/>
  <c r="BE193" i="3"/>
  <c r="BK193" i="3"/>
  <c r="BN198" i="3"/>
  <c r="BQ193" i="3"/>
  <c r="Y220" i="3"/>
  <c r="AB228" i="3"/>
  <c r="AH219" i="3"/>
  <c r="R219" i="3"/>
  <c r="S219" i="3" s="1"/>
  <c r="AM219" i="3"/>
  <c r="AQ219" i="3"/>
  <c r="AR219" i="3" s="1"/>
  <c r="BH220" i="3"/>
  <c r="AM218" i="3"/>
  <c r="AM220" i="3"/>
  <c r="H224" i="3"/>
  <c r="I224" i="3" s="1"/>
  <c r="S225" i="3"/>
  <c r="AC225" i="3"/>
  <c r="AH226" i="3"/>
  <c r="AM226" i="3"/>
  <c r="AV223" i="3"/>
  <c r="AW224" i="3"/>
  <c r="BA224" i="3"/>
  <c r="BB224" i="3" s="1"/>
  <c r="BB225" i="3"/>
  <c r="N225" i="3"/>
  <c r="BO226" i="3"/>
  <c r="BW229" i="3"/>
  <c r="AH236" i="3"/>
  <c r="AG243" i="3"/>
  <c r="AR223" i="3"/>
  <c r="AR225" i="3"/>
  <c r="W228" i="3"/>
  <c r="AC229" i="3"/>
  <c r="AK228" i="3"/>
  <c r="AW250" i="3"/>
  <c r="AR224" i="3"/>
  <c r="BG223" i="3"/>
  <c r="BL223" i="3"/>
  <c r="BQ223" i="3"/>
  <c r="BR223" i="3" s="1"/>
  <c r="BJ226" i="3"/>
  <c r="Y229" i="3"/>
  <c r="W230" i="3"/>
  <c r="X230" i="3" s="1"/>
  <c r="AS228" i="3"/>
  <c r="I229" i="3"/>
  <c r="S229" i="3"/>
  <c r="M236" i="3"/>
  <c r="S236" i="3"/>
  <c r="AL237" i="3"/>
  <c r="BB236" i="3"/>
  <c r="BP236" i="3"/>
  <c r="AM236" i="3"/>
  <c r="BG238" i="3"/>
  <c r="BH238" i="3" s="1"/>
  <c r="BP238" i="3"/>
  <c r="BQ238" i="3" s="1"/>
  <c r="BP239" i="3"/>
  <c r="BQ239" i="3" s="1"/>
  <c r="BP240" i="3"/>
  <c r="BQ240" i="3" s="1"/>
  <c r="BP241" i="3"/>
  <c r="BQ241" i="3" s="1"/>
  <c r="H239" i="3"/>
  <c r="I239" i="3" s="1"/>
  <c r="AL239" i="3"/>
  <c r="AM239" i="3" s="1"/>
  <c r="AV240" i="3"/>
  <c r="AW240" i="3" s="1"/>
  <c r="BK239" i="3"/>
  <c r="BL239" i="3" s="1"/>
  <c r="BK240" i="3"/>
  <c r="BL240" i="3" s="1"/>
  <c r="BM240" i="3" s="1"/>
  <c r="BK241" i="3"/>
  <c r="BL241" i="3" s="1"/>
  <c r="BU239" i="3"/>
  <c r="AH238" i="3"/>
  <c r="AQ240" i="3"/>
  <c r="AR240" i="3" s="1"/>
  <c r="S241" i="3"/>
  <c r="X241" i="3"/>
  <c r="Y241" i="3" s="1"/>
  <c r="AB241" i="3"/>
  <c r="AC241" i="3" s="1"/>
  <c r="BE241" i="3"/>
  <c r="BF241" i="3" s="1"/>
  <c r="AF243" i="3"/>
  <c r="BD243" i="3"/>
  <c r="H246" i="3"/>
  <c r="I246" i="3" s="1"/>
  <c r="AH246" i="3"/>
  <c r="AQ246" i="3"/>
  <c r="BV246" i="3"/>
  <c r="AR246" i="3"/>
  <c r="AB249" i="3"/>
  <c r="AC249" i="3" s="1"/>
  <c r="BB250" i="3"/>
  <c r="BU249" i="3"/>
  <c r="BV249" i="3" s="1"/>
  <c r="BV250" i="3"/>
  <c r="BW250" i="3" s="1"/>
  <c r="AX257" i="3"/>
  <c r="R253" i="3"/>
  <c r="R180" i="3" s="1"/>
  <c r="AB252" i="3"/>
  <c r="AC252" i="3" s="1"/>
  <c r="AM254" i="3"/>
  <c r="BK253" i="3"/>
  <c r="BL216" i="11" s="1"/>
  <c r="AC246" i="3"/>
  <c r="BR253" i="3"/>
  <c r="S254" i="3"/>
  <c r="AC255" i="3"/>
  <c r="BQ255" i="3"/>
  <c r="BW255" i="3"/>
  <c r="J257" i="3"/>
  <c r="Z257" i="3"/>
  <c r="AC238" i="3"/>
  <c r="AH239" i="3"/>
  <c r="AK243" i="3"/>
  <c r="AL249" i="3"/>
  <c r="AM249" i="3" s="1"/>
  <c r="H248" i="3"/>
  <c r="I248" i="3" s="1"/>
  <c r="AW249" i="3"/>
  <c r="AC247" i="3"/>
  <c r="AH253" i="3"/>
  <c r="AH180" i="3" s="1"/>
  <c r="N253" i="3"/>
  <c r="N180" i="3" s="1"/>
  <c r="K257" i="3"/>
  <c r="W236" i="3"/>
  <c r="AA236" i="3"/>
  <c r="AQ236" i="3"/>
  <c r="BF236" i="3"/>
  <c r="BF239" i="3"/>
  <c r="BG239" i="3" s="1"/>
  <c r="AB239" i="3"/>
  <c r="AC239" i="3" s="1"/>
  <c r="AQ239" i="3"/>
  <c r="AR239" i="3" s="1"/>
  <c r="N239" i="3"/>
  <c r="L241" i="3"/>
  <c r="M241" i="3" s="1"/>
  <c r="AL241" i="3"/>
  <c r="AM241" i="3" s="1"/>
  <c r="AQ241" i="3"/>
  <c r="AR241" i="3" s="1"/>
  <c r="AW241" i="3"/>
  <c r="BV241" i="3"/>
  <c r="BW241" i="3" s="1"/>
  <c r="W247" i="3"/>
  <c r="AG247" i="3"/>
  <c r="AV246" i="3"/>
  <c r="AW246" i="3" s="1"/>
  <c r="AZ249" i="3"/>
  <c r="BF249" i="3"/>
  <c r="AG250" i="3"/>
  <c r="AH250" i="3" s="1"/>
  <c r="BP250" i="3"/>
  <c r="L251" i="3"/>
  <c r="M251" i="3" s="1"/>
  <c r="R252" i="3"/>
  <c r="S252" i="3" s="1"/>
  <c r="AQ253" i="3"/>
  <c r="BA253" i="3"/>
  <c r="BU253" i="3"/>
  <c r="N246" i="3"/>
  <c r="AA253" i="3"/>
  <c r="AC259" i="3"/>
  <c r="AW259" i="3"/>
  <c r="R259" i="3"/>
  <c r="S259" i="3" s="1"/>
  <c r="AG259" i="3"/>
  <c r="AH259" i="3" s="1"/>
  <c r="BA259" i="3"/>
  <c r="BB259" i="3" s="1"/>
  <c r="BV259" i="3"/>
  <c r="BW259" i="3" s="1"/>
  <c r="M121" i="2"/>
  <c r="R121" i="2"/>
  <c r="W121" i="2"/>
  <c r="AL121" i="2"/>
  <c r="AQ121" i="2"/>
  <c r="AT121" i="2"/>
  <c r="AX8" i="2"/>
  <c r="BA121" i="2"/>
  <c r="BA122" i="2"/>
  <c r="BD121" i="2"/>
  <c r="BH8" i="2"/>
  <c r="BD122" i="2"/>
  <c r="BK121" i="2"/>
  <c r="BK122" i="2"/>
  <c r="BN121" i="2"/>
  <c r="BR8" i="2"/>
  <c r="BN122" i="2"/>
  <c r="BU121" i="2"/>
  <c r="BU122" i="2"/>
  <c r="M122" i="2"/>
  <c r="P122" i="2"/>
  <c r="W122" i="2"/>
  <c r="Z122" i="2"/>
  <c r="AG122" i="2"/>
  <c r="AJ122" i="2"/>
  <c r="AQ122" i="2"/>
  <c r="AS18" i="2"/>
  <c r="AT22" i="2"/>
  <c r="AR121" i="2"/>
  <c r="AX9" i="2"/>
  <c r="AY11" i="2"/>
  <c r="AY44" i="2" s="1"/>
  <c r="BI11" i="2"/>
  <c r="BI44" i="2" s="1"/>
  <c r="Q122" i="2"/>
  <c r="AQ19" i="2"/>
  <c r="AS8" i="2"/>
  <c r="BC8" i="2"/>
  <c r="BM8" i="2"/>
  <c r="BW8" i="2"/>
  <c r="O8" i="2"/>
  <c r="T8" i="2"/>
  <c r="Y8" i="2"/>
  <c r="AD8" i="2"/>
  <c r="AI8" i="2"/>
  <c r="AN8" i="2"/>
  <c r="L121" i="2"/>
  <c r="Q121" i="2"/>
  <c r="V121" i="2"/>
  <c r="AA121" i="2"/>
  <c r="AF121" i="2"/>
  <c r="AK121" i="2"/>
  <c r="AP121" i="2"/>
  <c r="AW121" i="2"/>
  <c r="AW122" i="2"/>
  <c r="AZ121" i="2"/>
  <c r="AZ122" i="2"/>
  <c r="BG121" i="2"/>
  <c r="BG122" i="2"/>
  <c r="BJ121" i="2"/>
  <c r="BJ122" i="2"/>
  <c r="BQ121" i="2"/>
  <c r="BQ122" i="2"/>
  <c r="BT121" i="2"/>
  <c r="BT122" i="2"/>
  <c r="L122" i="2"/>
  <c r="S122" i="2"/>
  <c r="V122" i="2"/>
  <c r="AC122" i="2"/>
  <c r="AF122" i="2"/>
  <c r="AM122" i="2"/>
  <c r="AP122" i="2"/>
  <c r="AO21" i="2"/>
  <c r="AO156" i="2" s="1"/>
  <c r="BI161" i="2"/>
  <c r="BN161" i="2"/>
  <c r="BS161" i="2"/>
  <c r="AS56" i="2"/>
  <c r="BC56" i="2"/>
  <c r="BH56" i="2"/>
  <c r="BM56" i="2"/>
  <c r="BR56" i="2"/>
  <c r="BW56" i="2"/>
  <c r="CG160" i="2"/>
  <c r="CL160" i="2"/>
  <c r="N42" i="2"/>
  <c r="R220" i="2"/>
  <c r="Q218" i="2"/>
  <c r="P42" i="2"/>
  <c r="Y40" i="2"/>
  <c r="X218" i="2"/>
  <c r="X42" i="2"/>
  <c r="AB42" i="2"/>
  <c r="AF218" i="2"/>
  <c r="AF42" i="2"/>
  <c r="AE42" i="2"/>
  <c r="AN41" i="2"/>
  <c r="AQ42" i="2"/>
  <c r="AU42" i="2"/>
  <c r="BC41" i="2"/>
  <c r="BG42" i="2"/>
  <c r="BJ42" i="2"/>
  <c r="BN218" i="2"/>
  <c r="BN42" i="2"/>
  <c r="BR41" i="2"/>
  <c r="BV42" i="2"/>
  <c r="M146" i="2"/>
  <c r="O42" i="2"/>
  <c r="R218" i="2"/>
  <c r="R42" i="2"/>
  <c r="Q42" i="2"/>
  <c r="AD40" i="2"/>
  <c r="J127" i="9" s="1"/>
  <c r="AC42" i="2"/>
  <c r="AS40" i="2"/>
  <c r="AR218" i="2"/>
  <c r="AR42" i="2"/>
  <c r="AV42" i="2"/>
  <c r="AZ218" i="2"/>
  <c r="AZ42" i="2"/>
  <c r="AY42" i="2"/>
  <c r="BH41" i="2"/>
  <c r="BK42" i="2"/>
  <c r="BW41" i="2"/>
  <c r="L218" i="2"/>
  <c r="L42" i="2"/>
  <c r="V42" i="2"/>
  <c r="Z218" i="2"/>
  <c r="Z42" i="2"/>
  <c r="AD41" i="2"/>
  <c r="AI40" i="2"/>
  <c r="AH42" i="2"/>
  <c r="AL218" i="2"/>
  <c r="AL42" i="2"/>
  <c r="AX40" i="2"/>
  <c r="N127" i="9" s="1"/>
  <c r="AW42" i="2"/>
  <c r="BM40" i="2"/>
  <c r="BL218" i="2"/>
  <c r="BL42" i="2"/>
  <c r="BP42" i="2"/>
  <c r="BT218" i="2"/>
  <c r="BT42" i="2"/>
  <c r="CG40" i="2"/>
  <c r="CL40" i="2"/>
  <c r="V127" i="9" s="1"/>
  <c r="T42" i="2"/>
  <c r="W42" i="2"/>
  <c r="AI41" i="2"/>
  <c r="AM42" i="2"/>
  <c r="AP42" i="2"/>
  <c r="AT218" i="2"/>
  <c r="AT42" i="2"/>
  <c r="AX41" i="2"/>
  <c r="BC40" i="2"/>
  <c r="BB42" i="2"/>
  <c r="BF218" i="2"/>
  <c r="BF42" i="2"/>
  <c r="BR40" i="2"/>
  <c r="R127" i="9" s="1"/>
  <c r="BQ42" i="2"/>
  <c r="N220" i="2"/>
  <c r="M218" i="2"/>
  <c r="P220" i="2"/>
  <c r="S218" i="2"/>
  <c r="V220" i="2"/>
  <c r="U218" i="2"/>
  <c r="Y41" i="2"/>
  <c r="AB220" i="2"/>
  <c r="AA218" i="2"/>
  <c r="AH220" i="2"/>
  <c r="AG218" i="2"/>
  <c r="AJ220" i="2"/>
  <c r="AN40" i="2"/>
  <c r="AM218" i="2"/>
  <c r="AP220" i="2"/>
  <c r="AO218" i="2"/>
  <c r="AS41" i="2"/>
  <c r="AV220" i="2"/>
  <c r="AU218" i="2"/>
  <c r="BB220" i="2"/>
  <c r="BA218" i="2"/>
  <c r="BH40" i="2"/>
  <c r="BG218" i="2"/>
  <c r="BJ220" i="2"/>
  <c r="BI218" i="2"/>
  <c r="BM41" i="2"/>
  <c r="BP220" i="2"/>
  <c r="BO218" i="2"/>
  <c r="BV220" i="2"/>
  <c r="CB40" i="2"/>
  <c r="CJ220" i="2"/>
  <c r="U146" i="2"/>
  <c r="AO146" i="2"/>
  <c r="BI146" i="2"/>
  <c r="BS146" i="2"/>
  <c r="AD144" i="2"/>
  <c r="AI145" i="2"/>
  <c r="AJ146" i="2"/>
  <c r="AX144" i="2"/>
  <c r="BC145" i="2"/>
  <c r="BR144" i="2"/>
  <c r="CL144" i="2"/>
  <c r="V128" i="9" s="1"/>
  <c r="L57" i="10" l="1"/>
  <c r="BI22" i="2"/>
  <c r="AV154" i="11"/>
  <c r="BF175" i="3"/>
  <c r="BP62" i="2"/>
  <c r="BP69" i="2" s="1"/>
  <c r="AV62" i="2"/>
  <c r="AV69" i="2" s="1"/>
  <c r="Z267" i="3"/>
  <c r="Z211" i="2" s="1"/>
  <c r="Z212" i="2" s="1"/>
  <c r="L56" i="10"/>
  <c r="BF257" i="3"/>
  <c r="BL236" i="3"/>
  <c r="BM236" i="3" s="1"/>
  <c r="BR83" i="3"/>
  <c r="AL219" i="11"/>
  <c r="BG249" i="3"/>
  <c r="BG257" i="3" s="1"/>
  <c r="N224" i="3"/>
  <c r="T199" i="3"/>
  <c r="AF163" i="3"/>
  <c r="AF172" i="3" s="1"/>
  <c r="T277" i="3"/>
  <c r="T28" i="3"/>
  <c r="T205" i="2" s="1"/>
  <c r="BI117" i="3"/>
  <c r="J28" i="3"/>
  <c r="J205" i="2" s="1"/>
  <c r="AY117" i="3"/>
  <c r="BN213" i="3"/>
  <c r="BH253" i="3"/>
  <c r="M228" i="3"/>
  <c r="N228" i="3" s="1"/>
  <c r="BB226" i="3"/>
  <c r="AZ228" i="3"/>
  <c r="Y191" i="3"/>
  <c r="T186" i="3"/>
  <c r="T187" i="3" s="1"/>
  <c r="Y186" i="3"/>
  <c r="Y187" i="3" s="1"/>
  <c r="BH174" i="3"/>
  <c r="P228" i="3"/>
  <c r="M194" i="3"/>
  <c r="M195" i="3" s="1"/>
  <c r="P194" i="3"/>
  <c r="P195" i="3" s="1"/>
  <c r="AO117" i="3"/>
  <c r="BD117" i="3"/>
  <c r="G98" i="3"/>
  <c r="G101" i="3" s="1"/>
  <c r="G102" i="3" s="1"/>
  <c r="BS117" i="3"/>
  <c r="I25" i="3"/>
  <c r="I99" i="3" s="1"/>
  <c r="AT213" i="3"/>
  <c r="T24" i="3"/>
  <c r="S14" i="3"/>
  <c r="S204" i="2" s="1"/>
  <c r="AW216" i="11"/>
  <c r="O48" i="3"/>
  <c r="O52" i="3" s="1"/>
  <c r="G138" i="9" s="1"/>
  <c r="G98" i="9" s="1"/>
  <c r="T215" i="2"/>
  <c r="AX218" i="11"/>
  <c r="M257" i="3"/>
  <c r="AQ250" i="3"/>
  <c r="AR250" i="3" s="1"/>
  <c r="W257" i="3"/>
  <c r="BG241" i="3"/>
  <c r="BE243" i="3"/>
  <c r="T174" i="3"/>
  <c r="T207" i="3"/>
  <c r="Y199" i="3"/>
  <c r="AM78" i="3"/>
  <c r="J271" i="3"/>
  <c r="J278" i="3"/>
  <c r="G187" i="3"/>
  <c r="BH194" i="3"/>
  <c r="BV228" i="3"/>
  <c r="BG180" i="3"/>
  <c r="AX216" i="11"/>
  <c r="AX219" i="11" s="1"/>
  <c r="AW180" i="3"/>
  <c r="BM250" i="3"/>
  <c r="BV236" i="3"/>
  <c r="BW236" i="3" s="1"/>
  <c r="AR192" i="3"/>
  <c r="T278" i="3"/>
  <c r="T194" i="3"/>
  <c r="T195" i="3" s="1"/>
  <c r="N39" i="3"/>
  <c r="N28" i="3" s="1"/>
  <c r="N205" i="2" s="1"/>
  <c r="O98" i="3"/>
  <c r="O101" i="3" s="1"/>
  <c r="O200" i="3" s="1"/>
  <c r="T98" i="3"/>
  <c r="T101" i="3" s="1"/>
  <c r="AB43" i="3"/>
  <c r="AB191" i="3" s="1"/>
  <c r="J203" i="3"/>
  <c r="M98" i="3"/>
  <c r="M101" i="3" s="1"/>
  <c r="D74" i="19"/>
  <c r="AV180" i="3"/>
  <c r="AU193" i="3"/>
  <c r="AV243" i="3"/>
  <c r="H243" i="3"/>
  <c r="BO193" i="3"/>
  <c r="BO199" i="3" s="1"/>
  <c r="BB187" i="3"/>
  <c r="Z187" i="3"/>
  <c r="O191" i="3"/>
  <c r="BU187" i="3"/>
  <c r="BQ187" i="3"/>
  <c r="BE175" i="3"/>
  <c r="R187" i="3"/>
  <c r="AW48" i="3"/>
  <c r="AW52" i="3" s="1"/>
  <c r="BH178" i="3"/>
  <c r="BC187" i="3"/>
  <c r="BR239" i="3"/>
  <c r="R18" i="3"/>
  <c r="R273" i="3" s="1"/>
  <c r="R205" i="2"/>
  <c r="P18" i="3"/>
  <c r="P273" i="3" s="1"/>
  <c r="P205" i="2"/>
  <c r="I236" i="3"/>
  <c r="I214" i="2" s="1"/>
  <c r="H214" i="2"/>
  <c r="BW306" i="3"/>
  <c r="BW307" i="3" s="1"/>
  <c r="BW311" i="3"/>
  <c r="BW312" i="3" s="1"/>
  <c r="I218" i="3"/>
  <c r="I215" i="2" s="1"/>
  <c r="H215" i="2"/>
  <c r="BM306" i="3"/>
  <c r="BM307" i="3" s="1"/>
  <c r="BM311" i="3"/>
  <c r="BM312" i="3" s="1"/>
  <c r="BK257" i="3"/>
  <c r="BM300" i="3"/>
  <c r="BM301" i="3" s="1"/>
  <c r="BM302" i="3" s="1"/>
  <c r="BL255" i="3"/>
  <c r="BM218" i="11" s="1"/>
  <c r="Z261" i="3"/>
  <c r="Z265" i="3" s="1"/>
  <c r="BL219" i="11"/>
  <c r="AW243" i="3"/>
  <c r="AR226" i="3"/>
  <c r="AP228" i="3"/>
  <c r="BG226" i="3"/>
  <c r="BH226" i="3" s="1"/>
  <c r="BO187" i="3"/>
  <c r="BK187" i="3"/>
  <c r="BG187" i="3"/>
  <c r="O278" i="3"/>
  <c r="AD163" i="3"/>
  <c r="U187" i="3"/>
  <c r="BP187" i="3"/>
  <c r="BR174" i="3"/>
  <c r="AD191" i="3"/>
  <c r="AY175" i="3"/>
  <c r="G175" i="3"/>
  <c r="BR186" i="3"/>
  <c r="BW178" i="3" s="1"/>
  <c r="AA161" i="3"/>
  <c r="AA174" i="3" s="1"/>
  <c r="AA175" i="3" s="1"/>
  <c r="BR51" i="3"/>
  <c r="O28" i="3"/>
  <c r="O205" i="2" s="1"/>
  <c r="O203" i="3"/>
  <c r="T48" i="3"/>
  <c r="T59" i="3" s="1"/>
  <c r="T206" i="2" s="1"/>
  <c r="T203" i="3"/>
  <c r="Q18" i="3"/>
  <c r="Q273" i="3" s="1"/>
  <c r="Q205" i="2"/>
  <c r="AC191" i="3"/>
  <c r="J98" i="3"/>
  <c r="J101" i="3" s="1"/>
  <c r="J201" i="3" s="1"/>
  <c r="T271" i="3"/>
  <c r="AI306" i="3"/>
  <c r="AI307" i="3" s="1"/>
  <c r="AI311" i="3"/>
  <c r="AI312" i="3" s="1"/>
  <c r="AI44" i="3"/>
  <c r="BL62" i="2"/>
  <c r="BL69" i="2" s="1"/>
  <c r="BU62" i="2"/>
  <c r="BU69" i="2" s="1"/>
  <c r="CH6" i="3"/>
  <c r="CH117" i="3" s="1"/>
  <c r="V6" i="9"/>
  <c r="Q26" i="9"/>
  <c r="P26" i="9"/>
  <c r="P43" i="9" s="1"/>
  <c r="P83" i="9" s="1"/>
  <c r="N26" i="9"/>
  <c r="N75" i="9" s="1"/>
  <c r="N27" i="9"/>
  <c r="N76" i="9" s="1"/>
  <c r="Q25" i="9"/>
  <c r="S25" i="9"/>
  <c r="CC6" i="3"/>
  <c r="CC213" i="3" s="1"/>
  <c r="U6" i="9"/>
  <c r="BX6" i="3"/>
  <c r="BX213" i="3" s="1"/>
  <c r="T6" i="9"/>
  <c r="Q27" i="9"/>
  <c r="S27" i="9"/>
  <c r="S26" i="9"/>
  <c r="R27" i="9"/>
  <c r="R26" i="9"/>
  <c r="R25" i="9"/>
  <c r="O26" i="9"/>
  <c r="O43" i="9" s="1"/>
  <c r="J12" i="9"/>
  <c r="J14" i="9" s="1"/>
  <c r="P27" i="9"/>
  <c r="P44" i="9" s="1"/>
  <c r="P84" i="9" s="1"/>
  <c r="O27" i="9"/>
  <c r="O76" i="9" s="1"/>
  <c r="BF62" i="2"/>
  <c r="BF69" i="2" s="1"/>
  <c r="AR62" i="2"/>
  <c r="AR69" i="2" s="1"/>
  <c r="BD70" i="2"/>
  <c r="BE62" i="2"/>
  <c r="BE69" i="2" s="1"/>
  <c r="BD62" i="2"/>
  <c r="BO62" i="2"/>
  <c r="BO69" i="2" s="1"/>
  <c r="BN62" i="2"/>
  <c r="AW62" i="2"/>
  <c r="AW69" i="2" s="1"/>
  <c r="BB62" i="2"/>
  <c r="BB69" i="2" s="1"/>
  <c r="AQ62" i="2"/>
  <c r="AQ69" i="2" s="1"/>
  <c r="BX70" i="2"/>
  <c r="BY62" i="2"/>
  <c r="BY69" i="2" s="1"/>
  <c r="BX62" i="2"/>
  <c r="AM76" i="2"/>
  <c r="AM75" i="2"/>
  <c r="BL75" i="2"/>
  <c r="BL74" i="2" s="1"/>
  <c r="BL76" i="2"/>
  <c r="BV62" i="2"/>
  <c r="BV69" i="2" s="1"/>
  <c r="AL76" i="2"/>
  <c r="AL75" i="2"/>
  <c r="BJ62" i="2"/>
  <c r="BJ69" i="2" s="1"/>
  <c r="BI62" i="2"/>
  <c r="AO85" i="2"/>
  <c r="AP62" i="2"/>
  <c r="AP69" i="2" s="1"/>
  <c r="AO62" i="2"/>
  <c r="BT62" i="2"/>
  <c r="BT69" i="2" s="1"/>
  <c r="BS62" i="2"/>
  <c r="BF70" i="2"/>
  <c r="BG62" i="2"/>
  <c r="BG69" i="2" s="1"/>
  <c r="AK76" i="2"/>
  <c r="AK75" i="2"/>
  <c r="BJ70" i="2"/>
  <c r="BK62" i="2"/>
  <c r="BK69" i="2" s="1"/>
  <c r="AY70" i="2"/>
  <c r="AY75" i="2" s="1"/>
  <c r="AZ62" i="2"/>
  <c r="AZ69" i="2" s="1"/>
  <c r="AY62" i="2"/>
  <c r="AU62" i="2"/>
  <c r="AU69" i="2" s="1"/>
  <c r="AT62" i="2"/>
  <c r="AT69" i="2" s="1"/>
  <c r="BP70" i="2"/>
  <c r="BQ62" i="2"/>
  <c r="BQ69" i="2" s="1"/>
  <c r="E53" i="9"/>
  <c r="E94" i="9"/>
  <c r="U171" i="2"/>
  <c r="Y171" i="2" s="1"/>
  <c r="BS166" i="2"/>
  <c r="BS171" i="2" s="1"/>
  <c r="BS170" i="2" s="1"/>
  <c r="BL166" i="2"/>
  <c r="BL171" i="2" s="1"/>
  <c r="BL170" i="2" s="1"/>
  <c r="BD170" i="2"/>
  <c r="BH170" i="2" s="1"/>
  <c r="BH171" i="2"/>
  <c r="AY170" i="2"/>
  <c r="BC170" i="2" s="1"/>
  <c r="BC171" i="2"/>
  <c r="AD171" i="2"/>
  <c r="Z170" i="2"/>
  <c r="AD170" i="2" s="1"/>
  <c r="AS171" i="2"/>
  <c r="AO170" i="2"/>
  <c r="AS170" i="2" s="1"/>
  <c r="AN171" i="2"/>
  <c r="AJ170" i="2"/>
  <c r="AN170" i="2" s="1"/>
  <c r="AT170" i="2"/>
  <c r="AX170" i="2" s="1"/>
  <c r="AX171" i="2"/>
  <c r="AE170" i="2"/>
  <c r="AI170" i="2" s="1"/>
  <c r="AI171" i="2"/>
  <c r="BN166" i="2"/>
  <c r="BN171" i="2" s="1"/>
  <c r="BN170" i="2" s="1"/>
  <c r="CD166" i="2"/>
  <c r="L46" i="10"/>
  <c r="CJ166" i="2"/>
  <c r="BQ166" i="2"/>
  <c r="BQ171" i="2" s="1"/>
  <c r="BQ170" i="2" s="1"/>
  <c r="CI166" i="2"/>
  <c r="BU166" i="2"/>
  <c r="BU171" i="2" s="1"/>
  <c r="BU170" i="2" s="1"/>
  <c r="BO166" i="2"/>
  <c r="BO171" i="2" s="1"/>
  <c r="BO170" i="2" s="1"/>
  <c r="BV166" i="2"/>
  <c r="BV171" i="2" s="1"/>
  <c r="BV170" i="2" s="1"/>
  <c r="BX166" i="2"/>
  <c r="BX171" i="2" s="1"/>
  <c r="BT166" i="2"/>
  <c r="BT171" i="2" s="1"/>
  <c r="BT170" i="2" s="1"/>
  <c r="CE166" i="2"/>
  <c r="CF166" i="2"/>
  <c r="BP166" i="2"/>
  <c r="BP171" i="2" s="1"/>
  <c r="CK166" i="2"/>
  <c r="CM166" i="2"/>
  <c r="CH166" i="2"/>
  <c r="BI166" i="2"/>
  <c r="BI171" i="2" s="1"/>
  <c r="CC166" i="2"/>
  <c r="BJ166" i="2"/>
  <c r="BJ171" i="2" s="1"/>
  <c r="BJ170" i="2" s="1"/>
  <c r="BK166" i="2"/>
  <c r="BK171" i="2" s="1"/>
  <c r="BK170" i="2" s="1"/>
  <c r="BW166" i="2"/>
  <c r="BM166" i="2"/>
  <c r="CG166" i="2"/>
  <c r="CL166" i="2"/>
  <c r="BR166" i="2"/>
  <c r="BH166" i="2"/>
  <c r="L59" i="10"/>
  <c r="AJ28" i="3"/>
  <c r="AJ205" i="2" s="1"/>
  <c r="AJ48" i="3"/>
  <c r="AJ52" i="3" s="1"/>
  <c r="AF98" i="3"/>
  <c r="AF101" i="3" s="1"/>
  <c r="AH203" i="3"/>
  <c r="AF28" i="3"/>
  <c r="AF205" i="2" s="1"/>
  <c r="AJ203" i="3"/>
  <c r="BT22" i="2"/>
  <c r="L62" i="10"/>
  <c r="BZ22" i="2"/>
  <c r="L67" i="10"/>
  <c r="BF22" i="2"/>
  <c r="L51" i="10"/>
  <c r="L49" i="10"/>
  <c r="BD22" i="2"/>
  <c r="BY22" i="2"/>
  <c r="L66" i="10"/>
  <c r="BE22" i="2"/>
  <c r="L50" i="10"/>
  <c r="BA22" i="2"/>
  <c r="L47" i="10"/>
  <c r="L60" i="10"/>
  <c r="BQ22" i="2"/>
  <c r="L44" i="10"/>
  <c r="AW22" i="2"/>
  <c r="AV98" i="3"/>
  <c r="AV101" i="3" s="1"/>
  <c r="AV48" i="3"/>
  <c r="AV49" i="3" s="1"/>
  <c r="AK203" i="3"/>
  <c r="BM63" i="2"/>
  <c r="BW63" i="2"/>
  <c r="BR63" i="2"/>
  <c r="AR86" i="2"/>
  <c r="AO86" i="2"/>
  <c r="AK98" i="3"/>
  <c r="AK101" i="3" s="1"/>
  <c r="AK48" i="3"/>
  <c r="AK52" i="3" s="1"/>
  <c r="Y44" i="2"/>
  <c r="AI44" i="2"/>
  <c r="AN44" i="2"/>
  <c r="T44" i="2"/>
  <c r="O44" i="2"/>
  <c r="J17" i="10" s="1"/>
  <c r="AD44" i="2"/>
  <c r="BG48" i="3"/>
  <c r="BG52" i="3" s="1"/>
  <c r="BG28" i="3"/>
  <c r="BG205" i="2" s="1"/>
  <c r="AA98" i="3"/>
  <c r="AA101" i="3" s="1"/>
  <c r="AC28" i="3"/>
  <c r="AC205" i="2" s="1"/>
  <c r="AG203" i="3"/>
  <c r="AF203" i="3"/>
  <c r="BQ98" i="3"/>
  <c r="BQ101" i="3" s="1"/>
  <c r="BQ209" i="2" s="1"/>
  <c r="AL48" i="3"/>
  <c r="AL59" i="3" s="1"/>
  <c r="AL206" i="2" s="1"/>
  <c r="AL203" i="3"/>
  <c r="S200" i="2"/>
  <c r="N199" i="2"/>
  <c r="BQ28" i="3"/>
  <c r="BQ205" i="2" s="1"/>
  <c r="AL28" i="3"/>
  <c r="AL205" i="2" s="1"/>
  <c r="BQ48" i="3"/>
  <c r="M43" i="9"/>
  <c r="M91" i="9" s="1"/>
  <c r="S201" i="2"/>
  <c r="AB14" i="3"/>
  <c r="AC16" i="3" s="1"/>
  <c r="BH12" i="3"/>
  <c r="X28" i="3"/>
  <c r="X205" i="2" s="1"/>
  <c r="L43" i="9"/>
  <c r="L91" i="9" s="1"/>
  <c r="D69" i="9"/>
  <c r="D71" i="9" s="1"/>
  <c r="CC118" i="3"/>
  <c r="BG118" i="3"/>
  <c r="M76" i="9"/>
  <c r="BT28" i="3"/>
  <c r="BT205" i="2" s="1"/>
  <c r="BZ109" i="3"/>
  <c r="BT48" i="3"/>
  <c r="AO214" i="3"/>
  <c r="AC24" i="3"/>
  <c r="K37" i="9"/>
  <c r="CF118" i="3"/>
  <c r="AU28" i="3"/>
  <c r="AU205" i="2" s="1"/>
  <c r="BS214" i="3"/>
  <c r="AI146" i="2"/>
  <c r="AZ214" i="3"/>
  <c r="AU48" i="3"/>
  <c r="AU59" i="3" s="1"/>
  <c r="AU206" i="2" s="1"/>
  <c r="N200" i="2"/>
  <c r="BW12" i="3"/>
  <c r="W98" i="3"/>
  <c r="W101" i="3" s="1"/>
  <c r="BJ48" i="3"/>
  <c r="BJ52" i="3" s="1"/>
  <c r="L44" i="9"/>
  <c r="L92" i="9" s="1"/>
  <c r="BJ98" i="3"/>
  <c r="BJ101" i="3" s="1"/>
  <c r="AN12" i="3"/>
  <c r="BM146" i="2"/>
  <c r="BR40" i="3"/>
  <c r="N201" i="2"/>
  <c r="O44" i="9"/>
  <c r="O92" i="9" s="1"/>
  <c r="AQ118" i="3"/>
  <c r="P16" i="3"/>
  <c r="N204" i="2"/>
  <c r="V277" i="3"/>
  <c r="V204" i="2"/>
  <c r="AJ277" i="3"/>
  <c r="AJ204" i="2"/>
  <c r="W278" i="3"/>
  <c r="W204" i="2"/>
  <c r="N29" i="10"/>
  <c r="O30" i="10" s="1"/>
  <c r="AC271" i="3"/>
  <c r="AC204" i="2"/>
  <c r="AW12" i="11"/>
  <c r="AW154" i="11"/>
  <c r="AY5" i="11"/>
  <c r="AV12" i="11"/>
  <c r="AV184" i="11"/>
  <c r="AV188" i="11" s="1"/>
  <c r="AY188" i="11" s="1"/>
  <c r="BR135" i="11"/>
  <c r="AO188" i="11"/>
  <c r="AT188" i="11"/>
  <c r="AL35" i="11"/>
  <c r="AL36" i="11" s="1"/>
  <c r="AL37" i="11" s="1"/>
  <c r="AK118" i="11"/>
  <c r="AK125" i="11" s="1"/>
  <c r="BI188" i="11"/>
  <c r="AK164" i="11"/>
  <c r="AK165" i="11" s="1"/>
  <c r="AK173" i="11" s="1"/>
  <c r="AO192" i="11"/>
  <c r="BU135" i="11"/>
  <c r="AL75" i="11"/>
  <c r="AL76" i="11" s="1"/>
  <c r="AL77" i="11" s="1"/>
  <c r="AK123" i="11"/>
  <c r="AL121" i="11" s="1"/>
  <c r="AL113" i="11"/>
  <c r="AK171" i="11"/>
  <c r="AK162" i="11"/>
  <c r="AK172" i="11" s="1"/>
  <c r="AK133" i="11"/>
  <c r="AK134" i="11" s="1"/>
  <c r="BP133" i="11"/>
  <c r="BP134" i="11" s="1"/>
  <c r="BP135" i="11" s="1"/>
  <c r="BY89" i="11"/>
  <c r="BY91" i="11"/>
  <c r="BY92" i="11" s="1"/>
  <c r="BY105" i="11"/>
  <c r="BY107" i="11"/>
  <c r="BY108" i="11" s="1"/>
  <c r="BY67" i="11"/>
  <c r="BY68" i="11" s="1"/>
  <c r="BY65" i="11"/>
  <c r="BY73" i="11"/>
  <c r="BY75" i="11"/>
  <c r="BY76" i="11" s="1"/>
  <c r="BY59" i="11"/>
  <c r="BY60" i="11" s="1"/>
  <c r="BY57" i="11"/>
  <c r="AK170" i="11"/>
  <c r="AL156" i="11"/>
  <c r="AR133" i="11"/>
  <c r="AR134" i="11" s="1"/>
  <c r="BF91" i="11"/>
  <c r="BF92" i="11" s="1"/>
  <c r="BW75" i="11"/>
  <c r="BW76" i="11" s="1"/>
  <c r="BW77" i="11" s="1"/>
  <c r="BW181" i="11"/>
  <c r="BM12" i="3"/>
  <c r="BW220" i="2"/>
  <c r="V195" i="3"/>
  <c r="N195" i="3"/>
  <c r="X48" i="3"/>
  <c r="X59" i="3" s="1"/>
  <c r="X206" i="2" s="1"/>
  <c r="Y39" i="3"/>
  <c r="W277" i="3"/>
  <c r="V15" i="3"/>
  <c r="V278" i="3"/>
  <c r="V24" i="3"/>
  <c r="N43" i="9"/>
  <c r="AC46" i="3"/>
  <c r="AC48" i="3" s="1"/>
  <c r="AC59" i="3" s="1"/>
  <c r="AC206" i="2" s="1"/>
  <c r="BA180" i="3"/>
  <c r="BB216" i="11"/>
  <c r="AC228" i="3"/>
  <c r="AD228" i="3" s="1"/>
  <c r="H228" i="3"/>
  <c r="I228" i="3" s="1"/>
  <c r="BM179" i="3"/>
  <c r="BR179" i="3"/>
  <c r="AA187" i="3"/>
  <c r="AD78" i="3"/>
  <c r="S86" i="2"/>
  <c r="BH44" i="3"/>
  <c r="BM44" i="3"/>
  <c r="H102" i="3"/>
  <c r="D202" i="2"/>
  <c r="BH180" i="3"/>
  <c r="AV226" i="3"/>
  <c r="AW226" i="3" s="1"/>
  <c r="BE228" i="3"/>
  <c r="X228" i="3"/>
  <c r="AR277" i="3"/>
  <c r="AR136" i="3"/>
  <c r="AS136" i="3" s="1"/>
  <c r="BR259" i="3"/>
  <c r="BH259" i="3"/>
  <c r="AU228" i="3"/>
  <c r="AM223" i="3"/>
  <c r="AM228" i="3" s="1"/>
  <c r="N223" i="3"/>
  <c r="BX186" i="3"/>
  <c r="BX187" i="3" s="1"/>
  <c r="BX174" i="3"/>
  <c r="BQ89" i="2"/>
  <c r="BB89" i="2"/>
  <c r="AH89" i="2"/>
  <c r="AG89" i="2" s="1"/>
  <c r="AR89" i="2"/>
  <c r="AQ89" i="2" s="1"/>
  <c r="AC89" i="2"/>
  <c r="I127" i="2"/>
  <c r="I118" i="2" s="1"/>
  <c r="AS126" i="3"/>
  <c r="AR125" i="3"/>
  <c r="AS125" i="3" s="1"/>
  <c r="BV89" i="2"/>
  <c r="BL89" i="2"/>
  <c r="BG89" i="2"/>
  <c r="BF89" i="2" s="1"/>
  <c r="AW89" i="2"/>
  <c r="X89" i="2"/>
  <c r="W89" i="2" s="1"/>
  <c r="AM89" i="2"/>
  <c r="N89" i="2"/>
  <c r="I176" i="2"/>
  <c r="I169" i="2" s="1"/>
  <c r="H86" i="2"/>
  <c r="F86" i="2"/>
  <c r="I37" i="9"/>
  <c r="AV257" i="3"/>
  <c r="AW218" i="11"/>
  <c r="BR255" i="3"/>
  <c r="BR218" i="11"/>
  <c r="BR219" i="11" s="1"/>
  <c r="BR180" i="3"/>
  <c r="BW246" i="3"/>
  <c r="BW218" i="11"/>
  <c r="BU180" i="3"/>
  <c r="BV216" i="11"/>
  <c r="BV219" i="11" s="1"/>
  <c r="AQ180" i="3"/>
  <c r="AR216" i="11"/>
  <c r="AG257" i="3"/>
  <c r="BV239" i="3"/>
  <c r="BW239" i="3" s="1"/>
  <c r="AS218" i="11"/>
  <c r="Y243" i="3"/>
  <c r="BM241" i="3"/>
  <c r="BR241" i="3"/>
  <c r="AL243" i="3"/>
  <c r="AR228" i="3"/>
  <c r="BR238" i="3"/>
  <c r="BA228" i="3"/>
  <c r="BB228" i="3" s="1"/>
  <c r="W187" i="3"/>
  <c r="K179" i="3"/>
  <c r="BN187" i="3"/>
  <c r="BJ187" i="3"/>
  <c r="BE187" i="3"/>
  <c r="BO175" i="3"/>
  <c r="S175" i="3"/>
  <c r="O152" i="3"/>
  <c r="O161" i="3" s="1"/>
  <c r="AN78" i="3"/>
  <c r="I39" i="3"/>
  <c r="I98" i="3" s="1"/>
  <c r="I101" i="3" s="1"/>
  <c r="E202" i="2" s="1"/>
  <c r="I84" i="2"/>
  <c r="BR44" i="3"/>
  <c r="AD219" i="3"/>
  <c r="AG223" i="3"/>
  <c r="AG228" i="3" s="1"/>
  <c r="AH228" i="3" s="1"/>
  <c r="Z161" i="3"/>
  <c r="Z174" i="3" s="1"/>
  <c r="Z175" i="3" s="1"/>
  <c r="BM259" i="3"/>
  <c r="AC250" i="3"/>
  <c r="BH250" i="3"/>
  <c r="Y223" i="3"/>
  <c r="AS149" i="3"/>
  <c r="AS203" i="11"/>
  <c r="AT203" i="11" s="1"/>
  <c r="T86" i="2"/>
  <c r="G86" i="2"/>
  <c r="J37" i="9"/>
  <c r="J90" i="3"/>
  <c r="N191" i="3"/>
  <c r="M43" i="3"/>
  <c r="BN118" i="3"/>
  <c r="CH214" i="3"/>
  <c r="AT118" i="3"/>
  <c r="AS146" i="2"/>
  <c r="BW108" i="2"/>
  <c r="BR108" i="2"/>
  <c r="BM108" i="2"/>
  <c r="BH108" i="2"/>
  <c r="BC108" i="2"/>
  <c r="AX108" i="2"/>
  <c r="AS108" i="2"/>
  <c r="AN108" i="2"/>
  <c r="AI108" i="2"/>
  <c r="AD108" i="2"/>
  <c r="Y108" i="2"/>
  <c r="T108" i="2"/>
  <c r="O108" i="2"/>
  <c r="AX61" i="2"/>
  <c r="AX68" i="2" s="1"/>
  <c r="BH39" i="3"/>
  <c r="V28" i="3"/>
  <c r="V205" i="2" s="1"/>
  <c r="W24" i="3"/>
  <c r="AA15" i="3"/>
  <c r="D53" i="9"/>
  <c r="E71" i="9"/>
  <c r="AD14" i="3"/>
  <c r="AD204" i="2" s="1"/>
  <c r="W18" i="3"/>
  <c r="W20" i="3" s="1"/>
  <c r="W21" i="3" s="1"/>
  <c r="BR12" i="3"/>
  <c r="BC12" i="3"/>
  <c r="O12" i="9" s="1"/>
  <c r="O14" i="9" s="1"/>
  <c r="T49" i="2"/>
  <c r="BC146" i="2"/>
  <c r="AC277" i="3"/>
  <c r="U195" i="3"/>
  <c r="BT118" i="3"/>
  <c r="AR214" i="3"/>
  <c r="CE118" i="3"/>
  <c r="BK214" i="3"/>
  <c r="AY118" i="3"/>
  <c r="BI214" i="3"/>
  <c r="N24" i="3"/>
  <c r="CA109" i="3"/>
  <c r="CB141" i="2"/>
  <c r="AS39" i="3"/>
  <c r="M31" i="9" s="1"/>
  <c r="M29" i="9" s="1"/>
  <c r="O49" i="2"/>
  <c r="CG165" i="2"/>
  <c r="BW165" i="2"/>
  <c r="BR165" i="2"/>
  <c r="BM165" i="2"/>
  <c r="AN167" i="2"/>
  <c r="AI167" i="2"/>
  <c r="AD167" i="2"/>
  <c r="Y167" i="2"/>
  <c r="T167" i="2"/>
  <c r="O167" i="2"/>
  <c r="BH165" i="2"/>
  <c r="BC165" i="2"/>
  <c r="BX54" i="2"/>
  <c r="AL69" i="2"/>
  <c r="CH236" i="3"/>
  <c r="CH243" i="3" s="1"/>
  <c r="BW71" i="2"/>
  <c r="BM71" i="2"/>
  <c r="AS71" i="2"/>
  <c r="AP70" i="2"/>
  <c r="BA70" i="2"/>
  <c r="AJ69" i="2"/>
  <c r="AN61" i="2"/>
  <c r="AN68" i="2" s="1"/>
  <c r="AJ68" i="2"/>
  <c r="CL38" i="2"/>
  <c r="CG38" i="2"/>
  <c r="BR71" i="2"/>
  <c r="AX71" i="2"/>
  <c r="AT70" i="2"/>
  <c r="BN70" i="2"/>
  <c r="BB70" i="2"/>
  <c r="BO70" i="2"/>
  <c r="CA243" i="3"/>
  <c r="AR70" i="2"/>
  <c r="AO70" i="2"/>
  <c r="AO76" i="2" s="1"/>
  <c r="BI70" i="2"/>
  <c r="BU70" i="2"/>
  <c r="BS70" i="2"/>
  <c r="BH71" i="2"/>
  <c r="BC71" i="2"/>
  <c r="AQ85" i="2"/>
  <c r="BK70" i="2"/>
  <c r="BE70" i="2"/>
  <c r="BY70" i="2"/>
  <c r="BV70" i="2"/>
  <c r="AW70" i="2"/>
  <c r="AW75" i="2" s="1"/>
  <c r="AU70" i="2"/>
  <c r="AU76" i="2" s="1"/>
  <c r="AM69" i="2"/>
  <c r="AS61" i="2"/>
  <c r="AS68" i="2" s="1"/>
  <c r="CK118" i="3"/>
  <c r="BU214" i="3"/>
  <c r="BA214" i="3"/>
  <c r="Q37" i="9"/>
  <c r="Q45" i="9" s="1"/>
  <c r="R37" i="9"/>
  <c r="BR39" i="3"/>
  <c r="AS12" i="3"/>
  <c r="M12" i="9" s="1"/>
  <c r="M14" i="9" s="1"/>
  <c r="W195" i="3"/>
  <c r="BH40" i="3"/>
  <c r="AI12" i="3"/>
  <c r="K12" i="9" s="1"/>
  <c r="K14" i="9" s="1"/>
  <c r="W16" i="3"/>
  <c r="W271" i="3"/>
  <c r="AX39" i="3"/>
  <c r="N31" i="9" s="1"/>
  <c r="AD39" i="3"/>
  <c r="J31" i="9" s="1"/>
  <c r="J29" i="9" s="1"/>
  <c r="D52" i="9"/>
  <c r="AN146" i="2"/>
  <c r="BW146" i="2"/>
  <c r="AG278" i="3"/>
  <c r="AG24" i="3"/>
  <c r="AL15" i="3"/>
  <c r="AG271" i="3"/>
  <c r="AG277" i="3"/>
  <c r="AG18" i="3"/>
  <c r="AG272" i="3" s="1"/>
  <c r="AK278" i="3"/>
  <c r="AP15" i="3"/>
  <c r="AL16" i="3"/>
  <c r="AK271" i="3"/>
  <c r="AK24" i="3"/>
  <c r="AK15" i="3"/>
  <c r="AK277" i="3"/>
  <c r="AG16" i="3"/>
  <c r="AF278" i="3"/>
  <c r="AF16" i="3"/>
  <c r="AF15" i="3"/>
  <c r="AF277" i="3"/>
  <c r="AF271" i="3"/>
  <c r="AF24" i="3"/>
  <c r="AE271" i="3"/>
  <c r="AE24" i="3"/>
  <c r="AE277" i="3"/>
  <c r="AE278" i="3"/>
  <c r="AE16" i="3"/>
  <c r="AE15" i="3"/>
  <c r="AE195" i="3"/>
  <c r="AI39" i="3"/>
  <c r="AK18" i="3"/>
  <c r="AK273" i="3" s="1"/>
  <c r="AK16" i="3"/>
  <c r="R16" i="35"/>
  <c r="R19" i="35" s="1"/>
  <c r="R11" i="35"/>
  <c r="R14" i="35" s="1"/>
  <c r="P74" i="9"/>
  <c r="AX12" i="3"/>
  <c r="N12" i="9" s="1"/>
  <c r="N14" i="9" s="1"/>
  <c r="AF195" i="3"/>
  <c r="AN39" i="3"/>
  <c r="R6" i="35"/>
  <c r="R9" i="35" s="1"/>
  <c r="AE18" i="3"/>
  <c r="AE272" i="3" s="1"/>
  <c r="V16" i="3"/>
  <c r="BX21" i="3"/>
  <c r="BN188" i="11"/>
  <c r="P42" i="9"/>
  <c r="P90" i="9" s="1"/>
  <c r="K76" i="9"/>
  <c r="K44" i="9"/>
  <c r="K92" i="9" s="1"/>
  <c r="K75" i="9"/>
  <c r="K43" i="9"/>
  <c r="K91" i="9" s="1"/>
  <c r="J76" i="9"/>
  <c r="J44" i="9"/>
  <c r="J92" i="9" s="1"/>
  <c r="J43" i="9"/>
  <c r="J91" i="9" s="1"/>
  <c r="J75" i="9"/>
  <c r="I43" i="9"/>
  <c r="I91" i="9" s="1"/>
  <c r="I75" i="9"/>
  <c r="BD118" i="3"/>
  <c r="AV118" i="3"/>
  <c r="CA214" i="3"/>
  <c r="CL214" i="3"/>
  <c r="CD214" i="3"/>
  <c r="BJ214" i="3"/>
  <c r="AP118" i="3"/>
  <c r="BY214" i="3"/>
  <c r="BF118" i="3"/>
  <c r="BP118" i="3"/>
  <c r="BO118" i="3"/>
  <c r="CG214" i="3"/>
  <c r="BH161" i="2"/>
  <c r="CJ214" i="3"/>
  <c r="CL118" i="3"/>
  <c r="BB214" i="3"/>
  <c r="CG118" i="3"/>
  <c r="BQ214" i="3"/>
  <c r="AW214" i="3"/>
  <c r="CI236" i="3"/>
  <c r="BV118" i="3"/>
  <c r="Y146" i="2"/>
  <c r="O31" i="10"/>
  <c r="T146" i="2"/>
  <c r="H128" i="9"/>
  <c r="CB36" i="3"/>
  <c r="AI121" i="2"/>
  <c r="AS22" i="2"/>
  <c r="AS121" i="2"/>
  <c r="K21" i="10"/>
  <c r="K16" i="10"/>
  <c r="O34" i="10"/>
  <c r="O32" i="10"/>
  <c r="O35" i="10"/>
  <c r="O33" i="10"/>
  <c r="O36" i="10"/>
  <c r="AD146" i="2"/>
  <c r="J128" i="9"/>
  <c r="CG220" i="2"/>
  <c r="U127" i="9"/>
  <c r="AI220" i="2"/>
  <c r="K127" i="9"/>
  <c r="AS220" i="2"/>
  <c r="M127" i="9"/>
  <c r="Y220" i="2"/>
  <c r="I127" i="9"/>
  <c r="O121" i="2"/>
  <c r="CI214" i="3"/>
  <c r="AU214" i="3"/>
  <c r="BZ214" i="3"/>
  <c r="BH146" i="2"/>
  <c r="P128" i="9"/>
  <c r="CB220" i="2"/>
  <c r="T127" i="9"/>
  <c r="BH220" i="2"/>
  <c r="P127" i="9"/>
  <c r="BC220" i="2"/>
  <c r="O127" i="9"/>
  <c r="BM220" i="2"/>
  <c r="Q127" i="9"/>
  <c r="CB118" i="3"/>
  <c r="BL118" i="3"/>
  <c r="BE118" i="3"/>
  <c r="U12" i="35"/>
  <c r="AX146" i="2"/>
  <c r="N128" i="9"/>
  <c r="BR146" i="2"/>
  <c r="R128" i="9"/>
  <c r="AN220" i="2"/>
  <c r="L127" i="9"/>
  <c r="BC121" i="2"/>
  <c r="BH11" i="2"/>
  <c r="BH44" i="2" s="1"/>
  <c r="CB214" i="3"/>
  <c r="BM122" i="2"/>
  <c r="BW122" i="2"/>
  <c r="T116" i="9"/>
  <c r="CL161" i="2"/>
  <c r="K15" i="10"/>
  <c r="K19" i="10"/>
  <c r="BC122" i="2"/>
  <c r="AX122" i="2"/>
  <c r="BC11" i="2"/>
  <c r="BC44" i="2" s="1"/>
  <c r="BR161" i="2"/>
  <c r="Y121" i="2"/>
  <c r="BW161" i="2"/>
  <c r="AI122" i="2"/>
  <c r="O122" i="2"/>
  <c r="BW121" i="2"/>
  <c r="BM121" i="2"/>
  <c r="AN121" i="2"/>
  <c r="T121" i="2"/>
  <c r="AR23" i="2"/>
  <c r="K20" i="10"/>
  <c r="CG161" i="2"/>
  <c r="AN55" i="2"/>
  <c r="BM161" i="2"/>
  <c r="AS122" i="2"/>
  <c r="Y122" i="2"/>
  <c r="AD121" i="2"/>
  <c r="T122" i="2"/>
  <c r="AX11" i="2"/>
  <c r="AX44" i="2" s="1"/>
  <c r="AS11" i="2"/>
  <c r="AS44" i="2" s="1"/>
  <c r="T32" i="37"/>
  <c r="T29" i="37"/>
  <c r="T21" i="37"/>
  <c r="AZ193" i="3"/>
  <c r="AZ199" i="3" s="1"/>
  <c r="Q89" i="36"/>
  <c r="Q30" i="36"/>
  <c r="R19" i="36"/>
  <c r="BA193" i="3"/>
  <c r="BA199" i="3" s="1"/>
  <c r="E52" i="9"/>
  <c r="E51" i="9"/>
  <c r="D87" i="9"/>
  <c r="D50" i="9"/>
  <c r="E87" i="9"/>
  <c r="E50" i="9"/>
  <c r="D51" i="9"/>
  <c r="BD146" i="2"/>
  <c r="BD220" i="2"/>
  <c r="BR220" i="2"/>
  <c r="N132" i="2"/>
  <c r="AD220" i="2"/>
  <c r="BC103" i="2"/>
  <c r="X9" i="3"/>
  <c r="AS103" i="2"/>
  <c r="Y103" i="2"/>
  <c r="BR103" i="2"/>
  <c r="O103" i="2"/>
  <c r="O102" i="2"/>
  <c r="AI103" i="2"/>
  <c r="Z15" i="3"/>
  <c r="BM103" i="2"/>
  <c r="AK19" i="11"/>
  <c r="AR171" i="11"/>
  <c r="AR162" i="11"/>
  <c r="AR172" i="11" s="1"/>
  <c r="AM257" i="3"/>
  <c r="AN218" i="11"/>
  <c r="AN219" i="11" s="1"/>
  <c r="BD188" i="11"/>
  <c r="BG148" i="11"/>
  <c r="BH146" i="11" s="1"/>
  <c r="AL132" i="11"/>
  <c r="AM130" i="11" s="1"/>
  <c r="BR149" i="11"/>
  <c r="BR150" i="11" s="1"/>
  <c r="BF149" i="11"/>
  <c r="BF150" i="11" s="1"/>
  <c r="AM149" i="11"/>
  <c r="AM150" i="11" s="1"/>
  <c r="BG90" i="11"/>
  <c r="BH88" i="11" s="1"/>
  <c r="AL82" i="11"/>
  <c r="AM80" i="11" s="1"/>
  <c r="BW91" i="11"/>
  <c r="BW92" i="11" s="1"/>
  <c r="BW93" i="11" s="1"/>
  <c r="AZ9" i="11"/>
  <c r="AZ155" i="11" s="1"/>
  <c r="BZ40" i="11"/>
  <c r="AK83" i="11"/>
  <c r="AK84" i="11" s="1"/>
  <c r="BZ48" i="11"/>
  <c r="AW169" i="11"/>
  <c r="AW194" i="11" s="1"/>
  <c r="AW168" i="11"/>
  <c r="AW192" i="11" s="1"/>
  <c r="BB50" i="11"/>
  <c r="BC48" i="11" s="1"/>
  <c r="AV169" i="11"/>
  <c r="AV194" i="11" s="1"/>
  <c r="AV168" i="11"/>
  <c r="AV192" i="11" s="1"/>
  <c r="CA56" i="11"/>
  <c r="AR59" i="11"/>
  <c r="AR60" i="11" s="1"/>
  <c r="AL16" i="11"/>
  <c r="AL17" i="11" s="1"/>
  <c r="AL18" i="11" s="1"/>
  <c r="BW51" i="11"/>
  <c r="BW52" i="11" s="1"/>
  <c r="BY53" i="11" s="1"/>
  <c r="AR170" i="11"/>
  <c r="AS156" i="11"/>
  <c r="AR164" i="11"/>
  <c r="AR165" i="11" s="1"/>
  <c r="AR173" i="11" s="1"/>
  <c r="AN140" i="11"/>
  <c r="AO140" i="11" s="1"/>
  <c r="AP138" i="11" s="1"/>
  <c r="BU181" i="11"/>
  <c r="AU181" i="11"/>
  <c r="AL66" i="11"/>
  <c r="AM64" i="11" s="1"/>
  <c r="AL42" i="11"/>
  <c r="AM40" i="11" s="1"/>
  <c r="AM90" i="11"/>
  <c r="AN88" i="11" s="1"/>
  <c r="AW13" i="11"/>
  <c r="AK51" i="11"/>
  <c r="AK52" i="11" s="1"/>
  <c r="AS58" i="11"/>
  <c r="AT58" i="11" s="1"/>
  <c r="AU56" i="11" s="1"/>
  <c r="BA51" i="11"/>
  <c r="BA52" i="11" s="1"/>
  <c r="AW8" i="11"/>
  <c r="AW112" i="11" s="1"/>
  <c r="AL257" i="3"/>
  <c r="AM218" i="11"/>
  <c r="AM219" i="11" s="1"/>
  <c r="BW133" i="11"/>
  <c r="BW134" i="11" s="1"/>
  <c r="BW135" i="11" s="1"/>
  <c r="BX132" i="11"/>
  <c r="BY130" i="11" s="1"/>
  <c r="BZ104" i="11"/>
  <c r="BZ105" i="11" s="1"/>
  <c r="BW107" i="11"/>
  <c r="BW108" i="11" s="1"/>
  <c r="BW109" i="11" s="1"/>
  <c r="BH132" i="11"/>
  <c r="BI132" i="11" s="1"/>
  <c r="BJ130" i="11" s="1"/>
  <c r="BZ64" i="11"/>
  <c r="BZ65" i="11" s="1"/>
  <c r="AK67" i="11"/>
  <c r="AK68" i="11" s="1"/>
  <c r="AL91" i="11"/>
  <c r="AL92" i="11" s="1"/>
  <c r="AL93" i="11" s="1"/>
  <c r="AM74" i="11"/>
  <c r="AN72" i="11" s="1"/>
  <c r="AU169" i="11"/>
  <c r="AU194" i="11" s="1"/>
  <c r="AU168" i="11"/>
  <c r="AU192" i="11" s="1"/>
  <c r="AN26" i="11"/>
  <c r="AO26" i="11" s="1"/>
  <c r="AP24" i="11" s="1"/>
  <c r="AM34" i="11"/>
  <c r="AN32" i="11" s="1"/>
  <c r="BW43" i="11"/>
  <c r="BW44" i="11" s="1"/>
  <c r="BW45" i="11" s="1"/>
  <c r="AV112" i="11"/>
  <c r="AZ202" i="11"/>
  <c r="BA202" i="11" s="1"/>
  <c r="BB202" i="11" s="1"/>
  <c r="BC202" i="11" s="1"/>
  <c r="AY202" i="11"/>
  <c r="BS188" i="11"/>
  <c r="BT148" i="11"/>
  <c r="BU146" i="11" s="1"/>
  <c r="AN148" i="11"/>
  <c r="AO148" i="11" s="1"/>
  <c r="AP146" i="11" s="1"/>
  <c r="AO194" i="11"/>
  <c r="BZ88" i="11"/>
  <c r="BZ89" i="11" s="1"/>
  <c r="AS132" i="11"/>
  <c r="AT132" i="11" s="1"/>
  <c r="AU130" i="11" s="1"/>
  <c r="AK124" i="11"/>
  <c r="AK201" i="11" s="1"/>
  <c r="AK195" i="11" s="1"/>
  <c r="AL117" i="11"/>
  <c r="BG133" i="11"/>
  <c r="BG134" i="11" s="1"/>
  <c r="BW67" i="11"/>
  <c r="BW68" i="11" s="1"/>
  <c r="BV69" i="11" s="1"/>
  <c r="BK8" i="11"/>
  <c r="BK112" i="11" s="1"/>
  <c r="AL50" i="11"/>
  <c r="AM48" i="11" s="1"/>
  <c r="AX155" i="11"/>
  <c r="BZ72" i="11"/>
  <c r="BZ73" i="11" s="1"/>
  <c r="BV181" i="11"/>
  <c r="AS169" i="11"/>
  <c r="AS194" i="11" s="1"/>
  <c r="AT194" i="11" s="1"/>
  <c r="AS168" i="11"/>
  <c r="AS192" i="11" s="1"/>
  <c r="AK43" i="11"/>
  <c r="AK44" i="11" s="1"/>
  <c r="AM27" i="11"/>
  <c r="AM28" i="11" s="1"/>
  <c r="AM29" i="11" s="1"/>
  <c r="AV17" i="11"/>
  <c r="BN199" i="3"/>
  <c r="Q20" i="3"/>
  <c r="Q21" i="3" s="1"/>
  <c r="I278" i="3"/>
  <c r="I277" i="3"/>
  <c r="I271" i="3"/>
  <c r="I16" i="3"/>
  <c r="I24" i="3"/>
  <c r="K16" i="3"/>
  <c r="P272" i="3"/>
  <c r="N98" i="3"/>
  <c r="AB253" i="3"/>
  <c r="AB180" i="3" s="1"/>
  <c r="AA180" i="3"/>
  <c r="BP257" i="3"/>
  <c r="BQ250" i="3"/>
  <c r="BQ257" i="3" s="1"/>
  <c r="AQ243" i="3"/>
  <c r="AR236" i="3"/>
  <c r="AQ214" i="2"/>
  <c r="AR165" i="3"/>
  <c r="BB243" i="3"/>
  <c r="BB214" i="2"/>
  <c r="M243" i="3"/>
  <c r="M214" i="2"/>
  <c r="BH239" i="3"/>
  <c r="S253" i="3"/>
  <c r="S180" i="3" s="1"/>
  <c r="BM239" i="3"/>
  <c r="BU243" i="3"/>
  <c r="N236" i="3"/>
  <c r="AH247" i="3"/>
  <c r="AH257" i="3" s="1"/>
  <c r="X247" i="3"/>
  <c r="X257" i="3" s="1"/>
  <c r="BR240" i="3"/>
  <c r="BH223" i="3"/>
  <c r="BE199" i="3"/>
  <c r="K208" i="3"/>
  <c r="K207" i="3"/>
  <c r="K199" i="3"/>
  <c r="K186" i="3"/>
  <c r="L178" i="3" s="1"/>
  <c r="K174" i="3"/>
  <c r="K175" i="3" s="1"/>
  <c r="AB183" i="3"/>
  <c r="AC167" i="3"/>
  <c r="V187" i="3"/>
  <c r="N208" i="3"/>
  <c r="N207" i="3"/>
  <c r="N199" i="3"/>
  <c r="N186" i="3"/>
  <c r="N187" i="3" s="1"/>
  <c r="N174" i="3"/>
  <c r="N175" i="3" s="1"/>
  <c r="BC198" i="3"/>
  <c r="BL199" i="3"/>
  <c r="BM193" i="3"/>
  <c r="Q208" i="3"/>
  <c r="Q199" i="3"/>
  <c r="Q207" i="3"/>
  <c r="Q186" i="3"/>
  <c r="R178" i="3" s="1"/>
  <c r="Q174" i="3"/>
  <c r="Q175" i="3" s="1"/>
  <c r="BC191" i="3"/>
  <c r="AY191" i="3"/>
  <c r="AI191" i="3"/>
  <c r="AE191" i="3"/>
  <c r="BT187" i="3"/>
  <c r="X208" i="3"/>
  <c r="X207" i="3"/>
  <c r="X199" i="3"/>
  <c r="X186" i="3"/>
  <c r="X187" i="3" s="1"/>
  <c r="BW184" i="3"/>
  <c r="BW179" i="3"/>
  <c r="BW146" i="3"/>
  <c r="CC167" i="3"/>
  <c r="CB167" i="3"/>
  <c r="AS155" i="3"/>
  <c r="AT155" i="3"/>
  <c r="AU155" i="3" s="1"/>
  <c r="AV155" i="3" s="1"/>
  <c r="AW155" i="3" s="1"/>
  <c r="AX155" i="3" s="1"/>
  <c r="AI139" i="3"/>
  <c r="BH187" i="3"/>
  <c r="AO156" i="3"/>
  <c r="AP156" i="3" s="1"/>
  <c r="AQ156" i="3" s="1"/>
  <c r="AR156" i="3" s="1"/>
  <c r="AN156" i="3"/>
  <c r="BR194" i="3"/>
  <c r="BR139" i="3"/>
  <c r="V175" i="3"/>
  <c r="O184" i="3"/>
  <c r="CG144" i="3"/>
  <c r="CI144" i="3"/>
  <c r="CJ144" i="3" s="1"/>
  <c r="CK144" i="3" s="1"/>
  <c r="BA175" i="3"/>
  <c r="U175" i="3"/>
  <c r="BP175" i="3"/>
  <c r="AN131" i="3"/>
  <c r="AO131" i="3"/>
  <c r="BI175" i="3"/>
  <c r="T175" i="3"/>
  <c r="N73" i="3"/>
  <c r="CI136" i="3"/>
  <c r="CJ136" i="3" s="1"/>
  <c r="CK136" i="3" s="1"/>
  <c r="CG136" i="3"/>
  <c r="BF98" i="3"/>
  <c r="BF28" i="3"/>
  <c r="BF205" i="2" s="1"/>
  <c r="BF48" i="3"/>
  <c r="CI133" i="3"/>
  <c r="CJ133" i="3" s="1"/>
  <c r="CK133" i="3" s="1"/>
  <c r="CG133" i="3"/>
  <c r="AN73" i="3"/>
  <c r="BE98" i="3"/>
  <c r="BE28" i="3"/>
  <c r="BE205" i="2" s="1"/>
  <c r="BE48" i="3"/>
  <c r="BW40" i="3"/>
  <c r="BW39" i="3"/>
  <c r="AM139" i="3"/>
  <c r="R191" i="3"/>
  <c r="R44" i="3"/>
  <c r="Q43" i="3"/>
  <c r="BO203" i="3"/>
  <c r="BN203" i="3"/>
  <c r="BQ203" i="3"/>
  <c r="BP203" i="3"/>
  <c r="BN98" i="3"/>
  <c r="BN48" i="3"/>
  <c r="BN28" i="3"/>
  <c r="BN205" i="2" s="1"/>
  <c r="BE203" i="3"/>
  <c r="BD203" i="3"/>
  <c r="BG203" i="3"/>
  <c r="BF203" i="3"/>
  <c r="BD98" i="3"/>
  <c r="BD48" i="3"/>
  <c r="BD28" i="3"/>
  <c r="BD205" i="2" s="1"/>
  <c r="U98" i="3"/>
  <c r="U28" i="3"/>
  <c r="U205" i="2" s="1"/>
  <c r="CG36" i="3"/>
  <c r="BT101" i="3"/>
  <c r="BT209" i="2" s="1"/>
  <c r="AQ29" i="3"/>
  <c r="AQ18" i="3"/>
  <c r="AG101" i="3"/>
  <c r="S28" i="3"/>
  <c r="S205" i="2" s="1"/>
  <c r="T29" i="3"/>
  <c r="H191" i="3"/>
  <c r="G43" i="3"/>
  <c r="Q101" i="3"/>
  <c r="AZ59" i="3"/>
  <c r="AZ206" i="2" s="1"/>
  <c r="AZ49" i="3"/>
  <c r="AZ52" i="3"/>
  <c r="AP29" i="3"/>
  <c r="AP18" i="3"/>
  <c r="J102" i="3"/>
  <c r="AE48" i="3"/>
  <c r="CL36" i="3"/>
  <c r="M29" i="3"/>
  <c r="BG101" i="3"/>
  <c r="AM29" i="3"/>
  <c r="AM18" i="3"/>
  <c r="AM20" i="3"/>
  <c r="AM21" i="3" s="1"/>
  <c r="AH101" i="3"/>
  <c r="H18" i="3"/>
  <c r="S277" i="3"/>
  <c r="S15" i="3"/>
  <c r="AH14" i="3"/>
  <c r="AW257" i="3"/>
  <c r="AA243" i="3"/>
  <c r="AB236" i="3"/>
  <c r="AC236" i="3" s="1"/>
  <c r="AA214" i="2"/>
  <c r="I257" i="3"/>
  <c r="BH249" i="3"/>
  <c r="H257" i="3"/>
  <c r="L243" i="3"/>
  <c r="AM214" i="2"/>
  <c r="N251" i="3"/>
  <c r="N257" i="3" s="1"/>
  <c r="BK243" i="3"/>
  <c r="AA257" i="3"/>
  <c r="BO228" i="3"/>
  <c r="Z268" i="3"/>
  <c r="BK226" i="3"/>
  <c r="BK228" i="3" s="1"/>
  <c r="AW223" i="3"/>
  <c r="BK199" i="3"/>
  <c r="BG199" i="3"/>
  <c r="BH193" i="3"/>
  <c r="BP199" i="3"/>
  <c r="AW163" i="3"/>
  <c r="T198" i="3"/>
  <c r="BV186" i="3"/>
  <c r="BX178" i="3" s="1"/>
  <c r="AR193" i="3"/>
  <c r="M199" i="3"/>
  <c r="M208" i="3"/>
  <c r="M207" i="3"/>
  <c r="M186" i="3"/>
  <c r="N178" i="3" s="1"/>
  <c r="M174" i="3"/>
  <c r="M175" i="3" s="1"/>
  <c r="BD187" i="3"/>
  <c r="AZ187" i="3"/>
  <c r="P208" i="3"/>
  <c r="P199" i="3"/>
  <c r="P207" i="3"/>
  <c r="P186" i="3"/>
  <c r="Q178" i="3" s="1"/>
  <c r="P174" i="3"/>
  <c r="P175" i="3" s="1"/>
  <c r="BW159" i="3"/>
  <c r="BW142" i="3"/>
  <c r="BV152" i="3"/>
  <c r="CI156" i="3"/>
  <c r="CJ156" i="3" s="1"/>
  <c r="CK156" i="3" s="1"/>
  <c r="CG156" i="3"/>
  <c r="BC194" i="3"/>
  <c r="BC139" i="3"/>
  <c r="BC175" i="3" s="1"/>
  <c r="W175" i="3"/>
  <c r="O139" i="3"/>
  <c r="BM172" i="3"/>
  <c r="CI145" i="3"/>
  <c r="CJ145" i="3" s="1"/>
  <c r="CK145" i="3" s="1"/>
  <c r="CG145" i="3"/>
  <c r="BN175" i="3"/>
  <c r="BB175" i="3"/>
  <c r="BR187" i="3"/>
  <c r="AB172" i="3"/>
  <c r="BM194" i="3"/>
  <c r="BM139" i="3"/>
  <c r="AT271" i="3"/>
  <c r="AR271" i="3"/>
  <c r="AS122" i="3"/>
  <c r="O172" i="3"/>
  <c r="O198" i="3" s="1"/>
  <c r="AB152" i="3"/>
  <c r="AC147" i="3"/>
  <c r="AZ175" i="3"/>
  <c r="X194" i="3"/>
  <c r="X139" i="3"/>
  <c r="CI134" i="3"/>
  <c r="CJ134" i="3" s="1"/>
  <c r="CK134" i="3" s="1"/>
  <c r="CG134" i="3"/>
  <c r="R175" i="3"/>
  <c r="S39" i="3"/>
  <c r="AK139" i="3"/>
  <c r="AS73" i="3"/>
  <c r="AD73" i="3"/>
  <c r="BU203" i="3"/>
  <c r="BT203" i="3"/>
  <c r="BS203" i="3"/>
  <c r="BS98" i="3"/>
  <c r="BS28" i="3"/>
  <c r="BS205" i="2" s="1"/>
  <c r="BS48" i="3"/>
  <c r="BB203" i="3"/>
  <c r="BA203" i="3"/>
  <c r="AZ203" i="3"/>
  <c r="AY203" i="3"/>
  <c r="AY98" i="3"/>
  <c r="AY28" i="3"/>
  <c r="AY205" i="2" s="1"/>
  <c r="AY48" i="3"/>
  <c r="BK175" i="3"/>
  <c r="CI126" i="3"/>
  <c r="CJ126" i="3" s="1"/>
  <c r="CK126" i="3" s="1"/>
  <c r="CG126" i="3"/>
  <c r="BQ73" i="3"/>
  <c r="BO98" i="3"/>
  <c r="BO28" i="3"/>
  <c r="BO205" i="2" s="1"/>
  <c r="BO48" i="3"/>
  <c r="BB98" i="3"/>
  <c r="BB28" i="3"/>
  <c r="BB205" i="2" s="1"/>
  <c r="BB48" i="3"/>
  <c r="BM40" i="3"/>
  <c r="BM39" i="3"/>
  <c r="CI131" i="3"/>
  <c r="CJ131" i="3" s="1"/>
  <c r="CK131" i="3" s="1"/>
  <c r="CG131" i="3"/>
  <c r="S73" i="3"/>
  <c r="AS69" i="3"/>
  <c r="L29" i="3"/>
  <c r="AQ52" i="3"/>
  <c r="AQ59" i="3"/>
  <c r="AQ206" i="2" s="1"/>
  <c r="AQ49" i="3"/>
  <c r="AL101" i="3"/>
  <c r="AZ29" i="3"/>
  <c r="AZ18" i="3"/>
  <c r="AU101" i="3"/>
  <c r="AP101" i="3"/>
  <c r="AF59" i="3"/>
  <c r="AF206" i="2" s="1"/>
  <c r="AF49" i="3"/>
  <c r="AF52" i="3"/>
  <c r="AA29" i="3"/>
  <c r="AA18" i="3"/>
  <c r="H44" i="3"/>
  <c r="P101" i="3"/>
  <c r="BJ29" i="3"/>
  <c r="BJ18" i="3"/>
  <c r="AE29" i="3"/>
  <c r="V101" i="3"/>
  <c r="AW49" i="3"/>
  <c r="AR29" i="3"/>
  <c r="AR20" i="3"/>
  <c r="AR21" i="3" s="1"/>
  <c r="AR18" i="3"/>
  <c r="AM101" i="3"/>
  <c r="M18" i="3"/>
  <c r="S24" i="3"/>
  <c r="BU257" i="3"/>
  <c r="BL243" i="3"/>
  <c r="BL214" i="2"/>
  <c r="W243" i="3"/>
  <c r="X236" i="3"/>
  <c r="W214" i="2"/>
  <c r="BW249" i="3"/>
  <c r="BL253" i="3"/>
  <c r="BM216" i="11" s="1"/>
  <c r="BK180" i="3"/>
  <c r="AQ257" i="3"/>
  <c r="BV214" i="2"/>
  <c r="AM237" i="3"/>
  <c r="AM243" i="3" s="1"/>
  <c r="L257" i="3"/>
  <c r="BV253" i="3"/>
  <c r="R257" i="3"/>
  <c r="S257" i="3" s="1"/>
  <c r="BP226" i="3"/>
  <c r="BP228" i="3" s="1"/>
  <c r="BJ228" i="3"/>
  <c r="BB253" i="3"/>
  <c r="AH243" i="3"/>
  <c r="AH214" i="2"/>
  <c r="AI214" i="2" s="1"/>
  <c r="K63" i="9" s="1"/>
  <c r="K61" i="9" s="1"/>
  <c r="BQ199" i="3"/>
  <c r="BR193" i="3"/>
  <c r="AX193" i="3"/>
  <c r="BI199" i="3"/>
  <c r="BS187" i="3"/>
  <c r="AY187" i="3"/>
  <c r="BJ199" i="3"/>
  <c r="BB199" i="3"/>
  <c r="BC193" i="3"/>
  <c r="BF187" i="3"/>
  <c r="F187" i="3"/>
  <c r="T191" i="3"/>
  <c r="BI187" i="3"/>
  <c r="I207" i="3"/>
  <c r="I208" i="3"/>
  <c r="I199" i="3"/>
  <c r="I186" i="3"/>
  <c r="I187" i="3" s="1"/>
  <c r="I174" i="3"/>
  <c r="I175" i="3" s="1"/>
  <c r="BR198" i="3"/>
  <c r="L207" i="3"/>
  <c r="L208" i="3"/>
  <c r="L199" i="3"/>
  <c r="L186" i="3"/>
  <c r="M178" i="3" s="1"/>
  <c r="L174" i="3"/>
  <c r="L175" i="3" s="1"/>
  <c r="AX184" i="3"/>
  <c r="Y178" i="3"/>
  <c r="CC163" i="3"/>
  <c r="CB163" i="3"/>
  <c r="AG163" i="3"/>
  <c r="J194" i="3"/>
  <c r="J195" i="3" s="1"/>
  <c r="J139" i="3"/>
  <c r="Q228" i="3"/>
  <c r="R223" i="3"/>
  <c r="BA187" i="3"/>
  <c r="CI155" i="3"/>
  <c r="CJ155" i="3" s="1"/>
  <c r="CK155" i="3" s="1"/>
  <c r="CG155" i="3"/>
  <c r="CG148" i="3"/>
  <c r="CI148" i="3"/>
  <c r="CJ148" i="3" s="1"/>
  <c r="CK148" i="3" s="1"/>
  <c r="BC184" i="3"/>
  <c r="CI143" i="3"/>
  <c r="CJ143" i="3" s="1"/>
  <c r="CK143" i="3" s="1"/>
  <c r="CG143" i="3"/>
  <c r="AS133" i="3"/>
  <c r="AT133" i="3"/>
  <c r="AU133" i="3" s="1"/>
  <c r="AV133" i="3" s="1"/>
  <c r="AW133" i="3" s="1"/>
  <c r="AX133" i="3" s="1"/>
  <c r="BL194" i="3"/>
  <c r="BL195" i="3" s="1"/>
  <c r="BL139" i="3"/>
  <c r="H175" i="3"/>
  <c r="AL139" i="3"/>
  <c r="BP98" i="3"/>
  <c r="BP28" i="3"/>
  <c r="BP205" i="2" s="1"/>
  <c r="BP48" i="3"/>
  <c r="I28" i="3"/>
  <c r="I29" i="3" s="1"/>
  <c r="BM73" i="3"/>
  <c r="BL98" i="3"/>
  <c r="BL28" i="3"/>
  <c r="BL205" i="2" s="1"/>
  <c r="BL48" i="3"/>
  <c r="AW203" i="3"/>
  <c r="AT98" i="3"/>
  <c r="AT48" i="3"/>
  <c r="AT28" i="3"/>
  <c r="AT205" i="2" s="1"/>
  <c r="BJ175" i="3"/>
  <c r="BH175" i="3"/>
  <c r="CI123" i="3"/>
  <c r="CJ123" i="3" s="1"/>
  <c r="CK123" i="3" s="1"/>
  <c r="CG123" i="3"/>
  <c r="AS78" i="3"/>
  <c r="Y73" i="3"/>
  <c r="AI73" i="3"/>
  <c r="BH191" i="3"/>
  <c r="BR191" i="3"/>
  <c r="BU98" i="3"/>
  <c r="BU48" i="3"/>
  <c r="BU28" i="3"/>
  <c r="BU205" i="2" s="1"/>
  <c r="BK98" i="3"/>
  <c r="BK48" i="3"/>
  <c r="BK28" i="3"/>
  <c r="BK205" i="2" s="1"/>
  <c r="BA98" i="3"/>
  <c r="BA48" i="3"/>
  <c r="BA28" i="3"/>
  <c r="BA205" i="2" s="1"/>
  <c r="R29" i="3"/>
  <c r="L101" i="3"/>
  <c r="AV29" i="3"/>
  <c r="AV18" i="3"/>
  <c r="AQ101" i="3"/>
  <c r="AG29" i="3"/>
  <c r="K29" i="3"/>
  <c r="K205" i="2"/>
  <c r="AZ101" i="3"/>
  <c r="J29" i="3"/>
  <c r="AE101" i="3"/>
  <c r="AJ278" i="3"/>
  <c r="AJ271" i="3"/>
  <c r="AJ15" i="3"/>
  <c r="AJ24" i="3"/>
  <c r="AO15" i="3"/>
  <c r="AW29" i="3"/>
  <c r="AW20" i="3"/>
  <c r="AW21" i="3" s="1"/>
  <c r="AW18" i="3"/>
  <c r="AR101" i="3"/>
  <c r="AH59" i="3"/>
  <c r="AH206" i="2" s="1"/>
  <c r="U24" i="3"/>
  <c r="G18" i="3"/>
  <c r="CL12" i="3"/>
  <c r="N277" i="3"/>
  <c r="N278" i="3"/>
  <c r="N271" i="3"/>
  <c r="N16" i="3"/>
  <c r="N15" i="3"/>
  <c r="AZ257" i="3"/>
  <c r="BA249" i="3"/>
  <c r="BA257" i="3" s="1"/>
  <c r="BG236" i="3"/>
  <c r="BF243" i="3"/>
  <c r="BF214" i="2"/>
  <c r="BQ236" i="3"/>
  <c r="BP243" i="3"/>
  <c r="BP214" i="2"/>
  <c r="S243" i="3"/>
  <c r="S214" i="2"/>
  <c r="N241" i="3"/>
  <c r="Y230" i="3"/>
  <c r="BH241" i="3"/>
  <c r="AR253" i="3"/>
  <c r="BW223" i="3"/>
  <c r="BM223" i="3"/>
  <c r="AY199" i="3"/>
  <c r="AI167" i="3"/>
  <c r="AH183" i="3"/>
  <c r="AJ167" i="3"/>
  <c r="BH198" i="3"/>
  <c r="Y152" i="3"/>
  <c r="Y161" i="3" s="1"/>
  <c r="Y174" i="3" s="1"/>
  <c r="X161" i="3"/>
  <c r="X174" i="3" s="1"/>
  <c r="BW166" i="3"/>
  <c r="BL186" i="3"/>
  <c r="BN178" i="3" s="1"/>
  <c r="BL174" i="3"/>
  <c r="AS184" i="3"/>
  <c r="BY179" i="3"/>
  <c r="BY184" i="3"/>
  <c r="Y198" i="3"/>
  <c r="AG152" i="3"/>
  <c r="AH147" i="3"/>
  <c r="J172" i="3"/>
  <c r="CI170" i="3"/>
  <c r="CJ170" i="3" s="1"/>
  <c r="CK170" i="3" s="1"/>
  <c r="CG170" i="3"/>
  <c r="Z178" i="3"/>
  <c r="AE208" i="3"/>
  <c r="AE207" i="3"/>
  <c r="AE199" i="3"/>
  <c r="AE186" i="3"/>
  <c r="AF178" i="3" s="1"/>
  <c r="AE174" i="3"/>
  <c r="AE175" i="3" s="1"/>
  <c r="CG158" i="3"/>
  <c r="AX128" i="3"/>
  <c r="F175" i="3"/>
  <c r="CI165" i="3"/>
  <c r="CJ165" i="3" s="1"/>
  <c r="CK165" i="3" s="1"/>
  <c r="CG165" i="3"/>
  <c r="BQ175" i="3"/>
  <c r="Y139" i="3"/>
  <c r="I195" i="3"/>
  <c r="CI164" i="3"/>
  <c r="CJ164" i="3" s="1"/>
  <c r="CK164" i="3" s="1"/>
  <c r="CG164" i="3"/>
  <c r="AN158" i="3"/>
  <c r="AO158" i="3"/>
  <c r="AP158" i="3" s="1"/>
  <c r="AQ158" i="3" s="1"/>
  <c r="AR158" i="3" s="1"/>
  <c r="BD175" i="3"/>
  <c r="BW122" i="3"/>
  <c r="CI137" i="3"/>
  <c r="CJ137" i="3" s="1"/>
  <c r="CK137" i="3" s="1"/>
  <c r="CG137" i="3"/>
  <c r="CI130" i="3"/>
  <c r="CJ130" i="3" s="1"/>
  <c r="CK130" i="3" s="1"/>
  <c r="CG130" i="3"/>
  <c r="AI78" i="3"/>
  <c r="J73" i="3"/>
  <c r="I73" i="3" s="1"/>
  <c r="BL203" i="3"/>
  <c r="BK203" i="3"/>
  <c r="BJ203" i="3"/>
  <c r="BI203" i="3"/>
  <c r="BI98" i="3"/>
  <c r="BI28" i="3"/>
  <c r="BI205" i="2" s="1"/>
  <c r="BI48" i="3"/>
  <c r="BG175" i="3"/>
  <c r="BH73" i="3"/>
  <c r="BV98" i="3"/>
  <c r="BV28" i="3"/>
  <c r="BV205" i="2" s="1"/>
  <c r="Z98" i="3"/>
  <c r="Z28" i="3"/>
  <c r="Z205" i="2" s="1"/>
  <c r="BC40" i="3"/>
  <c r="BC39" i="3"/>
  <c r="O31" i="9" s="1"/>
  <c r="CI135" i="3"/>
  <c r="CJ135" i="3" s="1"/>
  <c r="CK135" i="3" s="1"/>
  <c r="CG135" i="3"/>
  <c r="AU69" i="3"/>
  <c r="AV69" i="3" s="1"/>
  <c r="AW69" i="3" s="1"/>
  <c r="W191" i="3"/>
  <c r="V43" i="3"/>
  <c r="W44" i="3"/>
  <c r="BM191" i="3"/>
  <c r="AO98" i="3"/>
  <c r="AO28" i="3"/>
  <c r="AO205" i="2" s="1"/>
  <c r="AO48" i="3"/>
  <c r="R101" i="3"/>
  <c r="AG59" i="3"/>
  <c r="AG206" i="2" s="1"/>
  <c r="AG49" i="3"/>
  <c r="AB101" i="3"/>
  <c r="Q29" i="3"/>
  <c r="K101" i="3"/>
  <c r="K202" i="2" s="1"/>
  <c r="AP59" i="3"/>
  <c r="AP206" i="2" s="1"/>
  <c r="AP49" i="3"/>
  <c r="AK29" i="3"/>
  <c r="W29" i="3"/>
  <c r="P29" i="3"/>
  <c r="J48" i="3"/>
  <c r="J52" i="3" s="1"/>
  <c r="F138" i="9" s="1"/>
  <c r="AJ101" i="3"/>
  <c r="U278" i="3"/>
  <c r="U277" i="3"/>
  <c r="U271" i="3"/>
  <c r="U16" i="3"/>
  <c r="U15" i="3"/>
  <c r="O271" i="3"/>
  <c r="O24" i="3"/>
  <c r="O15" i="3"/>
  <c r="AD69" i="3"/>
  <c r="X101" i="3"/>
  <c r="AW101" i="3"/>
  <c r="AH20" i="3"/>
  <c r="AC101" i="3"/>
  <c r="F102" i="3"/>
  <c r="L18" i="3"/>
  <c r="T15" i="3"/>
  <c r="K18" i="3"/>
  <c r="F18" i="3"/>
  <c r="CG12" i="3"/>
  <c r="U12" i="9" s="1"/>
  <c r="AS218" i="2"/>
  <c r="AS42" i="2"/>
  <c r="AX218" i="2"/>
  <c r="AX42" i="2"/>
  <c r="CL220" i="2"/>
  <c r="BW218" i="2"/>
  <c r="BW42" i="2"/>
  <c r="BR122" i="2"/>
  <c r="BH121" i="2"/>
  <c r="AI218" i="2"/>
  <c r="AI42" i="2"/>
  <c r="AX220" i="2"/>
  <c r="BM218" i="2"/>
  <c r="BM42" i="2"/>
  <c r="Y218" i="2"/>
  <c r="Y42" i="2"/>
  <c r="AD218" i="2"/>
  <c r="AD42" i="2"/>
  <c r="BH218" i="2"/>
  <c r="BH42" i="2"/>
  <c r="BR218" i="2"/>
  <c r="BR42" i="2"/>
  <c r="AN218" i="2"/>
  <c r="AN42" i="2"/>
  <c r="AQ21" i="2"/>
  <c r="AR19" i="2"/>
  <c r="AQ20" i="2"/>
  <c r="AD122" i="2"/>
  <c r="BR121" i="2"/>
  <c r="BH122" i="2"/>
  <c r="AX121" i="2"/>
  <c r="BC218" i="2"/>
  <c r="BC42" i="2"/>
  <c r="AN122" i="2"/>
  <c r="CC117" i="3" l="1"/>
  <c r="Q31" i="9"/>
  <c r="S31" i="9"/>
  <c r="J200" i="3"/>
  <c r="O194" i="3"/>
  <c r="O195" i="3" s="1"/>
  <c r="AV18" i="11"/>
  <c r="BX117" i="3"/>
  <c r="U178" i="3"/>
  <c r="P76" i="9"/>
  <c r="AA43" i="3"/>
  <c r="J204" i="3"/>
  <c r="AC253" i="3"/>
  <c r="AC180" i="3" s="1"/>
  <c r="BM255" i="3"/>
  <c r="O59" i="3"/>
  <c r="O206" i="2" s="1"/>
  <c r="G99" i="9"/>
  <c r="AW219" i="11"/>
  <c r="O29" i="9"/>
  <c r="AD178" i="3"/>
  <c r="T49" i="3"/>
  <c r="S16" i="3"/>
  <c r="S271" i="3"/>
  <c r="S278" i="3"/>
  <c r="O49" i="3"/>
  <c r="P75" i="9"/>
  <c r="BG228" i="3"/>
  <c r="AR218" i="11"/>
  <c r="AR219" i="11" s="1"/>
  <c r="S195" i="3"/>
  <c r="G97" i="9"/>
  <c r="BR250" i="3"/>
  <c r="N18" i="3"/>
  <c r="N20" i="3" s="1"/>
  <c r="N21" i="3" s="1"/>
  <c r="AB44" i="3"/>
  <c r="AB46" i="3" s="1"/>
  <c r="AB48" i="3" s="1"/>
  <c r="BR73" i="3"/>
  <c r="Z263" i="3"/>
  <c r="R272" i="3"/>
  <c r="BW300" i="3"/>
  <c r="BW301" i="3" s="1"/>
  <c r="BW302" i="3" s="1"/>
  <c r="Y194" i="3"/>
  <c r="AB257" i="3"/>
  <c r="AC257" i="3"/>
  <c r="J77" i="9"/>
  <c r="BM243" i="3"/>
  <c r="U170" i="2"/>
  <c r="Y170" i="2" s="1"/>
  <c r="Y175" i="3"/>
  <c r="AW59" i="3"/>
  <c r="AW206" i="2" s="1"/>
  <c r="T52" i="3"/>
  <c r="H138" i="9" s="1"/>
  <c r="H99" i="9" s="1"/>
  <c r="O29" i="3"/>
  <c r="S18" i="3"/>
  <c r="S272" i="3" s="1"/>
  <c r="Q272" i="3"/>
  <c r="Q275" i="3" s="1"/>
  <c r="CH213" i="3"/>
  <c r="P275" i="3"/>
  <c r="R275" i="3"/>
  <c r="R202" i="2"/>
  <c r="R209" i="2"/>
  <c r="V12" i="9"/>
  <c r="V77" i="9" s="1"/>
  <c r="M202" i="2"/>
  <c r="M209" i="2"/>
  <c r="T202" i="2"/>
  <c r="T209" i="2"/>
  <c r="O202" i="2"/>
  <c r="O209" i="2"/>
  <c r="P202" i="2"/>
  <c r="P209" i="2"/>
  <c r="BM198" i="3"/>
  <c r="Q202" i="2"/>
  <c r="Q209" i="2"/>
  <c r="F98" i="9"/>
  <c r="F99" i="9"/>
  <c r="F97" i="9"/>
  <c r="F100" i="9"/>
  <c r="L202" i="2"/>
  <c r="L209" i="2"/>
  <c r="BV243" i="3"/>
  <c r="Q29" i="9"/>
  <c r="AR128" i="3"/>
  <c r="AV228" i="3"/>
  <c r="S29" i="9"/>
  <c r="BR175" i="3"/>
  <c r="K187" i="3"/>
  <c r="P20" i="3"/>
  <c r="P21" i="3" s="1"/>
  <c r="R20" i="3"/>
  <c r="R21" i="3" s="1"/>
  <c r="N29" i="9"/>
  <c r="AH223" i="3"/>
  <c r="J202" i="2"/>
  <c r="J209" i="2"/>
  <c r="I243" i="3"/>
  <c r="AN28" i="3"/>
  <c r="AN205" i="2" s="1"/>
  <c r="L31" i="9"/>
  <c r="L29" i="9" s="1"/>
  <c r="T134" i="9"/>
  <c r="R12" i="9"/>
  <c r="R14" i="9" s="1"/>
  <c r="N83" i="9"/>
  <c r="N91" i="9"/>
  <c r="P68" i="9"/>
  <c r="P92" i="9"/>
  <c r="P67" i="9"/>
  <c r="P91" i="9"/>
  <c r="AI98" i="3"/>
  <c r="K31" i="9"/>
  <c r="K29" i="9" s="1"/>
  <c r="BR98" i="3"/>
  <c r="BR101" i="3" s="1"/>
  <c r="R31" i="9"/>
  <c r="R29" i="9" s="1"/>
  <c r="BH98" i="3"/>
  <c r="P31" i="9"/>
  <c r="P29" i="9" s="1"/>
  <c r="Y203" i="3"/>
  <c r="I31" i="9"/>
  <c r="I29" i="9" s="1"/>
  <c r="Q12" i="9"/>
  <c r="Q14" i="9" s="1"/>
  <c r="AN14" i="3"/>
  <c r="AN278" i="3" s="1"/>
  <c r="L12" i="9"/>
  <c r="L14" i="9" s="1"/>
  <c r="S12" i="9"/>
  <c r="S14" i="9" s="1"/>
  <c r="O83" i="9"/>
  <c r="O91" i="9"/>
  <c r="P12" i="9"/>
  <c r="P14" i="9" s="1"/>
  <c r="O75" i="9"/>
  <c r="N44" i="9"/>
  <c r="AY76" i="2"/>
  <c r="AX62" i="2"/>
  <c r="AX69" i="2" s="1"/>
  <c r="BE76" i="2"/>
  <c r="BE75" i="2"/>
  <c r="BB75" i="2"/>
  <c r="BB76" i="2"/>
  <c r="AW76" i="2"/>
  <c r="BP76" i="2"/>
  <c r="BP75" i="2"/>
  <c r="BP74" i="2" s="1"/>
  <c r="AO75" i="2"/>
  <c r="AS62" i="2"/>
  <c r="AS69" i="2" s="1"/>
  <c r="AO69" i="2"/>
  <c r="BK76" i="2"/>
  <c r="BK75" i="2"/>
  <c r="BK74" i="2" s="1"/>
  <c r="BS76" i="2"/>
  <c r="BS75" i="2"/>
  <c r="BS74" i="2" s="1"/>
  <c r="BN76" i="2"/>
  <c r="BN75" i="2"/>
  <c r="BN74" i="2" s="1"/>
  <c r="BF76" i="2"/>
  <c r="BF75" i="2"/>
  <c r="AU75" i="2"/>
  <c r="BR62" i="2"/>
  <c r="BR69" i="2" s="1"/>
  <c r="BN69" i="2"/>
  <c r="BH62" i="2"/>
  <c r="BH69" i="2" s="1"/>
  <c r="BD69" i="2"/>
  <c r="BV75" i="2"/>
  <c r="BV74" i="2" s="1"/>
  <c r="BV76" i="2"/>
  <c r="BU76" i="2"/>
  <c r="BU75" i="2"/>
  <c r="BU74" i="2" s="1"/>
  <c r="BO76" i="2"/>
  <c r="BO75" i="2"/>
  <c r="BO74" i="2" s="1"/>
  <c r="BA76" i="2"/>
  <c r="BA75" i="2"/>
  <c r="BW62" i="2"/>
  <c r="BW69" i="2" s="1"/>
  <c r="BS69" i="2"/>
  <c r="BX69" i="2"/>
  <c r="BI76" i="2"/>
  <c r="BI75" i="2"/>
  <c r="BI74" i="2" s="1"/>
  <c r="AJ76" i="2"/>
  <c r="AN76" i="2" s="1"/>
  <c r="AJ75" i="2"/>
  <c r="AN75" i="2" s="1"/>
  <c r="AY69" i="2"/>
  <c r="BC62" i="2"/>
  <c r="BC69" i="2" s="1"/>
  <c r="BJ76" i="2"/>
  <c r="BJ75" i="2"/>
  <c r="BJ74" i="2" s="1"/>
  <c r="BM62" i="2"/>
  <c r="BM69" i="2" s="1"/>
  <c r="BI69" i="2"/>
  <c r="BD76" i="2"/>
  <c r="BD75" i="2"/>
  <c r="K45" i="9"/>
  <c r="K69" i="9" s="1"/>
  <c r="BW171" i="2"/>
  <c r="BW170" i="2"/>
  <c r="BI170" i="2"/>
  <c r="BM170" i="2" s="1"/>
  <c r="BM171" i="2"/>
  <c r="BR171" i="2"/>
  <c r="BP170" i="2"/>
  <c r="BR170" i="2" s="1"/>
  <c r="BX170" i="2"/>
  <c r="AQ156" i="2"/>
  <c r="AJ59" i="3"/>
  <c r="AJ206" i="2" s="1"/>
  <c r="AJ29" i="3"/>
  <c r="AJ18" i="3"/>
  <c r="AJ273" i="3" s="1"/>
  <c r="AJ49" i="3"/>
  <c r="AF29" i="3"/>
  <c r="AF18" i="3"/>
  <c r="AF20" i="3" s="1"/>
  <c r="AF21" i="3" s="1"/>
  <c r="AV59" i="3"/>
  <c r="AV206" i="2" s="1"/>
  <c r="AV52" i="3"/>
  <c r="BX61" i="2"/>
  <c r="AQ86" i="2"/>
  <c r="AO87" i="2"/>
  <c r="AO73" i="2" s="1"/>
  <c r="AP76" i="2" s="1"/>
  <c r="AO199" i="2"/>
  <c r="AR87" i="2"/>
  <c r="AR73" i="2" s="1"/>
  <c r="AT75" i="2" s="1"/>
  <c r="AR199" i="2"/>
  <c r="AK49" i="3"/>
  <c r="AK59" i="3"/>
  <c r="AK206" i="2" s="1"/>
  <c r="BG49" i="3"/>
  <c r="BG59" i="3"/>
  <c r="BG206" i="2" s="1"/>
  <c r="BG18" i="3"/>
  <c r="BG20" i="3" s="1"/>
  <c r="BG21" i="3" s="1"/>
  <c r="BG29" i="3"/>
  <c r="AC18" i="3"/>
  <c r="AC273" i="3" s="1"/>
  <c r="AC29" i="3"/>
  <c r="AL18" i="3"/>
  <c r="AL272" i="3" s="1"/>
  <c r="AL52" i="3"/>
  <c r="BY54" i="2"/>
  <c r="BQ59" i="3"/>
  <c r="BQ52" i="3"/>
  <c r="BQ18" i="3"/>
  <c r="BQ272" i="3" s="1"/>
  <c r="BQ29" i="3"/>
  <c r="BQ49" i="3"/>
  <c r="AL49" i="3"/>
  <c r="AL29" i="3"/>
  <c r="M75" i="9"/>
  <c r="AG15" i="3"/>
  <c r="AB278" i="3"/>
  <c r="AB204" i="2"/>
  <c r="AB16" i="3"/>
  <c r="AB24" i="3"/>
  <c r="L75" i="9"/>
  <c r="AB15" i="3"/>
  <c r="AB271" i="3"/>
  <c r="AB277" i="3"/>
  <c r="AB18" i="3"/>
  <c r="AB20" i="3" s="1"/>
  <c r="AB21" i="3" s="1"/>
  <c r="AB29" i="3"/>
  <c r="BH14" i="3"/>
  <c r="BH277" i="3" s="1"/>
  <c r="AX63" i="2"/>
  <c r="AV70" i="2"/>
  <c r="N67" i="9"/>
  <c r="V17" i="35"/>
  <c r="BT59" i="3"/>
  <c r="BT92" i="3" s="1"/>
  <c r="AU29" i="3"/>
  <c r="BJ59" i="3"/>
  <c r="BJ206" i="2" s="1"/>
  <c r="AU52" i="3"/>
  <c r="AE273" i="3"/>
  <c r="AE275" i="3" s="1"/>
  <c r="M44" i="9"/>
  <c r="AD24" i="3"/>
  <c r="K118" i="9"/>
  <c r="O67" i="9"/>
  <c r="BT18" i="3"/>
  <c r="BT272" i="3" s="1"/>
  <c r="BT52" i="3"/>
  <c r="AC49" i="3"/>
  <c r="BT29" i="3"/>
  <c r="BT49" i="3"/>
  <c r="BJ49" i="3"/>
  <c r="AU18" i="3"/>
  <c r="AU273" i="3" s="1"/>
  <c r="BH28" i="3"/>
  <c r="BH205" i="2" s="1"/>
  <c r="AU49" i="3"/>
  <c r="V18" i="3"/>
  <c r="V273" i="3" s="1"/>
  <c r="V29" i="3"/>
  <c r="BW14" i="3"/>
  <c r="L76" i="9"/>
  <c r="BM14" i="3"/>
  <c r="U18" i="3"/>
  <c r="U273" i="3" s="1"/>
  <c r="W272" i="3"/>
  <c r="W273" i="3"/>
  <c r="Y98" i="3"/>
  <c r="Y101" i="3" s="1"/>
  <c r="O68" i="9"/>
  <c r="O84" i="9"/>
  <c r="AC52" i="3"/>
  <c r="BR14" i="3"/>
  <c r="BH203" i="3"/>
  <c r="BH48" i="3"/>
  <c r="BC14" i="3"/>
  <c r="BC24" i="3" s="1"/>
  <c r="O29" i="10"/>
  <c r="X202" i="2"/>
  <c r="X209" i="2"/>
  <c r="BG202" i="2"/>
  <c r="BG209" i="2"/>
  <c r="AZ202" i="2"/>
  <c r="AZ209" i="2"/>
  <c r="AQ202" i="2"/>
  <c r="AQ209" i="2"/>
  <c r="W202" i="2"/>
  <c r="W209" i="2"/>
  <c r="AU202" i="2"/>
  <c r="AU209" i="2"/>
  <c r="AJ202" i="2"/>
  <c r="AJ209" i="2"/>
  <c r="AC202" i="2"/>
  <c r="AC209" i="2"/>
  <c r="AB202" i="2"/>
  <c r="AB209" i="2"/>
  <c r="BJ202" i="2"/>
  <c r="BJ209" i="2"/>
  <c r="V202" i="2"/>
  <c r="V209" i="2"/>
  <c r="AK202" i="2"/>
  <c r="AK209" i="2"/>
  <c r="R24" i="35"/>
  <c r="AG20" i="3"/>
  <c r="AG21" i="3" s="1"/>
  <c r="AE202" i="2"/>
  <c r="AE209" i="2"/>
  <c r="AM202" i="2"/>
  <c r="AM209" i="2"/>
  <c r="AH202" i="2"/>
  <c r="AH209" i="2"/>
  <c r="AW202" i="2"/>
  <c r="AW209" i="2"/>
  <c r="AF202" i="2"/>
  <c r="AF209" i="2"/>
  <c r="AV202" i="2"/>
  <c r="AV209" i="2"/>
  <c r="AR202" i="2"/>
  <c r="AR209" i="2"/>
  <c r="AA202" i="2"/>
  <c r="AA209" i="2"/>
  <c r="AP202" i="2"/>
  <c r="AP209" i="2"/>
  <c r="AL202" i="2"/>
  <c r="AL209" i="2"/>
  <c r="AH49" i="3"/>
  <c r="AH204" i="2"/>
  <c r="AG202" i="2"/>
  <c r="AG209" i="2"/>
  <c r="BM219" i="11"/>
  <c r="AM75" i="11"/>
  <c r="AM76" i="11" s="1"/>
  <c r="AL115" i="11"/>
  <c r="AL116" i="11" s="1"/>
  <c r="AL119" i="11" s="1"/>
  <c r="AL126" i="11" s="1"/>
  <c r="AS133" i="11"/>
  <c r="AS134" i="11" s="1"/>
  <c r="AS135" i="11" s="1"/>
  <c r="BG91" i="11"/>
  <c r="BG92" i="11" s="1"/>
  <c r="AL133" i="11"/>
  <c r="AL134" i="11" s="1"/>
  <c r="AL135" i="11" s="1"/>
  <c r="AK127" i="11"/>
  <c r="AL167" i="11"/>
  <c r="AK174" i="11"/>
  <c r="AN149" i="11"/>
  <c r="AN150" i="11" s="1"/>
  <c r="AN151" i="11" s="1"/>
  <c r="BY133" i="11"/>
  <c r="BY134" i="11" s="1"/>
  <c r="BY131" i="11"/>
  <c r="AK176" i="11"/>
  <c r="AL43" i="11"/>
  <c r="AL44" i="11" s="1"/>
  <c r="AL45" i="11" s="1"/>
  <c r="BG149" i="11"/>
  <c r="BG150" i="11" s="1"/>
  <c r="AL159" i="11"/>
  <c r="BW243" i="3"/>
  <c r="I201" i="3"/>
  <c r="AR180" i="3"/>
  <c r="AS216" i="11"/>
  <c r="AS219" i="11" s="1"/>
  <c r="BB180" i="3"/>
  <c r="BC216" i="11"/>
  <c r="BV257" i="3"/>
  <c r="BW216" i="11"/>
  <c r="BW219" i="11" s="1"/>
  <c r="M187" i="3"/>
  <c r="AW228" i="3"/>
  <c r="AG273" i="3"/>
  <c r="AG275" i="3" s="1"/>
  <c r="M191" i="3"/>
  <c r="M44" i="3"/>
  <c r="L43" i="3"/>
  <c r="J45" i="9"/>
  <c r="Y228" i="3"/>
  <c r="AC219" i="3"/>
  <c r="I86" i="2"/>
  <c r="G37" i="9"/>
  <c r="H87" i="2"/>
  <c r="H73" i="2" s="1"/>
  <c r="D199" i="2"/>
  <c r="M89" i="2"/>
  <c r="AL89" i="2"/>
  <c r="AK89" i="2" s="1"/>
  <c r="V89" i="2"/>
  <c r="BE89" i="2"/>
  <c r="BK89" i="2"/>
  <c r="BJ89" i="2" s="1"/>
  <c r="BU89" i="2"/>
  <c r="H42" i="9"/>
  <c r="H90" i="9" s="1"/>
  <c r="H47" i="9"/>
  <c r="H94" i="9" s="1"/>
  <c r="H74" i="9"/>
  <c r="AF89" i="2"/>
  <c r="BA89" i="2"/>
  <c r="AZ89" i="2" s="1"/>
  <c r="BP89" i="2"/>
  <c r="BO89" i="2" s="1"/>
  <c r="AS128" i="3"/>
  <c r="BH257" i="3"/>
  <c r="AN139" i="3"/>
  <c r="BH228" i="3"/>
  <c r="H77" i="9"/>
  <c r="H85" i="9"/>
  <c r="U77" i="9"/>
  <c r="G87" i="2"/>
  <c r="G73" i="2" s="1"/>
  <c r="T87" i="2"/>
  <c r="T73" i="2" s="1"/>
  <c r="T199" i="2"/>
  <c r="G77" i="9"/>
  <c r="G79" i="9"/>
  <c r="AS190" i="3"/>
  <c r="AS192" i="3"/>
  <c r="I118" i="9"/>
  <c r="I45" i="9"/>
  <c r="F87" i="2"/>
  <c r="F73" i="2" s="1"/>
  <c r="AV89" i="2"/>
  <c r="AU89" i="2" s="1"/>
  <c r="F77" i="9"/>
  <c r="F45" i="9"/>
  <c r="AB89" i="2"/>
  <c r="AA89" i="2" s="1"/>
  <c r="AP89" i="2"/>
  <c r="S87" i="2"/>
  <c r="S73" i="2" s="1"/>
  <c r="S199" i="2"/>
  <c r="AD233" i="3"/>
  <c r="AD210" i="2" s="1"/>
  <c r="AK272" i="3"/>
  <c r="AK275" i="3" s="1"/>
  <c r="AS14" i="3"/>
  <c r="AS204" i="2" s="1"/>
  <c r="AD271" i="3"/>
  <c r="AD278" i="3"/>
  <c r="BR28" i="3"/>
  <c r="AD277" i="3"/>
  <c r="CF136" i="2"/>
  <c r="CF137" i="2"/>
  <c r="CF139" i="2"/>
  <c r="CF138" i="2"/>
  <c r="CF135" i="2"/>
  <c r="CF140" i="2"/>
  <c r="CD135" i="2"/>
  <c r="CD136" i="2"/>
  <c r="CD137" i="2"/>
  <c r="CD139" i="2"/>
  <c r="CD138" i="2"/>
  <c r="CD140" i="2"/>
  <c r="AS28" i="3"/>
  <c r="AS205" i="2" s="1"/>
  <c r="AS98" i="3"/>
  <c r="AS101" i="3" s="1"/>
  <c r="AV201" i="3" s="1"/>
  <c r="CB136" i="2"/>
  <c r="CB137" i="2"/>
  <c r="CB139" i="2"/>
  <c r="CB138" i="2"/>
  <c r="CB140" i="2"/>
  <c r="CB135" i="2"/>
  <c r="BC167" i="2"/>
  <c r="BH167" i="2"/>
  <c r="CL165" i="2"/>
  <c r="AS167" i="2"/>
  <c r="BM167" i="2"/>
  <c r="BR167" i="2"/>
  <c r="BW167" i="2"/>
  <c r="AX167" i="2"/>
  <c r="CE98" i="2"/>
  <c r="CE99" i="2" s="1"/>
  <c r="CE111" i="2"/>
  <c r="CD98" i="2"/>
  <c r="CD99" i="2" s="1"/>
  <c r="CD111" i="2"/>
  <c r="R75" i="9"/>
  <c r="R76" i="9"/>
  <c r="S75" i="9"/>
  <c r="S76" i="9"/>
  <c r="Q76" i="9"/>
  <c r="Q43" i="9"/>
  <c r="Q91" i="9" s="1"/>
  <c r="AZ70" i="2"/>
  <c r="BC63" i="2"/>
  <c r="BC85" i="2" s="1"/>
  <c r="BT70" i="2"/>
  <c r="BR48" i="3"/>
  <c r="BR203" i="3"/>
  <c r="AI28" i="3"/>
  <c r="AI205" i="2" s="1"/>
  <c r="CB236" i="3"/>
  <c r="AX14" i="3"/>
  <c r="AX278" i="3" s="1"/>
  <c r="BQ70" i="2"/>
  <c r="AQ70" i="2"/>
  <c r="CC236" i="3"/>
  <c r="AK69" i="2"/>
  <c r="BM70" i="2"/>
  <c r="AS63" i="2"/>
  <c r="AS85" i="2" s="1"/>
  <c r="CB100" i="2"/>
  <c r="CB99" i="2"/>
  <c r="CA111" i="2"/>
  <c r="BG70" i="2"/>
  <c r="BH63" i="2"/>
  <c r="CL164" i="3"/>
  <c r="CL158" i="3"/>
  <c r="CM158" i="3" s="1"/>
  <c r="CN158" i="3" s="1"/>
  <c r="CO158" i="3" s="1"/>
  <c r="CP158" i="3" s="1"/>
  <c r="CQ158" i="3" s="1"/>
  <c r="CL155" i="3"/>
  <c r="CM155" i="3"/>
  <c r="CN155" i="3" s="1"/>
  <c r="CO155" i="3" s="1"/>
  <c r="CP155" i="3" s="1"/>
  <c r="CQ155" i="3" s="1"/>
  <c r="CL156" i="3"/>
  <c r="CM156" i="3"/>
  <c r="CN156" i="3" s="1"/>
  <c r="CO156" i="3" s="1"/>
  <c r="CP156" i="3" s="1"/>
  <c r="CQ156" i="3" s="1"/>
  <c r="CL143" i="3"/>
  <c r="CM143" i="3"/>
  <c r="CN143" i="3" s="1"/>
  <c r="CO143" i="3" s="1"/>
  <c r="CP143" i="3" s="1"/>
  <c r="CQ143" i="3" s="1"/>
  <c r="CL148" i="3"/>
  <c r="CM148" i="3"/>
  <c r="CN148" i="3" s="1"/>
  <c r="CO148" i="3" s="1"/>
  <c r="CP148" i="3" s="1"/>
  <c r="CQ148" i="3" s="1"/>
  <c r="CL145" i="3"/>
  <c r="CM145" i="3"/>
  <c r="CN145" i="3" s="1"/>
  <c r="CO145" i="3" s="1"/>
  <c r="CP145" i="3" s="1"/>
  <c r="CQ145" i="3" s="1"/>
  <c r="CL144" i="3"/>
  <c r="CM144" i="3"/>
  <c r="CN144" i="3" s="1"/>
  <c r="CO144" i="3" s="1"/>
  <c r="CP144" i="3" s="1"/>
  <c r="CQ144" i="3" s="1"/>
  <c r="CL133" i="3"/>
  <c r="CN133" i="3"/>
  <c r="CO133" i="3" s="1"/>
  <c r="CP133" i="3" s="1"/>
  <c r="CQ133" i="3" s="1"/>
  <c r="CL136" i="3"/>
  <c r="CM136" i="3"/>
  <c r="CN136" i="3" s="1"/>
  <c r="CO136" i="3" s="1"/>
  <c r="CP136" i="3" s="1"/>
  <c r="CQ136" i="3" s="1"/>
  <c r="CL135" i="3"/>
  <c r="CM135" i="3"/>
  <c r="CN135" i="3" s="1"/>
  <c r="CO135" i="3" s="1"/>
  <c r="CP135" i="3" s="1"/>
  <c r="CQ135" i="3" s="1"/>
  <c r="CL130" i="3"/>
  <c r="CM130" i="3"/>
  <c r="CN130" i="3" s="1"/>
  <c r="CO130" i="3" s="1"/>
  <c r="CP130" i="3" s="1"/>
  <c r="CQ130" i="3" s="1"/>
  <c r="CL137" i="3"/>
  <c r="CM137" i="3"/>
  <c r="CN137" i="3" s="1"/>
  <c r="CO137" i="3" s="1"/>
  <c r="CP137" i="3" s="1"/>
  <c r="CQ137" i="3" s="1"/>
  <c r="CL131" i="3"/>
  <c r="CM131" i="3"/>
  <c r="CN131" i="3" s="1"/>
  <c r="CO131" i="3" s="1"/>
  <c r="CP131" i="3" s="1"/>
  <c r="CQ131" i="3" s="1"/>
  <c r="CL134" i="3"/>
  <c r="CM134" i="3"/>
  <c r="CN134" i="3" s="1"/>
  <c r="CO134" i="3" s="1"/>
  <c r="CP134" i="3" s="1"/>
  <c r="CQ134" i="3" s="1"/>
  <c r="CL126" i="3"/>
  <c r="CM126" i="3"/>
  <c r="CN126" i="3" s="1"/>
  <c r="CO126" i="3" s="1"/>
  <c r="CP126" i="3" s="1"/>
  <c r="CQ126" i="3" s="1"/>
  <c r="CL123" i="3"/>
  <c r="CM123" i="3"/>
  <c r="CN123" i="3" s="1"/>
  <c r="CO123" i="3" s="1"/>
  <c r="CP123" i="3" s="1"/>
  <c r="CQ123" i="3" s="1"/>
  <c r="CL165" i="3"/>
  <c r="CL170" i="3"/>
  <c r="AX203" i="3"/>
  <c r="AX48" i="3"/>
  <c r="AX98" i="3"/>
  <c r="AX101" i="3" s="1"/>
  <c r="AX204" i="3" s="1"/>
  <c r="AX28" i="3"/>
  <c r="AX205" i="2" s="1"/>
  <c r="AI14" i="3"/>
  <c r="AI271" i="3" s="1"/>
  <c r="AN98" i="3"/>
  <c r="AN101" i="3" s="1"/>
  <c r="AI203" i="3"/>
  <c r="AE20" i="3"/>
  <c r="AE21" i="3" s="1"/>
  <c r="AD203" i="3"/>
  <c r="AD28" i="3"/>
  <c r="AD205" i="2" s="1"/>
  <c r="AD98" i="3"/>
  <c r="AH29" i="3"/>
  <c r="AJ16" i="3"/>
  <c r="AI48" i="3"/>
  <c r="AI52" i="3" s="1"/>
  <c r="K138" i="9" s="1"/>
  <c r="AK20" i="3"/>
  <c r="AK21" i="3" s="1"/>
  <c r="E55" i="9"/>
  <c r="AH21" i="3"/>
  <c r="BT202" i="2"/>
  <c r="J74" i="9"/>
  <c r="J42" i="9"/>
  <c r="J90" i="9" s="1"/>
  <c r="J67" i="9"/>
  <c r="J83" i="9"/>
  <c r="K68" i="9"/>
  <c r="K84" i="9"/>
  <c r="L83" i="9"/>
  <c r="L67" i="9"/>
  <c r="N74" i="9"/>
  <c r="P66" i="9"/>
  <c r="P82" i="9"/>
  <c r="I42" i="9"/>
  <c r="I90" i="9" s="1"/>
  <c r="BQ202" i="2"/>
  <c r="J17" i="9"/>
  <c r="I83" i="9"/>
  <c r="I67" i="9"/>
  <c r="J68" i="9"/>
  <c r="J84" i="9"/>
  <c r="K67" i="9"/>
  <c r="K83" i="9"/>
  <c r="L68" i="9"/>
  <c r="L84" i="9"/>
  <c r="M74" i="9"/>
  <c r="M67" i="9"/>
  <c r="M83" i="9"/>
  <c r="O74" i="9"/>
  <c r="I76" i="9"/>
  <c r="I44" i="9"/>
  <c r="I92" i="9" s="1"/>
  <c r="K14" i="10"/>
  <c r="K22" i="10"/>
  <c r="L37" i="9"/>
  <c r="S37" i="9"/>
  <c r="CI243" i="3"/>
  <c r="BW214" i="2"/>
  <c r="S63" i="9" s="1"/>
  <c r="S61" i="9" s="1"/>
  <c r="AN214" i="2"/>
  <c r="L63" i="9" s="1"/>
  <c r="L61" i="9" s="1"/>
  <c r="BM214" i="2"/>
  <c r="Q63" i="9" s="1"/>
  <c r="Q61" i="9" s="1"/>
  <c r="Q69" i="9" s="1"/>
  <c r="BC214" i="2"/>
  <c r="O63" i="9" s="1"/>
  <c r="O61" i="9" s="1"/>
  <c r="T117" i="9"/>
  <c r="W123" i="9" s="1"/>
  <c r="K17" i="10"/>
  <c r="K18" i="10"/>
  <c r="T17" i="35"/>
  <c r="Q85" i="9"/>
  <c r="T12" i="35"/>
  <c r="R45" i="9"/>
  <c r="P37" i="9"/>
  <c r="AS19" i="2"/>
  <c r="V12" i="35"/>
  <c r="S116" i="9"/>
  <c r="BZ59" i="11"/>
  <c r="BZ60" i="11" s="1"/>
  <c r="BZ61" i="11" s="1"/>
  <c r="BW228" i="3"/>
  <c r="BV187" i="3"/>
  <c r="U17" i="35"/>
  <c r="AT23" i="2"/>
  <c r="AS23" i="2"/>
  <c r="T31" i="37"/>
  <c r="T35" i="37" s="1"/>
  <c r="R89" i="36"/>
  <c r="R30" i="36"/>
  <c r="S19" i="36"/>
  <c r="D55" i="9"/>
  <c r="X14" i="3"/>
  <c r="X60" i="3" s="1"/>
  <c r="Y9" i="3"/>
  <c r="I9" i="9" s="1"/>
  <c r="I14" i="9" s="1"/>
  <c r="AV19" i="11"/>
  <c r="AX169" i="11"/>
  <c r="AX194" i="11" s="1"/>
  <c r="AY194" i="11" s="1"/>
  <c r="AX168" i="11"/>
  <c r="AX192" i="11" s="1"/>
  <c r="AY192" i="11" s="1"/>
  <c r="AX173" i="11"/>
  <c r="AU132" i="11"/>
  <c r="AV130" i="11" s="1"/>
  <c r="AP148" i="11"/>
  <c r="AQ146" i="11" s="1"/>
  <c r="BT149" i="11"/>
  <c r="BT150" i="11" s="1"/>
  <c r="AN27" i="11"/>
  <c r="AN28" i="11" s="1"/>
  <c r="AN29" i="11" s="1"/>
  <c r="AN74" i="11"/>
  <c r="AO74" i="11" s="1"/>
  <c r="AP72" i="11" s="1"/>
  <c r="CA64" i="11"/>
  <c r="CA65" i="11" s="1"/>
  <c r="BZ67" i="11"/>
  <c r="BZ68" i="11" s="1"/>
  <c r="BY69" i="11" s="1"/>
  <c r="BH133" i="11"/>
  <c r="BH134" i="11" s="1"/>
  <c r="BH135" i="11" s="1"/>
  <c r="CA104" i="11"/>
  <c r="CA105" i="11" s="1"/>
  <c r="AX8" i="11"/>
  <c r="AS59" i="11"/>
  <c r="AS60" i="11" s="1"/>
  <c r="AS61" i="11" s="1"/>
  <c r="AZ169" i="11"/>
  <c r="AZ168" i="11"/>
  <c r="AZ192" i="11" s="1"/>
  <c r="AZ173" i="11"/>
  <c r="BH90" i="11"/>
  <c r="BI90" i="11" s="1"/>
  <c r="BJ88" i="11" s="1"/>
  <c r="BH148" i="11"/>
  <c r="BI148" i="11" s="1"/>
  <c r="BJ146" i="11" s="1"/>
  <c r="AM50" i="11"/>
  <c r="AN48" i="11" s="1"/>
  <c r="AL124" i="11"/>
  <c r="AL201" i="11" s="1"/>
  <c r="AL195" i="11" s="1"/>
  <c r="AM117" i="11"/>
  <c r="CA88" i="11"/>
  <c r="CA89" i="11" s="1"/>
  <c r="AP26" i="11"/>
  <c r="AQ24" i="11" s="1"/>
  <c r="BJ131" i="11"/>
  <c r="BJ132" i="11" s="1"/>
  <c r="AU58" i="11"/>
  <c r="AV56" i="11" s="1"/>
  <c r="AN90" i="11"/>
  <c r="AO90" i="11" s="1"/>
  <c r="AP88" i="11" s="1"/>
  <c r="AM66" i="11"/>
  <c r="AN64" i="11" s="1"/>
  <c r="CA40" i="11"/>
  <c r="CA72" i="11"/>
  <c r="AL51" i="11"/>
  <c r="AL52" i="11" s="1"/>
  <c r="AL53" i="11" s="1"/>
  <c r="AN34" i="11"/>
  <c r="AO34" i="11" s="1"/>
  <c r="AP32" i="11" s="1"/>
  <c r="AT192" i="11"/>
  <c r="AM91" i="11"/>
  <c r="AM92" i="11" s="1"/>
  <c r="AL67" i="11"/>
  <c r="AL68" i="11" s="1"/>
  <c r="AP140" i="11"/>
  <c r="AQ138" i="11" s="1"/>
  <c r="AS159" i="11"/>
  <c r="AL19" i="11"/>
  <c r="BC50" i="11"/>
  <c r="BD50" i="11" s="1"/>
  <c r="BE48" i="11" s="1"/>
  <c r="CA48" i="11"/>
  <c r="CA49" i="11" s="1"/>
  <c r="AM82" i="11"/>
  <c r="AN80" i="11" s="1"/>
  <c r="BL8" i="11"/>
  <c r="BL112" i="11" s="1"/>
  <c r="BU148" i="11"/>
  <c r="BV146" i="11" s="1"/>
  <c r="BE202" i="11"/>
  <c r="BF202" i="11" s="1"/>
  <c r="BG202" i="11" s="1"/>
  <c r="BH202" i="11" s="1"/>
  <c r="BD202" i="11"/>
  <c r="AM35" i="11"/>
  <c r="AM36" i="11" s="1"/>
  <c r="AM37" i="11" s="1"/>
  <c r="AK69" i="11"/>
  <c r="AK179" i="11" s="1"/>
  <c r="BZ130" i="11"/>
  <c r="BZ131" i="11" s="1"/>
  <c r="BZ181" i="11" s="1"/>
  <c r="AW16" i="11"/>
  <c r="AW17" i="11" s="1"/>
  <c r="AW18" i="11" s="1"/>
  <c r="AM42" i="11"/>
  <c r="AN40" i="11" s="1"/>
  <c r="AN141" i="11"/>
  <c r="AN142" i="11" s="1"/>
  <c r="AN143" i="11" s="1"/>
  <c r="AS167" i="11"/>
  <c r="AR174" i="11"/>
  <c r="AM13" i="11"/>
  <c r="CB56" i="11"/>
  <c r="BB51" i="11"/>
  <c r="BB52" i="11" s="1"/>
  <c r="BB53" i="11" s="1"/>
  <c r="BA9" i="11"/>
  <c r="BA155" i="11" s="1"/>
  <c r="AL83" i="11"/>
  <c r="AL84" i="11" s="1"/>
  <c r="AL85" i="11" s="1"/>
  <c r="AM132" i="11"/>
  <c r="AN130" i="11" s="1"/>
  <c r="AK178" i="11"/>
  <c r="L273" i="3"/>
  <c r="L272" i="3"/>
  <c r="L20" i="3"/>
  <c r="L21" i="3" s="1"/>
  <c r="AC102" i="3"/>
  <c r="AF102" i="3"/>
  <c r="AU92" i="3"/>
  <c r="AU60" i="3"/>
  <c r="AL92" i="3"/>
  <c r="AL64" i="3"/>
  <c r="AL207" i="2" s="1"/>
  <c r="AL60" i="3"/>
  <c r="AO59" i="3"/>
  <c r="AO206" i="2" s="1"/>
  <c r="AO49" i="3"/>
  <c r="AO52" i="3"/>
  <c r="W46" i="3"/>
  <c r="W48" i="3" s="1"/>
  <c r="AY69" i="3"/>
  <c r="AZ69" i="3"/>
  <c r="BA69" i="3" s="1"/>
  <c r="BB69" i="3" s="1"/>
  <c r="BD69" i="3" s="1"/>
  <c r="BI29" i="3"/>
  <c r="BI18" i="3"/>
  <c r="J208" i="3"/>
  <c r="J207" i="3"/>
  <c r="J199" i="3"/>
  <c r="J186" i="3"/>
  <c r="J187" i="3" s="1"/>
  <c r="J174" i="3"/>
  <c r="J175" i="3" s="1"/>
  <c r="AJ183" i="3"/>
  <c r="AK167" i="3"/>
  <c r="BG243" i="3"/>
  <c r="BG214" i="2"/>
  <c r="G273" i="3"/>
  <c r="G272" i="3"/>
  <c r="G20" i="3"/>
  <c r="G21" i="3" s="1"/>
  <c r="AH92" i="3"/>
  <c r="AH60" i="3"/>
  <c r="AH64" i="3"/>
  <c r="AH207" i="2" s="1"/>
  <c r="AW273" i="3"/>
  <c r="AW272" i="3"/>
  <c r="AQ102" i="3"/>
  <c r="L102" i="3"/>
  <c r="BA101" i="3"/>
  <c r="BU29" i="3"/>
  <c r="BU18" i="3"/>
  <c r="AT59" i="3"/>
  <c r="AT206" i="2" s="1"/>
  <c r="AT49" i="3"/>
  <c r="AT52" i="3"/>
  <c r="BP101" i="3"/>
  <c r="BP209" i="2" s="1"/>
  <c r="BC199" i="3"/>
  <c r="BR199" i="3"/>
  <c r="BL180" i="3"/>
  <c r="BM253" i="3"/>
  <c r="V102" i="3"/>
  <c r="BB29" i="3"/>
  <c r="BB18" i="3"/>
  <c r="BO101" i="3"/>
  <c r="BO209" i="2" s="1"/>
  <c r="AY101" i="3"/>
  <c r="X175" i="3"/>
  <c r="AC152" i="3"/>
  <c r="AD147" i="3"/>
  <c r="AB208" i="3"/>
  <c r="AB199" i="3"/>
  <c r="AB207" i="3"/>
  <c r="AB186" i="3"/>
  <c r="AC178" i="3" s="1"/>
  <c r="AB198" i="3"/>
  <c r="BV161" i="3"/>
  <c r="BV174" i="3" s="1"/>
  <c r="BW152" i="3"/>
  <c r="BW161" i="3" s="1"/>
  <c r="AX163" i="3"/>
  <c r="AP273" i="3"/>
  <c r="AP272" i="3"/>
  <c r="AP20" i="3"/>
  <c r="AP21" i="3" s="1"/>
  <c r="S29" i="3"/>
  <c r="O92" i="3"/>
  <c r="O60" i="3"/>
  <c r="O64" i="3"/>
  <c r="O207" i="2" s="1"/>
  <c r="U29" i="3"/>
  <c r="Y28" i="3"/>
  <c r="Y205" i="2" s="1"/>
  <c r="BD101" i="3"/>
  <c r="AI101" i="3"/>
  <c r="BE52" i="3"/>
  <c r="BE59" i="3"/>
  <c r="BE206" i="2" s="1"/>
  <c r="BE49" i="3"/>
  <c r="BF59" i="3"/>
  <c r="BF206" i="2" s="1"/>
  <c r="BF49" i="3"/>
  <c r="BF52" i="3"/>
  <c r="AR257" i="3"/>
  <c r="N29" i="3"/>
  <c r="BQ102" i="3"/>
  <c r="AP92" i="3"/>
  <c r="AP60" i="3"/>
  <c r="K201" i="3"/>
  <c r="M201" i="3"/>
  <c r="L201" i="3"/>
  <c r="K102" i="3"/>
  <c r="K209" i="2"/>
  <c r="M200" i="3"/>
  <c r="K200" i="3"/>
  <c r="L200" i="3"/>
  <c r="AG92" i="3"/>
  <c r="AG64" i="3"/>
  <c r="AG207" i="2" s="1"/>
  <c r="AG60" i="3"/>
  <c r="AV102" i="3"/>
  <c r="AO29" i="3"/>
  <c r="AO18" i="3"/>
  <c r="V191" i="3"/>
  <c r="V44" i="3"/>
  <c r="U43" i="3"/>
  <c r="W203" i="3" s="1"/>
  <c r="Z29" i="3"/>
  <c r="Z18" i="3"/>
  <c r="BV29" i="3"/>
  <c r="BV18" i="3"/>
  <c r="BI101" i="3"/>
  <c r="AJ147" i="3"/>
  <c r="AH152" i="3"/>
  <c r="AI147" i="3"/>
  <c r="AR102" i="3"/>
  <c r="M102" i="3"/>
  <c r="AA191" i="3"/>
  <c r="Z43" i="3"/>
  <c r="AA44" i="3"/>
  <c r="AE203" i="3"/>
  <c r="AZ102" i="3"/>
  <c r="BK29" i="3"/>
  <c r="BK18" i="3"/>
  <c r="BU52" i="3"/>
  <c r="BU59" i="3"/>
  <c r="BU49" i="3"/>
  <c r="AT101" i="3"/>
  <c r="BL59" i="3"/>
  <c r="BL52" i="3"/>
  <c r="BL49" i="3"/>
  <c r="I102" i="3"/>
  <c r="I200" i="3"/>
  <c r="BL175" i="3"/>
  <c r="R228" i="3"/>
  <c r="S223" i="3"/>
  <c r="S228" i="3" s="1"/>
  <c r="CD163" i="3"/>
  <c r="BV180" i="3"/>
  <c r="BW253" i="3"/>
  <c r="AC92" i="3"/>
  <c r="AC182" i="3" s="1"/>
  <c r="AC181" i="3" s="1"/>
  <c r="AC64" i="3"/>
  <c r="AC207" i="2" s="1"/>
  <c r="AC60" i="3"/>
  <c r="AR272" i="3"/>
  <c r="AR273" i="3"/>
  <c r="AW92" i="3"/>
  <c r="X92" i="3"/>
  <c r="X64" i="3"/>
  <c r="X207" i="2" s="1"/>
  <c r="H46" i="3"/>
  <c r="H48" i="3" s="1"/>
  <c r="AU102" i="3"/>
  <c r="T92" i="3"/>
  <c r="T64" i="3"/>
  <c r="T207" i="2" s="1"/>
  <c r="T60" i="3"/>
  <c r="BM203" i="3"/>
  <c r="BM98" i="3"/>
  <c r="BM28" i="3"/>
  <c r="BM205" i="2" s="1"/>
  <c r="BM48" i="3"/>
  <c r="BB101" i="3"/>
  <c r="BS52" i="3"/>
  <c r="BS59" i="3"/>
  <c r="BS49" i="3"/>
  <c r="AB161" i="3"/>
  <c r="AB174" i="3" s="1"/>
  <c r="AB175" i="3" s="1"/>
  <c r="AB194" i="3"/>
  <c r="AB195" i="3" s="1"/>
  <c r="BH199" i="3"/>
  <c r="AB243" i="3"/>
  <c r="AB214" i="2"/>
  <c r="AH278" i="3"/>
  <c r="AH271" i="3"/>
  <c r="AH24" i="3"/>
  <c r="AH15" i="3"/>
  <c r="AH18" i="3"/>
  <c r="AM15" i="3"/>
  <c r="AH16" i="3"/>
  <c r="AH277" i="3"/>
  <c r="AK102" i="3"/>
  <c r="Q102" i="3"/>
  <c r="AG102" i="3"/>
  <c r="BT102" i="3"/>
  <c r="U101" i="3"/>
  <c r="BN29" i="3"/>
  <c r="Q191" i="3"/>
  <c r="Q44" i="3"/>
  <c r="P43" i="3"/>
  <c r="S203" i="3" s="1"/>
  <c r="BE29" i="3"/>
  <c r="BE18" i="3"/>
  <c r="BF29" i="3"/>
  <c r="BF18" i="3"/>
  <c r="AS156" i="3"/>
  <c r="AT156" i="3"/>
  <c r="AU156" i="3" s="1"/>
  <c r="AV156" i="3" s="1"/>
  <c r="AW156" i="3" s="1"/>
  <c r="AX156" i="3" s="1"/>
  <c r="CD167" i="3"/>
  <c r="AD167" i="3"/>
  <c r="AC183" i="3"/>
  <c r="AC172" i="3"/>
  <c r="N243" i="3"/>
  <c r="N214" i="2"/>
  <c r="O214" i="2" s="1"/>
  <c r="N101" i="3"/>
  <c r="BL226" i="3"/>
  <c r="BL228" i="3" s="1"/>
  <c r="I18" i="3"/>
  <c r="J18" i="3" s="1"/>
  <c r="F20" i="3"/>
  <c r="F21" i="3" s="1"/>
  <c r="AB102" i="3"/>
  <c r="R102" i="3"/>
  <c r="AO101" i="3"/>
  <c r="BV101" i="3"/>
  <c r="BV209" i="2" s="1"/>
  <c r="AS158" i="3"/>
  <c r="AT158" i="3"/>
  <c r="AU158" i="3" s="1"/>
  <c r="AV158" i="3" s="1"/>
  <c r="AW158" i="3" s="1"/>
  <c r="AX158" i="3" s="1"/>
  <c r="AE187" i="3"/>
  <c r="AG161" i="3"/>
  <c r="AG194" i="3"/>
  <c r="AG195" i="3" s="1"/>
  <c r="BL187" i="3"/>
  <c r="BW172" i="3"/>
  <c r="BQ243" i="3"/>
  <c r="BQ214" i="2"/>
  <c r="BR236" i="3"/>
  <c r="N272" i="3"/>
  <c r="AG204" i="3"/>
  <c r="AE201" i="3"/>
  <c r="AF204" i="3"/>
  <c r="AH201" i="3"/>
  <c r="AE204" i="3"/>
  <c r="AG201" i="3"/>
  <c r="AH204" i="3"/>
  <c r="AF201" i="3"/>
  <c r="AE102" i="3"/>
  <c r="AH200" i="3"/>
  <c r="AE200" i="3"/>
  <c r="AG200" i="3"/>
  <c r="AF200" i="3"/>
  <c r="BJ102" i="3"/>
  <c r="T204" i="3"/>
  <c r="T201" i="3"/>
  <c r="T102" i="3"/>
  <c r="AV273" i="3"/>
  <c r="AV272" i="3"/>
  <c r="AV20" i="3"/>
  <c r="AV21" i="3" s="1"/>
  <c r="O201" i="3"/>
  <c r="O204" i="3"/>
  <c r="O102" i="3"/>
  <c r="BA29" i="3"/>
  <c r="BA18" i="3"/>
  <c r="BK59" i="3"/>
  <c r="BK206" i="2" s="1"/>
  <c r="BK49" i="3"/>
  <c r="BK52" i="3"/>
  <c r="BU101" i="3"/>
  <c r="BU209" i="2" s="1"/>
  <c r="BL29" i="3"/>
  <c r="BL18" i="3"/>
  <c r="BP59" i="3"/>
  <c r="BP49" i="3"/>
  <c r="BP52" i="3"/>
  <c r="AF207" i="3"/>
  <c r="AF199" i="3"/>
  <c r="AF208" i="3"/>
  <c r="AF186" i="3"/>
  <c r="AG178" i="3" s="1"/>
  <c r="AF174" i="3"/>
  <c r="AF175" i="3" s="1"/>
  <c r="AF198" i="3"/>
  <c r="L187" i="3"/>
  <c r="J198" i="3"/>
  <c r="AC243" i="3"/>
  <c r="AC214" i="2"/>
  <c r="BL257" i="3"/>
  <c r="M273" i="3"/>
  <c r="M272" i="3"/>
  <c r="M20" i="3"/>
  <c r="M21" i="3" s="1"/>
  <c r="AM102" i="3"/>
  <c r="AA273" i="3"/>
  <c r="AA272" i="3"/>
  <c r="AA20" i="3"/>
  <c r="AA21" i="3" s="1"/>
  <c r="AF92" i="3"/>
  <c r="AF64" i="3"/>
  <c r="AF207" i="2" s="1"/>
  <c r="AF60" i="3"/>
  <c r="CC69" i="3"/>
  <c r="CB69" i="3"/>
  <c r="AQ92" i="3"/>
  <c r="AQ60" i="3"/>
  <c r="BO59" i="3"/>
  <c r="BO49" i="3"/>
  <c r="BO52" i="3"/>
  <c r="AY59" i="3"/>
  <c r="AY206" i="2" s="1"/>
  <c r="AY49" i="3"/>
  <c r="AY52" i="3"/>
  <c r="BS29" i="3"/>
  <c r="BS18" i="3"/>
  <c r="S98" i="3"/>
  <c r="O208" i="3"/>
  <c r="O207" i="3"/>
  <c r="O199" i="3"/>
  <c r="O186" i="3"/>
  <c r="O187" i="3" s="1"/>
  <c r="O174" i="3"/>
  <c r="O175" i="3" s="1"/>
  <c r="P187" i="3"/>
  <c r="T200" i="3"/>
  <c r="AH102" i="3"/>
  <c r="AM273" i="3"/>
  <c r="AM272" i="3"/>
  <c r="BG102" i="3"/>
  <c r="AE59" i="3"/>
  <c r="AE206" i="2" s="1"/>
  <c r="AE49" i="3"/>
  <c r="AE52" i="3"/>
  <c r="BD29" i="3"/>
  <c r="BD18" i="3"/>
  <c r="BN59" i="3"/>
  <c r="BN49" i="3"/>
  <c r="BN52" i="3"/>
  <c r="R46" i="3"/>
  <c r="R48" i="3" s="1"/>
  <c r="BW98" i="3"/>
  <c r="BW28" i="3"/>
  <c r="BW205" i="2" s="1"/>
  <c r="BE101" i="3"/>
  <c r="BF101" i="3"/>
  <c r="AR243" i="3"/>
  <c r="AR214" i="2"/>
  <c r="BH236" i="3"/>
  <c r="BH300" i="3" s="1"/>
  <c r="BH301" i="3" s="1"/>
  <c r="BH302" i="3" s="1"/>
  <c r="K273" i="3"/>
  <c r="K272" i="3"/>
  <c r="O18" i="3"/>
  <c r="K20" i="3"/>
  <c r="K21" i="3" s="1"/>
  <c r="AW102" i="3"/>
  <c r="AJ204" i="3"/>
  <c r="AJ201" i="3"/>
  <c r="AM201" i="3"/>
  <c r="AL204" i="3"/>
  <c r="AL201" i="3"/>
  <c r="AK204" i="3"/>
  <c r="AK201" i="3"/>
  <c r="AJ102" i="3"/>
  <c r="AJ200" i="3"/>
  <c r="AL200" i="3"/>
  <c r="AK200" i="3"/>
  <c r="AM200" i="3"/>
  <c r="BH101" i="3"/>
  <c r="BH209" i="2" s="1"/>
  <c r="J59" i="3"/>
  <c r="J206" i="2" s="1"/>
  <c r="J49" i="3"/>
  <c r="AX69" i="3"/>
  <c r="BC203" i="3"/>
  <c r="BC98" i="3"/>
  <c r="BC28" i="3"/>
  <c r="BC205" i="2" s="1"/>
  <c r="BC48" i="3"/>
  <c r="Z101" i="3"/>
  <c r="BI59" i="3"/>
  <c r="BI206" i="2" s="1"/>
  <c r="BI49" i="3"/>
  <c r="BI52" i="3"/>
  <c r="BZ184" i="3"/>
  <c r="BZ179" i="3"/>
  <c r="AA102" i="3"/>
  <c r="BA59" i="3"/>
  <c r="BA206" i="2" s="1"/>
  <c r="BA49" i="3"/>
  <c r="BA52" i="3"/>
  <c r="BK101" i="3"/>
  <c r="AT29" i="3"/>
  <c r="AT18" i="3"/>
  <c r="BL101" i="3"/>
  <c r="BL209" i="2" s="1"/>
  <c r="BP29" i="3"/>
  <c r="BP18" i="3"/>
  <c r="AH163" i="3"/>
  <c r="AG172" i="3"/>
  <c r="X243" i="3"/>
  <c r="X214" i="2"/>
  <c r="BJ273" i="3"/>
  <c r="BJ272" i="3"/>
  <c r="BJ20" i="3"/>
  <c r="BJ21" i="3" s="1"/>
  <c r="P201" i="3"/>
  <c r="R201" i="3"/>
  <c r="Q201" i="3"/>
  <c r="P102" i="3"/>
  <c r="P200" i="3"/>
  <c r="Q200" i="3"/>
  <c r="W102" i="3"/>
  <c r="AP102" i="3"/>
  <c r="AZ272" i="3"/>
  <c r="AZ273" i="3"/>
  <c r="AZ20" i="3"/>
  <c r="AZ21" i="3" s="1"/>
  <c r="AL102" i="3"/>
  <c r="BB59" i="3"/>
  <c r="BB206" i="2" s="1"/>
  <c r="BB49" i="3"/>
  <c r="BB52" i="3"/>
  <c r="BO29" i="3"/>
  <c r="BO18" i="3"/>
  <c r="AY29" i="3"/>
  <c r="AY18" i="3"/>
  <c r="BS101" i="3"/>
  <c r="BS209" i="2" s="1"/>
  <c r="BM186" i="3"/>
  <c r="BR178" i="3" s="1"/>
  <c r="BM174" i="3"/>
  <c r="BM175" i="3" s="1"/>
  <c r="CB159" i="3"/>
  <c r="CC159" i="3"/>
  <c r="CD159" i="3" s="1"/>
  <c r="CE159" i="3" s="1"/>
  <c r="CF159" i="3" s="1"/>
  <c r="AS193" i="3"/>
  <c r="BW79" i="3"/>
  <c r="S273" i="3"/>
  <c r="H273" i="3"/>
  <c r="H272" i="3"/>
  <c r="H20" i="3"/>
  <c r="H21" i="3" s="1"/>
  <c r="AZ92" i="3"/>
  <c r="AZ60" i="3"/>
  <c r="G191" i="3"/>
  <c r="F43" i="3"/>
  <c r="G44" i="3"/>
  <c r="AQ273" i="3"/>
  <c r="AQ272" i="3"/>
  <c r="AQ20" i="3"/>
  <c r="AQ21" i="3" s="1"/>
  <c r="BD59" i="3"/>
  <c r="BD206" i="2" s="1"/>
  <c r="BD49" i="3"/>
  <c r="BD52" i="3"/>
  <c r="BN101" i="3"/>
  <c r="BN209" i="2" s="1"/>
  <c r="AP131" i="3"/>
  <c r="AO139" i="3"/>
  <c r="Q187" i="3"/>
  <c r="BM199" i="3"/>
  <c r="BQ226" i="3"/>
  <c r="AS165" i="3"/>
  <c r="AT179" i="3"/>
  <c r="AR179" i="3"/>
  <c r="BB249" i="3"/>
  <c r="BB257" i="3" s="1"/>
  <c r="AR20" i="2"/>
  <c r="AT19" i="2"/>
  <c r="AR21" i="2"/>
  <c r="AK196" i="11" l="1"/>
  <c r="AK197" i="11" s="1"/>
  <c r="AK198" i="11" s="1"/>
  <c r="BM74" i="2"/>
  <c r="BW24" i="3"/>
  <c r="U203" i="3"/>
  <c r="P204" i="3"/>
  <c r="H97" i="9"/>
  <c r="R200" i="3"/>
  <c r="Q204" i="3"/>
  <c r="R204" i="3"/>
  <c r="BR257" i="3"/>
  <c r="AN204" i="2"/>
  <c r="H100" i="9"/>
  <c r="H98" i="9"/>
  <c r="T18" i="3"/>
  <c r="T272" i="3" s="1"/>
  <c r="N273" i="3"/>
  <c r="AW60" i="3"/>
  <c r="AN29" i="3"/>
  <c r="P47" i="9"/>
  <c r="P94" i="9" s="1"/>
  <c r="AN277" i="3"/>
  <c r="K85" i="9"/>
  <c r="BC69" i="3"/>
  <c r="V203" i="3"/>
  <c r="S275" i="3"/>
  <c r="BR300" i="3"/>
  <c r="BR301" i="3" s="1"/>
  <c r="BR302" i="3" s="1"/>
  <c r="N202" i="2"/>
  <c r="N209" i="2"/>
  <c r="AJ64" i="3"/>
  <c r="AJ207" i="2" s="1"/>
  <c r="AN24" i="3"/>
  <c r="AN271" i="3"/>
  <c r="P77" i="9"/>
  <c r="S77" i="9"/>
  <c r="Q77" i="9"/>
  <c r="R77" i="9"/>
  <c r="K97" i="9"/>
  <c r="K98" i="9"/>
  <c r="K99" i="9"/>
  <c r="T135" i="9"/>
  <c r="N84" i="9"/>
  <c r="N92" i="9"/>
  <c r="N68" i="9"/>
  <c r="BS273" i="3"/>
  <c r="BS272" i="3"/>
  <c r="M68" i="9"/>
  <c r="M92" i="9"/>
  <c r="K100" i="9"/>
  <c r="BM76" i="2"/>
  <c r="AZ76" i="2"/>
  <c r="BC76" i="2" s="1"/>
  <c r="AZ75" i="2"/>
  <c r="BC75" i="2" s="1"/>
  <c r="AP75" i="2"/>
  <c r="BG76" i="2"/>
  <c r="BH76" i="2" s="1"/>
  <c r="BG75" i="2"/>
  <c r="BH75" i="2" s="1"/>
  <c r="AQ76" i="2"/>
  <c r="AQ75" i="2"/>
  <c r="BT76" i="2"/>
  <c r="BW76" i="2" s="1"/>
  <c r="BT75" i="2"/>
  <c r="AV76" i="2"/>
  <c r="AV75" i="2"/>
  <c r="AX75" i="2" s="1"/>
  <c r="AT76" i="2"/>
  <c r="BQ76" i="2"/>
  <c r="BR76" i="2" s="1"/>
  <c r="BQ75" i="2"/>
  <c r="L45" i="9"/>
  <c r="L85" i="9" s="1"/>
  <c r="G118" i="9"/>
  <c r="G100" i="9"/>
  <c r="AJ60" i="3"/>
  <c r="AJ92" i="3"/>
  <c r="AJ217" i="3" s="1"/>
  <c r="AJ233" i="3" s="1"/>
  <c r="AF272" i="3"/>
  <c r="AR156" i="2"/>
  <c r="AJ20" i="3"/>
  <c r="AJ21" i="3" s="1"/>
  <c r="AJ272" i="3"/>
  <c r="AJ275" i="3" s="1"/>
  <c r="AF273" i="3"/>
  <c r="AI18" i="3"/>
  <c r="AI273" i="3" s="1"/>
  <c r="AV92" i="3"/>
  <c r="AV182" i="3" s="1"/>
  <c r="AV181" i="3" s="1"/>
  <c r="AV60" i="3"/>
  <c r="BY61" i="2"/>
  <c r="BY68" i="2" s="1"/>
  <c r="AX70" i="2"/>
  <c r="AX85" i="2"/>
  <c r="AS86" i="2"/>
  <c r="M34" i="9"/>
  <c r="BC86" i="2"/>
  <c r="O34" i="9"/>
  <c r="AQ87" i="2"/>
  <c r="AQ73" i="2" s="1"/>
  <c r="AQ199" i="2"/>
  <c r="BM75" i="2"/>
  <c r="AK60" i="3"/>
  <c r="AK92" i="3"/>
  <c r="AK217" i="3" s="1"/>
  <c r="AK233" i="3" s="1"/>
  <c r="AK64" i="3"/>
  <c r="AK207" i="2" s="1"/>
  <c r="BG60" i="3"/>
  <c r="BG272" i="3"/>
  <c r="BG111" i="3"/>
  <c r="BG62" i="3" s="1"/>
  <c r="BG273" i="3"/>
  <c r="BG112" i="3"/>
  <c r="BG67" i="3" s="1"/>
  <c r="AN18" i="3"/>
  <c r="AN272" i="3" s="1"/>
  <c r="BG92" i="3"/>
  <c r="BG182" i="3" s="1"/>
  <c r="BG181" i="3" s="1"/>
  <c r="AL273" i="3"/>
  <c r="AL275" i="3" s="1"/>
  <c r="AC20" i="3"/>
  <c r="AC21" i="3" s="1"/>
  <c r="AL20" i="3"/>
  <c r="AL21" i="3" s="1"/>
  <c r="AC272" i="3"/>
  <c r="AC275" i="3" s="1"/>
  <c r="BQ60" i="3"/>
  <c r="BQ206" i="2"/>
  <c r="BQ92" i="3"/>
  <c r="BQ94" i="3" s="1"/>
  <c r="BQ95" i="3" s="1"/>
  <c r="BQ96" i="3" s="1"/>
  <c r="BQ64" i="3"/>
  <c r="BQ207" i="2" s="1"/>
  <c r="P21" i="9"/>
  <c r="AU272" i="3"/>
  <c r="AU275" i="3" s="1"/>
  <c r="BQ20" i="3"/>
  <c r="BQ21" i="3" s="1"/>
  <c r="BQ273" i="3"/>
  <c r="BQ275" i="3" s="1"/>
  <c r="AU20" i="3"/>
  <c r="AU21" i="3" s="1"/>
  <c r="AB273" i="3"/>
  <c r="BM24" i="3"/>
  <c r="BH24" i="3"/>
  <c r="BH204" i="2"/>
  <c r="K77" i="9"/>
  <c r="K20" i="9"/>
  <c r="AB272" i="3"/>
  <c r="BH278" i="3"/>
  <c r="BR278" i="3"/>
  <c r="BH49" i="3"/>
  <c r="M84" i="9"/>
  <c r="BH195" i="3"/>
  <c r="BH271" i="3"/>
  <c r="BR15" i="3"/>
  <c r="BT64" i="3"/>
  <c r="BT207" i="2" s="1"/>
  <c r="BJ60" i="3"/>
  <c r="AS277" i="3"/>
  <c r="BT273" i="3"/>
  <c r="BT275" i="3" s="1"/>
  <c r="BJ64" i="3"/>
  <c r="BJ207" i="2" s="1"/>
  <c r="BJ92" i="3"/>
  <c r="BJ94" i="3" s="1"/>
  <c r="BJ95" i="3" s="1"/>
  <c r="BJ96" i="3" s="1"/>
  <c r="BT60" i="3"/>
  <c r="BT206" i="2"/>
  <c r="Q22" i="9"/>
  <c r="BM271" i="3"/>
  <c r="BH59" i="3"/>
  <c r="BH206" i="2" s="1"/>
  <c r="BH29" i="3"/>
  <c r="S20" i="9"/>
  <c r="AI15" i="3"/>
  <c r="Q75" i="9"/>
  <c r="W275" i="3"/>
  <c r="BT20" i="3"/>
  <c r="BT21" i="3" s="1"/>
  <c r="V20" i="3"/>
  <c r="V21" i="3" s="1"/>
  <c r="BH15" i="3"/>
  <c r="BW277" i="3"/>
  <c r="BC271" i="3"/>
  <c r="S44" i="9"/>
  <c r="BW278" i="3"/>
  <c r="AX271" i="3"/>
  <c r="BC278" i="3"/>
  <c r="R44" i="9"/>
  <c r="R22" i="35"/>
  <c r="BC277" i="3"/>
  <c r="BW204" i="2"/>
  <c r="BH52" i="3"/>
  <c r="P138" i="9" s="1"/>
  <c r="BW271" i="3"/>
  <c r="BC204" i="2"/>
  <c r="U20" i="3"/>
  <c r="U21" i="3" s="1"/>
  <c r="V272" i="3"/>
  <c r="V275" i="3" s="1"/>
  <c r="U272" i="3"/>
  <c r="U275" i="3" s="1"/>
  <c r="BR49" i="3"/>
  <c r="BM278" i="3"/>
  <c r="BR271" i="3"/>
  <c r="BR24" i="3"/>
  <c r="BM204" i="2"/>
  <c r="BM15" i="3"/>
  <c r="BR195" i="3"/>
  <c r="BM195" i="3"/>
  <c r="BR277" i="3"/>
  <c r="AS271" i="3"/>
  <c r="BM277" i="3"/>
  <c r="M77" i="9"/>
  <c r="AS24" i="3"/>
  <c r="BW15" i="3"/>
  <c r="BR204" i="2"/>
  <c r="BC195" i="3"/>
  <c r="AI277" i="3"/>
  <c r="AS200" i="3"/>
  <c r="AI59" i="3"/>
  <c r="AI206" i="2" s="1"/>
  <c r="R43" i="9"/>
  <c r="AN202" i="2"/>
  <c r="AN209" i="2"/>
  <c r="BR209" i="2"/>
  <c r="BA202" i="2"/>
  <c r="BA209" i="2"/>
  <c r="AI29" i="3"/>
  <c r="BF202" i="2"/>
  <c r="BF209" i="2"/>
  <c r="BN206" i="2"/>
  <c r="U202" i="2"/>
  <c r="U209" i="2"/>
  <c r="BB202" i="2"/>
  <c r="BB209" i="2"/>
  <c r="Y202" i="2"/>
  <c r="Y209" i="2"/>
  <c r="AS29" i="3"/>
  <c r="AX202" i="2"/>
  <c r="AX209" i="2"/>
  <c r="BC15" i="3"/>
  <c r="AX204" i="2"/>
  <c r="AS202" i="2"/>
  <c r="AS209" i="2"/>
  <c r="BR29" i="3"/>
  <c r="BR205" i="2"/>
  <c r="BO206" i="2"/>
  <c r="BU206" i="2"/>
  <c r="AY202" i="2"/>
  <c r="AY209" i="2"/>
  <c r="CB300" i="3"/>
  <c r="Z202" i="2"/>
  <c r="Z209" i="2"/>
  <c r="BP206" i="2"/>
  <c r="BS206" i="2"/>
  <c r="BL206" i="2"/>
  <c r="BI202" i="2"/>
  <c r="BI209" i="2"/>
  <c r="AI202" i="2"/>
  <c r="AI209" i="2"/>
  <c r="Q44" i="9"/>
  <c r="AN15" i="3"/>
  <c r="AI204" i="2"/>
  <c r="BE202" i="2"/>
  <c r="BE209" i="2"/>
  <c r="BK202" i="2"/>
  <c r="BK209" i="2"/>
  <c r="AO202" i="2"/>
  <c r="AO209" i="2"/>
  <c r="AT202" i="2"/>
  <c r="AT209" i="2"/>
  <c r="BD202" i="2"/>
  <c r="BD209" i="2"/>
  <c r="X195" i="3"/>
  <c r="X204" i="2"/>
  <c r="CB243" i="3"/>
  <c r="G45" i="9"/>
  <c r="G69" i="9" s="1"/>
  <c r="G71" i="9" s="1"/>
  <c r="AM83" i="11"/>
  <c r="AM84" i="11" s="1"/>
  <c r="BC51" i="11"/>
  <c r="BC52" i="11" s="1"/>
  <c r="AL118" i="11"/>
  <c r="AL125" i="11" s="1"/>
  <c r="AN35" i="11"/>
  <c r="AN36" i="11" s="1"/>
  <c r="AN37" i="11" s="1"/>
  <c r="AM113" i="11"/>
  <c r="AL123" i="11"/>
  <c r="AL170" i="11"/>
  <c r="AM156" i="11"/>
  <c r="AL164" i="11"/>
  <c r="AL165" i="11" s="1"/>
  <c r="AL173" i="11" s="1"/>
  <c r="BH149" i="11"/>
  <c r="BH150" i="11" s="1"/>
  <c r="BH151" i="11" s="1"/>
  <c r="AL160" i="11"/>
  <c r="AL161" i="11" s="1"/>
  <c r="BH243" i="3"/>
  <c r="AI183" i="3"/>
  <c r="BW180" i="3"/>
  <c r="AB187" i="3"/>
  <c r="G275" i="3"/>
  <c r="Z89" i="2"/>
  <c r="F85" i="9"/>
  <c r="F69" i="9"/>
  <c r="F71" i="9" s="1"/>
  <c r="F47" i="9"/>
  <c r="F79" i="9"/>
  <c r="I85" i="9"/>
  <c r="I69" i="9"/>
  <c r="AT191" i="3"/>
  <c r="AX191" i="3"/>
  <c r="G21" i="9"/>
  <c r="G19" i="9"/>
  <c r="G17" i="9"/>
  <c r="G22" i="9"/>
  <c r="G18" i="9"/>
  <c r="G20" i="9"/>
  <c r="BN89" i="2"/>
  <c r="AY89" i="2"/>
  <c r="H87" i="9"/>
  <c r="H51" i="9"/>
  <c r="H53" i="9"/>
  <c r="H52" i="9"/>
  <c r="BD89" i="2"/>
  <c r="U89" i="2"/>
  <c r="H124" i="9"/>
  <c r="I124" i="9"/>
  <c r="I87" i="2"/>
  <c r="I73" i="2" s="1"/>
  <c r="E199" i="2"/>
  <c r="L191" i="3"/>
  <c r="L44" i="3"/>
  <c r="L46" i="3" s="1"/>
  <c r="L48" i="3" s="1"/>
  <c r="L52" i="3" s="1"/>
  <c r="K43" i="3"/>
  <c r="N204" i="3" s="1"/>
  <c r="Y233" i="3"/>
  <c r="Y210" i="2" s="1"/>
  <c r="BR243" i="3"/>
  <c r="AD267" i="3"/>
  <c r="AD211" i="2" s="1"/>
  <c r="AD212" i="2" s="1"/>
  <c r="AD261" i="3"/>
  <c r="AO89" i="2"/>
  <c r="AT89" i="2"/>
  <c r="F21" i="9"/>
  <c r="F18" i="9"/>
  <c r="F22" i="9"/>
  <c r="F19" i="9"/>
  <c r="F17" i="9"/>
  <c r="F20" i="9"/>
  <c r="H79" i="9"/>
  <c r="H21" i="9"/>
  <c r="H20" i="9"/>
  <c r="H17" i="9"/>
  <c r="H22" i="9"/>
  <c r="H18" i="9"/>
  <c r="H19" i="9"/>
  <c r="AE89" i="2"/>
  <c r="H82" i="9"/>
  <c r="H66" i="9"/>
  <c r="H71" i="9" s="1"/>
  <c r="H50" i="9"/>
  <c r="BT89" i="2"/>
  <c r="BI89" i="2"/>
  <c r="AJ89" i="2"/>
  <c r="L89" i="2"/>
  <c r="G47" i="9"/>
  <c r="G94" i="9" s="1"/>
  <c r="J85" i="9"/>
  <c r="M46" i="3"/>
  <c r="M48" i="3" s="1"/>
  <c r="AS15" i="3"/>
  <c r="BR52" i="3"/>
  <c r="AX200" i="3"/>
  <c r="AX102" i="3"/>
  <c r="AI49" i="3"/>
  <c r="AX201" i="3"/>
  <c r="AI278" i="3"/>
  <c r="AI24" i="3"/>
  <c r="BR59" i="3"/>
  <c r="S43" i="9"/>
  <c r="AX277" i="3"/>
  <c r="AX24" i="3"/>
  <c r="AX15" i="3"/>
  <c r="AS278" i="3"/>
  <c r="AR201" i="3"/>
  <c r="AV200" i="3"/>
  <c r="AS102" i="3"/>
  <c r="CK135" i="2"/>
  <c r="CK136" i="2"/>
  <c r="CK137" i="2"/>
  <c r="CK140" i="2"/>
  <c r="CK139" i="2"/>
  <c r="CK138" i="2"/>
  <c r="CJ136" i="2"/>
  <c r="CJ137" i="2"/>
  <c r="CJ139" i="2"/>
  <c r="CJ138" i="2"/>
  <c r="CJ140" i="2"/>
  <c r="CJ135" i="2"/>
  <c r="N275" i="3"/>
  <c r="CI135" i="2"/>
  <c r="CI136" i="2"/>
  <c r="CI137" i="2"/>
  <c r="CI140" i="2"/>
  <c r="CI139" i="2"/>
  <c r="CI138" i="2"/>
  <c r="CE139" i="2"/>
  <c r="CE138" i="2"/>
  <c r="CE135" i="2"/>
  <c r="CE136" i="2"/>
  <c r="CE137" i="2"/>
  <c r="CE140" i="2"/>
  <c r="CJ98" i="2"/>
  <c r="CJ99" i="2" s="1"/>
  <c r="CJ111" i="2"/>
  <c r="R19" i="9"/>
  <c r="CK236" i="3"/>
  <c r="BH70" i="2"/>
  <c r="CB111" i="2"/>
  <c r="BW70" i="2"/>
  <c r="BX68" i="2"/>
  <c r="CI98" i="2"/>
  <c r="CI99" i="2" s="1"/>
  <c r="CI111" i="2"/>
  <c r="AN69" i="2"/>
  <c r="BR70" i="2"/>
  <c r="CB98" i="2"/>
  <c r="CB108" i="2" s="1"/>
  <c r="CA108" i="2"/>
  <c r="CA22" i="2" s="1"/>
  <c r="AS70" i="2"/>
  <c r="CC243" i="3"/>
  <c r="CF236" i="3"/>
  <c r="CF243" i="3" s="1"/>
  <c r="CF98" i="2"/>
  <c r="CF99" i="2" s="1"/>
  <c r="CF111" i="2"/>
  <c r="BC70" i="2"/>
  <c r="CD108" i="2"/>
  <c r="CD22" i="2" s="1"/>
  <c r="CE108" i="2"/>
  <c r="CE22" i="2" s="1"/>
  <c r="AD29" i="3"/>
  <c r="AX29" i="3"/>
  <c r="AX52" i="3"/>
  <c r="N138" i="9" s="1"/>
  <c r="AX49" i="3"/>
  <c r="AX59" i="3"/>
  <c r="AX206" i="2" s="1"/>
  <c r="AD101" i="3"/>
  <c r="AD209" i="2" s="1"/>
  <c r="X102" i="3"/>
  <c r="AM275" i="3"/>
  <c r="AV275" i="3"/>
  <c r="AW275" i="3"/>
  <c r="BN202" i="2"/>
  <c r="AQ275" i="3"/>
  <c r="BS202" i="2"/>
  <c r="BH201" i="3"/>
  <c r="BH202" i="2"/>
  <c r="BU202" i="2"/>
  <c r="BV202" i="2"/>
  <c r="Q25" i="35"/>
  <c r="AR275" i="3"/>
  <c r="BR201" i="3"/>
  <c r="BR202" i="2"/>
  <c r="BV20" i="3"/>
  <c r="BV21" i="3" s="1"/>
  <c r="BV273" i="3"/>
  <c r="BV272" i="3"/>
  <c r="AP275" i="3"/>
  <c r="BP202" i="2"/>
  <c r="Q74" i="9"/>
  <c r="Q42" i="9"/>
  <c r="Q90" i="9" s="1"/>
  <c r="O77" i="9"/>
  <c r="M21" i="9"/>
  <c r="M22" i="9"/>
  <c r="M18" i="9"/>
  <c r="M19" i="9"/>
  <c r="M17" i="9"/>
  <c r="N77" i="9"/>
  <c r="M47" i="9"/>
  <c r="M94" i="9" s="1"/>
  <c r="M79" i="9"/>
  <c r="K74" i="9"/>
  <c r="K42" i="9"/>
  <c r="K90" i="9" s="1"/>
  <c r="K22" i="9"/>
  <c r="K21" i="9"/>
  <c r="K19" i="9"/>
  <c r="K17" i="9"/>
  <c r="K18" i="9"/>
  <c r="M20" i="9"/>
  <c r="R74" i="9"/>
  <c r="R42" i="9"/>
  <c r="R90" i="9" s="1"/>
  <c r="S74" i="9"/>
  <c r="S42" i="9"/>
  <c r="S90" i="9" s="1"/>
  <c r="J82" i="9"/>
  <c r="J66" i="9"/>
  <c r="BJ275" i="3"/>
  <c r="BL202" i="2"/>
  <c r="BO202" i="2"/>
  <c r="Y14" i="3"/>
  <c r="Y277" i="3" s="1"/>
  <c r="O79" i="9"/>
  <c r="I68" i="9"/>
  <c r="I84" i="9"/>
  <c r="N79" i="9"/>
  <c r="L42" i="9"/>
  <c r="L90" i="9" s="1"/>
  <c r="L74" i="9"/>
  <c r="O47" i="9"/>
  <c r="O94" i="9" s="1"/>
  <c r="J21" i="9"/>
  <c r="J22" i="9"/>
  <c r="J19" i="9"/>
  <c r="J20" i="9"/>
  <c r="J18" i="9"/>
  <c r="Q83" i="9"/>
  <c r="Q67" i="9"/>
  <c r="I47" i="9"/>
  <c r="I66" i="9"/>
  <c r="L77" i="9"/>
  <c r="N47" i="9"/>
  <c r="N94" i="9" s="1"/>
  <c r="J79" i="9"/>
  <c r="J47" i="9"/>
  <c r="BH214" i="2"/>
  <c r="P63" i="9" s="1"/>
  <c r="BR214" i="2"/>
  <c r="R63" i="9" s="1"/>
  <c r="AD214" i="2"/>
  <c r="J63" i="9" s="1"/>
  <c r="J61" i="9" s="1"/>
  <c r="J118" i="9" s="1"/>
  <c r="K124" i="9" s="1"/>
  <c r="Q118" i="9"/>
  <c r="AS214" i="2"/>
  <c r="M63" i="9" s="1"/>
  <c r="M61" i="9" s="1"/>
  <c r="L118" i="9"/>
  <c r="U123" i="9"/>
  <c r="T123" i="9"/>
  <c r="V123" i="9"/>
  <c r="P51" i="9"/>
  <c r="P45" i="9"/>
  <c r="R85" i="9"/>
  <c r="S45" i="9"/>
  <c r="S118" i="9"/>
  <c r="T122" i="9"/>
  <c r="S122" i="9"/>
  <c r="BZ54" i="2"/>
  <c r="BZ61" i="2" s="1"/>
  <c r="AS20" i="2"/>
  <c r="AS21" i="2"/>
  <c r="AU23" i="2"/>
  <c r="S89" i="36"/>
  <c r="S30" i="36"/>
  <c r="T19" i="36"/>
  <c r="AC15" i="3"/>
  <c r="X24" i="3"/>
  <c r="X277" i="3"/>
  <c r="X16" i="3"/>
  <c r="Z16" i="3"/>
  <c r="X271" i="3"/>
  <c r="X15" i="3"/>
  <c r="X278" i="3"/>
  <c r="X49" i="3"/>
  <c r="X29" i="3"/>
  <c r="X18" i="3"/>
  <c r="BA169" i="11"/>
  <c r="BA194" i="11" s="1"/>
  <c r="BA168" i="11"/>
  <c r="BA192" i="11" s="1"/>
  <c r="BA173" i="11"/>
  <c r="BK130" i="11"/>
  <c r="BJ133" i="11"/>
  <c r="BJ134" i="11" s="1"/>
  <c r="AM133" i="11"/>
  <c r="AM134" i="11" s="1"/>
  <c r="CA59" i="11"/>
  <c r="CA60" i="11" s="1"/>
  <c r="AX13" i="11"/>
  <c r="BJ202" i="11"/>
  <c r="BK202" i="11" s="1"/>
  <c r="BL202" i="11" s="1"/>
  <c r="BM202" i="11" s="1"/>
  <c r="BI202" i="11"/>
  <c r="BM8" i="11"/>
  <c r="BM112" i="11" s="1"/>
  <c r="AN82" i="11"/>
  <c r="AO82" i="11" s="1"/>
  <c r="AP80" i="11" s="1"/>
  <c r="BZ51" i="11"/>
  <c r="BZ52" i="11" s="1"/>
  <c r="AP141" i="11"/>
  <c r="AP142" i="11" s="1"/>
  <c r="AO62" i="3" s="1"/>
  <c r="BZ43" i="11"/>
  <c r="BZ44" i="11" s="1"/>
  <c r="BZ45" i="11" s="1"/>
  <c r="AN91" i="11"/>
  <c r="AN92" i="11" s="1"/>
  <c r="AN93" i="11" s="1"/>
  <c r="AP27" i="11"/>
  <c r="AP28" i="11" s="1"/>
  <c r="AP29" i="11" s="1"/>
  <c r="AN117" i="11"/>
  <c r="AM124" i="11"/>
  <c r="AM201" i="11" s="1"/>
  <c r="AM195" i="11" s="1"/>
  <c r="BJ148" i="11"/>
  <c r="BK146" i="11" s="1"/>
  <c r="BZ107" i="11"/>
  <c r="BZ108" i="11" s="1"/>
  <c r="BZ109" i="11" s="1"/>
  <c r="AN75" i="11"/>
  <c r="AN76" i="11" s="1"/>
  <c r="AN77" i="11" s="1"/>
  <c r="AP149" i="11"/>
  <c r="AP150" i="11" s="1"/>
  <c r="AM16" i="11"/>
  <c r="AM17" i="11" s="1"/>
  <c r="AM18" i="11" s="1"/>
  <c r="AW19" i="11"/>
  <c r="BV148" i="11"/>
  <c r="BW146" i="11" s="1"/>
  <c r="AS164" i="11"/>
  <c r="AS165" i="11" s="1"/>
  <c r="AS173" i="11" s="1"/>
  <c r="AT159" i="11"/>
  <c r="AU156" i="11" s="1"/>
  <c r="AS170" i="11"/>
  <c r="AS174" i="11" s="1"/>
  <c r="CA74" i="11"/>
  <c r="CB72" i="11" s="1"/>
  <c r="AP90" i="11"/>
  <c r="AQ88" i="11" s="1"/>
  <c r="AQ26" i="11"/>
  <c r="AR24" i="11" s="1"/>
  <c r="AP74" i="11"/>
  <c r="AQ72" i="11" s="1"/>
  <c r="AQ148" i="11"/>
  <c r="AR146" i="11" s="1"/>
  <c r="AN42" i="11"/>
  <c r="AO42" i="11" s="1"/>
  <c r="AP40" i="11" s="1"/>
  <c r="CA130" i="11"/>
  <c r="CA131" i="11" s="1"/>
  <c r="CA181" i="11" s="1"/>
  <c r="BU149" i="11"/>
  <c r="BU150" i="11" s="1"/>
  <c r="BU151" i="11" s="1"/>
  <c r="BE50" i="11"/>
  <c r="AS160" i="11"/>
  <c r="AS161" i="11" s="1"/>
  <c r="AP34" i="11"/>
  <c r="AQ32" i="11" s="1"/>
  <c r="BZ75" i="11"/>
  <c r="BZ76" i="11" s="1"/>
  <c r="BZ77" i="11" s="1"/>
  <c r="AN66" i="11"/>
  <c r="AO66" i="11" s="1"/>
  <c r="AP64" i="11" s="1"/>
  <c r="AV58" i="11"/>
  <c r="AW56" i="11" s="1"/>
  <c r="CB88" i="11"/>
  <c r="AN50" i="11"/>
  <c r="AO50" i="11" s="1"/>
  <c r="AP48" i="11" s="1"/>
  <c r="BJ90" i="11"/>
  <c r="BK88" i="11" s="1"/>
  <c r="AZ8" i="11"/>
  <c r="AV132" i="11"/>
  <c r="AW130" i="11" s="1"/>
  <c r="AN132" i="11"/>
  <c r="AO132" i="11" s="1"/>
  <c r="AP130" i="11" s="1"/>
  <c r="BB9" i="11"/>
  <c r="CC58" i="11"/>
  <c r="CD56" i="11" s="1"/>
  <c r="AM43" i="11"/>
  <c r="AM44" i="11" s="1"/>
  <c r="CB48" i="11"/>
  <c r="AQ140" i="11"/>
  <c r="AR138" i="11" s="1"/>
  <c r="CB40" i="11"/>
  <c r="AM67" i="11"/>
  <c r="AM68" i="11" s="1"/>
  <c r="AU59" i="11"/>
  <c r="AU60" i="11" s="1"/>
  <c r="BJ181" i="11"/>
  <c r="BZ91" i="11"/>
  <c r="BZ92" i="11" s="1"/>
  <c r="BZ93" i="11" s="1"/>
  <c r="AM51" i="11"/>
  <c r="AM52" i="11" s="1"/>
  <c r="BH91" i="11"/>
  <c r="BH92" i="11" s="1"/>
  <c r="BH93" i="11" s="1"/>
  <c r="AX112" i="11"/>
  <c r="CB104" i="11"/>
  <c r="CB64" i="11"/>
  <c r="AU133" i="11"/>
  <c r="AU134" i="11" s="1"/>
  <c r="L59" i="3"/>
  <c r="L206" i="2" s="1"/>
  <c r="W59" i="3"/>
  <c r="W206" i="2" s="1"/>
  <c r="W49" i="3"/>
  <c r="W52" i="3"/>
  <c r="H59" i="3"/>
  <c r="H49" i="3"/>
  <c r="H52" i="3"/>
  <c r="R59" i="3"/>
  <c r="R206" i="2" s="1"/>
  <c r="R49" i="3"/>
  <c r="R52" i="3"/>
  <c r="BM187" i="3"/>
  <c r="BO273" i="3"/>
  <c r="BO272" i="3"/>
  <c r="BO20" i="3"/>
  <c r="BO21" i="3" s="1"/>
  <c r="BB92" i="3"/>
  <c r="BB60" i="3"/>
  <c r="BP273" i="3"/>
  <c r="BP272" i="3"/>
  <c r="BP20" i="3"/>
  <c r="BP21" i="3" s="1"/>
  <c r="BK102" i="3"/>
  <c r="BA92" i="3"/>
  <c r="BA60" i="3"/>
  <c r="BT217" i="3"/>
  <c r="BT233" i="3" s="1"/>
  <c r="BT182" i="3"/>
  <c r="BT181" i="3" s="1"/>
  <c r="BT94" i="3"/>
  <c r="BT95" i="3" s="1"/>
  <c r="BT96" i="3" s="1"/>
  <c r="BC29" i="3"/>
  <c r="J92" i="3"/>
  <c r="J60" i="3"/>
  <c r="J64" i="3"/>
  <c r="J207" i="2" s="1"/>
  <c r="K275" i="3"/>
  <c r="BF102" i="3"/>
  <c r="T178" i="3"/>
  <c r="P178" i="3"/>
  <c r="BW18" i="3"/>
  <c r="BS20" i="3"/>
  <c r="BS21" i="3" s="1"/>
  <c r="AY92" i="3"/>
  <c r="AY60" i="3"/>
  <c r="AF217" i="3"/>
  <c r="AF233" i="3" s="1"/>
  <c r="AF210" i="2" s="1"/>
  <c r="AF182" i="3"/>
  <c r="AF181" i="3" s="1"/>
  <c r="AF94" i="3"/>
  <c r="M275" i="3"/>
  <c r="J273" i="3"/>
  <c r="J272" i="3"/>
  <c r="J20" i="3"/>
  <c r="J21" i="3" s="1"/>
  <c r="N102" i="3"/>
  <c r="CE167" i="3"/>
  <c r="BF272" i="3"/>
  <c r="BF273" i="3"/>
  <c r="BF20" i="3"/>
  <c r="BF21" i="3" s="1"/>
  <c r="Q46" i="3"/>
  <c r="Q48" i="3" s="1"/>
  <c r="BM29" i="3"/>
  <c r="X70" i="3"/>
  <c r="AK147" i="3"/>
  <c r="AJ152" i="3"/>
  <c r="Z272" i="3"/>
  <c r="Z273" i="3"/>
  <c r="AD18" i="3"/>
  <c r="Z20" i="3"/>
  <c r="Z21" i="3" s="1"/>
  <c r="V46" i="3"/>
  <c r="V48" i="3" s="1"/>
  <c r="BE111" i="3"/>
  <c r="BE62" i="3" s="1"/>
  <c r="BE92" i="3"/>
  <c r="BE112" i="3"/>
  <c r="BE67" i="3" s="1"/>
  <c r="BE60" i="3"/>
  <c r="BD204" i="3"/>
  <c r="BG204" i="3"/>
  <c r="BF204" i="3"/>
  <c r="BE204" i="3"/>
  <c r="BD102" i="3"/>
  <c r="BF201" i="3"/>
  <c r="BD200" i="3"/>
  <c r="BE200" i="3"/>
  <c r="BF200" i="3"/>
  <c r="BD201" i="3"/>
  <c r="BG200" i="3"/>
  <c r="BE201" i="3"/>
  <c r="BG201" i="3"/>
  <c r="O217" i="3"/>
  <c r="O182" i="3"/>
  <c r="O181" i="3" s="1"/>
  <c r="O94" i="3"/>
  <c r="BA204" i="3"/>
  <c r="AZ204" i="3"/>
  <c r="AY204" i="3"/>
  <c r="BB204" i="3"/>
  <c r="AY102" i="3"/>
  <c r="AY200" i="3"/>
  <c r="BA200" i="3"/>
  <c r="BB200" i="3"/>
  <c r="AZ200" i="3"/>
  <c r="AZ201" i="3"/>
  <c r="BB201" i="3"/>
  <c r="AY201" i="3"/>
  <c r="BA201" i="3"/>
  <c r="BU272" i="3"/>
  <c r="BU273" i="3"/>
  <c r="BU20" i="3"/>
  <c r="BU21" i="3" s="1"/>
  <c r="AL167" i="3"/>
  <c r="AK183" i="3"/>
  <c r="AU217" i="3"/>
  <c r="AU233" i="3" s="1"/>
  <c r="AU182" i="3"/>
  <c r="AU181" i="3" s="1"/>
  <c r="BW257" i="3"/>
  <c r="T273" i="3"/>
  <c r="T20" i="3"/>
  <c r="AQ131" i="3"/>
  <c r="AP139" i="3"/>
  <c r="AZ217" i="3"/>
  <c r="AZ233" i="3" s="1"/>
  <c r="AZ182" i="3"/>
  <c r="AZ181" i="3" s="1"/>
  <c r="AS201" i="3"/>
  <c r="CI159" i="3"/>
  <c r="CJ159" i="3" s="1"/>
  <c r="CK159" i="3" s="1"/>
  <c r="CG159" i="3"/>
  <c r="AY273" i="3"/>
  <c r="AY272" i="3"/>
  <c r="BC18" i="3"/>
  <c r="AY20" i="3"/>
  <c r="AY21" i="3" s="1"/>
  <c r="AG199" i="3"/>
  <c r="AG208" i="3"/>
  <c r="AG207" i="3"/>
  <c r="AG186" i="3"/>
  <c r="AH178" i="3" s="1"/>
  <c r="AG174" i="3"/>
  <c r="AG175" i="3" s="1"/>
  <c r="AG198" i="3"/>
  <c r="CA184" i="3"/>
  <c r="CC169" i="3"/>
  <c r="CB169" i="3"/>
  <c r="CA179" i="3"/>
  <c r="CB179" i="3" s="1"/>
  <c r="Z204" i="3"/>
  <c r="Z201" i="3"/>
  <c r="AC204" i="3"/>
  <c r="AC201" i="3"/>
  <c r="AB204" i="3"/>
  <c r="AB201" i="3"/>
  <c r="AA204" i="3"/>
  <c r="AA201" i="3"/>
  <c r="Z102" i="3"/>
  <c r="Z200" i="3"/>
  <c r="AA200" i="3"/>
  <c r="AB200" i="3"/>
  <c r="AC200" i="3"/>
  <c r="BC101" i="3"/>
  <c r="BW29" i="3"/>
  <c r="AE92" i="3"/>
  <c r="AE60" i="3"/>
  <c r="AE64" i="3"/>
  <c r="AE207" i="2" s="1"/>
  <c r="AQ217" i="3"/>
  <c r="AQ233" i="3" s="1"/>
  <c r="AQ182" i="3"/>
  <c r="AQ181" i="3" s="1"/>
  <c r="BP92" i="3"/>
  <c r="BP64" i="3"/>
  <c r="BP60" i="3"/>
  <c r="BU102" i="3"/>
  <c r="BK92" i="3"/>
  <c r="BK64" i="3"/>
  <c r="BK207" i="2" s="1"/>
  <c r="BK60" i="3"/>
  <c r="BV102" i="3"/>
  <c r="AC207" i="3"/>
  <c r="AC208" i="3"/>
  <c r="AC199" i="3"/>
  <c r="AC186" i="3"/>
  <c r="AC187" i="3" s="1"/>
  <c r="AC198" i="3"/>
  <c r="X201" i="3"/>
  <c r="X204" i="3"/>
  <c r="U102" i="3"/>
  <c r="X200" i="3"/>
  <c r="BB102" i="3"/>
  <c r="BM101" i="3"/>
  <c r="T70" i="3"/>
  <c r="X217" i="3"/>
  <c r="X233" i="3" s="1"/>
  <c r="X210" i="2" s="1"/>
  <c r="X182" i="3"/>
  <c r="X181" i="3" s="1"/>
  <c r="X94" i="3"/>
  <c r="BK273" i="3"/>
  <c r="BK272" i="3"/>
  <c r="BK20" i="3"/>
  <c r="BK21" i="3" s="1"/>
  <c r="AA46" i="3"/>
  <c r="AA48" i="3" s="1"/>
  <c r="BB273" i="3"/>
  <c r="BB272" i="3"/>
  <c r="BB20" i="3"/>
  <c r="BB21" i="3" s="1"/>
  <c r="BP102" i="3"/>
  <c r="AB59" i="3"/>
  <c r="AB206" i="2" s="1"/>
  <c r="AB49" i="3"/>
  <c r="AB52" i="3"/>
  <c r="AH70" i="3"/>
  <c r="BE69" i="3"/>
  <c r="BF69" i="3" s="1"/>
  <c r="BG69" i="3" s="1"/>
  <c r="BI69" i="3" s="1"/>
  <c r="AX179" i="3"/>
  <c r="AS179" i="3"/>
  <c r="BN204" i="3"/>
  <c r="BQ204" i="3"/>
  <c r="BP204" i="3"/>
  <c r="BO204" i="3"/>
  <c r="BN102" i="3"/>
  <c r="BO200" i="3"/>
  <c r="BP200" i="3"/>
  <c r="BQ200" i="3"/>
  <c r="BN200" i="3"/>
  <c r="BP201" i="3"/>
  <c r="BO201" i="3"/>
  <c r="BQ201" i="3"/>
  <c r="BN201" i="3"/>
  <c r="BD112" i="3"/>
  <c r="BD67" i="3" s="1"/>
  <c r="BD111" i="3"/>
  <c r="BD62" i="3" s="1"/>
  <c r="BD92" i="3"/>
  <c r="BD60" i="3"/>
  <c r="G46" i="3"/>
  <c r="G48" i="3" s="1"/>
  <c r="H275" i="3"/>
  <c r="BU204" i="3"/>
  <c r="BT204" i="3"/>
  <c r="BS204" i="3"/>
  <c r="BS102" i="3"/>
  <c r="AZ275" i="3"/>
  <c r="AJ163" i="3"/>
  <c r="AH172" i="3"/>
  <c r="AI163" i="3"/>
  <c r="AT272" i="3"/>
  <c r="AT273" i="3"/>
  <c r="AT20" i="3"/>
  <c r="AT21" i="3" s="1"/>
  <c r="AX18" i="3"/>
  <c r="BH204" i="3"/>
  <c r="BH102" i="3"/>
  <c r="BH200" i="3"/>
  <c r="BE102" i="3"/>
  <c r="BW101" i="3"/>
  <c r="BN92" i="3"/>
  <c r="BN64" i="3"/>
  <c r="BN60" i="3"/>
  <c r="S101" i="3"/>
  <c r="S209" i="2" s="1"/>
  <c r="AA275" i="3"/>
  <c r="AF187" i="3"/>
  <c r="BA273" i="3"/>
  <c r="BA272" i="3"/>
  <c r="BA20" i="3"/>
  <c r="BA21" i="3" s="1"/>
  <c r="I273" i="3"/>
  <c r="I272" i="3"/>
  <c r="I20" i="3"/>
  <c r="I21" i="3" s="1"/>
  <c r="T217" i="3"/>
  <c r="T182" i="3"/>
  <c r="T181" i="3" s="1"/>
  <c r="T94" i="3"/>
  <c r="AW217" i="3"/>
  <c r="AW233" i="3" s="1"/>
  <c r="AW182" i="3"/>
  <c r="AW181" i="3" s="1"/>
  <c r="CE163" i="3"/>
  <c r="BL92" i="3"/>
  <c r="BL60" i="3"/>
  <c r="BL64" i="3"/>
  <c r="BU92" i="3"/>
  <c r="BU64" i="3"/>
  <c r="BU60" i="3"/>
  <c r="Z191" i="3"/>
  <c r="Z44" i="3"/>
  <c r="AA203" i="3"/>
  <c r="Z203" i="3"/>
  <c r="AC203" i="3"/>
  <c r="AB203" i="3"/>
  <c r="AG70" i="3"/>
  <c r="N200" i="3"/>
  <c r="N201" i="3"/>
  <c r="AP217" i="3"/>
  <c r="AP233" i="3" s="1"/>
  <c r="AP182" i="3"/>
  <c r="AP181" i="3" s="1"/>
  <c r="BM226" i="3"/>
  <c r="BF92" i="3"/>
  <c r="BF112" i="3"/>
  <c r="BF67" i="3" s="1"/>
  <c r="BF111" i="3"/>
  <c r="BF62" i="3" s="1"/>
  <c r="BF60" i="3"/>
  <c r="AI201" i="3"/>
  <c r="AI204" i="3"/>
  <c r="AI102" i="3"/>
  <c r="AI200" i="3"/>
  <c r="O70" i="3"/>
  <c r="AC161" i="3"/>
  <c r="AC174" i="3" s="1"/>
  <c r="AC175" i="3" s="1"/>
  <c r="AD152" i="3"/>
  <c r="AC194" i="3"/>
  <c r="AC195" i="3" s="1"/>
  <c r="BO102" i="3"/>
  <c r="BM180" i="3"/>
  <c r="BM257" i="3"/>
  <c r="AL70" i="3"/>
  <c r="BQ228" i="3"/>
  <c r="BR226" i="3"/>
  <c r="F44" i="3"/>
  <c r="I204" i="3"/>
  <c r="I203" i="3"/>
  <c r="BL102" i="3"/>
  <c r="BI92" i="3"/>
  <c r="BI112" i="3"/>
  <c r="BI111" i="3"/>
  <c r="BI62" i="3" s="1"/>
  <c r="BI64" i="3" s="1"/>
  <c r="BI207" i="2" s="1"/>
  <c r="BI60" i="3"/>
  <c r="BC59" i="3"/>
  <c r="BC206" i="2" s="1"/>
  <c r="BC49" i="3"/>
  <c r="BC52" i="3"/>
  <c r="O138" i="9" s="1"/>
  <c r="O273" i="3"/>
  <c r="O272" i="3"/>
  <c r="O20" i="3"/>
  <c r="O21" i="3" s="1"/>
  <c r="BD273" i="3"/>
  <c r="BD272" i="3"/>
  <c r="BD20" i="3"/>
  <c r="BD21" i="3" s="1"/>
  <c r="BH18" i="3"/>
  <c r="BO92" i="3"/>
  <c r="BO64" i="3"/>
  <c r="BO60" i="3"/>
  <c r="CD69" i="3"/>
  <c r="AF70" i="3"/>
  <c r="BL272" i="3"/>
  <c r="BL273" i="3"/>
  <c r="BL20" i="3"/>
  <c r="BL21" i="3" s="1"/>
  <c r="BW186" i="3"/>
  <c r="CB178" i="3" s="1"/>
  <c r="BW174" i="3"/>
  <c r="AN201" i="3"/>
  <c r="AN102" i="3"/>
  <c r="AN200" i="3"/>
  <c r="AO102" i="3"/>
  <c r="AO200" i="3"/>
  <c r="AQ200" i="3"/>
  <c r="AP200" i="3"/>
  <c r="AP201" i="3"/>
  <c r="AO201" i="3"/>
  <c r="AQ201" i="3"/>
  <c r="AR200" i="3"/>
  <c r="AD183" i="3"/>
  <c r="AE183" i="3"/>
  <c r="AD172" i="3"/>
  <c r="BE273" i="3"/>
  <c r="BE272" i="3"/>
  <c r="BE20" i="3"/>
  <c r="BE21" i="3" s="1"/>
  <c r="P191" i="3"/>
  <c r="P44" i="3"/>
  <c r="P203" i="3"/>
  <c r="R203" i="3"/>
  <c r="Q203" i="3"/>
  <c r="AH273" i="3"/>
  <c r="AH272" i="3"/>
  <c r="BS92" i="3"/>
  <c r="BS60" i="3"/>
  <c r="BS64" i="3"/>
  <c r="BM59" i="3"/>
  <c r="BM49" i="3"/>
  <c r="BM52" i="3"/>
  <c r="AC70" i="3"/>
  <c r="AW204" i="3"/>
  <c r="AT102" i="3"/>
  <c r="AU200" i="3"/>
  <c r="AW200" i="3"/>
  <c r="AT200" i="3"/>
  <c r="AW201" i="3"/>
  <c r="AU201" i="3"/>
  <c r="AT201" i="3"/>
  <c r="BR204" i="3"/>
  <c r="BR102" i="3"/>
  <c r="BR200" i="3"/>
  <c r="AH161" i="3"/>
  <c r="AI152" i="3"/>
  <c r="AH194" i="3"/>
  <c r="AH195" i="3" s="1"/>
  <c r="BK204" i="3"/>
  <c r="BJ204" i="3"/>
  <c r="BI204" i="3"/>
  <c r="BL204" i="3"/>
  <c r="BI102" i="3"/>
  <c r="BI200" i="3"/>
  <c r="BK200" i="3"/>
  <c r="BL200" i="3"/>
  <c r="BJ200" i="3"/>
  <c r="BJ201" i="3"/>
  <c r="BK201" i="3"/>
  <c r="BL201" i="3"/>
  <c r="BI201" i="3"/>
  <c r="U191" i="3"/>
  <c r="U44" i="3"/>
  <c r="X203" i="3"/>
  <c r="AO273" i="3"/>
  <c r="AO272" i="3"/>
  <c r="AO20" i="3"/>
  <c r="AO21" i="3" s="1"/>
  <c r="AS18" i="3"/>
  <c r="AG217" i="3"/>
  <c r="AG233" i="3" s="1"/>
  <c r="AG210" i="2" s="1"/>
  <c r="AG182" i="3"/>
  <c r="AG181" i="3" s="1"/>
  <c r="AG94" i="3"/>
  <c r="Y201" i="3"/>
  <c r="Y204" i="3"/>
  <c r="Y200" i="3"/>
  <c r="AT92" i="3"/>
  <c r="AT60" i="3"/>
  <c r="BA102" i="3"/>
  <c r="AH217" i="3"/>
  <c r="AH233" i="3" s="1"/>
  <c r="AH210" i="2" s="1"/>
  <c r="AH182" i="3"/>
  <c r="AH181" i="3" s="1"/>
  <c r="AH94" i="3"/>
  <c r="O178" i="3"/>
  <c r="K178" i="3"/>
  <c r="BI273" i="3"/>
  <c r="BI272" i="3"/>
  <c r="BI20" i="3"/>
  <c r="BI21" i="3" s="1"/>
  <c r="BM18" i="3"/>
  <c r="AO92" i="3"/>
  <c r="AO60" i="3"/>
  <c r="AL217" i="3"/>
  <c r="AL233" i="3" s="1"/>
  <c r="AL182" i="3"/>
  <c r="AL181" i="3" s="1"/>
  <c r="AL94" i="3"/>
  <c r="L275" i="3"/>
  <c r="AT20" i="2"/>
  <c r="AT21" i="2"/>
  <c r="AU19" i="2"/>
  <c r="BR75" i="2" l="1"/>
  <c r="BQ74" i="2"/>
  <c r="BR74" i="2" s="1"/>
  <c r="BW75" i="2"/>
  <c r="BT74" i="2"/>
  <c r="BW74" i="2" s="1"/>
  <c r="AJ70" i="3"/>
  <c r="R138" i="9"/>
  <c r="Q138" i="9"/>
  <c r="Q100" i="9" s="1"/>
  <c r="BR64" i="3"/>
  <c r="L49" i="3"/>
  <c r="P50" i="9"/>
  <c r="P52" i="9"/>
  <c r="L69" i="9"/>
  <c r="S83" i="9"/>
  <c r="S91" i="9"/>
  <c r="R98" i="9"/>
  <c r="R97" i="9"/>
  <c r="R99" i="9"/>
  <c r="R67" i="9"/>
  <c r="R91" i="9"/>
  <c r="O98" i="9"/>
  <c r="O104" i="9" s="1"/>
  <c r="O99" i="9"/>
  <c r="O105" i="9" s="1"/>
  <c r="Q99" i="9"/>
  <c r="Q97" i="9"/>
  <c r="Q98" i="9"/>
  <c r="N99" i="9"/>
  <c r="N105" i="9" s="1"/>
  <c r="N98" i="9"/>
  <c r="N104" i="9" s="1"/>
  <c r="Q68" i="9"/>
  <c r="Q92" i="9"/>
  <c r="P97" i="9"/>
  <c r="P103" i="9" s="1"/>
  <c r="P99" i="9"/>
  <c r="P105" i="9" s="1"/>
  <c r="P98" i="9"/>
  <c r="P104" i="9" s="1"/>
  <c r="R68" i="9"/>
  <c r="R92" i="9"/>
  <c r="S84" i="9"/>
  <c r="S92" i="9"/>
  <c r="O97" i="9"/>
  <c r="O103" i="9" s="1"/>
  <c r="BS275" i="3"/>
  <c r="BY76" i="2"/>
  <c r="BY75" i="2"/>
  <c r="BY74" i="2" s="1"/>
  <c r="BX76" i="2"/>
  <c r="BX75" i="2"/>
  <c r="BX74" i="2" s="1"/>
  <c r="AX76" i="2"/>
  <c r="AR76" i="2"/>
  <c r="AS76" i="2" s="1"/>
  <c r="AR75" i="2"/>
  <c r="AS75" i="2" s="1"/>
  <c r="I50" i="9"/>
  <c r="I94" i="9"/>
  <c r="J50" i="9"/>
  <c r="J94" i="9"/>
  <c r="F53" i="9"/>
  <c r="F94" i="9"/>
  <c r="J69" i="9"/>
  <c r="J71" i="9" s="1"/>
  <c r="J124" i="9"/>
  <c r="AF275" i="3"/>
  <c r="AJ94" i="3"/>
  <c r="AJ182" i="3"/>
  <c r="AJ181" i="3" s="1"/>
  <c r="AS156" i="2"/>
  <c r="AT156" i="2"/>
  <c r="AI272" i="3"/>
  <c r="AI275" i="3" s="1"/>
  <c r="AI20" i="3"/>
  <c r="AI21" i="3" s="1"/>
  <c r="AV217" i="3"/>
  <c r="AV233" i="3" s="1"/>
  <c r="AV210" i="2" s="1"/>
  <c r="L71" i="10"/>
  <c r="L68" i="10"/>
  <c r="M68" i="10" s="1"/>
  <c r="L70" i="10"/>
  <c r="O115" i="9"/>
  <c r="S121" i="9" s="1"/>
  <c r="O42" i="9"/>
  <c r="O37" i="9"/>
  <c r="AS87" i="2"/>
  <c r="AS73" i="2" s="1"/>
  <c r="AS199" i="2"/>
  <c r="BC87" i="2"/>
  <c r="BC73" i="2" s="1"/>
  <c r="BC199" i="2"/>
  <c r="M115" i="9"/>
  <c r="M37" i="9"/>
  <c r="M42" i="9"/>
  <c r="M90" i="9" s="1"/>
  <c r="AX86" i="2"/>
  <c r="N34" i="9"/>
  <c r="AK70" i="3"/>
  <c r="AK182" i="3"/>
  <c r="AK181" i="3" s="1"/>
  <c r="AN20" i="3"/>
  <c r="AN21" i="3" s="1"/>
  <c r="BG217" i="3"/>
  <c r="BG233" i="3" s="1"/>
  <c r="BG261" i="3" s="1"/>
  <c r="BG64" i="3"/>
  <c r="BG207" i="2" s="1"/>
  <c r="BG94" i="3"/>
  <c r="BG95" i="3" s="1"/>
  <c r="BG96" i="3" s="1"/>
  <c r="AN273" i="3"/>
  <c r="AN275" i="3" s="1"/>
  <c r="BG275" i="3"/>
  <c r="P22" i="9"/>
  <c r="P19" i="9"/>
  <c r="P87" i="9"/>
  <c r="P18" i="9"/>
  <c r="P17" i="9"/>
  <c r="P79" i="9"/>
  <c r="P20" i="9"/>
  <c r="BQ182" i="3"/>
  <c r="BQ181" i="3" s="1"/>
  <c r="BQ217" i="3"/>
  <c r="BQ233" i="3" s="1"/>
  <c r="BQ70" i="3"/>
  <c r="AB275" i="3"/>
  <c r="S67" i="9"/>
  <c r="Q18" i="9"/>
  <c r="BJ217" i="3"/>
  <c r="BJ233" i="3" s="1"/>
  <c r="BK210" i="11" s="1"/>
  <c r="Q20" i="9"/>
  <c r="Q21" i="9"/>
  <c r="Q19" i="9"/>
  <c r="Q17" i="9"/>
  <c r="BH92" i="3"/>
  <c r="BT70" i="3"/>
  <c r="BH60" i="3"/>
  <c r="BH111" i="3"/>
  <c r="BH62" i="3" s="1"/>
  <c r="BH112" i="3"/>
  <c r="BH67" i="3" s="1"/>
  <c r="R83" i="9"/>
  <c r="R18" i="9"/>
  <c r="BJ182" i="3"/>
  <c r="BJ181" i="3" s="1"/>
  <c r="S19" i="9"/>
  <c r="L20" i="9"/>
  <c r="S18" i="9"/>
  <c r="S22" i="9"/>
  <c r="R84" i="9"/>
  <c r="S68" i="9"/>
  <c r="CO135" i="2"/>
  <c r="S21" i="9"/>
  <c r="S79" i="9"/>
  <c r="S17" i="9"/>
  <c r="R21" i="9"/>
  <c r="R17" i="9"/>
  <c r="AI60" i="3"/>
  <c r="T61" i="9"/>
  <c r="CO139" i="2"/>
  <c r="CO136" i="2"/>
  <c r="CO140" i="2"/>
  <c r="CO138" i="2"/>
  <c r="CO137" i="2"/>
  <c r="AI64" i="3"/>
  <c r="AI207" i="2" s="1"/>
  <c r="AI92" i="3"/>
  <c r="H55" i="9"/>
  <c r="G85" i="9"/>
  <c r="BR207" i="2"/>
  <c r="BM209" i="2"/>
  <c r="AV210" i="11"/>
  <c r="AU210" i="2"/>
  <c r="Y195" i="3"/>
  <c r="Y204" i="2"/>
  <c r="AM210" i="11"/>
  <c r="AL210" i="2"/>
  <c r="Y102" i="3"/>
  <c r="Y29" i="3"/>
  <c r="BU207" i="2"/>
  <c r="BR60" i="3"/>
  <c r="BE64" i="3"/>
  <c r="BE207" i="2" s="1"/>
  <c r="Y24" i="3"/>
  <c r="AD15" i="3"/>
  <c r="AQ210" i="11"/>
  <c r="AP210" i="2"/>
  <c r="BN207" i="2"/>
  <c r="AK210" i="11"/>
  <c r="AJ210" i="2"/>
  <c r="BP207" i="2"/>
  <c r="AR210" i="11"/>
  <c r="AQ210" i="2"/>
  <c r="BC202" i="2"/>
  <c r="BC209" i="2"/>
  <c r="Y278" i="3"/>
  <c r="Y271" i="3"/>
  <c r="Q84" i="9"/>
  <c r="BS207" i="2"/>
  <c r="AX210" i="11"/>
  <c r="AW210" i="2"/>
  <c r="BW209" i="2"/>
  <c r="AL210" i="11"/>
  <c r="AK210" i="2"/>
  <c r="BR206" i="2"/>
  <c r="BM206" i="2"/>
  <c r="BO207" i="2"/>
  <c r="BL207" i="2"/>
  <c r="BA210" i="11"/>
  <c r="AZ210" i="2"/>
  <c r="BR92" i="3"/>
  <c r="BU210" i="11"/>
  <c r="BT210" i="2"/>
  <c r="Y15" i="3"/>
  <c r="CB301" i="3"/>
  <c r="CB307" i="3" s="1"/>
  <c r="AO64" i="3"/>
  <c r="AO207" i="2" s="1"/>
  <c r="AN43" i="11"/>
  <c r="AN44" i="11" s="1"/>
  <c r="AN45" i="11" s="1"/>
  <c r="AQ149" i="11"/>
  <c r="AQ150" i="11" s="1"/>
  <c r="AQ27" i="11"/>
  <c r="AQ28" i="11" s="1"/>
  <c r="AQ29" i="11" s="1"/>
  <c r="AN67" i="11"/>
  <c r="AN68" i="11" s="1"/>
  <c r="AM69" i="11" s="1"/>
  <c r="AM121" i="11"/>
  <c r="AL127" i="11"/>
  <c r="CA91" i="11"/>
  <c r="CA92" i="11" s="1"/>
  <c r="AM115" i="11"/>
  <c r="AM116" i="11" s="1"/>
  <c r="AM118" i="11" s="1"/>
  <c r="AM125" i="11" s="1"/>
  <c r="AV59" i="11"/>
  <c r="AV60" i="11" s="1"/>
  <c r="AV61" i="11" s="1"/>
  <c r="CA75" i="11"/>
  <c r="CA76" i="11" s="1"/>
  <c r="AN83" i="11"/>
  <c r="AN84" i="11" s="1"/>
  <c r="AN85" i="11" s="1"/>
  <c r="AM167" i="11"/>
  <c r="AL176" i="11"/>
  <c r="AL171" i="11"/>
  <c r="AL178" i="11" s="1"/>
  <c r="AL207" i="11" s="1"/>
  <c r="AL162" i="11"/>
  <c r="AL172" i="11" s="1"/>
  <c r="AL179" i="11" s="1"/>
  <c r="AL174" i="11"/>
  <c r="AM159" i="11"/>
  <c r="M52" i="3"/>
  <c r="M59" i="3"/>
  <c r="M206" i="2" s="1"/>
  <c r="M49" i="3"/>
  <c r="AI172" i="3"/>
  <c r="AH275" i="3"/>
  <c r="BR228" i="3"/>
  <c r="BM228" i="3"/>
  <c r="T233" i="3"/>
  <c r="T210" i="2" s="1"/>
  <c r="U201" i="3"/>
  <c r="S202" i="2"/>
  <c r="BH69" i="3"/>
  <c r="T275" i="3"/>
  <c r="O233" i="3"/>
  <c r="O210" i="2" s="1"/>
  <c r="G105" i="9"/>
  <c r="G103" i="9"/>
  <c r="G104" i="9"/>
  <c r="G106" i="9"/>
  <c r="G50" i="9"/>
  <c r="G87" i="9"/>
  <c r="G52" i="9"/>
  <c r="G51" i="9"/>
  <c r="BS89" i="2"/>
  <c r="G53" i="9"/>
  <c r="H105" i="9"/>
  <c r="H106" i="9"/>
  <c r="H104" i="9"/>
  <c r="H103" i="9"/>
  <c r="R61" i="9"/>
  <c r="R118" i="9" s="1"/>
  <c r="Y261" i="3"/>
  <c r="Y267" i="3"/>
  <c r="Y211" i="2" s="1"/>
  <c r="Y212" i="2" s="1"/>
  <c r="M203" i="3"/>
  <c r="K44" i="3"/>
  <c r="M204" i="3"/>
  <c r="L204" i="3"/>
  <c r="L203" i="3"/>
  <c r="K191" i="3"/>
  <c r="K203" i="3"/>
  <c r="K204" i="3"/>
  <c r="N203" i="3"/>
  <c r="F103" i="9"/>
  <c r="F104" i="9"/>
  <c r="F105" i="9"/>
  <c r="F106" i="9"/>
  <c r="P61" i="9"/>
  <c r="K89" i="2"/>
  <c r="AD265" i="3"/>
  <c r="AD263" i="3"/>
  <c r="AD268" i="3"/>
  <c r="F52" i="9"/>
  <c r="F50" i="9"/>
  <c r="F87" i="9"/>
  <c r="F51" i="9"/>
  <c r="O275" i="3"/>
  <c r="R20" i="9"/>
  <c r="R22" i="9"/>
  <c r="CN136" i="2"/>
  <c r="CN137" i="2"/>
  <c r="CN139" i="2"/>
  <c r="CN138" i="2"/>
  <c r="CN140" i="2"/>
  <c r="CN135" i="2"/>
  <c r="CP135" i="2"/>
  <c r="CP136" i="2"/>
  <c r="CP137" i="2"/>
  <c r="CP139" i="2"/>
  <c r="CP138" i="2"/>
  <c r="CP140" i="2"/>
  <c r="P118" i="9"/>
  <c r="CN98" i="2"/>
  <c r="CN99" i="2" s="1"/>
  <c r="CN111" i="2"/>
  <c r="CN103" i="2" s="1"/>
  <c r="CG236" i="3"/>
  <c r="CK98" i="2"/>
  <c r="CK99" i="2" s="1"/>
  <c r="CK111" i="2"/>
  <c r="CO98" i="2"/>
  <c r="CO99" i="2" s="1"/>
  <c r="CO111" i="2"/>
  <c r="CF108" i="2"/>
  <c r="CF22" i="2" s="1"/>
  <c r="CI108" i="2"/>
  <c r="CP98" i="2"/>
  <c r="CP99" i="2" s="1"/>
  <c r="CP111" i="2"/>
  <c r="CP103" i="2" s="1"/>
  <c r="CK243" i="3"/>
  <c r="CL236" i="3"/>
  <c r="CJ108" i="2"/>
  <c r="CL159" i="3"/>
  <c r="CM159" i="3"/>
  <c r="CN159" i="3" s="1"/>
  <c r="CO159" i="3" s="1"/>
  <c r="CP159" i="3" s="1"/>
  <c r="CQ159" i="3" s="1"/>
  <c r="AD200" i="3"/>
  <c r="AD201" i="3"/>
  <c r="AD102" i="3"/>
  <c r="AD202" i="2"/>
  <c r="AD204" i="3"/>
  <c r="AX60" i="3"/>
  <c r="AX92" i="3"/>
  <c r="Z275" i="3"/>
  <c r="I71" i="9"/>
  <c r="BF275" i="3"/>
  <c r="BP275" i="3"/>
  <c r="BO275" i="3"/>
  <c r="BV275" i="3"/>
  <c r="BF64" i="3"/>
  <c r="BF207" i="2" s="1"/>
  <c r="BE275" i="3"/>
  <c r="BD275" i="3"/>
  <c r="BM202" i="2"/>
  <c r="BU275" i="3"/>
  <c r="I51" i="9"/>
  <c r="I53" i="9"/>
  <c r="L47" i="9"/>
  <c r="L94" i="9" s="1"/>
  <c r="N19" i="9"/>
  <c r="N18" i="9"/>
  <c r="N21" i="9"/>
  <c r="N17" i="9"/>
  <c r="N22" i="9"/>
  <c r="I52" i="9"/>
  <c r="O22" i="9"/>
  <c r="O21" i="9"/>
  <c r="O18" i="9"/>
  <c r="O19" i="9"/>
  <c r="O17" i="9"/>
  <c r="S82" i="9"/>
  <c r="S66" i="9"/>
  <c r="R79" i="9"/>
  <c r="R47" i="9"/>
  <c r="K79" i="9"/>
  <c r="K47" i="9"/>
  <c r="S47" i="9"/>
  <c r="BI275" i="3"/>
  <c r="BW202" i="2"/>
  <c r="R25" i="35"/>
  <c r="BD64" i="3"/>
  <c r="J53" i="9"/>
  <c r="J87" i="9"/>
  <c r="J52" i="9"/>
  <c r="J51" i="9"/>
  <c r="N87" i="9"/>
  <c r="N52" i="9"/>
  <c r="N51" i="9"/>
  <c r="O52" i="9"/>
  <c r="O51" i="9"/>
  <c r="O87" i="9"/>
  <c r="L82" i="9"/>
  <c r="L66" i="9"/>
  <c r="R82" i="9"/>
  <c r="R66" i="9"/>
  <c r="K66" i="9"/>
  <c r="K71" i="9" s="1"/>
  <c r="K82" i="9"/>
  <c r="M87" i="9"/>
  <c r="M51" i="9"/>
  <c r="M52" i="9"/>
  <c r="N20" i="9"/>
  <c r="O20" i="9"/>
  <c r="Q66" i="9"/>
  <c r="Q82" i="9"/>
  <c r="Q79" i="9"/>
  <c r="Q47" i="9"/>
  <c r="Q94" i="9" s="1"/>
  <c r="L124" i="9"/>
  <c r="CA51" i="11"/>
  <c r="CA52" i="11" s="1"/>
  <c r="CA53" i="11" s="1"/>
  <c r="P85" i="9"/>
  <c r="P53" i="9"/>
  <c r="U116" i="9"/>
  <c r="S85" i="9"/>
  <c r="S69" i="9"/>
  <c r="BW187" i="3"/>
  <c r="CA54" i="2"/>
  <c r="AV23" i="2"/>
  <c r="T89" i="36"/>
  <c r="T30" i="36"/>
  <c r="X272" i="3"/>
  <c r="Y18" i="3"/>
  <c r="X20" i="3"/>
  <c r="X21" i="3" s="1"/>
  <c r="X273" i="3"/>
  <c r="T34" i="9"/>
  <c r="T115" i="9" s="1"/>
  <c r="CA107" i="11"/>
  <c r="CA108" i="11" s="1"/>
  <c r="CB59" i="11"/>
  <c r="CB60" i="11" s="1"/>
  <c r="CB61" i="11" s="1"/>
  <c r="AN133" i="11"/>
  <c r="AN134" i="11" s="1"/>
  <c r="AN135" i="11" s="1"/>
  <c r="BJ91" i="11"/>
  <c r="BJ92" i="11" s="1"/>
  <c r="CC90" i="11"/>
  <c r="CD88" i="11" s="1"/>
  <c r="AP66" i="11"/>
  <c r="AQ64" i="11" s="1"/>
  <c r="BZ133" i="11"/>
  <c r="BZ134" i="11" s="1"/>
  <c r="BZ135" i="11" s="1"/>
  <c r="AP75" i="11"/>
  <c r="AP76" i="11" s="1"/>
  <c r="AP91" i="11"/>
  <c r="AP92" i="11" s="1"/>
  <c r="BV149" i="11"/>
  <c r="BV150" i="11" s="1"/>
  <c r="AN13" i="11"/>
  <c r="BJ149" i="11"/>
  <c r="BJ150" i="11" s="1"/>
  <c r="CC106" i="11"/>
  <c r="CD104" i="11" s="1"/>
  <c r="CC50" i="11"/>
  <c r="CD48" i="11" s="1"/>
  <c r="CD58" i="11"/>
  <c r="CE56" i="11" s="1"/>
  <c r="AP132" i="11"/>
  <c r="AQ130" i="11" s="1"/>
  <c r="AV133" i="11"/>
  <c r="AV134" i="11" s="1"/>
  <c r="AV135" i="11" s="1"/>
  <c r="BK90" i="11"/>
  <c r="BL88" i="11" s="1"/>
  <c r="AP35" i="11"/>
  <c r="AP36" i="11" s="1"/>
  <c r="AP37" i="11" s="1"/>
  <c r="AS171" i="11"/>
  <c r="AS162" i="11"/>
  <c r="AS172" i="11" s="1"/>
  <c r="AP42" i="11"/>
  <c r="AQ40" i="11" s="1"/>
  <c r="AR148" i="11"/>
  <c r="AS146" i="11" s="1"/>
  <c r="AR26" i="11"/>
  <c r="AS24" i="11" s="1"/>
  <c r="CB74" i="11"/>
  <c r="CC74" i="11" s="1"/>
  <c r="CD72" i="11" s="1"/>
  <c r="AP82" i="11"/>
  <c r="AQ80" i="11" s="1"/>
  <c r="CC66" i="11"/>
  <c r="CD64" i="11" s="1"/>
  <c r="CC42" i="11"/>
  <c r="CD40" i="11" s="1"/>
  <c r="AR140" i="11"/>
  <c r="AS138" i="11" s="1"/>
  <c r="BC9" i="11"/>
  <c r="AW132" i="11"/>
  <c r="AX130" i="11" s="1"/>
  <c r="BA8" i="11"/>
  <c r="AP50" i="11"/>
  <c r="AQ48" i="11" s="1"/>
  <c r="AQ34" i="11"/>
  <c r="AR32" i="11" s="1"/>
  <c r="BE193" i="11"/>
  <c r="BF48" i="11"/>
  <c r="AU167" i="11"/>
  <c r="AT170" i="11"/>
  <c r="AQ151" i="11"/>
  <c r="AN124" i="11"/>
  <c r="AN201" i="11" s="1"/>
  <c r="AN195" i="11" s="1"/>
  <c r="AP117" i="11"/>
  <c r="BO202" i="11"/>
  <c r="BP202" i="11" s="1"/>
  <c r="BQ202" i="11" s="1"/>
  <c r="BR202" i="11" s="1"/>
  <c r="BN202" i="11"/>
  <c r="CA67" i="11"/>
  <c r="CA68" i="11" s="1"/>
  <c r="CA43" i="11"/>
  <c r="CA44" i="11" s="1"/>
  <c r="AQ141" i="11"/>
  <c r="AQ142" i="11" s="1"/>
  <c r="AQ143" i="11" s="1"/>
  <c r="BB155" i="11"/>
  <c r="AZ112" i="11"/>
  <c r="AZ122" i="11" s="1"/>
  <c r="AN51" i="11"/>
  <c r="AN52" i="11" s="1"/>
  <c r="AN53" i="11" s="1"/>
  <c r="AW58" i="11"/>
  <c r="AX56" i="11" s="1"/>
  <c r="BE51" i="11"/>
  <c r="BE52" i="11" s="1"/>
  <c r="BE53" i="11" s="1"/>
  <c r="CB130" i="11"/>
  <c r="AQ74" i="11"/>
  <c r="AR72" i="11" s="1"/>
  <c r="AQ90" i="11"/>
  <c r="AR88" i="11" s="1"/>
  <c r="AU159" i="11"/>
  <c r="AU160" i="11" s="1"/>
  <c r="AU161" i="11" s="1"/>
  <c r="BW148" i="11"/>
  <c r="BX148" i="11" s="1"/>
  <c r="BY146" i="11" s="1"/>
  <c r="AM19" i="11"/>
  <c r="BK148" i="11"/>
  <c r="BL146" i="11" s="1"/>
  <c r="BO8" i="11"/>
  <c r="BO112" i="11" s="1"/>
  <c r="AX16" i="11"/>
  <c r="AX17" i="11" s="1"/>
  <c r="AX18" i="11" s="1"/>
  <c r="BK132" i="11"/>
  <c r="BL130" i="11" s="1"/>
  <c r="BI70" i="3"/>
  <c r="G59" i="3"/>
  <c r="G49" i="3"/>
  <c r="G52" i="3"/>
  <c r="V59" i="3"/>
  <c r="V206" i="2" s="1"/>
  <c r="V49" i="3"/>
  <c r="V52" i="3"/>
  <c r="AT217" i="3"/>
  <c r="AT233" i="3" s="1"/>
  <c r="AT182" i="3"/>
  <c r="AG267" i="3"/>
  <c r="AG211" i="2" s="1"/>
  <c r="AG212" i="2" s="1"/>
  <c r="AG261" i="3"/>
  <c r="AI161" i="3"/>
  <c r="AI194" i="3"/>
  <c r="AI195" i="3" s="1"/>
  <c r="AD161" i="3"/>
  <c r="AD174" i="3" s="1"/>
  <c r="AD175" i="3" s="1"/>
  <c r="AD194" i="3"/>
  <c r="AD195" i="3" s="1"/>
  <c r="AD44" i="3"/>
  <c r="Z46" i="3"/>
  <c r="AD46" i="3" s="1"/>
  <c r="BU70" i="3"/>
  <c r="BW102" i="3"/>
  <c r="AH208" i="3"/>
  <c r="AH207" i="3"/>
  <c r="AH199" i="3"/>
  <c r="AH186" i="3"/>
  <c r="AH187" i="3" s="1"/>
  <c r="AH174" i="3"/>
  <c r="AH175" i="3" s="1"/>
  <c r="AH198" i="3"/>
  <c r="BD217" i="3"/>
  <c r="BD182" i="3"/>
  <c r="BD181" i="3" s="1"/>
  <c r="AJ267" i="3"/>
  <c r="AJ211" i="2" s="1"/>
  <c r="AJ212" i="2" s="1"/>
  <c r="AJ261" i="3"/>
  <c r="AL234" i="3"/>
  <c r="AA59" i="3"/>
  <c r="AA206" i="2" s="1"/>
  <c r="AA49" i="3"/>
  <c r="AA52" i="3"/>
  <c r="V204" i="3"/>
  <c r="BP70" i="3"/>
  <c r="AE70" i="3"/>
  <c r="BR70" i="3"/>
  <c r="Q59" i="3"/>
  <c r="Q206" i="2" s="1"/>
  <c r="Q49" i="3"/>
  <c r="Q52" i="3"/>
  <c r="AY217" i="3"/>
  <c r="AY233" i="3" s="1"/>
  <c r="AY182" i="3"/>
  <c r="AY181" i="3" s="1"/>
  <c r="R92" i="3"/>
  <c r="R60" i="3"/>
  <c r="R64" i="3"/>
  <c r="R207" i="2" s="1"/>
  <c r="W92" i="3"/>
  <c r="W64" i="3"/>
  <c r="W207" i="2" s="1"/>
  <c r="W60" i="3"/>
  <c r="AS273" i="3"/>
  <c r="AS272" i="3"/>
  <c r="AS20" i="3"/>
  <c r="AS21" i="3" s="1"/>
  <c r="BS70" i="3"/>
  <c r="BO70" i="3"/>
  <c r="BC92" i="3"/>
  <c r="BC60" i="3"/>
  <c r="BU217" i="3"/>
  <c r="BU233" i="3" s="1"/>
  <c r="BU182" i="3"/>
  <c r="BU181" i="3" s="1"/>
  <c r="BU94" i="3"/>
  <c r="BU95" i="3" s="1"/>
  <c r="BU96" i="3" s="1"/>
  <c r="BL217" i="3"/>
  <c r="BL233" i="3" s="1"/>
  <c r="BL182" i="3"/>
  <c r="BL181" i="3" s="1"/>
  <c r="BL94" i="3"/>
  <c r="BL95" i="3" s="1"/>
  <c r="BL96" i="3" s="1"/>
  <c r="T267" i="3"/>
  <c r="T211" i="2" s="1"/>
  <c r="T212" i="2" s="1"/>
  <c r="T261" i="3"/>
  <c r="AJ172" i="3"/>
  <c r="AK163" i="3"/>
  <c r="V200" i="3"/>
  <c r="W201" i="3"/>
  <c r="BP217" i="3"/>
  <c r="BP233" i="3" s="1"/>
  <c r="BP182" i="3"/>
  <c r="BP181" i="3" s="1"/>
  <c r="BP94" i="3"/>
  <c r="BP95" i="3" s="1"/>
  <c r="BP96" i="3" s="1"/>
  <c r="CB184" i="3"/>
  <c r="AU267" i="3"/>
  <c r="AU211" i="2" s="1"/>
  <c r="AU212" i="2" s="1"/>
  <c r="AU261" i="3"/>
  <c r="AK267" i="3"/>
  <c r="AK211" i="2" s="1"/>
  <c r="AK212" i="2" s="1"/>
  <c r="AK261" i="3"/>
  <c r="AJ161" i="3"/>
  <c r="AJ194" i="3"/>
  <c r="AJ195" i="3" s="1"/>
  <c r="CF167" i="3"/>
  <c r="AF267" i="3"/>
  <c r="AF211" i="2" s="1"/>
  <c r="AF212" i="2" s="1"/>
  <c r="AF261" i="3"/>
  <c r="J217" i="3"/>
  <c r="J182" i="3"/>
  <c r="J183" i="3" s="1"/>
  <c r="J94" i="3"/>
  <c r="H92" i="3"/>
  <c r="H60" i="3"/>
  <c r="H64" i="3"/>
  <c r="H70" i="3" s="1"/>
  <c r="AO217" i="3"/>
  <c r="AO233" i="3" s="1"/>
  <c r="AO182" i="3"/>
  <c r="AO181" i="3" s="1"/>
  <c r="AO94" i="3"/>
  <c r="U46" i="3"/>
  <c r="Y46" i="3" s="1"/>
  <c r="Y44" i="3"/>
  <c r="P46" i="3"/>
  <c r="S46" i="3" s="1"/>
  <c r="S44" i="3"/>
  <c r="BO217" i="3"/>
  <c r="BO233" i="3" s="1"/>
  <c r="BO182" i="3"/>
  <c r="BO181" i="3" s="1"/>
  <c r="BO94" i="3"/>
  <c r="BO95" i="3" s="1"/>
  <c r="BO96" i="3" s="1"/>
  <c r="F46" i="3"/>
  <c r="F48" i="3" s="1"/>
  <c r="I44" i="3"/>
  <c r="BF217" i="3"/>
  <c r="BF233" i="3" s="1"/>
  <c r="BF182" i="3"/>
  <c r="BF181" i="3" s="1"/>
  <c r="BF94" i="3"/>
  <c r="BF95" i="3" s="1"/>
  <c r="BF96" i="3" s="1"/>
  <c r="AP267" i="3"/>
  <c r="AP211" i="2" s="1"/>
  <c r="AP212" i="2" s="1"/>
  <c r="AP261" i="3"/>
  <c r="AW267" i="3"/>
  <c r="AW211" i="2" s="1"/>
  <c r="AW212" i="2" s="1"/>
  <c r="AW261" i="3"/>
  <c r="S102" i="3"/>
  <c r="S204" i="3"/>
  <c r="S200" i="3"/>
  <c r="S201" i="3"/>
  <c r="BN70" i="3"/>
  <c r="AT275" i="3"/>
  <c r="BJ69" i="3"/>
  <c r="AB92" i="3"/>
  <c r="AB60" i="3"/>
  <c r="AB64" i="3"/>
  <c r="AB207" i="2" s="1"/>
  <c r="W200" i="3"/>
  <c r="U204" i="3"/>
  <c r="W204" i="3"/>
  <c r="BK217" i="3"/>
  <c r="BK233" i="3" s="1"/>
  <c r="BK182" i="3"/>
  <c r="BK181" i="3" s="1"/>
  <c r="BK94" i="3"/>
  <c r="BK95" i="3" s="1"/>
  <c r="BK96" i="3" s="1"/>
  <c r="AQ267" i="3"/>
  <c r="AQ211" i="2" s="1"/>
  <c r="AQ212" i="2" s="1"/>
  <c r="AQ261" i="3"/>
  <c r="AE217" i="3"/>
  <c r="AE233" i="3" s="1"/>
  <c r="AE210" i="2" s="1"/>
  <c r="AE182" i="3"/>
  <c r="AE181" i="3" s="1"/>
  <c r="AE94" i="3"/>
  <c r="CC179" i="3"/>
  <c r="CC184" i="3"/>
  <c r="CD169" i="3"/>
  <c r="BC273" i="3"/>
  <c r="BC272" i="3"/>
  <c r="BC20" i="3"/>
  <c r="BC21" i="3" s="1"/>
  <c r="AR131" i="3"/>
  <c r="AQ139" i="3"/>
  <c r="BE217" i="3"/>
  <c r="BE233" i="3" s="1"/>
  <c r="BE182" i="3"/>
  <c r="BE181" i="3" s="1"/>
  <c r="BE94" i="3"/>
  <c r="BE95" i="3" s="1"/>
  <c r="BE96" i="3" s="1"/>
  <c r="AD272" i="3"/>
  <c r="AD273" i="3"/>
  <c r="AD20" i="3"/>
  <c r="AD21" i="3" s="1"/>
  <c r="AK152" i="3"/>
  <c r="AL147" i="3"/>
  <c r="BW272" i="3"/>
  <c r="BW273" i="3"/>
  <c r="BW20" i="3"/>
  <c r="BW21" i="3" s="1"/>
  <c r="BT267" i="3"/>
  <c r="BT211" i="2" s="1"/>
  <c r="BT212" i="2" s="1"/>
  <c r="BT261" i="3"/>
  <c r="BB182" i="3"/>
  <c r="BB181" i="3" s="1"/>
  <c r="AL267" i="3"/>
  <c r="AL211" i="2" s="1"/>
  <c r="AL212" i="2" s="1"/>
  <c r="AL261" i="3"/>
  <c r="BM273" i="3"/>
  <c r="BM272" i="3"/>
  <c r="BM20" i="3"/>
  <c r="BM21" i="3" s="1"/>
  <c r="AH267" i="3"/>
  <c r="AH211" i="2" s="1"/>
  <c r="AH212" i="2" s="1"/>
  <c r="AH261" i="3"/>
  <c r="AO275" i="3"/>
  <c r="BM92" i="3"/>
  <c r="BM60" i="3"/>
  <c r="BM64" i="3"/>
  <c r="BS217" i="3"/>
  <c r="BS233" i="3" s="1"/>
  <c r="BS182" i="3"/>
  <c r="BS181" i="3" s="1"/>
  <c r="BS94" i="3"/>
  <c r="BS95" i="3" s="1"/>
  <c r="BS96" i="3" s="1"/>
  <c r="AD208" i="3"/>
  <c r="AD199" i="3"/>
  <c r="AD207" i="3"/>
  <c r="AD186" i="3"/>
  <c r="AD187" i="3" s="1"/>
  <c r="AD198" i="3"/>
  <c r="BL275" i="3"/>
  <c r="CE69" i="3"/>
  <c r="BH273" i="3"/>
  <c r="BH272" i="3"/>
  <c r="BH20" i="3"/>
  <c r="BH21" i="3" s="1"/>
  <c r="BI217" i="3"/>
  <c r="BI233" i="3" s="1"/>
  <c r="BI182" i="3"/>
  <c r="BI181" i="3" s="1"/>
  <c r="BI94" i="3"/>
  <c r="BI95" i="3" s="1"/>
  <c r="BI96" i="3" s="1"/>
  <c r="CF163" i="3"/>
  <c r="I275" i="3"/>
  <c r="BA275" i="3"/>
  <c r="BN217" i="3"/>
  <c r="BN233" i="3" s="1"/>
  <c r="BN182" i="3"/>
  <c r="BN181" i="3" s="1"/>
  <c r="BN94" i="3"/>
  <c r="BN95" i="3" s="1"/>
  <c r="BN96" i="3" s="1"/>
  <c r="AX272" i="3"/>
  <c r="AX273" i="3"/>
  <c r="AX20" i="3"/>
  <c r="AX21" i="3" s="1"/>
  <c r="AI208" i="3"/>
  <c r="AI207" i="3"/>
  <c r="AI199" i="3"/>
  <c r="AI186" i="3"/>
  <c r="AI187" i="3" s="1"/>
  <c r="AI198" i="3"/>
  <c r="BB275" i="3"/>
  <c r="BK275" i="3"/>
  <c r="X267" i="3"/>
  <c r="X211" i="2" s="1"/>
  <c r="X212" i="2" s="1"/>
  <c r="X261" i="3"/>
  <c r="BM204" i="3"/>
  <c r="BM102" i="3"/>
  <c r="BM200" i="3"/>
  <c r="BM201" i="3"/>
  <c r="U200" i="3"/>
  <c r="V201" i="3"/>
  <c r="BC204" i="3"/>
  <c r="BC102" i="3"/>
  <c r="BC200" i="3"/>
  <c r="BC201" i="3"/>
  <c r="AG187" i="3"/>
  <c r="AY275" i="3"/>
  <c r="AZ267" i="3"/>
  <c r="AZ211" i="2" s="1"/>
  <c r="AZ212" i="2" s="1"/>
  <c r="AZ261" i="3"/>
  <c r="S20" i="3"/>
  <c r="S21" i="3" s="1"/>
  <c r="T21" i="3"/>
  <c r="AM167" i="3"/>
  <c r="AL183" i="3"/>
  <c r="J275" i="3"/>
  <c r="J70" i="3"/>
  <c r="BA217" i="3"/>
  <c r="BA233" i="3" s="1"/>
  <c r="BA182" i="3"/>
  <c r="BA181" i="3" s="1"/>
  <c r="L92" i="3"/>
  <c r="L64" i="3"/>
  <c r="L207" i="2" s="1"/>
  <c r="L60" i="3"/>
  <c r="AU20" i="2"/>
  <c r="AV19" i="2"/>
  <c r="AU21" i="2"/>
  <c r="E71" i="10" l="1"/>
  <c r="L71" i="9"/>
  <c r="Q71" i="9"/>
  <c r="P48" i="3"/>
  <c r="U48" i="3"/>
  <c r="U49" i="3" s="1"/>
  <c r="AI174" i="3"/>
  <c r="AI175" i="3" s="1"/>
  <c r="P55" i="9"/>
  <c r="O267" i="3"/>
  <c r="O211" i="2" s="1"/>
  <c r="O212" i="2" s="1"/>
  <c r="O261" i="3"/>
  <c r="O263" i="3" s="1"/>
  <c r="N97" i="9"/>
  <c r="N103" i="9" s="1"/>
  <c r="O50" i="9"/>
  <c r="O90" i="9"/>
  <c r="S53" i="9"/>
  <c r="S94" i="9"/>
  <c r="R50" i="9"/>
  <c r="R94" i="9"/>
  <c r="K50" i="9"/>
  <c r="K94" i="9"/>
  <c r="M45" i="9"/>
  <c r="M85" i="9" s="1"/>
  <c r="O100" i="9"/>
  <c r="O106" i="9" s="1"/>
  <c r="R69" i="9"/>
  <c r="R100" i="9"/>
  <c r="R71" i="9"/>
  <c r="P100" i="9"/>
  <c r="P106" i="9" s="1"/>
  <c r="P69" i="9"/>
  <c r="P71" i="9" s="1"/>
  <c r="AU156" i="2"/>
  <c r="AW210" i="11"/>
  <c r="AV261" i="3"/>
  <c r="AV265" i="3" s="1"/>
  <c r="AV267" i="3"/>
  <c r="AV211" i="2" s="1"/>
  <c r="AV212" i="2" s="1"/>
  <c r="CJ22" i="2"/>
  <c r="L75" i="10"/>
  <c r="L72" i="10"/>
  <c r="E72" i="10" s="1"/>
  <c r="CI22" i="2"/>
  <c r="L74" i="10"/>
  <c r="CA61" i="2"/>
  <c r="CA68" i="2" s="1"/>
  <c r="M118" i="9"/>
  <c r="M124" i="9" s="1"/>
  <c r="BH210" i="11"/>
  <c r="N115" i="9"/>
  <c r="R121" i="9" s="1"/>
  <c r="N37" i="9"/>
  <c r="N100" i="9" s="1"/>
  <c r="N42" i="9"/>
  <c r="N90" i="9" s="1"/>
  <c r="O45" i="9"/>
  <c r="O118" i="9"/>
  <c r="S124" i="9" s="1"/>
  <c r="M121" i="9"/>
  <c r="O66" i="9"/>
  <c r="O82" i="9"/>
  <c r="AX87" i="2"/>
  <c r="AX73" i="2" s="1"/>
  <c r="AX199" i="2"/>
  <c r="M82" i="9"/>
  <c r="M66" i="9"/>
  <c r="M50" i="9"/>
  <c r="BG70" i="3"/>
  <c r="BG267" i="3"/>
  <c r="BG211" i="2" s="1"/>
  <c r="BG212" i="2" s="1"/>
  <c r="BG210" i="2"/>
  <c r="L79" i="9"/>
  <c r="BH182" i="3"/>
  <c r="BH181" i="3" s="1"/>
  <c r="L21" i="9"/>
  <c r="BJ267" i="3"/>
  <c r="BJ211" i="2" s="1"/>
  <c r="BJ212" i="2" s="1"/>
  <c r="BJ261" i="3"/>
  <c r="BJ265" i="3" s="1"/>
  <c r="BJ210" i="2"/>
  <c r="L19" i="9"/>
  <c r="L17" i="9"/>
  <c r="L22" i="9"/>
  <c r="BH94" i="3"/>
  <c r="L18" i="9"/>
  <c r="BH64" i="3"/>
  <c r="BH207" i="2" s="1"/>
  <c r="AO70" i="3"/>
  <c r="AI70" i="3"/>
  <c r="BF70" i="3"/>
  <c r="AO95" i="3"/>
  <c r="AO96" i="3" s="1"/>
  <c r="AI217" i="3"/>
  <c r="AI233" i="3" s="1"/>
  <c r="AI94" i="3"/>
  <c r="AI182" i="3"/>
  <c r="AI181" i="3" s="1"/>
  <c r="H109" i="9"/>
  <c r="BE70" i="3"/>
  <c r="BR217" i="3"/>
  <c r="BR94" i="3"/>
  <c r="BR182" i="3"/>
  <c r="BR181" i="3" s="1"/>
  <c r="H111" i="9"/>
  <c r="BB210" i="11"/>
  <c r="BA210" i="2"/>
  <c r="BM207" i="2"/>
  <c r="BF210" i="11"/>
  <c r="BE210" i="2"/>
  <c r="BP210" i="11"/>
  <c r="BO210" i="2"/>
  <c r="BM210" i="11"/>
  <c r="BL210" i="2"/>
  <c r="BR210" i="11"/>
  <c r="BQ210" i="2"/>
  <c r="BJ210" i="11"/>
  <c r="BI210" i="2"/>
  <c r="BL210" i="11"/>
  <c r="BK210" i="2"/>
  <c r="AU210" i="11"/>
  <c r="AT210" i="2"/>
  <c r="AZ210" i="11"/>
  <c r="AY210" i="2"/>
  <c r="CB303" i="3"/>
  <c r="BD70" i="3"/>
  <c r="BD207" i="2"/>
  <c r="BO210" i="11"/>
  <c r="BN210" i="2"/>
  <c r="BT210" i="11"/>
  <c r="BS210" i="2"/>
  <c r="BG210" i="11"/>
  <c r="BF210" i="2"/>
  <c r="AP210" i="11"/>
  <c r="AO210" i="2"/>
  <c r="BQ210" i="11"/>
  <c r="BP210" i="2"/>
  <c r="BV210" i="11"/>
  <c r="BU210" i="2"/>
  <c r="H112" i="9"/>
  <c r="AW133" i="11"/>
  <c r="AW134" i="11" s="1"/>
  <c r="AL196" i="11"/>
  <c r="AL197" i="11" s="1"/>
  <c r="AL198" i="11" s="1"/>
  <c r="AN113" i="11"/>
  <c r="AN115" i="11" s="1"/>
  <c r="AM123" i="11"/>
  <c r="AN121" i="11" s="1"/>
  <c r="AW59" i="11"/>
  <c r="AW60" i="11" s="1"/>
  <c r="AR149" i="11"/>
  <c r="AR150" i="11" s="1"/>
  <c r="CD59" i="11"/>
  <c r="CD60" i="11" s="1"/>
  <c r="AM170" i="11"/>
  <c r="AM174" i="11" s="1"/>
  <c r="AN156" i="11"/>
  <c r="AM164" i="11"/>
  <c r="AM165" i="11" s="1"/>
  <c r="AM173" i="11" s="1"/>
  <c r="BK133" i="11"/>
  <c r="BK134" i="11" s="1"/>
  <c r="BK135" i="11" s="1"/>
  <c r="BY148" i="11"/>
  <c r="BY149" i="11" s="1"/>
  <c r="BY150" i="11" s="1"/>
  <c r="AP51" i="11"/>
  <c r="AP52" i="11" s="1"/>
  <c r="AP43" i="11"/>
  <c r="AP44" i="11" s="1"/>
  <c r="BK91" i="11"/>
  <c r="BK92" i="11" s="1"/>
  <c r="BK93" i="11" s="1"/>
  <c r="AM160" i="11"/>
  <c r="AM161" i="11" s="1"/>
  <c r="H110" i="9"/>
  <c r="K46" i="3"/>
  <c r="N46" i="3" s="1"/>
  <c r="N44" i="3"/>
  <c r="K48" i="3"/>
  <c r="Y268" i="3"/>
  <c r="M64" i="3"/>
  <c r="M207" i="2" s="1"/>
  <c r="M92" i="3"/>
  <c r="M60" i="3"/>
  <c r="Y48" i="3"/>
  <c r="Y52" i="3" s="1"/>
  <c r="I138" i="9" s="1"/>
  <c r="J233" i="3"/>
  <c r="J210" i="2" s="1"/>
  <c r="F55" i="9"/>
  <c r="Y263" i="3"/>
  <c r="Y265" i="3"/>
  <c r="G55" i="9"/>
  <c r="S71" i="9"/>
  <c r="R106" i="9"/>
  <c r="CL243" i="3"/>
  <c r="CP108" i="2"/>
  <c r="CO108" i="2"/>
  <c r="CK108" i="2"/>
  <c r="CN108" i="2"/>
  <c r="BZ68" i="2"/>
  <c r="CG243" i="3"/>
  <c r="CO103" i="2"/>
  <c r="I55" i="9"/>
  <c r="J55" i="9"/>
  <c r="AX217" i="3"/>
  <c r="AX182" i="3"/>
  <c r="BH275" i="3"/>
  <c r="AS275" i="3"/>
  <c r="BR65" i="3"/>
  <c r="BM275" i="3"/>
  <c r="AD275" i="3"/>
  <c r="I74" i="9"/>
  <c r="I82" i="9"/>
  <c r="S52" i="9"/>
  <c r="S51" i="9"/>
  <c r="S87" i="9"/>
  <c r="S50" i="9"/>
  <c r="K87" i="9"/>
  <c r="K52" i="9"/>
  <c r="K53" i="9"/>
  <c r="K51" i="9"/>
  <c r="R52" i="9"/>
  <c r="R87" i="9"/>
  <c r="R51" i="9"/>
  <c r="R53" i="9"/>
  <c r="Q105" i="9"/>
  <c r="Q104" i="9"/>
  <c r="Q103" i="9"/>
  <c r="Q106" i="9"/>
  <c r="L53" i="9"/>
  <c r="L51" i="9"/>
  <c r="L52" i="9"/>
  <c r="L87" i="9"/>
  <c r="L50" i="9"/>
  <c r="R104" i="9"/>
  <c r="R105" i="9"/>
  <c r="R103" i="9"/>
  <c r="Q53" i="9"/>
  <c r="Q87" i="9"/>
  <c r="Q52" i="9"/>
  <c r="Q51" i="9"/>
  <c r="Q50" i="9"/>
  <c r="K106" i="9"/>
  <c r="K105" i="9"/>
  <c r="K104" i="9"/>
  <c r="K103" i="9"/>
  <c r="I17" i="9"/>
  <c r="CB107" i="11"/>
  <c r="CB108" i="11" s="1"/>
  <c r="CB109" i="11" s="1"/>
  <c r="T121" i="9"/>
  <c r="CB67" i="11"/>
  <c r="CB68" i="11" s="1"/>
  <c r="CA69" i="11" s="1"/>
  <c r="CB75" i="11"/>
  <c r="CB76" i="11" s="1"/>
  <c r="CB77" i="11" s="1"/>
  <c r="CB51" i="11"/>
  <c r="CB52" i="11" s="1"/>
  <c r="CB91" i="11"/>
  <c r="CB92" i="11" s="1"/>
  <c r="CB93" i="11" s="1"/>
  <c r="U122" i="9"/>
  <c r="BW275" i="3"/>
  <c r="AW23" i="2"/>
  <c r="CB54" i="2"/>
  <c r="X275" i="3"/>
  <c r="Y20" i="3"/>
  <c r="Y21" i="3" s="1"/>
  <c r="Y273" i="3"/>
  <c r="Y272" i="3"/>
  <c r="BO122" i="11"/>
  <c r="BO125" i="11"/>
  <c r="AO195" i="11"/>
  <c r="AU170" i="11"/>
  <c r="AV167" i="11" s="1"/>
  <c r="AV156" i="11"/>
  <c r="AU164" i="11"/>
  <c r="AU165" i="11" s="1"/>
  <c r="AU173" i="11" s="1"/>
  <c r="AQ75" i="11"/>
  <c r="AQ76" i="11" s="1"/>
  <c r="AQ77" i="11" s="1"/>
  <c r="AX58" i="11"/>
  <c r="AY58" i="11" s="1"/>
  <c r="AZ56" i="11" s="1"/>
  <c r="BB169" i="11"/>
  <c r="BB168" i="11"/>
  <c r="BB192" i="11" s="1"/>
  <c r="BB173" i="11"/>
  <c r="AQ117" i="11"/>
  <c r="AP124" i="11"/>
  <c r="AP201" i="11" s="1"/>
  <c r="AP195" i="11" s="1"/>
  <c r="BF50" i="11"/>
  <c r="BG48" i="11" s="1"/>
  <c r="AQ50" i="11"/>
  <c r="AR48" i="11" s="1"/>
  <c r="AX132" i="11"/>
  <c r="AY132" i="11" s="1"/>
  <c r="AZ130" i="11" s="1"/>
  <c r="AR141" i="11"/>
  <c r="AR142" i="11" s="1"/>
  <c r="CD66" i="11"/>
  <c r="CE64" i="11" s="1"/>
  <c r="AR27" i="11"/>
  <c r="AR28" i="11" s="1"/>
  <c r="AR29" i="11" s="1"/>
  <c r="AQ42" i="11"/>
  <c r="AR40" i="11" s="1"/>
  <c r="CE58" i="11"/>
  <c r="CF56" i="11" s="1"/>
  <c r="AP67" i="11"/>
  <c r="AP68" i="11" s="1"/>
  <c r="AY16" i="11"/>
  <c r="AU171" i="11"/>
  <c r="AU162" i="11"/>
  <c r="AU172" i="11" s="1"/>
  <c r="AR74" i="11"/>
  <c r="AS72" i="11" s="1"/>
  <c r="AP62" i="3"/>
  <c r="AP64" i="3"/>
  <c r="AP207" i="2" s="1"/>
  <c r="AP94" i="3"/>
  <c r="AO201" i="11"/>
  <c r="AS140" i="11"/>
  <c r="AT140" i="11" s="1"/>
  <c r="AU138" i="11" s="1"/>
  <c r="CD74" i="11"/>
  <c r="CE72" i="11" s="1"/>
  <c r="AS148" i="11"/>
  <c r="AT148" i="11" s="1"/>
  <c r="AU146" i="11" s="1"/>
  <c r="BL90" i="11"/>
  <c r="BM88" i="11" s="1"/>
  <c r="AP133" i="11"/>
  <c r="AP134" i="11" s="1"/>
  <c r="CD106" i="11"/>
  <c r="CE104" i="11" s="1"/>
  <c r="CD90" i="11"/>
  <c r="CE88" i="11" s="1"/>
  <c r="AX19" i="11"/>
  <c r="BL148" i="11"/>
  <c r="BM146" i="11" s="1"/>
  <c r="AR90" i="11"/>
  <c r="AS88" i="11" s="1"/>
  <c r="CC132" i="11"/>
  <c r="CD130" i="11" s="1"/>
  <c r="AZ194" i="11"/>
  <c r="AZ181" i="11"/>
  <c r="AU174" i="11"/>
  <c r="AR34" i="11"/>
  <c r="AS32" i="11" s="1"/>
  <c r="BB8" i="11"/>
  <c r="BE9" i="11"/>
  <c r="BE155" i="11" s="1"/>
  <c r="CD42" i="11"/>
  <c r="CE40" i="11" s="1"/>
  <c r="AQ82" i="11"/>
  <c r="AR80" i="11" s="1"/>
  <c r="AQ132" i="11"/>
  <c r="AQ133" i="11" s="1"/>
  <c r="AQ134" i="11" s="1"/>
  <c r="AN16" i="11"/>
  <c r="AN17" i="11" s="1"/>
  <c r="AN18" i="11" s="1"/>
  <c r="BL132" i="11"/>
  <c r="BM130" i="11" s="1"/>
  <c r="BM133" i="11" s="1"/>
  <c r="BM134" i="11" s="1"/>
  <c r="BO124" i="11"/>
  <c r="BO201" i="11" s="1"/>
  <c r="BP8" i="11"/>
  <c r="BK149" i="11"/>
  <c r="BK150" i="11" s="1"/>
  <c r="BK151" i="11" s="1"/>
  <c r="BW149" i="11"/>
  <c r="BW150" i="11" s="1"/>
  <c r="BX150" i="11" s="1"/>
  <c r="AQ91" i="11"/>
  <c r="AQ92" i="11" s="1"/>
  <c r="AQ93" i="11" s="1"/>
  <c r="CA133" i="11"/>
  <c r="CA134" i="11" s="1"/>
  <c r="BT202" i="11"/>
  <c r="BS202" i="11"/>
  <c r="BU202" i="11" s="1"/>
  <c r="BV202" i="11" s="1"/>
  <c r="BW202" i="11" s="1"/>
  <c r="AQ35" i="11"/>
  <c r="AQ36" i="11" s="1"/>
  <c r="AQ37" i="11" s="1"/>
  <c r="BA112" i="11"/>
  <c r="BC155" i="11"/>
  <c r="CB43" i="11"/>
  <c r="CB44" i="11" s="1"/>
  <c r="AP83" i="11"/>
  <c r="AP84" i="11" s="1"/>
  <c r="AS26" i="11"/>
  <c r="AT26" i="11" s="1"/>
  <c r="AU24" i="11" s="1"/>
  <c r="CD50" i="11"/>
  <c r="CE48" i="11" s="1"/>
  <c r="AQ66" i="11"/>
  <c r="AR64" i="11" s="1"/>
  <c r="F59" i="3"/>
  <c r="F49" i="3"/>
  <c r="F52" i="3"/>
  <c r="I48" i="3"/>
  <c r="CG163" i="3"/>
  <c r="AH265" i="3"/>
  <c r="AM147" i="3"/>
  <c r="AL152" i="3"/>
  <c r="AS131" i="3"/>
  <c r="AT131" i="3"/>
  <c r="AR139" i="3"/>
  <c r="CD184" i="3"/>
  <c r="CD179" i="3"/>
  <c r="CE169" i="3"/>
  <c r="AE267" i="3"/>
  <c r="AE211" i="2" s="1"/>
  <c r="AE212" i="2" s="1"/>
  <c r="AE261" i="3"/>
  <c r="AP265" i="3"/>
  <c r="BF267" i="3"/>
  <c r="BF211" i="2" s="1"/>
  <c r="BF212" i="2" s="1"/>
  <c r="BF261" i="3"/>
  <c r="BO267" i="3"/>
  <c r="BO211" i="2" s="1"/>
  <c r="BO212" i="2" s="1"/>
  <c r="BO261" i="3"/>
  <c r="U52" i="3"/>
  <c r="H217" i="3"/>
  <c r="H233" i="3" s="1"/>
  <c r="H182" i="3"/>
  <c r="H181" i="3" s="1"/>
  <c r="H94" i="3"/>
  <c r="AF268" i="3"/>
  <c r="AU265" i="3"/>
  <c r="BU267" i="3"/>
  <c r="BU211" i="2" s="1"/>
  <c r="BU212" i="2" s="1"/>
  <c r="BU261" i="3"/>
  <c r="W70" i="3"/>
  <c r="I46" i="3"/>
  <c r="Z48" i="3"/>
  <c r="AG268" i="3"/>
  <c r="L70" i="3"/>
  <c r="X265" i="3"/>
  <c r="AX275" i="3"/>
  <c r="BN267" i="3"/>
  <c r="BN211" i="2" s="1"/>
  <c r="BN212" i="2" s="1"/>
  <c r="BN261" i="3"/>
  <c r="BS261" i="3"/>
  <c r="BS267" i="3"/>
  <c r="BS211" i="2" s="1"/>
  <c r="BS212" i="2" s="1"/>
  <c r="BM217" i="3"/>
  <c r="BM182" i="3"/>
  <c r="BM94" i="3"/>
  <c r="AH268" i="3"/>
  <c r="AL265" i="3"/>
  <c r="BT268" i="3"/>
  <c r="AK161" i="3"/>
  <c r="AK194" i="3"/>
  <c r="AK195" i="3" s="1"/>
  <c r="AB217" i="3"/>
  <c r="AB233" i="3" s="1"/>
  <c r="AB210" i="2" s="1"/>
  <c r="AB182" i="3"/>
  <c r="AB181" i="3" s="1"/>
  <c r="AB94" i="3"/>
  <c r="AP268" i="3"/>
  <c r="P52" i="3"/>
  <c r="P59" i="3"/>
  <c r="P206" i="2" s="1"/>
  <c r="P49" i="3"/>
  <c r="BG265" i="3"/>
  <c r="AO267" i="3"/>
  <c r="AO211" i="2" s="1"/>
  <c r="AO212" i="2" s="1"/>
  <c r="AO261" i="3"/>
  <c r="CG167" i="3"/>
  <c r="AK265" i="3"/>
  <c r="AU268" i="3"/>
  <c r="CC146" i="3"/>
  <c r="CB146" i="3"/>
  <c r="BP267" i="3"/>
  <c r="BP211" i="2" s="1"/>
  <c r="BP212" i="2" s="1"/>
  <c r="BP261" i="3"/>
  <c r="T263" i="3"/>
  <c r="T265" i="3"/>
  <c r="BL267" i="3"/>
  <c r="BL211" i="2" s="1"/>
  <c r="BL212" i="2" s="1"/>
  <c r="BL261" i="3"/>
  <c r="W217" i="3"/>
  <c r="W233" i="3" s="1"/>
  <c r="W210" i="2" s="1"/>
  <c r="W182" i="3"/>
  <c r="W181" i="3" s="1"/>
  <c r="W94" i="3"/>
  <c r="R217" i="3"/>
  <c r="R233" i="3" s="1"/>
  <c r="R210" i="2" s="1"/>
  <c r="R182" i="3"/>
  <c r="R181" i="3" s="1"/>
  <c r="R94" i="3"/>
  <c r="BQ267" i="3"/>
  <c r="BQ211" i="2" s="1"/>
  <c r="BQ212" i="2" s="1"/>
  <c r="BQ261" i="3"/>
  <c r="V92" i="3"/>
  <c r="V64" i="3"/>
  <c r="V207" i="2" s="1"/>
  <c r="V60" i="3"/>
  <c r="L217" i="3"/>
  <c r="L233" i="3" s="1"/>
  <c r="L210" i="2" s="1"/>
  <c r="L182" i="3"/>
  <c r="L181" i="3" s="1"/>
  <c r="L94" i="3"/>
  <c r="AM183" i="3"/>
  <c r="AN167" i="3"/>
  <c r="AO167" i="3"/>
  <c r="AZ265" i="3"/>
  <c r="X268" i="3"/>
  <c r="BI267" i="3"/>
  <c r="BI211" i="2" s="1"/>
  <c r="BI212" i="2" s="1"/>
  <c r="BI261" i="3"/>
  <c r="CF69" i="3"/>
  <c r="CG69" i="3" s="1"/>
  <c r="AL268" i="3"/>
  <c r="BC275" i="3"/>
  <c r="AQ265" i="3"/>
  <c r="BK267" i="3"/>
  <c r="BK211" i="2" s="1"/>
  <c r="BK212" i="2" s="1"/>
  <c r="BK261" i="3"/>
  <c r="AW265" i="3"/>
  <c r="S48" i="3"/>
  <c r="AK268" i="3"/>
  <c r="AK172" i="3"/>
  <c r="AL163" i="3"/>
  <c r="T268" i="3"/>
  <c r="BC217" i="3"/>
  <c r="BC182" i="3"/>
  <c r="Q92" i="3"/>
  <c r="Q64" i="3"/>
  <c r="Q207" i="2" s="1"/>
  <c r="Q60" i="3"/>
  <c r="AJ265" i="3"/>
  <c r="BD233" i="3"/>
  <c r="BH217" i="3"/>
  <c r="AD48" i="3"/>
  <c r="BA267" i="3"/>
  <c r="BA211" i="2" s="1"/>
  <c r="BA212" i="2" s="1"/>
  <c r="BA261" i="3"/>
  <c r="AZ268" i="3"/>
  <c r="AJ178" i="3"/>
  <c r="AN178" i="3"/>
  <c r="BY78" i="3"/>
  <c r="BZ216" i="11"/>
  <c r="AI178" i="3"/>
  <c r="AE178" i="3"/>
  <c r="BE267" i="3"/>
  <c r="BE211" i="2" s="1"/>
  <c r="BE212" i="2" s="1"/>
  <c r="BE261" i="3"/>
  <c r="AQ268" i="3"/>
  <c r="AB70" i="3"/>
  <c r="BK69" i="3"/>
  <c r="BJ70" i="3"/>
  <c r="AW268" i="3"/>
  <c r="AF265" i="3"/>
  <c r="AJ208" i="3"/>
  <c r="AJ199" i="3"/>
  <c r="AJ207" i="3"/>
  <c r="AJ186" i="3"/>
  <c r="AK178" i="3" s="1"/>
  <c r="AJ174" i="3"/>
  <c r="AJ175" i="3" s="1"/>
  <c r="AJ198" i="3"/>
  <c r="R70" i="3"/>
  <c r="AY267" i="3"/>
  <c r="AY211" i="2" s="1"/>
  <c r="AY212" i="2" s="1"/>
  <c r="AY261" i="3"/>
  <c r="AA92" i="3"/>
  <c r="AA60" i="3"/>
  <c r="AA64" i="3"/>
  <c r="AA207" i="2" s="1"/>
  <c r="AJ268" i="3"/>
  <c r="AG265" i="3"/>
  <c r="AT267" i="3"/>
  <c r="AT211" i="2" s="1"/>
  <c r="AT212" i="2" s="1"/>
  <c r="AT261" i="3"/>
  <c r="G92" i="3"/>
  <c r="G60" i="3"/>
  <c r="G64" i="3"/>
  <c r="G70" i="3" s="1"/>
  <c r="AV20" i="2"/>
  <c r="AV21" i="2"/>
  <c r="AW19" i="2"/>
  <c r="E75" i="10" l="1"/>
  <c r="AM127" i="11"/>
  <c r="CB45" i="11"/>
  <c r="U59" i="3"/>
  <c r="U206" i="2" s="1"/>
  <c r="O265" i="3"/>
  <c r="J261" i="3"/>
  <c r="J265" i="3" s="1"/>
  <c r="O268" i="3"/>
  <c r="J267" i="3"/>
  <c r="J211" i="2" s="1"/>
  <c r="J212" i="2" s="1"/>
  <c r="N48" i="3"/>
  <c r="N59" i="3" s="1"/>
  <c r="N206" i="2" s="1"/>
  <c r="I99" i="9"/>
  <c r="I98" i="9"/>
  <c r="I97" i="9"/>
  <c r="I100" i="9"/>
  <c r="M53" i="9"/>
  <c r="M55" i="9" s="1"/>
  <c r="M69" i="9"/>
  <c r="M71" i="9" s="1"/>
  <c r="AV156" i="2"/>
  <c r="AV268" i="3"/>
  <c r="L79" i="10"/>
  <c r="E79" i="10" s="1"/>
  <c r="CO22" i="2"/>
  <c r="CK22" i="2"/>
  <c r="L76" i="10"/>
  <c r="E76" i="10" s="1"/>
  <c r="CP22" i="2"/>
  <c r="L80" i="10"/>
  <c r="CN22" i="2"/>
  <c r="L78" i="10"/>
  <c r="O121" i="9"/>
  <c r="Q121" i="9"/>
  <c r="P121" i="9"/>
  <c r="N121" i="9"/>
  <c r="O85" i="9"/>
  <c r="O69" i="9"/>
  <c r="O71" i="9" s="1"/>
  <c r="O53" i="9"/>
  <c r="O55" i="9" s="1"/>
  <c r="N66" i="9"/>
  <c r="N82" i="9"/>
  <c r="N50" i="9"/>
  <c r="N45" i="9"/>
  <c r="N118" i="9"/>
  <c r="N106" i="9"/>
  <c r="R112" i="9" s="1"/>
  <c r="BG268" i="3"/>
  <c r="BJ268" i="3"/>
  <c r="BR95" i="3"/>
  <c r="BH95" i="3"/>
  <c r="BH96" i="3" s="1"/>
  <c r="BH70" i="3"/>
  <c r="BM65" i="3"/>
  <c r="R109" i="9"/>
  <c r="Y59" i="3"/>
  <c r="Y206" i="2" s="1"/>
  <c r="BR233" i="3"/>
  <c r="Y49" i="3"/>
  <c r="AI261" i="3"/>
  <c r="AI210" i="2"/>
  <c r="CB304" i="3"/>
  <c r="CG300" i="3"/>
  <c r="BE210" i="11"/>
  <c r="BD210" i="2"/>
  <c r="AM196" i="11"/>
  <c r="AM197" i="11" s="1"/>
  <c r="AM198" i="11" s="1"/>
  <c r="BZ146" i="11"/>
  <c r="BZ148" i="11" s="1"/>
  <c r="CA146" i="11" s="1"/>
  <c r="CD75" i="11"/>
  <c r="CD76" i="11" s="1"/>
  <c r="CE59" i="11"/>
  <c r="CE60" i="11" s="1"/>
  <c r="CE61" i="11" s="1"/>
  <c r="AX133" i="11"/>
  <c r="AX134" i="11" s="1"/>
  <c r="AX135" i="11" s="1"/>
  <c r="CD51" i="11"/>
  <c r="CD52" i="11" s="1"/>
  <c r="CD53" i="11" s="1"/>
  <c r="BL91" i="11"/>
  <c r="BL92" i="11" s="1"/>
  <c r="AN116" i="11"/>
  <c r="AO115" i="11"/>
  <c r="AP113" i="11" s="1"/>
  <c r="AP115" i="11" s="1"/>
  <c r="AP116" i="11" s="1"/>
  <c r="AP118" i="11" s="1"/>
  <c r="AP125" i="11" s="1"/>
  <c r="AN123" i="11"/>
  <c r="AN159" i="11"/>
  <c r="AS27" i="11"/>
  <c r="AS28" i="11" s="1"/>
  <c r="AS29" i="11" s="1"/>
  <c r="AS149" i="11"/>
  <c r="AS150" i="11" s="1"/>
  <c r="AS151" i="11" s="1"/>
  <c r="AM162" i="11"/>
  <c r="AM172" i="11" s="1"/>
  <c r="AM179" i="11" s="1"/>
  <c r="AM171" i="11"/>
  <c r="AM178" i="11" s="1"/>
  <c r="AM207" i="11" s="1"/>
  <c r="AN167" i="11"/>
  <c r="AM176" i="11"/>
  <c r="AN183" i="3"/>
  <c r="AS139" i="3"/>
  <c r="M217" i="3"/>
  <c r="M233" i="3" s="1"/>
  <c r="M210" i="2" s="1"/>
  <c r="M94" i="3"/>
  <c r="M182" i="3"/>
  <c r="M181" i="3" s="1"/>
  <c r="M70" i="3"/>
  <c r="K59" i="3"/>
  <c r="K52" i="3"/>
  <c r="K49" i="3"/>
  <c r="AI267" i="3"/>
  <c r="U61" i="9"/>
  <c r="CB61" i="2"/>
  <c r="CB68" i="2" s="1"/>
  <c r="V61" i="9"/>
  <c r="AX233" i="3"/>
  <c r="AX210" i="2" s="1"/>
  <c r="S55" i="9"/>
  <c r="R110" i="9"/>
  <c r="L55" i="9"/>
  <c r="R111" i="9"/>
  <c r="BC181" i="3"/>
  <c r="BM181" i="3"/>
  <c r="Q55" i="9"/>
  <c r="R55" i="9"/>
  <c r="K55" i="9"/>
  <c r="BH233" i="3"/>
  <c r="BH210" i="2" s="1"/>
  <c r="BM95" i="3"/>
  <c r="BM233" i="3"/>
  <c r="I21" i="9"/>
  <c r="I22" i="9"/>
  <c r="I20" i="9"/>
  <c r="I19" i="9"/>
  <c r="I18" i="9"/>
  <c r="I79" i="9"/>
  <c r="I87" i="9"/>
  <c r="CD91" i="11"/>
  <c r="CD92" i="11" s="1"/>
  <c r="AY23" i="2"/>
  <c r="AX23" i="2"/>
  <c r="AX19" i="2"/>
  <c r="Y275" i="3"/>
  <c r="AN19" i="11"/>
  <c r="BE169" i="11"/>
  <c r="BE168" i="11"/>
  <c r="BE192" i="11" s="1"/>
  <c r="BE173" i="11"/>
  <c r="AQ67" i="11"/>
  <c r="AQ68" i="11" s="1"/>
  <c r="AP69" i="11" s="1"/>
  <c r="AU26" i="11"/>
  <c r="AV24" i="11" s="1"/>
  <c r="BC169" i="11"/>
  <c r="BC168" i="11"/>
  <c r="BC192" i="11" s="1"/>
  <c r="BD192" i="11" s="1"/>
  <c r="BC173" i="11"/>
  <c r="AQ83" i="11"/>
  <c r="AQ84" i="11" s="1"/>
  <c r="AQ85" i="11" s="1"/>
  <c r="AR35" i="11"/>
  <c r="AR36" i="11" s="1"/>
  <c r="AR37" i="11" s="1"/>
  <c r="CB133" i="11"/>
  <c r="CB134" i="11" s="1"/>
  <c r="CB135" i="11" s="1"/>
  <c r="CD107" i="11"/>
  <c r="CD108" i="11" s="1"/>
  <c r="AU148" i="11"/>
  <c r="AV146" i="11" s="1"/>
  <c r="BW151" i="11"/>
  <c r="AQ43" i="11"/>
  <c r="AQ44" i="11" s="1"/>
  <c r="AQ45" i="11" s="1"/>
  <c r="AQ64" i="3"/>
  <c r="AQ207" i="2" s="1"/>
  <c r="AQ62" i="3"/>
  <c r="AQ94" i="3"/>
  <c r="AQ95" i="3" s="1"/>
  <c r="AQ51" i="11"/>
  <c r="AQ52" i="11" s="1"/>
  <c r="AQ53" i="11" s="1"/>
  <c r="AQ124" i="11"/>
  <c r="AQ201" i="11" s="1"/>
  <c r="AR195" i="11" s="1"/>
  <c r="AR117" i="11"/>
  <c r="AX59" i="11"/>
  <c r="AX60" i="11" s="1"/>
  <c r="AX61" i="11" s="1"/>
  <c r="AV159" i="11"/>
  <c r="AV160" i="11" s="1"/>
  <c r="AV161" i="11" s="1"/>
  <c r="AR66" i="11"/>
  <c r="AS64" i="11" s="1"/>
  <c r="CE42" i="11"/>
  <c r="CF40" i="11" s="1"/>
  <c r="BC8" i="11"/>
  <c r="BC112" i="11" s="1"/>
  <c r="AS90" i="11"/>
  <c r="AT90" i="11" s="1"/>
  <c r="AU88" i="11" s="1"/>
  <c r="BM148" i="11"/>
  <c r="BN148" i="11" s="1"/>
  <c r="BO146" i="11" s="1"/>
  <c r="AQ135" i="11"/>
  <c r="AP95" i="3"/>
  <c r="AP96" i="3" s="1"/>
  <c r="AP70" i="3"/>
  <c r="AS74" i="11"/>
  <c r="AT74" i="11" s="1"/>
  <c r="AU72" i="11" s="1"/>
  <c r="BG50" i="11"/>
  <c r="BH48" i="11" s="1"/>
  <c r="AZ58" i="11"/>
  <c r="BA56" i="11" s="1"/>
  <c r="BP124" i="11"/>
  <c r="BP201" i="11" s="1"/>
  <c r="BP195" i="11" s="1"/>
  <c r="BQ8" i="11"/>
  <c r="BQ112" i="11" s="1"/>
  <c r="BL133" i="11"/>
  <c r="BL134" i="11" s="1"/>
  <c r="BM135" i="11" s="1"/>
  <c r="CD43" i="11"/>
  <c r="CD44" i="11" s="1"/>
  <c r="BB112" i="11"/>
  <c r="AR91" i="11"/>
  <c r="AR92" i="11" s="1"/>
  <c r="BL149" i="11"/>
  <c r="BL150" i="11" s="1"/>
  <c r="AU140" i="11"/>
  <c r="AV138" i="11" s="1"/>
  <c r="AR75" i="11"/>
  <c r="AR76" i="11" s="1"/>
  <c r="CF58" i="11"/>
  <c r="CG56" i="11" s="1"/>
  <c r="CE66" i="11"/>
  <c r="CF64" i="11" s="1"/>
  <c r="AZ132" i="11"/>
  <c r="BA130" i="11" s="1"/>
  <c r="BF51" i="11"/>
  <c r="BF52" i="11" s="1"/>
  <c r="CE50" i="11"/>
  <c r="CF48" i="11" s="1"/>
  <c r="BZ202" i="11"/>
  <c r="BP112" i="11"/>
  <c r="BP122" i="11" s="1"/>
  <c r="AO16" i="11"/>
  <c r="AR82" i="11"/>
  <c r="AS80" i="11" s="1"/>
  <c r="BF9" i="11"/>
  <c r="BF155" i="11" s="1"/>
  <c r="AS34" i="11"/>
  <c r="AT34" i="11" s="1"/>
  <c r="AU32" i="11" s="1"/>
  <c r="CD132" i="11"/>
  <c r="CE130" i="11" s="1"/>
  <c r="CE90" i="11"/>
  <c r="CF88" i="11" s="1"/>
  <c r="CE106" i="11"/>
  <c r="CF104" i="11" s="1"/>
  <c r="BM90" i="11"/>
  <c r="BN90" i="11" s="1"/>
  <c r="BO88" i="11" s="1"/>
  <c r="CE74" i="11"/>
  <c r="CF72" i="11" s="1"/>
  <c r="AS141" i="11"/>
  <c r="AS142" i="11" s="1"/>
  <c r="AS143" i="11" s="1"/>
  <c r="AZ13" i="11"/>
  <c r="AR42" i="11"/>
  <c r="AS40" i="11" s="1"/>
  <c r="CD67" i="11"/>
  <c r="CD68" i="11" s="1"/>
  <c r="AR50" i="11"/>
  <c r="AS48" i="11" s="1"/>
  <c r="BO181" i="11"/>
  <c r="CA78" i="3"/>
  <c r="CB216" i="11"/>
  <c r="CB77" i="3"/>
  <c r="AT268" i="3"/>
  <c r="AA217" i="3"/>
  <c r="AA182" i="3"/>
  <c r="AA181" i="3" s="1"/>
  <c r="AA94" i="3"/>
  <c r="BL69" i="3"/>
  <c r="BL70" i="3" s="1"/>
  <c r="BK70" i="3"/>
  <c r="BM69" i="3"/>
  <c r="BE268" i="3"/>
  <c r="BY180" i="3"/>
  <c r="AD59" i="3"/>
  <c r="AD206" i="2" s="1"/>
  <c r="AD49" i="3"/>
  <c r="AD52" i="3"/>
  <c r="J138" i="9" s="1"/>
  <c r="Q217" i="3"/>
  <c r="Q233" i="3" s="1"/>
  <c r="Q210" i="2" s="1"/>
  <c r="Q182" i="3"/>
  <c r="Q181" i="3" s="1"/>
  <c r="Q94" i="3"/>
  <c r="BI265" i="3"/>
  <c r="L267" i="3"/>
  <c r="L211" i="2" s="1"/>
  <c r="L212" i="2" s="1"/>
  <c r="L261" i="3"/>
  <c r="V217" i="3"/>
  <c r="V233" i="3" s="1"/>
  <c r="V210" i="2" s="1"/>
  <c r="V182" i="3"/>
  <c r="V181" i="3" s="1"/>
  <c r="V94" i="3"/>
  <c r="BQ265" i="3"/>
  <c r="BP268" i="3"/>
  <c r="AO265" i="3"/>
  <c r="P92" i="3"/>
  <c r="P64" i="3"/>
  <c r="P207" i="2" s="1"/>
  <c r="P60" i="3"/>
  <c r="BN265" i="3"/>
  <c r="BO268" i="3"/>
  <c r="BF265" i="3"/>
  <c r="AE268" i="3"/>
  <c r="AO147" i="3"/>
  <c r="AM152" i="3"/>
  <c r="AN147" i="3"/>
  <c r="I59" i="3"/>
  <c r="I49" i="3"/>
  <c r="G217" i="3"/>
  <c r="G233" i="3" s="1"/>
  <c r="G182" i="3"/>
  <c r="G181" i="3" s="1"/>
  <c r="G94" i="3"/>
  <c r="BK265" i="3"/>
  <c r="CH69" i="3"/>
  <c r="BI268" i="3"/>
  <c r="AP167" i="3"/>
  <c r="AO183" i="3"/>
  <c r="BQ268" i="3"/>
  <c r="W267" i="3"/>
  <c r="W211" i="2" s="1"/>
  <c r="W212" i="2" s="1"/>
  <c r="W261" i="3"/>
  <c r="CI167" i="3"/>
  <c r="AO268" i="3"/>
  <c r="BS268" i="3"/>
  <c r="BN268" i="3"/>
  <c r="Z59" i="3"/>
  <c r="Z206" i="2" s="1"/>
  <c r="Z49" i="3"/>
  <c r="Z52" i="3"/>
  <c r="U64" i="3"/>
  <c r="U207" i="2" s="1"/>
  <c r="BF268" i="3"/>
  <c r="CE184" i="3"/>
  <c r="CE179" i="3"/>
  <c r="CF169" i="3"/>
  <c r="AU131" i="3"/>
  <c r="AT139" i="3"/>
  <c r="AA70" i="3"/>
  <c r="AY265" i="3"/>
  <c r="AJ187" i="3"/>
  <c r="BA265" i="3"/>
  <c r="BD267" i="3"/>
  <c r="BD211" i="2" s="1"/>
  <c r="BD212" i="2" s="1"/>
  <c r="BD261" i="3"/>
  <c r="AL172" i="3"/>
  <c r="AM163" i="3"/>
  <c r="BK268" i="3"/>
  <c r="R267" i="3"/>
  <c r="R211" i="2" s="1"/>
  <c r="R212" i="2" s="1"/>
  <c r="R261" i="3"/>
  <c r="BL265" i="3"/>
  <c r="CD146" i="3"/>
  <c r="BZ78" i="3"/>
  <c r="H267" i="3"/>
  <c r="H268" i="3" s="1"/>
  <c r="H261" i="3"/>
  <c r="AT265" i="3"/>
  <c r="AY268" i="3"/>
  <c r="BE265" i="3"/>
  <c r="BA268" i="3"/>
  <c r="Q70" i="3"/>
  <c r="BC233" i="3"/>
  <c r="BC210" i="2" s="1"/>
  <c r="BB217" i="3"/>
  <c r="BB233" i="3" s="1"/>
  <c r="AK208" i="3"/>
  <c r="AK199" i="3"/>
  <c r="AK207" i="3"/>
  <c r="AK186" i="3"/>
  <c r="AL178" i="3" s="1"/>
  <c r="AK174" i="3"/>
  <c r="AK175" i="3" s="1"/>
  <c r="AK198" i="3"/>
  <c r="S59" i="3"/>
  <c r="S206" i="2" s="1"/>
  <c r="S49" i="3"/>
  <c r="S52" i="3"/>
  <c r="V70" i="3"/>
  <c r="BL268" i="3"/>
  <c r="BP265" i="3"/>
  <c r="AB267" i="3"/>
  <c r="AB211" i="2" s="1"/>
  <c r="AB212" i="2" s="1"/>
  <c r="AB261" i="3"/>
  <c r="BU268" i="3"/>
  <c r="BO265" i="3"/>
  <c r="AE265" i="3"/>
  <c r="AL161" i="3"/>
  <c r="AL194" i="3"/>
  <c r="AL195" i="3" s="1"/>
  <c r="CI163" i="3"/>
  <c r="F92" i="3"/>
  <c r="F60" i="3"/>
  <c r="F64" i="3"/>
  <c r="F70" i="3" s="1"/>
  <c r="AW20" i="2"/>
  <c r="AW21" i="2"/>
  <c r="AY19" i="2"/>
  <c r="E80" i="10" l="1"/>
  <c r="U60" i="3"/>
  <c r="U92" i="3"/>
  <c r="BR261" i="3"/>
  <c r="J268" i="3"/>
  <c r="J263" i="3"/>
  <c r="N52" i="3"/>
  <c r="N49" i="3"/>
  <c r="J98" i="9"/>
  <c r="J104" i="9" s="1"/>
  <c r="J99" i="9"/>
  <c r="J105" i="9" s="1"/>
  <c r="J97" i="9"/>
  <c r="J103" i="9" s="1"/>
  <c r="J100" i="9"/>
  <c r="J106" i="9" s="1"/>
  <c r="AW156" i="2"/>
  <c r="P124" i="9"/>
  <c r="R124" i="9"/>
  <c r="Q124" i="9"/>
  <c r="N124" i="9"/>
  <c r="O124" i="9"/>
  <c r="N85" i="9"/>
  <c r="N69" i="9"/>
  <c r="N71" i="9" s="1"/>
  <c r="N53" i="9"/>
  <c r="N55" i="9" s="1"/>
  <c r="BR96" i="3"/>
  <c r="Y60" i="3"/>
  <c r="Y64" i="3"/>
  <c r="Y207" i="2" s="1"/>
  <c r="Y92" i="3"/>
  <c r="BR210" i="2"/>
  <c r="BR267" i="3"/>
  <c r="BR211" i="2" s="1"/>
  <c r="BR212" i="2" s="1"/>
  <c r="AI265" i="3"/>
  <c r="BC210" i="11"/>
  <c r="BB210" i="2"/>
  <c r="BH267" i="3"/>
  <c r="BH211" i="2" s="1"/>
  <c r="BH212" i="2" s="1"/>
  <c r="BM261" i="3"/>
  <c r="BM210" i="2"/>
  <c r="CG301" i="3"/>
  <c r="CG307" i="3" s="1"/>
  <c r="BH261" i="3"/>
  <c r="AI268" i="3"/>
  <c r="AI211" i="2"/>
  <c r="AI212" i="2" s="1"/>
  <c r="AP123" i="11"/>
  <c r="AQ121" i="11" s="1"/>
  <c r="AQ113" i="11"/>
  <c r="AQ115" i="11" s="1"/>
  <c r="AZ133" i="11"/>
  <c r="AZ134" i="11" s="1"/>
  <c r="AZ59" i="11"/>
  <c r="AZ60" i="11" s="1"/>
  <c r="BG51" i="11"/>
  <c r="BG52" i="11" s="1"/>
  <c r="BG53" i="11" s="1"/>
  <c r="AS75" i="11"/>
  <c r="AS76" i="11" s="1"/>
  <c r="AS77" i="11" s="1"/>
  <c r="AR51" i="11"/>
  <c r="AR52" i="11" s="1"/>
  <c r="AU141" i="11"/>
  <c r="AU142" i="11" s="1"/>
  <c r="AT64" i="3" s="1"/>
  <c r="AT207" i="2" s="1"/>
  <c r="AU149" i="11"/>
  <c r="AU150" i="11" s="1"/>
  <c r="AN127" i="11"/>
  <c r="AO123" i="11"/>
  <c r="AP121" i="11"/>
  <c r="AN119" i="11"/>
  <c r="AN126" i="11" s="1"/>
  <c r="AN118" i="11"/>
  <c r="AN125" i="11" s="1"/>
  <c r="CA202" i="11"/>
  <c r="CB202" i="11" s="1"/>
  <c r="AN164" i="11"/>
  <c r="AN165" i="11" s="1"/>
  <c r="AN173" i="11" s="1"/>
  <c r="AN170" i="11"/>
  <c r="AO159" i="11"/>
  <c r="AP156" i="11" s="1"/>
  <c r="AQ195" i="11"/>
  <c r="BM149" i="11"/>
  <c r="BM150" i="11" s="1"/>
  <c r="BN150" i="11" s="1"/>
  <c r="AN174" i="11"/>
  <c r="AN160" i="11"/>
  <c r="AN161" i="11" s="1"/>
  <c r="AK187" i="3"/>
  <c r="BM70" i="3"/>
  <c r="N60" i="3"/>
  <c r="N92" i="3"/>
  <c r="N64" i="3"/>
  <c r="N207" i="2" s="1"/>
  <c r="I106" i="9"/>
  <c r="I105" i="9"/>
  <c r="I104" i="9"/>
  <c r="I103" i="9"/>
  <c r="K92" i="3"/>
  <c r="K64" i="3"/>
  <c r="K60" i="3"/>
  <c r="K206" i="2"/>
  <c r="M267" i="3"/>
  <c r="M211" i="2" s="1"/>
  <c r="M212" i="2" s="1"/>
  <c r="M261" i="3"/>
  <c r="BM267" i="3"/>
  <c r="V116" i="9"/>
  <c r="V122" i="9" s="1"/>
  <c r="AX267" i="3"/>
  <c r="AX211" i="2" s="1"/>
  <c r="AX212" i="2" s="1"/>
  <c r="AX261" i="3"/>
  <c r="AQ96" i="3"/>
  <c r="BM96" i="3"/>
  <c r="CE43" i="11"/>
  <c r="CE44" i="11" s="1"/>
  <c r="CB253" i="3"/>
  <c r="CA216" i="11"/>
  <c r="AX20" i="2"/>
  <c r="AZ23" i="2"/>
  <c r="AX21" i="2"/>
  <c r="AV171" i="11"/>
  <c r="AV162" i="11"/>
  <c r="AV172" i="11" s="1"/>
  <c r="AR43" i="11"/>
  <c r="AR44" i="11" s="1"/>
  <c r="BO90" i="11"/>
  <c r="BP88" i="11" s="1"/>
  <c r="CF90" i="11"/>
  <c r="CG88" i="11" s="1"/>
  <c r="CA148" i="11"/>
  <c r="CB146" i="11" s="1"/>
  <c r="AU34" i="11"/>
  <c r="AV32" i="11" s="1"/>
  <c r="AS82" i="11"/>
  <c r="AT82" i="11" s="1"/>
  <c r="AU80" i="11" s="1"/>
  <c r="CG58" i="11"/>
  <c r="CH58" i="11" s="1"/>
  <c r="CI56" i="11" s="1"/>
  <c r="AQ70" i="3"/>
  <c r="AV148" i="11"/>
  <c r="AW146" i="11" s="1"/>
  <c r="AS50" i="11"/>
  <c r="AT50" i="11" s="1"/>
  <c r="AU48" i="11" s="1"/>
  <c r="AZ16" i="11"/>
  <c r="BM91" i="11"/>
  <c r="BM92" i="11" s="1"/>
  <c r="BM93" i="11" s="1"/>
  <c r="CE91" i="11"/>
  <c r="CE92" i="11" s="1"/>
  <c r="CE93" i="11" s="1"/>
  <c r="CD133" i="11"/>
  <c r="CD134" i="11" s="1"/>
  <c r="BG9" i="11"/>
  <c r="BG155" i="11" s="1"/>
  <c r="AP13" i="11"/>
  <c r="BA132" i="11"/>
  <c r="BB130" i="11" s="1"/>
  <c r="CF59" i="11"/>
  <c r="CF60" i="11" s="1"/>
  <c r="BQ124" i="11"/>
  <c r="BQ201" i="11" s="1"/>
  <c r="BQ195" i="11" s="1"/>
  <c r="BR8" i="11"/>
  <c r="BR112" i="11" s="1"/>
  <c r="BH50" i="11"/>
  <c r="BI50" i="11" s="1"/>
  <c r="BJ48" i="11" s="1"/>
  <c r="AU74" i="11"/>
  <c r="AV72" i="11" s="1"/>
  <c r="AS91" i="11"/>
  <c r="AS92" i="11" s="1"/>
  <c r="AS93" i="11" s="1"/>
  <c r="BE8" i="11"/>
  <c r="BF112" i="11" s="1"/>
  <c r="AV170" i="11"/>
  <c r="AV164" i="11"/>
  <c r="AW156" i="11"/>
  <c r="CF74" i="11"/>
  <c r="CG72" i="11" s="1"/>
  <c r="CF106" i="11"/>
  <c r="CG104" i="11" s="1"/>
  <c r="CE132" i="11"/>
  <c r="CF130" i="11" s="1"/>
  <c r="BF169" i="11"/>
  <c r="BF168" i="11"/>
  <c r="BF192" i="11" s="1"/>
  <c r="BF173" i="11"/>
  <c r="CF50" i="11"/>
  <c r="CG48" i="11" s="1"/>
  <c r="CF66" i="11"/>
  <c r="CG64" i="11" s="1"/>
  <c r="AU90" i="11"/>
  <c r="AV88" i="11" s="1"/>
  <c r="AS66" i="11"/>
  <c r="AT66" i="11" s="1"/>
  <c r="AU64" i="11" s="1"/>
  <c r="AV26" i="11"/>
  <c r="AW24" i="11" s="1"/>
  <c r="AS42" i="11"/>
  <c r="AT42" i="11" s="1"/>
  <c r="AU40" i="11" s="1"/>
  <c r="CE75" i="11"/>
  <c r="CE76" i="11" s="1"/>
  <c r="CE77" i="11" s="1"/>
  <c r="CE107" i="11"/>
  <c r="CE108" i="11" s="1"/>
  <c r="CE109" i="11" s="1"/>
  <c r="BZ149" i="11"/>
  <c r="BZ150" i="11" s="1"/>
  <c r="BZ151" i="11" s="1"/>
  <c r="AS35" i="11"/>
  <c r="AS36" i="11" s="1"/>
  <c r="AS37" i="11" s="1"/>
  <c r="AR83" i="11"/>
  <c r="AR84" i="11" s="1"/>
  <c r="BP181" i="11"/>
  <c r="CE51" i="11"/>
  <c r="CE52" i="11" s="1"/>
  <c r="CE67" i="11"/>
  <c r="CE68" i="11" s="1"/>
  <c r="CD69" i="11" s="1"/>
  <c r="AV140" i="11"/>
  <c r="AW138" i="11" s="1"/>
  <c r="BA58" i="11"/>
  <c r="BB56" i="11" s="1"/>
  <c r="BO148" i="11"/>
  <c r="BP146" i="11" s="1"/>
  <c r="CF42" i="11"/>
  <c r="CG40" i="11" s="1"/>
  <c r="AR67" i="11"/>
  <c r="AR68" i="11" s="1"/>
  <c r="AR124" i="11"/>
  <c r="AS117" i="11"/>
  <c r="AU27" i="11"/>
  <c r="AU28" i="11" s="1"/>
  <c r="AU29" i="11" s="1"/>
  <c r="S92" i="3"/>
  <c r="S64" i="3"/>
  <c r="S207" i="2" s="1"/>
  <c r="S60" i="3"/>
  <c r="BB267" i="3"/>
  <c r="BB211" i="2" s="1"/>
  <c r="BB212" i="2" s="1"/>
  <c r="BB261" i="3"/>
  <c r="AM172" i="3"/>
  <c r="AO163" i="3"/>
  <c r="AN163" i="3"/>
  <c r="BD268" i="3"/>
  <c r="CJ167" i="3"/>
  <c r="I92" i="3"/>
  <c r="I64" i="3"/>
  <c r="I70" i="3" s="1"/>
  <c r="I60" i="3"/>
  <c r="P217" i="3"/>
  <c r="P233" i="3" s="1"/>
  <c r="P210" i="2" s="1"/>
  <c r="P182" i="3"/>
  <c r="P181" i="3" s="1"/>
  <c r="P94" i="3"/>
  <c r="L263" i="3"/>
  <c r="L265" i="3"/>
  <c r="Q267" i="3"/>
  <c r="Q211" i="2" s="1"/>
  <c r="Q212" i="2" s="1"/>
  <c r="Q261" i="3"/>
  <c r="CB78" i="3"/>
  <c r="CB67" i="3"/>
  <c r="CJ163" i="3"/>
  <c r="BC267" i="3"/>
  <c r="BC211" i="2" s="1"/>
  <c r="BC212" i="2" s="1"/>
  <c r="BC261" i="3"/>
  <c r="CC77" i="3"/>
  <c r="CE146" i="3"/>
  <c r="AL208" i="3"/>
  <c r="AL199" i="3"/>
  <c r="AL207" i="3"/>
  <c r="AL186" i="3"/>
  <c r="AM178" i="3" s="1"/>
  <c r="AL174" i="3"/>
  <c r="AL175" i="3" s="1"/>
  <c r="AL198" i="3"/>
  <c r="AV131" i="3"/>
  <c r="AU139" i="3"/>
  <c r="U70" i="3"/>
  <c r="Z92" i="3"/>
  <c r="Z60" i="3"/>
  <c r="Z64" i="3"/>
  <c r="Z207" i="2" s="1"/>
  <c r="L268" i="3"/>
  <c r="AA233" i="3"/>
  <c r="AA210" i="2" s="1"/>
  <c r="AC217" i="3"/>
  <c r="AC233" i="3" s="1"/>
  <c r="AC210" i="2" s="1"/>
  <c r="CA180" i="3"/>
  <c r="H265" i="3"/>
  <c r="BZ180" i="3"/>
  <c r="R265" i="3"/>
  <c r="R263" i="3"/>
  <c r="CF184" i="3"/>
  <c r="CF179" i="3"/>
  <c r="CG169" i="3"/>
  <c r="U217" i="3"/>
  <c r="U233" i="3" s="1"/>
  <c r="U210" i="2" s="1"/>
  <c r="U182" i="3"/>
  <c r="U181" i="3" s="1"/>
  <c r="U94" i="3"/>
  <c r="W263" i="3"/>
  <c r="X262" i="3" s="1"/>
  <c r="X263" i="3" s="1"/>
  <c r="W265" i="3"/>
  <c r="G267" i="3"/>
  <c r="G268" i="3" s="1"/>
  <c r="G261" i="3"/>
  <c r="AM161" i="3"/>
  <c r="AN152" i="3"/>
  <c r="AM194" i="3"/>
  <c r="AM195" i="3" s="1"/>
  <c r="V267" i="3"/>
  <c r="V211" i="2" s="1"/>
  <c r="V212" i="2" s="1"/>
  <c r="V261" i="3"/>
  <c r="AB265" i="3"/>
  <c r="F217" i="3"/>
  <c r="F233" i="3" s="1"/>
  <c r="F182" i="3"/>
  <c r="F183" i="3" s="1"/>
  <c r="F94" i="3"/>
  <c r="AB268" i="3"/>
  <c r="R268" i="3"/>
  <c r="BD265" i="3"/>
  <c r="W268" i="3"/>
  <c r="AQ167" i="3"/>
  <c r="AP183" i="3"/>
  <c r="CI69" i="3"/>
  <c r="AO152" i="3"/>
  <c r="AP147" i="3"/>
  <c r="P70" i="3"/>
  <c r="AD92" i="3"/>
  <c r="AD60" i="3"/>
  <c r="AD64" i="3"/>
  <c r="AD207" i="2" s="1"/>
  <c r="AY21" i="2"/>
  <c r="AZ19" i="2"/>
  <c r="AY20" i="2"/>
  <c r="CE45" i="11" l="1"/>
  <c r="AT94" i="3"/>
  <c r="AT95" i="3" s="1"/>
  <c r="BR265" i="3"/>
  <c r="BM265" i="3"/>
  <c r="AP127" i="11"/>
  <c r="AL187" i="3"/>
  <c r="AY156" i="2"/>
  <c r="Y70" i="3"/>
  <c r="BH268" i="3"/>
  <c r="Y182" i="3"/>
  <c r="Y181" i="3" s="1"/>
  <c r="Y94" i="3"/>
  <c r="BR268" i="3"/>
  <c r="BH265" i="3"/>
  <c r="BM268" i="3"/>
  <c r="BM211" i="2"/>
  <c r="BM212" i="2" s="1"/>
  <c r="CG303" i="3"/>
  <c r="AT62" i="3"/>
  <c r="BH51" i="11"/>
  <c r="BH52" i="11" s="1"/>
  <c r="BA133" i="11"/>
  <c r="BA134" i="11" s="1"/>
  <c r="BA135" i="11" s="1"/>
  <c r="AN196" i="11"/>
  <c r="AO196" i="11" s="1"/>
  <c r="AS43" i="11"/>
  <c r="AS44" i="11" s="1"/>
  <c r="AS45" i="11" s="1"/>
  <c r="AV27" i="11"/>
  <c r="AV28" i="11" s="1"/>
  <c r="AV29" i="11" s="1"/>
  <c r="AS67" i="11"/>
  <c r="AS68" i="11" s="1"/>
  <c r="AR69" i="11" s="1"/>
  <c r="CF67" i="11"/>
  <c r="CF68" i="11" s="1"/>
  <c r="AV141" i="11"/>
  <c r="AV142" i="11" s="1"/>
  <c r="AU62" i="3" s="1"/>
  <c r="AU91" i="11"/>
  <c r="AU92" i="11" s="1"/>
  <c r="AU75" i="11"/>
  <c r="AU76" i="11" s="1"/>
  <c r="AS51" i="11"/>
  <c r="AS52" i="11" s="1"/>
  <c r="AS53" i="11" s="1"/>
  <c r="AN171" i="11"/>
  <c r="AN178" i="11" s="1"/>
  <c r="AN162" i="11"/>
  <c r="AN172" i="11" s="1"/>
  <c r="AN179" i="11" s="1"/>
  <c r="AO179" i="11" s="1"/>
  <c r="BM151" i="11"/>
  <c r="AP159" i="11"/>
  <c r="AO170" i="11"/>
  <c r="AO176" i="11" s="1"/>
  <c r="AP167" i="11"/>
  <c r="AN176" i="11"/>
  <c r="K70" i="3"/>
  <c r="K207" i="2"/>
  <c r="J110" i="9"/>
  <c r="I110" i="9"/>
  <c r="K110" i="9"/>
  <c r="I112" i="9"/>
  <c r="J112" i="9"/>
  <c r="K112" i="9"/>
  <c r="N182" i="3"/>
  <c r="N181" i="3" s="1"/>
  <c r="N217" i="3"/>
  <c r="N233" i="3" s="1"/>
  <c r="N210" i="2" s="1"/>
  <c r="N94" i="3"/>
  <c r="AN172" i="3"/>
  <c r="AN199" i="3" s="1"/>
  <c r="M263" i="3"/>
  <c r="M265" i="3"/>
  <c r="M268" i="3"/>
  <c r="K217" i="3"/>
  <c r="K233" i="3" s="1"/>
  <c r="K94" i="3"/>
  <c r="K182" i="3"/>
  <c r="K181" i="3" s="1"/>
  <c r="I109" i="9"/>
  <c r="J109" i="9"/>
  <c r="K109" i="9"/>
  <c r="K111" i="9"/>
  <c r="I111" i="9"/>
  <c r="J111" i="9"/>
  <c r="N70" i="3"/>
  <c r="AX265" i="3"/>
  <c r="AX268" i="3"/>
  <c r="CB180" i="3"/>
  <c r="CF107" i="11"/>
  <c r="CF108" i="11" s="1"/>
  <c r="S7" i="35"/>
  <c r="CF91" i="11"/>
  <c r="CF92" i="11" s="1"/>
  <c r="CG59" i="11"/>
  <c r="CG60" i="11" s="1"/>
  <c r="CG61" i="11" s="1"/>
  <c r="CF51" i="11"/>
  <c r="CF52" i="11" s="1"/>
  <c r="CF53" i="11" s="1"/>
  <c r="BA23" i="2"/>
  <c r="U34" i="9"/>
  <c r="U115" i="9" s="1"/>
  <c r="CF43" i="11"/>
  <c r="CF44" i="11" s="1"/>
  <c r="BO149" i="11"/>
  <c r="BO150" i="11" s="1"/>
  <c r="AW140" i="11"/>
  <c r="AX138" i="11" s="1"/>
  <c r="AU66" i="11"/>
  <c r="AV64" i="11" s="1"/>
  <c r="CG66" i="11"/>
  <c r="CH66" i="11" s="1"/>
  <c r="CI64" i="11" s="1"/>
  <c r="CE133" i="11"/>
  <c r="CE134" i="11" s="1"/>
  <c r="CF75" i="11"/>
  <c r="CF76" i="11" s="1"/>
  <c r="AW159" i="11"/>
  <c r="AW160" i="11" s="1"/>
  <c r="AW161" i="11" s="1"/>
  <c r="BE112" i="11"/>
  <c r="BE122" i="11" s="1"/>
  <c r="BJ50" i="11"/>
  <c r="BK48" i="11" s="1"/>
  <c r="BB132" i="11"/>
  <c r="BC130" i="11" s="1"/>
  <c r="AU50" i="11"/>
  <c r="AV48" i="11" s="1"/>
  <c r="AV149" i="11"/>
  <c r="AV150" i="11" s="1"/>
  <c r="CI58" i="11"/>
  <c r="CJ56" i="11" s="1"/>
  <c r="AS83" i="11"/>
  <c r="AS84" i="11" s="1"/>
  <c r="AS85" i="11" s="1"/>
  <c r="CA149" i="11"/>
  <c r="CA150" i="11" s="1"/>
  <c r="BO91" i="11"/>
  <c r="BO92" i="11" s="1"/>
  <c r="AS124" i="11"/>
  <c r="AS201" i="11" s="1"/>
  <c r="AU117" i="11"/>
  <c r="CG42" i="11"/>
  <c r="CH42" i="11" s="1"/>
  <c r="CI40" i="11" s="1"/>
  <c r="BA59" i="11"/>
  <c r="BA60" i="11" s="1"/>
  <c r="BA61" i="11" s="1"/>
  <c r="AU42" i="11"/>
  <c r="AW26" i="11"/>
  <c r="AX24" i="11" s="1"/>
  <c r="CG106" i="11"/>
  <c r="CH106" i="11" s="1"/>
  <c r="CI104" i="11" s="1"/>
  <c r="AV165" i="11"/>
  <c r="AV173" i="11" s="1"/>
  <c r="AW165" i="11"/>
  <c r="AW173" i="11" s="1"/>
  <c r="BH9" i="11"/>
  <c r="AV34" i="11"/>
  <c r="AW32" i="11" s="1"/>
  <c r="AQ123" i="11"/>
  <c r="AR113" i="11"/>
  <c r="BB58" i="11"/>
  <c r="BC56" i="11" s="1"/>
  <c r="AW167" i="11"/>
  <c r="AV174" i="11"/>
  <c r="BR124" i="11"/>
  <c r="BR201" i="11" s="1"/>
  <c r="BR195" i="11" s="1"/>
  <c r="BT8" i="11"/>
  <c r="BT112" i="11" s="1"/>
  <c r="BT122" i="11" s="1"/>
  <c r="BG169" i="11"/>
  <c r="BG168" i="11"/>
  <c r="BG192" i="11" s="1"/>
  <c r="BG173" i="11"/>
  <c r="BA13" i="11"/>
  <c r="AU35" i="11"/>
  <c r="AU36" i="11" s="1"/>
  <c r="AU37" i="11" s="1"/>
  <c r="CG90" i="11"/>
  <c r="CH90" i="11" s="1"/>
  <c r="CI88" i="11" s="1"/>
  <c r="AQ116" i="11"/>
  <c r="BP148" i="11"/>
  <c r="BQ146" i="11" s="1"/>
  <c r="BQ149" i="11" s="1"/>
  <c r="BQ150" i="11" s="1"/>
  <c r="BR151" i="11" s="1"/>
  <c r="AV90" i="11"/>
  <c r="AW88" i="11" s="1"/>
  <c r="CG50" i="11"/>
  <c r="CH50" i="11" s="1"/>
  <c r="CI48" i="11" s="1"/>
  <c r="CF132" i="11"/>
  <c r="CG130" i="11" s="1"/>
  <c r="CG74" i="11"/>
  <c r="CH74" i="11" s="1"/>
  <c r="CI72" i="11" s="1"/>
  <c r="AV74" i="11"/>
  <c r="AW72" i="11" s="1"/>
  <c r="AP16" i="11"/>
  <c r="CE135" i="11"/>
  <c r="AZ17" i="11"/>
  <c r="AZ18" i="11" s="1"/>
  <c r="AW148" i="11"/>
  <c r="AX146" i="11" s="1"/>
  <c r="AT70" i="3"/>
  <c r="AU82" i="11"/>
  <c r="AV80" i="11" s="1"/>
  <c r="CB148" i="11"/>
  <c r="CC148" i="11" s="1"/>
  <c r="CD146" i="11" s="1"/>
  <c r="BP90" i="11"/>
  <c r="BQ88" i="11" s="1"/>
  <c r="BQ91" i="11" s="1"/>
  <c r="BQ92" i="11" s="1"/>
  <c r="BR93" i="11" s="1"/>
  <c r="AC267" i="3"/>
  <c r="AC211" i="2" s="1"/>
  <c r="AC212" i="2" s="1"/>
  <c r="AC261" i="3"/>
  <c r="CE77" i="3"/>
  <c r="BC268" i="3"/>
  <c r="Q265" i="3"/>
  <c r="Q263" i="3"/>
  <c r="AN208" i="3"/>
  <c r="AD182" i="3"/>
  <c r="AD181" i="3" s="1"/>
  <c r="AD94" i="3"/>
  <c r="AO161" i="3"/>
  <c r="AO194" i="3"/>
  <c r="AO195" i="3" s="1"/>
  <c r="AN161" i="3"/>
  <c r="AN194" i="3"/>
  <c r="AN195" i="3" s="1"/>
  <c r="U267" i="3"/>
  <c r="U211" i="2" s="1"/>
  <c r="U212" i="2" s="1"/>
  <c r="U261" i="3"/>
  <c r="AA267" i="3"/>
  <c r="AA211" i="2" s="1"/>
  <c r="AA212" i="2" s="1"/>
  <c r="AA261" i="3"/>
  <c r="Z182" i="3"/>
  <c r="Z181" i="3" s="1"/>
  <c r="Z94" i="3"/>
  <c r="AW131" i="3"/>
  <c r="AV139" i="3"/>
  <c r="CF146" i="3"/>
  <c r="CC78" i="3"/>
  <c r="CC67" i="3"/>
  <c r="CC253" i="3"/>
  <c r="CD216" i="11" s="1"/>
  <c r="Q268" i="3"/>
  <c r="I217" i="3"/>
  <c r="I233" i="3" s="1"/>
  <c r="I182" i="3"/>
  <c r="I181" i="3" s="1"/>
  <c r="I94" i="3"/>
  <c r="AO172" i="3"/>
  <c r="AP163" i="3"/>
  <c r="AP172" i="3" s="1"/>
  <c r="AP152" i="3"/>
  <c r="AQ147" i="3"/>
  <c r="CJ69" i="3"/>
  <c r="AQ172" i="3"/>
  <c r="AQ183" i="3"/>
  <c r="AR167" i="3"/>
  <c r="F267" i="3"/>
  <c r="F268" i="3" s="1"/>
  <c r="F261" i="3"/>
  <c r="V265" i="3"/>
  <c r="V263" i="3"/>
  <c r="CG179" i="3"/>
  <c r="CG184" i="3"/>
  <c r="P267" i="3"/>
  <c r="P211" i="2" s="1"/>
  <c r="P212" i="2" s="1"/>
  <c r="P261" i="3"/>
  <c r="AM207" i="3"/>
  <c r="AM208" i="3"/>
  <c r="AM199" i="3"/>
  <c r="AM186" i="3"/>
  <c r="AO178" i="3" s="1"/>
  <c r="AM174" i="3"/>
  <c r="AM175" i="3" s="1"/>
  <c r="AM198" i="3"/>
  <c r="BB265" i="3"/>
  <c r="S70" i="3"/>
  <c r="AD70" i="3"/>
  <c r="AI65" i="3"/>
  <c r="V268" i="3"/>
  <c r="G263" i="3"/>
  <c r="H262" i="3" s="1"/>
  <c r="H263" i="3" s="1"/>
  <c r="G265" i="3"/>
  <c r="CH184" i="3"/>
  <c r="CH179" i="3"/>
  <c r="CI169" i="3"/>
  <c r="Z70" i="3"/>
  <c r="CD77" i="3"/>
  <c r="BC265" i="3"/>
  <c r="CK163" i="3"/>
  <c r="CK167" i="3"/>
  <c r="BB268" i="3"/>
  <c r="S217" i="3"/>
  <c r="S233" i="3" s="1"/>
  <c r="S210" i="2" s="1"/>
  <c r="S182" i="3"/>
  <c r="S181" i="3" s="1"/>
  <c r="S94" i="3"/>
  <c r="AZ20" i="2"/>
  <c r="AZ21" i="2"/>
  <c r="BA19" i="2"/>
  <c r="AN197" i="11" l="1"/>
  <c r="AO197" i="11" s="1"/>
  <c r="AO198" i="11" s="1"/>
  <c r="AT96" i="3"/>
  <c r="AN198" i="3"/>
  <c r="AM187" i="3"/>
  <c r="AN207" i="3"/>
  <c r="AN174" i="3"/>
  <c r="AN175" i="3" s="1"/>
  <c r="AN186" i="3"/>
  <c r="AS178" i="3" s="1"/>
  <c r="AZ156" i="2"/>
  <c r="CG304" i="3"/>
  <c r="CL300" i="3"/>
  <c r="AV143" i="11"/>
  <c r="AU64" i="3"/>
  <c r="AU207" i="2" s="1"/>
  <c r="AU94" i="3"/>
  <c r="AU95" i="3" s="1"/>
  <c r="AU96" i="3" s="1"/>
  <c r="AV75" i="11"/>
  <c r="AV76" i="11" s="1"/>
  <c r="AV77" i="11" s="1"/>
  <c r="CB149" i="11"/>
  <c r="CB150" i="11" s="1"/>
  <c r="CB151" i="11" s="1"/>
  <c r="BP149" i="11"/>
  <c r="BP150" i="11" s="1"/>
  <c r="BS150" i="11" s="1"/>
  <c r="AV35" i="11"/>
  <c r="AV36" i="11" s="1"/>
  <c r="AV37" i="11" s="1"/>
  <c r="AU51" i="11"/>
  <c r="AU52" i="11" s="1"/>
  <c r="AQ156" i="11"/>
  <c r="AQ160" i="11" s="1"/>
  <c r="AQ161" i="11" s="1"/>
  <c r="AP170" i="11"/>
  <c r="AQ167" i="11" s="1"/>
  <c r="AQ174" i="11" s="1"/>
  <c r="AP164" i="11"/>
  <c r="CG75" i="11"/>
  <c r="CG76" i="11" s="1"/>
  <c r="CG77" i="11" s="1"/>
  <c r="AW27" i="11"/>
  <c r="AW28" i="11" s="1"/>
  <c r="AW29" i="11" s="1"/>
  <c r="BJ51" i="11"/>
  <c r="BJ52" i="11" s="1"/>
  <c r="BJ53" i="11" s="1"/>
  <c r="AW141" i="11"/>
  <c r="AW142" i="11" s="1"/>
  <c r="AV64" i="3" s="1"/>
  <c r="AV207" i="2" s="1"/>
  <c r="AP174" i="11"/>
  <c r="AP196" i="11" s="1"/>
  <c r="AP197" i="11" s="1"/>
  <c r="AP198" i="11" s="1"/>
  <c r="AP160" i="11"/>
  <c r="AP161" i="11" s="1"/>
  <c r="AN207" i="11"/>
  <c r="AO178" i="11"/>
  <c r="K267" i="3"/>
  <c r="K210" i="2"/>
  <c r="K261" i="3"/>
  <c r="N267" i="3"/>
  <c r="N211" i="2" s="1"/>
  <c r="N212" i="2" s="1"/>
  <c r="N261" i="3"/>
  <c r="CG91" i="11"/>
  <c r="CG92" i="11" s="1"/>
  <c r="CG93" i="11" s="1"/>
  <c r="CG67" i="11"/>
  <c r="CG68" i="11" s="1"/>
  <c r="CF69" i="11" s="1"/>
  <c r="U121" i="9"/>
  <c r="CG51" i="11"/>
  <c r="CG52" i="11" s="1"/>
  <c r="CG43" i="11"/>
  <c r="CG44" i="11" s="1"/>
  <c r="CG107" i="11"/>
  <c r="CG108" i="11" s="1"/>
  <c r="CG109" i="11" s="1"/>
  <c r="CI59" i="11"/>
  <c r="CI60" i="11" s="1"/>
  <c r="S17" i="35"/>
  <c r="BB23" i="2"/>
  <c r="CD148" i="11"/>
  <c r="CE146" i="11" s="1"/>
  <c r="AP176" i="11"/>
  <c r="AQ13" i="11"/>
  <c r="CI74" i="11"/>
  <c r="CJ72" i="11" s="1"/>
  <c r="CI50" i="11"/>
  <c r="CJ48" i="11" s="1"/>
  <c r="CI90" i="11"/>
  <c r="CJ88" i="11" s="1"/>
  <c r="BA16" i="11"/>
  <c r="BA17" i="11" s="1"/>
  <c r="BA18" i="11" s="1"/>
  <c r="BT181" i="11"/>
  <c r="BC58" i="11"/>
  <c r="BD58" i="11" s="1"/>
  <c r="BE56" i="11" s="1"/>
  <c r="AR115" i="11"/>
  <c r="AX26" i="11"/>
  <c r="AY26" i="11" s="1"/>
  <c r="AZ24" i="11" s="1"/>
  <c r="CI42" i="11"/>
  <c r="CJ40" i="11" s="1"/>
  <c r="AV50" i="11"/>
  <c r="AW48" i="11" s="1"/>
  <c r="BK50" i="11"/>
  <c r="BL48" i="11" s="1"/>
  <c r="AW171" i="11"/>
  <c r="AW162" i="11"/>
  <c r="AW172" i="11" s="1"/>
  <c r="AX140" i="11"/>
  <c r="AY140" i="11" s="1"/>
  <c r="AZ138" i="11" s="1"/>
  <c r="AZ19" i="11"/>
  <c r="BS201" i="11"/>
  <c r="AR121" i="11"/>
  <c r="AQ127" i="11"/>
  <c r="AV66" i="11"/>
  <c r="AW64" i="11" s="1"/>
  <c r="AV94" i="3"/>
  <c r="AV95" i="3" s="1"/>
  <c r="AV82" i="11"/>
  <c r="AW80" i="11" s="1"/>
  <c r="AX148" i="11"/>
  <c r="AY148" i="11" s="1"/>
  <c r="AZ146" i="11" s="1"/>
  <c r="CG132" i="11"/>
  <c r="CH132" i="11" s="1"/>
  <c r="CI130" i="11" s="1"/>
  <c r="AW90" i="11"/>
  <c r="AX88" i="11" s="1"/>
  <c r="BJ9" i="11"/>
  <c r="BJ155" i="11" s="1"/>
  <c r="AV40" i="11"/>
  <c r="AU124" i="11"/>
  <c r="AU201" i="11" s="1"/>
  <c r="AU195" i="11" s="1"/>
  <c r="AV117" i="11"/>
  <c r="CJ58" i="11"/>
  <c r="CK56" i="11" s="1"/>
  <c r="BC132" i="11"/>
  <c r="BD132" i="11" s="1"/>
  <c r="BE130" i="11" s="1"/>
  <c r="BE194" i="11"/>
  <c r="BE181" i="11"/>
  <c r="AU67" i="11"/>
  <c r="AU68" i="11" s="1"/>
  <c r="BP91" i="11"/>
  <c r="BP92" i="11" s="1"/>
  <c r="BP93" i="11" s="1"/>
  <c r="AU83" i="11"/>
  <c r="AU84" i="11" s="1"/>
  <c r="AW149" i="11"/>
  <c r="AW150" i="11" s="1"/>
  <c r="AP17" i="11"/>
  <c r="AP18" i="11" s="1"/>
  <c r="AW74" i="11"/>
  <c r="AX72" i="11" s="1"/>
  <c r="CF133" i="11"/>
  <c r="CF134" i="11" s="1"/>
  <c r="AV91" i="11"/>
  <c r="AV92" i="11" s="1"/>
  <c r="AV93" i="11" s="1"/>
  <c r="AQ118" i="11"/>
  <c r="AQ125" i="11" s="1"/>
  <c r="AQ119" i="11"/>
  <c r="AQ126" i="11" s="1"/>
  <c r="BT124" i="11"/>
  <c r="BT201" i="11" s="1"/>
  <c r="BU8" i="11"/>
  <c r="BU112" i="11" s="1"/>
  <c r="BB59" i="11"/>
  <c r="BB60" i="11" s="1"/>
  <c r="AW34" i="11"/>
  <c r="AX32" i="11" s="1"/>
  <c r="BH155" i="11"/>
  <c r="CI106" i="11"/>
  <c r="CJ104" i="11" s="1"/>
  <c r="AU43" i="11"/>
  <c r="AU44" i="11" s="1"/>
  <c r="AT201" i="11"/>
  <c r="AS195" i="11"/>
  <c r="AV151" i="11"/>
  <c r="BB133" i="11"/>
  <c r="BB134" i="11" s="1"/>
  <c r="AX156" i="11"/>
  <c r="AW170" i="11"/>
  <c r="AX167" i="11" s="1"/>
  <c r="CI66" i="11"/>
  <c r="CJ64" i="11" s="1"/>
  <c r="AT167" i="3"/>
  <c r="AS167" i="3"/>
  <c r="AO208" i="3"/>
  <c r="AO207" i="3"/>
  <c r="AO186" i="3"/>
  <c r="AP178" i="3" s="1"/>
  <c r="AO174" i="3"/>
  <c r="AO175" i="3" s="1"/>
  <c r="AO198" i="3"/>
  <c r="AO199" i="3"/>
  <c r="CC180" i="3"/>
  <c r="CG146" i="3"/>
  <c r="AA268" i="3"/>
  <c r="U265" i="3"/>
  <c r="U263" i="3"/>
  <c r="CE78" i="3"/>
  <c r="CE67" i="3"/>
  <c r="CE253" i="3"/>
  <c r="CF216" i="11" s="1"/>
  <c r="AC268" i="3"/>
  <c r="CL167" i="3"/>
  <c r="P263" i="3"/>
  <c r="P265" i="3"/>
  <c r="AQ152" i="3"/>
  <c r="AR147" i="3"/>
  <c r="I267" i="3"/>
  <c r="I268" i="3" s="1"/>
  <c r="I261" i="3"/>
  <c r="U268" i="3"/>
  <c r="S267" i="3"/>
  <c r="S211" i="2" s="1"/>
  <c r="S212" i="2" s="1"/>
  <c r="S261" i="3"/>
  <c r="P268" i="3"/>
  <c r="F263" i="3"/>
  <c r="F264" i="3" s="1"/>
  <c r="F265" i="3" s="1"/>
  <c r="AQ208" i="3"/>
  <c r="AQ207" i="3"/>
  <c r="AQ186" i="3"/>
  <c r="AR178" i="3" s="1"/>
  <c r="AQ198" i="3"/>
  <c r="AQ199" i="3"/>
  <c r="AP161" i="3"/>
  <c r="AP174" i="3" s="1"/>
  <c r="AP175" i="3" s="1"/>
  <c r="AP194" i="3"/>
  <c r="AP195" i="3" s="1"/>
  <c r="CL163" i="3"/>
  <c r="CD78" i="3"/>
  <c r="CD67" i="3"/>
  <c r="CD253" i="3"/>
  <c r="CE216" i="11" s="1"/>
  <c r="CI179" i="3"/>
  <c r="CI184" i="3"/>
  <c r="CJ169" i="3"/>
  <c r="CK69" i="3"/>
  <c r="CM69" i="3" s="1"/>
  <c r="AP207" i="3"/>
  <c r="AP208" i="3"/>
  <c r="AP186" i="3"/>
  <c r="AQ178" i="3" s="1"/>
  <c r="AP198" i="3"/>
  <c r="AP199" i="3"/>
  <c r="AX131" i="3"/>
  <c r="AW139" i="3"/>
  <c r="AA263" i="3"/>
  <c r="AB262" i="3" s="1"/>
  <c r="AB263" i="3" s="1"/>
  <c r="AC262" i="3" s="1"/>
  <c r="AC263" i="3" s="1"/>
  <c r="AE262" i="3" s="1"/>
  <c r="AA265" i="3"/>
  <c r="AC265" i="3"/>
  <c r="BA20" i="2"/>
  <c r="BB19" i="2"/>
  <c r="BA21" i="2"/>
  <c r="CC150" i="11" l="1"/>
  <c r="AN198" i="11"/>
  <c r="CG45" i="11"/>
  <c r="AV62" i="3"/>
  <c r="AQ196" i="11"/>
  <c r="AP187" i="3"/>
  <c r="AQ187" i="3"/>
  <c r="AN187" i="3"/>
  <c r="BA156" i="2"/>
  <c r="CL301" i="3"/>
  <c r="CL307" i="3" s="1"/>
  <c r="BP151" i="11"/>
  <c r="AU70" i="3"/>
  <c r="AW35" i="11"/>
  <c r="AW36" i="11" s="1"/>
  <c r="AW37" i="11" s="1"/>
  <c r="AW75" i="11"/>
  <c r="AW76" i="11" s="1"/>
  <c r="BC133" i="11"/>
  <c r="BC134" i="11" s="1"/>
  <c r="BC135" i="11" s="1"/>
  <c r="AV67" i="11"/>
  <c r="AV68" i="11" s="1"/>
  <c r="AU69" i="11" s="1"/>
  <c r="AU179" i="11" s="1"/>
  <c r="AM43" i="3"/>
  <c r="AO207" i="11"/>
  <c r="AX141" i="11"/>
  <c r="AX142" i="11" s="1"/>
  <c r="AX143" i="11" s="1"/>
  <c r="BK51" i="11"/>
  <c r="BK52" i="11" s="1"/>
  <c r="AP171" i="11"/>
  <c r="AP178" i="11" s="1"/>
  <c r="AP162" i="11"/>
  <c r="AP172" i="11" s="1"/>
  <c r="AP165" i="11"/>
  <c r="AP173" i="11" s="1"/>
  <c r="AQ165" i="11"/>
  <c r="AQ173" i="11" s="1"/>
  <c r="AQ171" i="11"/>
  <c r="AQ162" i="11"/>
  <c r="AQ172" i="11" s="1"/>
  <c r="AX139" i="3"/>
  <c r="AO187" i="3"/>
  <c r="N263" i="3"/>
  <c r="N265" i="3"/>
  <c r="N268" i="3"/>
  <c r="K263" i="3"/>
  <c r="K265" i="3"/>
  <c r="K211" i="2"/>
  <c r="K212" i="2" s="1"/>
  <c r="K268" i="3"/>
  <c r="BC23" i="2"/>
  <c r="CG100" i="2"/>
  <c r="AB17" i="35" s="1"/>
  <c r="CC98" i="2"/>
  <c r="CC99" i="2" s="1"/>
  <c r="CG99" i="2" s="1"/>
  <c r="CC111" i="2"/>
  <c r="CN69" i="3"/>
  <c r="CO69" i="3" s="1"/>
  <c r="CP69" i="3" s="1"/>
  <c r="CJ59" i="11"/>
  <c r="CJ60" i="11" s="1"/>
  <c r="CJ61" i="11" s="1"/>
  <c r="CI67" i="11"/>
  <c r="CI68" i="11" s="1"/>
  <c r="CI107" i="11"/>
  <c r="CI108" i="11" s="1"/>
  <c r="T7" i="35"/>
  <c r="S12" i="35"/>
  <c r="CI43" i="11"/>
  <c r="CI44" i="11" s="1"/>
  <c r="W17" i="35"/>
  <c r="BC19" i="2"/>
  <c r="BD23" i="2"/>
  <c r="CJ106" i="11"/>
  <c r="CK104" i="11" s="1"/>
  <c r="AX74" i="11"/>
  <c r="AY74" i="11" s="1"/>
  <c r="AZ72" i="11" s="1"/>
  <c r="BE132" i="11"/>
  <c r="BE133" i="11" s="1"/>
  <c r="BE134" i="11" s="1"/>
  <c r="BF135" i="11" s="1"/>
  <c r="AV124" i="11"/>
  <c r="AV201" i="11" s="1"/>
  <c r="AV195" i="11" s="1"/>
  <c r="AW117" i="11"/>
  <c r="BK9" i="11"/>
  <c r="AW91" i="11"/>
  <c r="AW92" i="11" s="1"/>
  <c r="AX149" i="11"/>
  <c r="AX150" i="11" s="1"/>
  <c r="AY150" i="11" s="1"/>
  <c r="AV70" i="3"/>
  <c r="AZ140" i="11"/>
  <c r="BL50" i="11"/>
  <c r="BM48" i="11" s="1"/>
  <c r="CJ42" i="11"/>
  <c r="CK40" i="11" s="1"/>
  <c r="AZ26" i="11"/>
  <c r="BA24" i="11" s="1"/>
  <c r="BE58" i="11"/>
  <c r="BF56" i="11" s="1"/>
  <c r="BB13" i="11"/>
  <c r="CI51" i="11"/>
  <c r="CI52" i="11" s="1"/>
  <c r="CI53" i="11" s="1"/>
  <c r="AQ16" i="11"/>
  <c r="AQ17" i="11" s="1"/>
  <c r="AQ18" i="11" s="1"/>
  <c r="AT195" i="11"/>
  <c r="BJ169" i="11"/>
  <c r="BJ194" i="11" s="1"/>
  <c r="BJ168" i="11"/>
  <c r="BJ192" i="11" s="1"/>
  <c r="BJ173" i="11"/>
  <c r="CI132" i="11"/>
  <c r="CJ130" i="11" s="1"/>
  <c r="AW82" i="11"/>
  <c r="AX80" i="11" s="1"/>
  <c r="AQ197" i="11"/>
  <c r="AQ198" i="11" s="1"/>
  <c r="AR123" i="11"/>
  <c r="AS121" i="11" s="1"/>
  <c r="AS113" i="11"/>
  <c r="AW174" i="11"/>
  <c r="BA19" i="11"/>
  <c r="CJ50" i="11"/>
  <c r="CK48" i="11" s="1"/>
  <c r="AX159" i="11"/>
  <c r="BH169" i="11"/>
  <c r="BH194" i="11" s="1"/>
  <c r="BH168" i="11"/>
  <c r="BH192" i="11" s="1"/>
  <c r="BH173" i="11"/>
  <c r="AP19" i="11"/>
  <c r="CK58" i="11"/>
  <c r="CL56" i="11" s="1"/>
  <c r="CG133" i="11"/>
  <c r="CG134" i="11" s="1"/>
  <c r="CG135" i="11" s="1"/>
  <c r="AV83" i="11"/>
  <c r="AV84" i="11" s="1"/>
  <c r="AV85" i="11" s="1"/>
  <c r="AW50" i="11"/>
  <c r="AX48" i="11" s="1"/>
  <c r="AR116" i="11"/>
  <c r="CJ90" i="11"/>
  <c r="CK88" i="11" s="1"/>
  <c r="CJ74" i="11"/>
  <c r="CK72" i="11" s="1"/>
  <c r="CE148" i="11"/>
  <c r="CF146" i="11" s="1"/>
  <c r="CJ66" i="11"/>
  <c r="CK64" i="11" s="1"/>
  <c r="AX34" i="11"/>
  <c r="AY34" i="11" s="1"/>
  <c r="AZ32" i="11" s="1"/>
  <c r="BU124" i="11"/>
  <c r="BU201" i="11" s="1"/>
  <c r="BV8" i="11"/>
  <c r="AV42" i="11"/>
  <c r="AX90" i="11"/>
  <c r="AY90" i="11" s="1"/>
  <c r="AZ88" i="11" s="1"/>
  <c r="AZ148" i="11"/>
  <c r="BA146" i="11" s="1"/>
  <c r="AV96" i="3"/>
  <c r="AW66" i="11"/>
  <c r="AX64" i="11" s="1"/>
  <c r="BT195" i="11"/>
  <c r="AV51" i="11"/>
  <c r="AV52" i="11" s="1"/>
  <c r="AV53" i="11" s="1"/>
  <c r="AX27" i="11"/>
  <c r="AX28" i="11" s="1"/>
  <c r="AX29" i="11" s="1"/>
  <c r="BC59" i="11"/>
  <c r="BC60" i="11" s="1"/>
  <c r="BC61" i="11" s="1"/>
  <c r="CI91" i="11"/>
  <c r="CI92" i="11" s="1"/>
  <c r="CI75" i="11"/>
  <c r="CI76" i="11" s="1"/>
  <c r="CD149" i="11"/>
  <c r="CD150" i="11" s="1"/>
  <c r="AI262" i="3"/>
  <c r="AE263" i="3"/>
  <c r="AF262" i="3" s="1"/>
  <c r="AF263" i="3" s="1"/>
  <c r="AG262" i="3" s="1"/>
  <c r="AG263" i="3" s="1"/>
  <c r="AH262" i="3" s="1"/>
  <c r="AH263" i="3" s="1"/>
  <c r="AJ262" i="3" s="1"/>
  <c r="AK211" i="11" s="1"/>
  <c r="AK213" i="11" s="1"/>
  <c r="AK221" i="11" s="1"/>
  <c r="AK222" i="11" s="1"/>
  <c r="CD180" i="3"/>
  <c r="AS147" i="3"/>
  <c r="AT147" i="3"/>
  <c r="AR152" i="3"/>
  <c r="CL69" i="3"/>
  <c r="CJ184" i="3"/>
  <c r="CJ179" i="3"/>
  <c r="CK169" i="3"/>
  <c r="S263" i="3"/>
  <c r="S265" i="3"/>
  <c r="AQ161" i="3"/>
  <c r="AQ174" i="3" s="1"/>
  <c r="AQ175" i="3" s="1"/>
  <c r="AQ194" i="3"/>
  <c r="AQ195" i="3" s="1"/>
  <c r="AU167" i="3"/>
  <c r="AT172" i="3"/>
  <c r="S268" i="3"/>
  <c r="I265" i="3"/>
  <c r="I263" i="3"/>
  <c r="CE180" i="3"/>
  <c r="CI146" i="3"/>
  <c r="CF77" i="3"/>
  <c r="BB20" i="2"/>
  <c r="CB36" i="2"/>
  <c r="BD19" i="2"/>
  <c r="BB21" i="2"/>
  <c r="AW94" i="3" l="1"/>
  <c r="AW95" i="3" s="1"/>
  <c r="G18" i="34"/>
  <c r="W18" i="34" s="1"/>
  <c r="AP179" i="11"/>
  <c r="U135" i="9"/>
  <c r="BB156" i="2"/>
  <c r="CA78" i="2"/>
  <c r="CB78" i="2" s="1"/>
  <c r="CA82" i="2"/>
  <c r="CC92" i="2"/>
  <c r="CD92" i="2"/>
  <c r="CF92" i="2"/>
  <c r="V7" i="35"/>
  <c r="CL303" i="3"/>
  <c r="BE23" i="2"/>
  <c r="AR127" i="11"/>
  <c r="AR196" i="11" s="1"/>
  <c r="AW62" i="3"/>
  <c r="AY142" i="11"/>
  <c r="AX67" i="3" s="1"/>
  <c r="AW64" i="3"/>
  <c r="AW207" i="2" s="1"/>
  <c r="AX35" i="11"/>
  <c r="AX36" i="11" s="1"/>
  <c r="AX37" i="11" s="1"/>
  <c r="AX75" i="11"/>
  <c r="AX76" i="11" s="1"/>
  <c r="AX77" i="11" s="1"/>
  <c r="AM44" i="3"/>
  <c r="AM46" i="3" s="1"/>
  <c r="AN46" i="3" s="1"/>
  <c r="AM203" i="3"/>
  <c r="AQ203" i="3"/>
  <c r="AM204" i="3"/>
  <c r="AP204" i="3"/>
  <c r="AM191" i="3"/>
  <c r="AN43" i="3"/>
  <c r="AO203" i="3"/>
  <c r="AP203" i="3"/>
  <c r="AQ204" i="3"/>
  <c r="AO204" i="3"/>
  <c r="CQ69" i="3"/>
  <c r="BC20" i="2"/>
  <c r="CG141" i="2"/>
  <c r="AB12" i="35" s="1"/>
  <c r="CC135" i="2"/>
  <c r="CC136" i="2"/>
  <c r="CC137" i="2"/>
  <c r="CC140" i="2"/>
  <c r="CC139" i="2"/>
  <c r="CC138" i="2"/>
  <c r="CG98" i="2"/>
  <c r="CG108" i="2" s="1"/>
  <c r="CC108" i="2"/>
  <c r="CC22" i="2" s="1"/>
  <c r="CG111" i="2"/>
  <c r="CA29" i="2"/>
  <c r="CB29" i="2" s="1"/>
  <c r="CA30" i="2"/>
  <c r="CB30" i="2" s="1"/>
  <c r="CA31" i="2"/>
  <c r="CB31" i="2" s="1"/>
  <c r="CA32" i="2"/>
  <c r="CB32" i="2" s="1"/>
  <c r="CB34" i="2"/>
  <c r="CM184" i="3"/>
  <c r="CM179" i="3"/>
  <c r="AI263" i="3"/>
  <c r="CK59" i="11"/>
  <c r="CK60" i="11" s="1"/>
  <c r="BC21" i="2"/>
  <c r="U7" i="35"/>
  <c r="W12" i="35"/>
  <c r="CI133" i="11"/>
  <c r="CI134" i="11" s="1"/>
  <c r="CJ67" i="11"/>
  <c r="CJ68" i="11" s="1"/>
  <c r="CI69" i="11" s="1"/>
  <c r="CJ51" i="11"/>
  <c r="CJ52" i="11" s="1"/>
  <c r="BD20" i="2"/>
  <c r="AZ90" i="11"/>
  <c r="BA88" i="11" s="1"/>
  <c r="BA90" i="11" s="1"/>
  <c r="BB88" i="11" s="1"/>
  <c r="CK74" i="11"/>
  <c r="CL72" i="11" s="1"/>
  <c r="AR118" i="11"/>
  <c r="AR125" i="11" s="1"/>
  <c r="AR197" i="11"/>
  <c r="AR198" i="11" s="1"/>
  <c r="AS115" i="11"/>
  <c r="AX62" i="3"/>
  <c r="BB15" i="11"/>
  <c r="BA26" i="11"/>
  <c r="BB24" i="11" s="1"/>
  <c r="BM50" i="11"/>
  <c r="BN50" i="11" s="1"/>
  <c r="BO48" i="11" s="1"/>
  <c r="BL9" i="11"/>
  <c r="BA148" i="11"/>
  <c r="BB146" i="11" s="1"/>
  <c r="AW40" i="11"/>
  <c r="BV124" i="11"/>
  <c r="BV201" i="11" s="1"/>
  <c r="BV195" i="11" s="1"/>
  <c r="BW8" i="11"/>
  <c r="AZ34" i="11"/>
  <c r="BA32" i="11" s="1"/>
  <c r="CK66" i="11"/>
  <c r="CL64" i="11" s="1"/>
  <c r="CJ75" i="11"/>
  <c r="CJ76" i="11" s="1"/>
  <c r="CJ77" i="11" s="1"/>
  <c r="AX50" i="11"/>
  <c r="AY50" i="11" s="1"/>
  <c r="AZ48" i="11" s="1"/>
  <c r="AP207" i="11"/>
  <c r="AY159" i="11"/>
  <c r="AZ156" i="11" s="1"/>
  <c r="AX170" i="11"/>
  <c r="AX82" i="11"/>
  <c r="AY82" i="11" s="1"/>
  <c r="AZ80" i="11" s="1"/>
  <c r="AQ178" i="11"/>
  <c r="AQ207" i="11" s="1"/>
  <c r="AQ19" i="11"/>
  <c r="AQ179" i="11" s="1"/>
  <c r="AZ27" i="11"/>
  <c r="AZ28" i="11" s="1"/>
  <c r="AZ29" i="11" s="1"/>
  <c r="BL51" i="11"/>
  <c r="BL52" i="11" s="1"/>
  <c r="BL53" i="11" s="1"/>
  <c r="BK155" i="11"/>
  <c r="AZ74" i="11"/>
  <c r="BA72" i="11" s="1"/>
  <c r="AX66" i="11"/>
  <c r="AY66" i="11" s="1"/>
  <c r="AZ64" i="11" s="1"/>
  <c r="AZ149" i="11"/>
  <c r="AZ150" i="11" s="1"/>
  <c r="AV43" i="11"/>
  <c r="AV44" i="11" s="1"/>
  <c r="CF148" i="11"/>
  <c r="CG146" i="11" s="1"/>
  <c r="CK90" i="11"/>
  <c r="CL88" i="11" s="1"/>
  <c r="AW51" i="11"/>
  <c r="AW52" i="11" s="1"/>
  <c r="AX160" i="11"/>
  <c r="AX161" i="11" s="1"/>
  <c r="AW83" i="11"/>
  <c r="AW84" i="11" s="1"/>
  <c r="BU195" i="11"/>
  <c r="AQ176" i="11"/>
  <c r="AR13" i="11"/>
  <c r="BF58" i="11"/>
  <c r="BG56" i="11" s="1"/>
  <c r="CK42" i="11"/>
  <c r="CL40" i="11" s="1"/>
  <c r="BA138" i="11"/>
  <c r="AY207" i="3"/>
  <c r="AX117" i="11"/>
  <c r="AW124" i="11"/>
  <c r="AW201" i="11" s="1"/>
  <c r="AW195" i="11" s="1"/>
  <c r="CK106" i="11"/>
  <c r="CL104" i="11" s="1"/>
  <c r="AW67" i="11"/>
  <c r="AW68" i="11" s="1"/>
  <c r="AX91" i="11"/>
  <c r="AX92" i="11" s="1"/>
  <c r="AX151" i="11"/>
  <c r="BV112" i="11"/>
  <c r="CE149" i="11"/>
  <c r="CE150" i="11" s="1"/>
  <c r="CJ91" i="11"/>
  <c r="CJ92" i="11" s="1"/>
  <c r="CJ93" i="11" s="1"/>
  <c r="CL58" i="11"/>
  <c r="CM58" i="11" s="1"/>
  <c r="CN56" i="11" s="1"/>
  <c r="BI192" i="11"/>
  <c r="CK50" i="11"/>
  <c r="CL48" i="11" s="1"/>
  <c r="CJ132" i="11"/>
  <c r="CK130" i="11" s="1"/>
  <c r="BE59" i="11"/>
  <c r="BE60" i="11" s="1"/>
  <c r="CJ43" i="11"/>
  <c r="CJ44" i="11" s="1"/>
  <c r="AZ141" i="11"/>
  <c r="AZ142" i="11" s="1"/>
  <c r="AX93" i="11"/>
  <c r="CJ107" i="11"/>
  <c r="CJ108" i="11" s="1"/>
  <c r="CJ109" i="11" s="1"/>
  <c r="CF78" i="3"/>
  <c r="CF67" i="3"/>
  <c r="CF253" i="3"/>
  <c r="CG216" i="11" s="1"/>
  <c r="CG77" i="3"/>
  <c r="CK184" i="3"/>
  <c r="CK179" i="3"/>
  <c r="CL169" i="3"/>
  <c r="AU147" i="3"/>
  <c r="AT152" i="3"/>
  <c r="AT208" i="3"/>
  <c r="AT207" i="3"/>
  <c r="AT186" i="3"/>
  <c r="AU178" i="3" s="1"/>
  <c r="AT198" i="3"/>
  <c r="AT199" i="3"/>
  <c r="CJ146" i="3"/>
  <c r="AV167" i="3"/>
  <c r="AU183" i="3"/>
  <c r="AU172" i="3"/>
  <c r="AN262" i="3"/>
  <c r="AJ263" i="3"/>
  <c r="AK262" i="3" s="1"/>
  <c r="CH77" i="3"/>
  <c r="AS152" i="3"/>
  <c r="AR161" i="3"/>
  <c r="AR194" i="3"/>
  <c r="AR195" i="3" s="1"/>
  <c r="CD36" i="2"/>
  <c r="CF36" i="2"/>
  <c r="CA42" i="2"/>
  <c r="BD21" i="2"/>
  <c r="BE19" i="2"/>
  <c r="CJ45" i="11" l="1"/>
  <c r="AW96" i="3"/>
  <c r="G13" i="34"/>
  <c r="W13" i="34" s="1"/>
  <c r="AT187" i="3"/>
  <c r="T133" i="9"/>
  <c r="U134" i="9"/>
  <c r="CB195" i="2"/>
  <c r="CB219" i="2"/>
  <c r="BD156" i="2"/>
  <c r="L69" i="10"/>
  <c r="CF78" i="2"/>
  <c r="CF82" i="2"/>
  <c r="CC82" i="2"/>
  <c r="CC78" i="2"/>
  <c r="CD29" i="2"/>
  <c r="CD82" i="2"/>
  <c r="CD78" i="2"/>
  <c r="CB82" i="2"/>
  <c r="CD32" i="2"/>
  <c r="CC36" i="2"/>
  <c r="CC42" i="2"/>
  <c r="CC31" i="2"/>
  <c r="CC32" i="2"/>
  <c r="CC29" i="2"/>
  <c r="CC30" i="2"/>
  <c r="CH92" i="2"/>
  <c r="CK92" i="2"/>
  <c r="CD31" i="2"/>
  <c r="CE92" i="2"/>
  <c r="CD30" i="2"/>
  <c r="CI92" i="2"/>
  <c r="BF23" i="2"/>
  <c r="CQ300" i="3"/>
  <c r="CL304" i="3"/>
  <c r="AW70" i="3"/>
  <c r="AX64" i="3"/>
  <c r="AX207" i="2" s="1"/>
  <c r="AM48" i="3"/>
  <c r="AM59" i="3" s="1"/>
  <c r="AM206" i="2" s="1"/>
  <c r="AZ35" i="11"/>
  <c r="AZ36" i="11" s="1"/>
  <c r="AZ37" i="11" s="1"/>
  <c r="BM51" i="11"/>
  <c r="BM52" i="11" s="1"/>
  <c r="CK51" i="11"/>
  <c r="CK52" i="11" s="1"/>
  <c r="CK53" i="11" s="1"/>
  <c r="BF59" i="11"/>
  <c r="BF60" i="11" s="1"/>
  <c r="BF61" i="11" s="1"/>
  <c r="CF149" i="11"/>
  <c r="CF150" i="11" s="1"/>
  <c r="AX67" i="11"/>
  <c r="AX68" i="11" s="1"/>
  <c r="AW69" i="11" s="1"/>
  <c r="AW179" i="11" s="1"/>
  <c r="AN203" i="3"/>
  <c r="AN44" i="3"/>
  <c r="AN191" i="3"/>
  <c r="AN204" i="3"/>
  <c r="CN58" i="11"/>
  <c r="CO56" i="11" s="1"/>
  <c r="BY8" i="11"/>
  <c r="BY124" i="11" s="1"/>
  <c r="BY201" i="11" s="1"/>
  <c r="AZ91" i="11"/>
  <c r="AZ92" i="11" s="1"/>
  <c r="BA93" i="11" s="1"/>
  <c r="CL141" i="2"/>
  <c r="CH135" i="2"/>
  <c r="CH136" i="2"/>
  <c r="CH137" i="2"/>
  <c r="CH139" i="2"/>
  <c r="CH138" i="2"/>
  <c r="CH140" i="2"/>
  <c r="CG135" i="2"/>
  <c r="CG136" i="2"/>
  <c r="CG137" i="2"/>
  <c r="CG140" i="2"/>
  <c r="CG139" i="2"/>
  <c r="CG138" i="2"/>
  <c r="CF37" i="2"/>
  <c r="CD37" i="2"/>
  <c r="CA33" i="2"/>
  <c r="CB33" i="2" s="1"/>
  <c r="CL100" i="2"/>
  <c r="CH98" i="2"/>
  <c r="CH99" i="2" s="1"/>
  <c r="CL99" i="2" s="1"/>
  <c r="CH111" i="2"/>
  <c r="CB37" i="2"/>
  <c r="CQ100" i="2"/>
  <c r="CM98" i="2"/>
  <c r="CM99" i="2" s="1"/>
  <c r="CQ99" i="2" s="1"/>
  <c r="CM111" i="2"/>
  <c r="CM103" i="2" s="1"/>
  <c r="W116" i="9"/>
  <c r="W122" i="9" s="1"/>
  <c r="CN179" i="3"/>
  <c r="CN184" i="3"/>
  <c r="CK107" i="11"/>
  <c r="CK108" i="11" s="1"/>
  <c r="CK75" i="11"/>
  <c r="CK76" i="11" s="1"/>
  <c r="W7" i="35"/>
  <c r="BY218" i="2"/>
  <c r="CE151" i="11"/>
  <c r="CL42" i="11"/>
  <c r="CM42" i="11" s="1"/>
  <c r="CN40" i="11" s="1"/>
  <c r="AR16" i="11"/>
  <c r="CL90" i="11"/>
  <c r="CM90" i="11" s="1"/>
  <c r="CN88" i="11" s="1"/>
  <c r="BB218" i="11"/>
  <c r="BB219" i="11" s="1"/>
  <c r="BB194" i="11"/>
  <c r="AK263" i="3"/>
  <c r="AL262" i="3" s="1"/>
  <c r="AL211" i="11"/>
  <c r="AL213" i="11" s="1"/>
  <c r="AL221" i="11" s="1"/>
  <c r="AL222" i="11" s="1"/>
  <c r="AX124" i="11"/>
  <c r="AX201" i="11" s="1"/>
  <c r="AX195" i="11" s="1"/>
  <c r="AZ117" i="11"/>
  <c r="CK43" i="11"/>
  <c r="CK44" i="11" s="1"/>
  <c r="CK91" i="11"/>
  <c r="CK92" i="11" s="1"/>
  <c r="AV45" i="11"/>
  <c r="BA74" i="11"/>
  <c r="BB72" i="11" s="1"/>
  <c r="CL66" i="11"/>
  <c r="CM66" i="11" s="1"/>
  <c r="CN64" i="11" s="1"/>
  <c r="BW124" i="11"/>
  <c r="BW201" i="11" s="1"/>
  <c r="BW195" i="11" s="1"/>
  <c r="BX195" i="11" s="1"/>
  <c r="AW42" i="11"/>
  <c r="AW43" i="11" s="1"/>
  <c r="AW44" i="11" s="1"/>
  <c r="BO50" i="11"/>
  <c r="BP48" i="11" s="1"/>
  <c r="BB16" i="11"/>
  <c r="AX94" i="3"/>
  <c r="AY64" i="3"/>
  <c r="AY207" i="2" s="1"/>
  <c r="AY62" i="3"/>
  <c r="AY67" i="3"/>
  <c r="AY208" i="3" s="1"/>
  <c r="AY94" i="3"/>
  <c r="AY95" i="3" s="1"/>
  <c r="CK132" i="11"/>
  <c r="CL130" i="11" s="1"/>
  <c r="AX171" i="11"/>
  <c r="AX162" i="11"/>
  <c r="AX172" i="11" s="1"/>
  <c r="AZ75" i="11"/>
  <c r="AZ76" i="11" s="1"/>
  <c r="AZ82" i="11"/>
  <c r="BA80" i="11" s="1"/>
  <c r="BA82" i="11" s="1"/>
  <c r="BB80" i="11" s="1"/>
  <c r="AY170" i="11"/>
  <c r="AZ167" i="11"/>
  <c r="AX174" i="11"/>
  <c r="CK67" i="11"/>
  <c r="CK68" i="11" s="1"/>
  <c r="BB148" i="11"/>
  <c r="BC146" i="11" s="1"/>
  <c r="BM9" i="11"/>
  <c r="BM155" i="11" s="1"/>
  <c r="BB26" i="11"/>
  <c r="BC24" i="11" s="1"/>
  <c r="AT115" i="11"/>
  <c r="AU113" i="11" s="1"/>
  <c r="AS123" i="11"/>
  <c r="BB90" i="11"/>
  <c r="BC88" i="11" s="1"/>
  <c r="CJ133" i="11"/>
  <c r="CJ134" i="11" s="1"/>
  <c r="CJ135" i="11" s="1"/>
  <c r="CL50" i="11"/>
  <c r="CM50" i="11" s="1"/>
  <c r="CN48" i="11" s="1"/>
  <c r="CL59" i="11"/>
  <c r="CL60" i="11" s="1"/>
  <c r="CL61" i="11" s="1"/>
  <c r="CL106" i="11"/>
  <c r="CM106" i="11" s="1"/>
  <c r="CN104" i="11" s="1"/>
  <c r="BA140" i="11"/>
  <c r="BG58" i="11"/>
  <c r="BH56" i="11" s="1"/>
  <c r="CG148" i="11"/>
  <c r="CH148" i="11" s="1"/>
  <c r="CI146" i="11" s="1"/>
  <c r="AZ66" i="11"/>
  <c r="BA64" i="11" s="1"/>
  <c r="BK169" i="11"/>
  <c r="BK168" i="11"/>
  <c r="BK192" i="11" s="1"/>
  <c r="BK173" i="11"/>
  <c r="AX83" i="11"/>
  <c r="AX84" i="11" s="1"/>
  <c r="AX85" i="11" s="1"/>
  <c r="AZ159" i="11"/>
  <c r="AZ160" i="11" s="1"/>
  <c r="AZ161" i="11" s="1"/>
  <c r="AX51" i="11"/>
  <c r="AX52" i="11" s="1"/>
  <c r="AZ53" i="11" s="1"/>
  <c r="BA34" i="11"/>
  <c r="BB32" i="11" s="1"/>
  <c r="BW112" i="11"/>
  <c r="BA149" i="11"/>
  <c r="BA150" i="11" s="1"/>
  <c r="BA151" i="11" s="1"/>
  <c r="BL155" i="11"/>
  <c r="BA27" i="11"/>
  <c r="BA28" i="11" s="1"/>
  <c r="BA29" i="11" s="1"/>
  <c r="AS116" i="11"/>
  <c r="CL74" i="11"/>
  <c r="CM74" i="11" s="1"/>
  <c r="CN72" i="11" s="1"/>
  <c r="CJ77" i="3"/>
  <c r="AU208" i="3"/>
  <c r="AU207" i="3"/>
  <c r="AU186" i="3"/>
  <c r="AV178" i="3" s="1"/>
  <c r="AU198" i="3"/>
  <c r="AU199" i="3"/>
  <c r="CK146" i="3"/>
  <c r="CM146" i="3" s="1"/>
  <c r="CN146" i="3" s="1"/>
  <c r="CO146" i="3" s="1"/>
  <c r="CP146" i="3" s="1"/>
  <c r="CQ146" i="3" s="1"/>
  <c r="AV147" i="3"/>
  <c r="AU152" i="3"/>
  <c r="CG78" i="3"/>
  <c r="CG67" i="3"/>
  <c r="AS161" i="3"/>
  <c r="AS194" i="3"/>
  <c r="AS195" i="3" s="1"/>
  <c r="CL184" i="3"/>
  <c r="CL179" i="3"/>
  <c r="CF180" i="3"/>
  <c r="CG253" i="3"/>
  <c r="AW167" i="3"/>
  <c r="AV183" i="3"/>
  <c r="AV172" i="3"/>
  <c r="CH78" i="3"/>
  <c r="CH67" i="3"/>
  <c r="CH253" i="3"/>
  <c r="CI216" i="11" s="1"/>
  <c r="CI77" i="3"/>
  <c r="AT161" i="3"/>
  <c r="AT174" i="3" s="1"/>
  <c r="AT175" i="3" s="1"/>
  <c r="AT194" i="3"/>
  <c r="AT195" i="3" s="1"/>
  <c r="CF42" i="2"/>
  <c r="CI36" i="2"/>
  <c r="CK36" i="2"/>
  <c r="BE21" i="2"/>
  <c r="BF19" i="2"/>
  <c r="CE36" i="2"/>
  <c r="CB41" i="2"/>
  <c r="BE20" i="2"/>
  <c r="CD42" i="2"/>
  <c r="E69" i="10" l="1"/>
  <c r="E70" i="10"/>
  <c r="W135" i="9"/>
  <c r="I18" i="34"/>
  <c r="Y18" i="34" s="1"/>
  <c r="H18" i="34"/>
  <c r="X18" i="34" s="1"/>
  <c r="H13" i="34"/>
  <c r="X13" i="34" s="1"/>
  <c r="V135" i="9"/>
  <c r="V134" i="9"/>
  <c r="BE156" i="2"/>
  <c r="CG29" i="2"/>
  <c r="CE82" i="2"/>
  <c r="CE78" i="2"/>
  <c r="CG78" i="2" s="1"/>
  <c r="CH82" i="2"/>
  <c r="CH78" i="2"/>
  <c r="CI82" i="2"/>
  <c r="CI78" i="2"/>
  <c r="CK82" i="2"/>
  <c r="CK78" i="2"/>
  <c r="CL74" i="2"/>
  <c r="CG34" i="2"/>
  <c r="AB7" i="35" s="1"/>
  <c r="CG30" i="2"/>
  <c r="CD33" i="2"/>
  <c r="CF33" i="2"/>
  <c r="CT38" i="2" s="1"/>
  <c r="CG31" i="2"/>
  <c r="CG32" i="2"/>
  <c r="CC33" i="2"/>
  <c r="CH36" i="2"/>
  <c r="CH42" i="2"/>
  <c r="CM92" i="2"/>
  <c r="CC37" i="2"/>
  <c r="CJ92" i="2"/>
  <c r="CN92" i="2"/>
  <c r="CP92" i="2"/>
  <c r="BG23" i="2"/>
  <c r="AX70" i="3"/>
  <c r="AM52" i="3"/>
  <c r="CQ301" i="3"/>
  <c r="CQ307" i="3" s="1"/>
  <c r="AM49" i="3"/>
  <c r="BB149" i="11"/>
  <c r="BB150" i="11" s="1"/>
  <c r="CN106" i="11"/>
  <c r="CO104" i="11" s="1"/>
  <c r="CN66" i="11"/>
  <c r="CO64" i="11" s="1"/>
  <c r="CG149" i="11"/>
  <c r="CG150" i="11" s="1"/>
  <c r="CH150" i="11" s="1"/>
  <c r="BY112" i="11"/>
  <c r="BY122" i="11" s="1"/>
  <c r="CN59" i="11"/>
  <c r="CN60" i="11" s="1"/>
  <c r="CN74" i="11"/>
  <c r="CO72" i="11" s="1"/>
  <c r="CN50" i="11"/>
  <c r="CO48" i="11" s="1"/>
  <c r="CN90" i="11"/>
  <c r="CO88" i="11" s="1"/>
  <c r="CN42" i="11"/>
  <c r="CO40" i="11" s="1"/>
  <c r="BY195" i="11"/>
  <c r="CO58" i="11"/>
  <c r="CP56" i="11" s="1"/>
  <c r="AN48" i="3"/>
  <c r="CQ141" i="2"/>
  <c r="W134" i="9" s="1"/>
  <c r="CM135" i="2"/>
  <c r="CM139" i="2"/>
  <c r="CM138" i="2"/>
  <c r="CM136" i="2"/>
  <c r="CM137" i="2"/>
  <c r="CM140" i="2"/>
  <c r="CL135" i="2"/>
  <c r="CL136" i="2"/>
  <c r="CL137" i="2"/>
  <c r="CL139" i="2"/>
  <c r="CL138" i="2"/>
  <c r="CL140" i="2"/>
  <c r="CK37" i="2"/>
  <c r="CI37" i="2"/>
  <c r="CE37" i="2"/>
  <c r="CQ98" i="2"/>
  <c r="CQ108" i="2" s="1"/>
  <c r="CM108" i="2"/>
  <c r="CQ111" i="2"/>
  <c r="CQ103" i="2" s="1"/>
  <c r="CL98" i="2"/>
  <c r="CL108" i="2" s="1"/>
  <c r="CH108" i="2"/>
  <c r="CL111" i="2"/>
  <c r="CG36" i="2"/>
  <c r="CO184" i="3"/>
  <c r="CO179" i="3"/>
  <c r="CN36" i="2"/>
  <c r="CP36" i="2"/>
  <c r="CQ95" i="2"/>
  <c r="AY96" i="3"/>
  <c r="AX95" i="3"/>
  <c r="CL75" i="11"/>
  <c r="CL76" i="11" s="1"/>
  <c r="CL77" i="11" s="1"/>
  <c r="V34" i="9"/>
  <c r="V115" i="9" s="1"/>
  <c r="V121" i="9" s="1"/>
  <c r="CL51" i="11"/>
  <c r="CL52" i="11" s="1"/>
  <c r="CL43" i="11"/>
  <c r="CL44" i="11" s="1"/>
  <c r="CG41" i="2"/>
  <c r="CG42" i="2" s="1"/>
  <c r="CK133" i="11"/>
  <c r="CK134" i="11" s="1"/>
  <c r="CL107" i="11"/>
  <c r="CL108" i="11" s="1"/>
  <c r="CL109" i="11" s="1"/>
  <c r="CL91" i="11"/>
  <c r="CL92" i="11" s="1"/>
  <c r="CL93" i="11" s="1"/>
  <c r="AY195" i="11"/>
  <c r="AZ170" i="11"/>
  <c r="BA167" i="11" s="1"/>
  <c r="BA156" i="11"/>
  <c r="CI148" i="11"/>
  <c r="CJ146" i="11" s="1"/>
  <c r="BH58" i="11"/>
  <c r="BI58" i="11" s="1"/>
  <c r="BJ56" i="11" s="1"/>
  <c r="AU115" i="11"/>
  <c r="BM169" i="11"/>
  <c r="BM194" i="11" s="1"/>
  <c r="BM168" i="11"/>
  <c r="BM192" i="11" s="1"/>
  <c r="BM173" i="11"/>
  <c r="BB82" i="11"/>
  <c r="BC80" i="11" s="1"/>
  <c r="BC13" i="11"/>
  <c r="BB17" i="11"/>
  <c r="BB18" i="11" s="1"/>
  <c r="BB74" i="11"/>
  <c r="BC72" i="11" s="1"/>
  <c r="AS118" i="11"/>
  <c r="AS125" i="11" s="1"/>
  <c r="AS119" i="11"/>
  <c r="AS126" i="11" s="1"/>
  <c r="BB34" i="11"/>
  <c r="BC32" i="11" s="1"/>
  <c r="AZ171" i="11"/>
  <c r="AZ162" i="11"/>
  <c r="AZ172" i="11" s="1"/>
  <c r="BB138" i="11"/>
  <c r="AZ207" i="3"/>
  <c r="AZ208" i="3"/>
  <c r="BC90" i="11"/>
  <c r="BD90" i="11" s="1"/>
  <c r="BE88" i="11" s="1"/>
  <c r="BE91" i="11" s="1"/>
  <c r="BE92" i="11" s="1"/>
  <c r="BF93" i="11" s="1"/>
  <c r="BC26" i="11"/>
  <c r="BD26" i="11" s="1"/>
  <c r="BE24" i="11" s="1"/>
  <c r="AZ83" i="11"/>
  <c r="AZ84" i="11" s="1"/>
  <c r="BA85" i="11" s="1"/>
  <c r="BP50" i="11"/>
  <c r="BQ48" i="11" s="1"/>
  <c r="BQ51" i="11" s="1"/>
  <c r="BQ52" i="11" s="1"/>
  <c r="BZ8" i="11"/>
  <c r="CL67" i="11"/>
  <c r="CL68" i="11" s="1"/>
  <c r="CK69" i="11" s="1"/>
  <c r="BA117" i="11"/>
  <c r="AZ124" i="11"/>
  <c r="AZ201" i="11" s="1"/>
  <c r="AZ195" i="11" s="1"/>
  <c r="AL263" i="3"/>
  <c r="AM262" i="3" s="1"/>
  <c r="AM211" i="11"/>
  <c r="AM213" i="11" s="1"/>
  <c r="AM221" i="11" s="1"/>
  <c r="AM222" i="11" s="1"/>
  <c r="AR176" i="11"/>
  <c r="AS13" i="11"/>
  <c r="AM92" i="3"/>
  <c r="AM64" i="3"/>
  <c r="AM207" i="2" s="1"/>
  <c r="AM60" i="3"/>
  <c r="BL169" i="11"/>
  <c r="BL194" i="11" s="1"/>
  <c r="BL168" i="11"/>
  <c r="BL192" i="11" s="1"/>
  <c r="BL173" i="11"/>
  <c r="BA35" i="11"/>
  <c r="BA36" i="11" s="1"/>
  <c r="BA37" i="11" s="1"/>
  <c r="BA66" i="11"/>
  <c r="BB64" i="11" s="1"/>
  <c r="AX53" i="11"/>
  <c r="BA141" i="11"/>
  <c r="BA142" i="11" s="1"/>
  <c r="BB91" i="11"/>
  <c r="BB92" i="11" s="1"/>
  <c r="BB27" i="11"/>
  <c r="BB28" i="11" s="1"/>
  <c r="BB29" i="11" s="1"/>
  <c r="BC148" i="11"/>
  <c r="BD148" i="11" s="1"/>
  <c r="BE146" i="11" s="1"/>
  <c r="BE149" i="11" s="1"/>
  <c r="BE150" i="11" s="1"/>
  <c r="CL132" i="11"/>
  <c r="CM132" i="11" s="1"/>
  <c r="CN130" i="11" s="1"/>
  <c r="BO51" i="11"/>
  <c r="BO52" i="11" s="1"/>
  <c r="BO53" i="11" s="1"/>
  <c r="AY201" i="11"/>
  <c r="AR17" i="11"/>
  <c r="AR18" i="11" s="1"/>
  <c r="AZ67" i="11"/>
  <c r="AZ68" i="11" s="1"/>
  <c r="BG59" i="11"/>
  <c r="BG60" i="11" s="1"/>
  <c r="AU121" i="11"/>
  <c r="AT123" i="11"/>
  <c r="AS127" i="11"/>
  <c r="AS196" i="11" s="1"/>
  <c r="BO9" i="11"/>
  <c r="AY70" i="3"/>
  <c r="AX40" i="11"/>
  <c r="BX201" i="11"/>
  <c r="BA75" i="11"/>
  <c r="BA76" i="11" s="1"/>
  <c r="BA77" i="11" s="1"/>
  <c r="AV208" i="3"/>
  <c r="AV207" i="3"/>
  <c r="AV186" i="3"/>
  <c r="AW178" i="3" s="1"/>
  <c r="AV198" i="3"/>
  <c r="AV199" i="3"/>
  <c r="AV152" i="3"/>
  <c r="AW147" i="3"/>
  <c r="CG180" i="3"/>
  <c r="CL146" i="3"/>
  <c r="CI78" i="3"/>
  <c r="CI67" i="3"/>
  <c r="CI253" i="3"/>
  <c r="CJ216" i="11" s="1"/>
  <c r="AY183" i="3"/>
  <c r="AW183" i="3"/>
  <c r="AX167" i="3"/>
  <c r="AW172" i="3"/>
  <c r="CJ78" i="3"/>
  <c r="CJ67" i="3"/>
  <c r="CJ253" i="3"/>
  <c r="CK216" i="11" s="1"/>
  <c r="CH180" i="3"/>
  <c r="AU161" i="3"/>
  <c r="AU174" i="3" s="1"/>
  <c r="AU175" i="3" s="1"/>
  <c r="AU194" i="3"/>
  <c r="AU195" i="3" s="1"/>
  <c r="AU187" i="3"/>
  <c r="CJ36" i="2"/>
  <c r="CI42" i="2"/>
  <c r="BF20" i="2"/>
  <c r="CB42" i="2"/>
  <c r="CE42" i="2"/>
  <c r="BF21" i="2"/>
  <c r="BG19" i="2"/>
  <c r="CK42" i="2"/>
  <c r="CL45" i="11" l="1"/>
  <c r="G8" i="34"/>
  <c r="W8" i="34" s="1"/>
  <c r="U133" i="9"/>
  <c r="CG92" i="2"/>
  <c r="CG195" i="2"/>
  <c r="CG219" i="2"/>
  <c r="BF156" i="2"/>
  <c r="L73" i="10"/>
  <c r="CH22" i="2"/>
  <c r="L77" i="10"/>
  <c r="CM22" i="2"/>
  <c r="CN82" i="2"/>
  <c r="CN78" i="2"/>
  <c r="CL31" i="2"/>
  <c r="CJ82" i="2"/>
  <c r="CJ78" i="2"/>
  <c r="CL78" i="2" s="1"/>
  <c r="CP78" i="2"/>
  <c r="CP82" i="2"/>
  <c r="CM82" i="2"/>
  <c r="CM78" i="2"/>
  <c r="CG82" i="2"/>
  <c r="CI33" i="2"/>
  <c r="CK33" i="2"/>
  <c r="CE33" i="2"/>
  <c r="CH33" i="2"/>
  <c r="CH37" i="2"/>
  <c r="CL36" i="2"/>
  <c r="CL30" i="2"/>
  <c r="CM36" i="2"/>
  <c r="CM42" i="2"/>
  <c r="CL34" i="2"/>
  <c r="CL29" i="2"/>
  <c r="CL32" i="2"/>
  <c r="CO92" i="2"/>
  <c r="BH23" i="2"/>
  <c r="CQ303" i="3"/>
  <c r="AZ174" i="11"/>
  <c r="CG151" i="11"/>
  <c r="BB75" i="11"/>
  <c r="BB76" i="11" s="1"/>
  <c r="BH59" i="11"/>
  <c r="BH60" i="11" s="1"/>
  <c r="BH61" i="11" s="1"/>
  <c r="CO59" i="11"/>
  <c r="CO60" i="11" s="1"/>
  <c r="CO61" i="11" s="1"/>
  <c r="CN132" i="11"/>
  <c r="CO130" i="11" s="1"/>
  <c r="BC27" i="11"/>
  <c r="BC28" i="11" s="1"/>
  <c r="BC29" i="11" s="1"/>
  <c r="BB35" i="11"/>
  <c r="BB36" i="11" s="1"/>
  <c r="BB37" i="11" s="1"/>
  <c r="CP58" i="11"/>
  <c r="CQ56" i="11" s="1"/>
  <c r="CN43" i="11"/>
  <c r="CN44" i="11" s="1"/>
  <c r="CN91" i="11"/>
  <c r="CN92" i="11" s="1"/>
  <c r="CN51" i="11"/>
  <c r="CN52" i="11" s="1"/>
  <c r="CN53" i="11" s="1"/>
  <c r="CN75" i="11"/>
  <c r="CN76" i="11" s="1"/>
  <c r="CN67" i="11"/>
  <c r="CN68" i="11" s="1"/>
  <c r="CN107" i="11"/>
  <c r="CN108" i="11" s="1"/>
  <c r="AN49" i="3"/>
  <c r="AN52" i="3"/>
  <c r="L138" i="9" s="1"/>
  <c r="AN59" i="3"/>
  <c r="CO42" i="11"/>
  <c r="CP40" i="11" s="1"/>
  <c r="CO90" i="11"/>
  <c r="CP88" i="11" s="1"/>
  <c r="CO50" i="11"/>
  <c r="CP48" i="11" s="1"/>
  <c r="CO74" i="11"/>
  <c r="CP72" i="11" s="1"/>
  <c r="BY181" i="11"/>
  <c r="CO66" i="11"/>
  <c r="CP64" i="11" s="1"/>
  <c r="CO106" i="11"/>
  <c r="CP104" i="11" s="1"/>
  <c r="CQ139" i="2"/>
  <c r="CQ135" i="2"/>
  <c r="CQ136" i="2"/>
  <c r="CQ137" i="2"/>
  <c r="CQ140" i="2"/>
  <c r="CQ138" i="2"/>
  <c r="CN37" i="2"/>
  <c r="CJ37" i="2"/>
  <c r="CP37" i="2"/>
  <c r="CG37" i="2"/>
  <c r="CP179" i="3"/>
  <c r="CP184" i="3"/>
  <c r="CN42" i="2"/>
  <c r="CP42" i="2"/>
  <c r="AX96" i="3"/>
  <c r="CL41" i="2"/>
  <c r="CL42" i="2" s="1"/>
  <c r="CI149" i="11"/>
  <c r="CI150" i="11" s="1"/>
  <c r="BH19" i="2"/>
  <c r="CB145" i="2"/>
  <c r="AS197" i="11"/>
  <c r="AT197" i="11" s="1"/>
  <c r="AT196" i="11"/>
  <c r="BA67" i="11"/>
  <c r="BA68" i="11" s="1"/>
  <c r="AZ69" i="11" s="1"/>
  <c r="AZ179" i="11" s="1"/>
  <c r="AM70" i="3"/>
  <c r="BC34" i="11"/>
  <c r="BD34" i="11" s="1"/>
  <c r="BE32" i="11" s="1"/>
  <c r="BC74" i="11"/>
  <c r="BD74" i="11" s="1"/>
  <c r="BE72" i="11" s="1"/>
  <c r="BB19" i="11"/>
  <c r="BB83" i="11"/>
  <c r="BB84" i="11" s="1"/>
  <c r="BN192" i="11"/>
  <c r="AR178" i="11"/>
  <c r="AR19" i="11"/>
  <c r="AR179" i="11" s="1"/>
  <c r="BB66" i="11"/>
  <c r="BC64" i="11" s="1"/>
  <c r="AM217" i="3"/>
  <c r="AM233" i="3" s="1"/>
  <c r="AM210" i="2" s="1"/>
  <c r="AM182" i="3"/>
  <c r="AM181" i="3" s="1"/>
  <c r="AM94" i="3"/>
  <c r="AN211" i="11"/>
  <c r="BB140" i="11"/>
  <c r="BB141" i="11" s="1"/>
  <c r="BB142" i="11" s="1"/>
  <c r="BC15" i="11"/>
  <c r="BC16" i="11" s="1"/>
  <c r="BC17" i="11" s="1"/>
  <c r="BC18" i="11" s="1"/>
  <c r="BC82" i="11"/>
  <c r="BD82" i="11" s="1"/>
  <c r="BE80" i="11" s="1"/>
  <c r="BJ58" i="11"/>
  <c r="BK56" i="11" s="1"/>
  <c r="AX42" i="11"/>
  <c r="AX43" i="11" s="1"/>
  <c r="AX44" i="11" s="1"/>
  <c r="BF151" i="11"/>
  <c r="BI150" i="11"/>
  <c r="AZ64" i="3"/>
  <c r="AZ207" i="2" s="1"/>
  <c r="AZ62" i="3"/>
  <c r="AZ94" i="3"/>
  <c r="AZ95" i="3" s="1"/>
  <c r="BA143" i="11"/>
  <c r="AS16" i="11"/>
  <c r="AS17" i="11" s="1"/>
  <c r="AS18" i="11" s="1"/>
  <c r="BZ124" i="11"/>
  <c r="BZ201" i="11" s="1"/>
  <c r="BZ195" i="11" s="1"/>
  <c r="CA8" i="11"/>
  <c r="CA112" i="11" s="1"/>
  <c r="BP51" i="11"/>
  <c r="BP52" i="11" s="1"/>
  <c r="BQ53" i="11" s="1"/>
  <c r="BC91" i="11"/>
  <c r="BC92" i="11" s="1"/>
  <c r="BC93" i="11" s="1"/>
  <c r="AV113" i="11"/>
  <c r="AU123" i="11"/>
  <c r="AU127" i="11" s="1"/>
  <c r="AU196" i="11" s="1"/>
  <c r="BP9" i="11"/>
  <c r="BP155" i="11" s="1"/>
  <c r="BO155" i="11"/>
  <c r="CL133" i="11"/>
  <c r="CL134" i="11" s="1"/>
  <c r="CL135" i="11" s="1"/>
  <c r="BC149" i="11"/>
  <c r="BC150" i="11" s="1"/>
  <c r="BA124" i="11"/>
  <c r="BA201" i="11" s="1"/>
  <c r="BB117" i="11"/>
  <c r="BZ112" i="11"/>
  <c r="BE26" i="11"/>
  <c r="BF24" i="11" s="1"/>
  <c r="AU116" i="11"/>
  <c r="CJ148" i="11"/>
  <c r="CK146" i="11" s="1"/>
  <c r="BA159" i="11"/>
  <c r="BA160" i="11" s="1"/>
  <c r="BA161" i="11" s="1"/>
  <c r="CK77" i="3"/>
  <c r="CJ180" i="3"/>
  <c r="AW207" i="3"/>
  <c r="AW208" i="3"/>
  <c r="AW186" i="3"/>
  <c r="AY178" i="3" s="1"/>
  <c r="AW198" i="3"/>
  <c r="AW199" i="3"/>
  <c r="CI180" i="3"/>
  <c r="AW152" i="3"/>
  <c r="AX147" i="3"/>
  <c r="BC183" i="3"/>
  <c r="AX172" i="3"/>
  <c r="AV161" i="3"/>
  <c r="AV174" i="3" s="1"/>
  <c r="AV175" i="3" s="1"/>
  <c r="AV194" i="3"/>
  <c r="AV195" i="3" s="1"/>
  <c r="AV187" i="3"/>
  <c r="BI19" i="2"/>
  <c r="BG21" i="2"/>
  <c r="BG20" i="2"/>
  <c r="CA218" i="2"/>
  <c r="CJ42" i="2"/>
  <c r="E77" i="10" l="1"/>
  <c r="E78" i="10"/>
  <c r="E73" i="10"/>
  <c r="E74" i="10"/>
  <c r="CG33" i="2"/>
  <c r="CS38" i="2"/>
  <c r="H8" i="34"/>
  <c r="X8" i="34" s="1"/>
  <c r="L98" i="9"/>
  <c r="L99" i="9"/>
  <c r="L97" i="9"/>
  <c r="L100" i="9"/>
  <c r="V133" i="9"/>
  <c r="CL92" i="2"/>
  <c r="CL195" i="2"/>
  <c r="CL219" i="2"/>
  <c r="BG156" i="2"/>
  <c r="CQ30" i="2"/>
  <c r="CO82" i="2"/>
  <c r="CO78" i="2"/>
  <c r="CQ78" i="2" s="1"/>
  <c r="CL82" i="2"/>
  <c r="CN33" i="2"/>
  <c r="CP33" i="2"/>
  <c r="CL37" i="2"/>
  <c r="CQ34" i="2"/>
  <c r="CQ32" i="2"/>
  <c r="CQ29" i="2"/>
  <c r="CJ33" i="2"/>
  <c r="CL33" i="2" s="1"/>
  <c r="CM33" i="2"/>
  <c r="CM37" i="2"/>
  <c r="CB148" i="2"/>
  <c r="CB149" i="2" s="1"/>
  <c r="CC148" i="2"/>
  <c r="CC149" i="2" s="1"/>
  <c r="CQ304" i="3"/>
  <c r="BJ59" i="11"/>
  <c r="BJ60" i="11" s="1"/>
  <c r="CO75" i="11"/>
  <c r="CO76" i="11" s="1"/>
  <c r="CO77" i="11" s="1"/>
  <c r="CO51" i="11"/>
  <c r="CO52" i="11" s="1"/>
  <c r="CO91" i="11"/>
  <c r="CO92" i="11" s="1"/>
  <c r="CO93" i="11" s="1"/>
  <c r="CO43" i="11"/>
  <c r="CO44" i="11" s="1"/>
  <c r="CO107" i="11"/>
  <c r="CO108" i="11" s="1"/>
  <c r="CO109" i="11" s="1"/>
  <c r="CO67" i="11"/>
  <c r="CO68" i="11" s="1"/>
  <c r="CN69" i="11" s="1"/>
  <c r="CP106" i="11"/>
  <c r="CQ104" i="11" s="1"/>
  <c r="CP66" i="11"/>
  <c r="CQ64" i="11" s="1"/>
  <c r="CP74" i="11"/>
  <c r="CQ72" i="11" s="1"/>
  <c r="CP50" i="11"/>
  <c r="CQ48" i="11" s="1"/>
  <c r="CP90" i="11"/>
  <c r="CQ88" i="11" s="1"/>
  <c r="CP42" i="11"/>
  <c r="CQ40" i="11" s="1"/>
  <c r="CP59" i="11"/>
  <c r="CP60" i="11" s="1"/>
  <c r="CN133" i="11"/>
  <c r="CN134" i="11" s="1"/>
  <c r="AN206" i="2"/>
  <c r="AN60" i="3"/>
  <c r="AN64" i="3"/>
  <c r="AN92" i="3"/>
  <c r="CQ58" i="11"/>
  <c r="CR58" i="11" s="1"/>
  <c r="CO132" i="11"/>
  <c r="CP130" i="11" s="1"/>
  <c r="CQ41" i="2"/>
  <c r="CQ42" i="2" s="1"/>
  <c r="CO36" i="2"/>
  <c r="W34" i="9"/>
  <c r="CQ184" i="3"/>
  <c r="CQ179" i="3"/>
  <c r="CM77" i="3"/>
  <c r="CO42" i="2"/>
  <c r="CQ132" i="2"/>
  <c r="CQ22" i="2"/>
  <c r="AT198" i="11"/>
  <c r="CB146" i="2"/>
  <c r="CB218" i="2"/>
  <c r="BH21" i="2"/>
  <c r="BA171" i="11"/>
  <c r="BA162" i="11"/>
  <c r="BA172" i="11" s="1"/>
  <c r="AU197" i="11"/>
  <c r="AU198" i="11" s="1"/>
  <c r="BE27" i="11"/>
  <c r="BE28" i="11" s="1"/>
  <c r="BE29" i="11" s="1"/>
  <c r="CA124" i="11"/>
  <c r="CA201" i="11" s="1"/>
  <c r="CA195" i="11" s="1"/>
  <c r="CB8" i="11"/>
  <c r="AS176" i="11"/>
  <c r="AT16" i="11"/>
  <c r="AT176" i="11" s="1"/>
  <c r="AT204" i="11" s="1"/>
  <c r="AZ96" i="3"/>
  <c r="BK58" i="11"/>
  <c r="BL56" i="11" s="1"/>
  <c r="BC218" i="11"/>
  <c r="BC219" i="11" s="1"/>
  <c r="BC194" i="11"/>
  <c r="BC138" i="11"/>
  <c r="BA208" i="3"/>
  <c r="BA207" i="3"/>
  <c r="BB67" i="11"/>
  <c r="BB68" i="11" s="1"/>
  <c r="AR207" i="11"/>
  <c r="BC75" i="11"/>
  <c r="BC76" i="11" s="1"/>
  <c r="BC77" i="11" s="1"/>
  <c r="CJ149" i="11"/>
  <c r="CJ150" i="11" s="1"/>
  <c r="BF26" i="11"/>
  <c r="BG24" i="11" s="1"/>
  <c r="BD150" i="11"/>
  <c r="BC151" i="11"/>
  <c r="BQ9" i="11"/>
  <c r="AV121" i="11"/>
  <c r="AU176" i="11"/>
  <c r="AS178" i="11"/>
  <c r="AS207" i="11" s="1"/>
  <c r="AR43" i="3" s="1"/>
  <c r="AS19" i="11"/>
  <c r="AS179" i="11" s="1"/>
  <c r="AT179" i="11" s="1"/>
  <c r="AY42" i="11"/>
  <c r="BD16" i="11"/>
  <c r="BA62" i="3"/>
  <c r="BA64" i="3"/>
  <c r="BA207" i="2" s="1"/>
  <c r="BA94" i="3"/>
  <c r="BA95" i="3" s="1"/>
  <c r="BE74" i="11"/>
  <c r="BF72" i="11" s="1"/>
  <c r="BP169" i="11"/>
  <c r="BP194" i="11" s="1"/>
  <c r="BP168" i="11"/>
  <c r="BP192" i="11" s="1"/>
  <c r="BP173" i="11"/>
  <c r="AV115" i="11"/>
  <c r="AV116" i="11" s="1"/>
  <c r="AZ70" i="3"/>
  <c r="AX45" i="11"/>
  <c r="BE82" i="11"/>
  <c r="BF80" i="11" s="1"/>
  <c r="BC19" i="11"/>
  <c r="AN210" i="11"/>
  <c r="AN213" i="11" s="1"/>
  <c r="AN221" i="11" s="1"/>
  <c r="AN222" i="11" s="1"/>
  <c r="AM267" i="3"/>
  <c r="AM211" i="2" s="1"/>
  <c r="AM212" i="2" s="1"/>
  <c r="AM261" i="3"/>
  <c r="BE34" i="11"/>
  <c r="BF32" i="11" s="1"/>
  <c r="CK148" i="11"/>
  <c r="CL146" i="11" s="1"/>
  <c r="BA170" i="11"/>
  <c r="BB156" i="11"/>
  <c r="AU118" i="11"/>
  <c r="AU125" i="11" s="1"/>
  <c r="AU178" i="11" s="1"/>
  <c r="BB124" i="11"/>
  <c r="BB201" i="11" s="1"/>
  <c r="BC117" i="11"/>
  <c r="BO169" i="11"/>
  <c r="BO194" i="11" s="1"/>
  <c r="BO168" i="11"/>
  <c r="BO192" i="11" s="1"/>
  <c r="BO173" i="11"/>
  <c r="BA195" i="11"/>
  <c r="BC83" i="11"/>
  <c r="BC84" i="11" s="1"/>
  <c r="BC85" i="11" s="1"/>
  <c r="BC66" i="11"/>
  <c r="BD66" i="11" s="1"/>
  <c r="BE64" i="11" s="1"/>
  <c r="BC35" i="11"/>
  <c r="BC36" i="11" s="1"/>
  <c r="BC37" i="11" s="1"/>
  <c r="AS198" i="11"/>
  <c r="AW161" i="3"/>
  <c r="AW174" i="3" s="1"/>
  <c r="AW175" i="3" s="1"/>
  <c r="AX152" i="3"/>
  <c r="AW194" i="3"/>
  <c r="AW195" i="3" s="1"/>
  <c r="AX208" i="3"/>
  <c r="AX207" i="3"/>
  <c r="AX186" i="3"/>
  <c r="BC178" i="3" s="1"/>
  <c r="AX198" i="3"/>
  <c r="AX199" i="3"/>
  <c r="CK78" i="3"/>
  <c r="CK67" i="3"/>
  <c r="CK253" i="3"/>
  <c r="CL216" i="11" s="1"/>
  <c r="CL77" i="3"/>
  <c r="AW187" i="3"/>
  <c r="BI20" i="2"/>
  <c r="BH20" i="2"/>
  <c r="CC146" i="2"/>
  <c r="CC218" i="2"/>
  <c r="BJ19" i="2"/>
  <c r="BI21" i="2"/>
  <c r="W133" i="9" l="1"/>
  <c r="I8" i="34"/>
  <c r="Y8" i="34" s="1"/>
  <c r="CO45" i="11"/>
  <c r="AX187" i="3"/>
  <c r="CQ92" i="2"/>
  <c r="CQ219" i="2"/>
  <c r="CQ195" i="2"/>
  <c r="BI156" i="2"/>
  <c r="CQ82" i="2"/>
  <c r="CO33" i="2"/>
  <c r="CQ33" i="2" s="1"/>
  <c r="CQ31" i="2"/>
  <c r="CD148" i="2"/>
  <c r="CD149" i="2" s="1"/>
  <c r="BA96" i="3"/>
  <c r="AV118" i="11"/>
  <c r="AV125" i="11" s="1"/>
  <c r="AV178" i="11" s="1"/>
  <c r="AV207" i="11" s="1"/>
  <c r="AV119" i="11"/>
  <c r="AV126" i="11" s="1"/>
  <c r="AV179" i="11" s="1"/>
  <c r="BF27" i="11"/>
  <c r="BF28" i="11" s="1"/>
  <c r="BF29" i="11" s="1"/>
  <c r="CP67" i="11"/>
  <c r="CP68" i="11" s="1"/>
  <c r="CP107" i="11"/>
  <c r="CP108" i="11" s="1"/>
  <c r="BE35" i="11"/>
  <c r="BE36" i="11" s="1"/>
  <c r="BE37" i="11" s="1"/>
  <c r="CQ59" i="11"/>
  <c r="CQ60" i="11" s="1"/>
  <c r="CQ61" i="11" s="1"/>
  <c r="CP51" i="11"/>
  <c r="CP52" i="11" s="1"/>
  <c r="CP53" i="11" s="1"/>
  <c r="CK149" i="11"/>
  <c r="CK150" i="11" s="1"/>
  <c r="BE83" i="11"/>
  <c r="BE84" i="11" s="1"/>
  <c r="BE75" i="11"/>
  <c r="BE76" i="11" s="1"/>
  <c r="BK59" i="11"/>
  <c r="BK60" i="11" s="1"/>
  <c r="BK61" i="11" s="1"/>
  <c r="CO133" i="11"/>
  <c r="CO134" i="11" s="1"/>
  <c r="CO135" i="11" s="1"/>
  <c r="L105" i="9"/>
  <c r="L111" i="9" s="1"/>
  <c r="L106" i="9"/>
  <c r="L112" i="9" s="1"/>
  <c r="L104" i="9"/>
  <c r="L110" i="9" s="1"/>
  <c r="L103" i="9"/>
  <c r="L109" i="9" s="1"/>
  <c r="AN94" i="3"/>
  <c r="AN182" i="3"/>
  <c r="AN217" i="3"/>
  <c r="CQ42" i="11"/>
  <c r="CR42" i="11" s="1"/>
  <c r="CQ90" i="11"/>
  <c r="CR90" i="11" s="1"/>
  <c r="CQ74" i="11"/>
  <c r="CR74" i="11" s="1"/>
  <c r="CP132" i="11"/>
  <c r="CQ130" i="11" s="1"/>
  <c r="AN207" i="2"/>
  <c r="AN65" i="3"/>
  <c r="AN70" i="3"/>
  <c r="CP43" i="11"/>
  <c r="CP44" i="11" s="1"/>
  <c r="CP91" i="11"/>
  <c r="CP92" i="11" s="1"/>
  <c r="CQ50" i="11"/>
  <c r="CR50" i="11" s="1"/>
  <c r="CP75" i="11"/>
  <c r="CP76" i="11" s="1"/>
  <c r="CQ66" i="11"/>
  <c r="CR66" i="11" s="1"/>
  <c r="CQ106" i="11"/>
  <c r="CR106" i="11" s="1"/>
  <c r="CO37" i="2"/>
  <c r="CQ36" i="2"/>
  <c r="CN77" i="3"/>
  <c r="CN78" i="3" s="1"/>
  <c r="W115" i="9"/>
  <c r="W121" i="9" s="1"/>
  <c r="CO77" i="3"/>
  <c r="CQ26" i="2"/>
  <c r="CM78" i="3"/>
  <c r="CM67" i="3"/>
  <c r="CM253" i="3"/>
  <c r="BC67" i="11"/>
  <c r="BC68" i="11" s="1"/>
  <c r="BB69" i="11" s="1"/>
  <c r="AU207" i="11"/>
  <c r="BF34" i="11"/>
  <c r="BG32" i="11" s="1"/>
  <c r="AM268" i="3"/>
  <c r="AW113" i="11"/>
  <c r="AV123" i="11"/>
  <c r="AV127" i="11" s="1"/>
  <c r="AV196" i="11" s="1"/>
  <c r="BA70" i="3"/>
  <c r="BR9" i="11"/>
  <c r="AT178" i="11"/>
  <c r="CL148" i="11"/>
  <c r="CM148" i="11" s="1"/>
  <c r="CN146" i="11" s="1"/>
  <c r="BF82" i="11"/>
  <c r="BG80" i="11" s="1"/>
  <c r="BF74" i="11"/>
  <c r="BG72" i="11" s="1"/>
  <c r="AS43" i="3"/>
  <c r="AV203" i="3" s="1"/>
  <c r="AR44" i="3"/>
  <c r="AR203" i="3"/>
  <c r="AR191" i="3"/>
  <c r="AU203" i="3"/>
  <c r="AT203" i="3"/>
  <c r="AU204" i="3"/>
  <c r="AR204" i="3"/>
  <c r="AT204" i="3"/>
  <c r="BQ155" i="11"/>
  <c r="BG26" i="11"/>
  <c r="BH24" i="11" s="1"/>
  <c r="AT207" i="11"/>
  <c r="BC140" i="11"/>
  <c r="BC141" i="11" s="1"/>
  <c r="BC142" i="11" s="1"/>
  <c r="BL58" i="11"/>
  <c r="BM56" i="11" s="1"/>
  <c r="CB124" i="11"/>
  <c r="CD8" i="11"/>
  <c r="CD112" i="11" s="1"/>
  <c r="CD122" i="11" s="1"/>
  <c r="CD181" i="11" s="1"/>
  <c r="BC124" i="11"/>
  <c r="BC201" i="11" s="1"/>
  <c r="BC195" i="11" s="1"/>
  <c r="BE117" i="11"/>
  <c r="BB159" i="11"/>
  <c r="CJ151" i="11"/>
  <c r="BD194" i="11"/>
  <c r="BE66" i="11"/>
  <c r="BF64" i="11" s="1"/>
  <c r="BB167" i="11"/>
  <c r="BA174" i="11"/>
  <c r="AM265" i="3"/>
  <c r="AM263" i="3"/>
  <c r="AO262" i="3" s="1"/>
  <c r="BE13" i="11"/>
  <c r="AZ40" i="11"/>
  <c r="CB112" i="11"/>
  <c r="BB195" i="11"/>
  <c r="CL78" i="3"/>
  <c r="CL67" i="3"/>
  <c r="CK180" i="3"/>
  <c r="CL253" i="3"/>
  <c r="AX161" i="3"/>
  <c r="AX174" i="3" s="1"/>
  <c r="AX175" i="3" s="1"/>
  <c r="AX194" i="3"/>
  <c r="AX195" i="3" s="1"/>
  <c r="CD146" i="2"/>
  <c r="CD218" i="2"/>
  <c r="BJ20" i="2"/>
  <c r="BJ21" i="2"/>
  <c r="BK19" i="2"/>
  <c r="CB201" i="11" l="1"/>
  <c r="CB195" i="11" s="1"/>
  <c r="CC195" i="11" s="1"/>
  <c r="BJ156" i="2"/>
  <c r="CE148" i="2"/>
  <c r="CE149" i="2" s="1"/>
  <c r="CO25" i="3"/>
  <c r="CQ51" i="11"/>
  <c r="CQ52" i="11" s="1"/>
  <c r="CP133" i="11"/>
  <c r="CP134" i="11" s="1"/>
  <c r="CQ75" i="11"/>
  <c r="CQ76" i="11" s="1"/>
  <c r="CQ77" i="11" s="1"/>
  <c r="CQ91" i="11"/>
  <c r="CQ92" i="11" s="1"/>
  <c r="CQ93" i="11" s="1"/>
  <c r="CQ43" i="11"/>
  <c r="CQ44" i="11" s="1"/>
  <c r="BD195" i="11"/>
  <c r="BL59" i="11"/>
  <c r="BL60" i="11" s="1"/>
  <c r="BF35" i="11"/>
  <c r="BF36" i="11" s="1"/>
  <c r="BF37" i="11" s="1"/>
  <c r="CQ107" i="11"/>
  <c r="CQ108" i="11" s="1"/>
  <c r="CQ109" i="11" s="1"/>
  <c r="CQ67" i="11"/>
  <c r="CQ68" i="11" s="1"/>
  <c r="CP69" i="11" s="1"/>
  <c r="CQ132" i="11"/>
  <c r="CR132" i="11" s="1"/>
  <c r="AN181" i="3"/>
  <c r="CN148" i="11"/>
  <c r="CO146" i="11" s="1"/>
  <c r="AN233" i="3"/>
  <c r="CQ37" i="2"/>
  <c r="CN67" i="3"/>
  <c r="CN253" i="3"/>
  <c r="CN180" i="3" s="1"/>
  <c r="CP77" i="3"/>
  <c r="CQ77" i="3" s="1"/>
  <c r="CM180" i="3"/>
  <c r="CN216" i="11"/>
  <c r="CO253" i="3"/>
  <c r="CO78" i="3"/>
  <c r="CO67" i="3"/>
  <c r="AV204" i="3"/>
  <c r="CL149" i="11"/>
  <c r="CL150" i="11" s="1"/>
  <c r="BF66" i="11"/>
  <c r="BG64" i="11" s="1"/>
  <c r="BE67" i="11"/>
  <c r="BE68" i="11" s="1"/>
  <c r="AZ42" i="11"/>
  <c r="AZ43" i="11" s="1"/>
  <c r="AZ44" i="11" s="1"/>
  <c r="BE124" i="11"/>
  <c r="BE201" i="11" s="1"/>
  <c r="BE195" i="11" s="1"/>
  <c r="BF117" i="11"/>
  <c r="BD140" i="11"/>
  <c r="BB208" i="3"/>
  <c r="BB207" i="3"/>
  <c r="BG27" i="11"/>
  <c r="BG28" i="11" s="1"/>
  <c r="BG29" i="11" s="1"/>
  <c r="AS44" i="3"/>
  <c r="AS203" i="3"/>
  <c r="AS191" i="3"/>
  <c r="AS204" i="3"/>
  <c r="BF83" i="11"/>
  <c r="BF84" i="11" s="1"/>
  <c r="BF85" i="11" s="1"/>
  <c r="AW115" i="11"/>
  <c r="AW116" i="11" s="1"/>
  <c r="BG34" i="11"/>
  <c r="BH32" i="11" s="1"/>
  <c r="BE16" i="11"/>
  <c r="BE17" i="11" s="1"/>
  <c r="BE18" i="11" s="1"/>
  <c r="AP211" i="11"/>
  <c r="AP213" i="11" s="1"/>
  <c r="AP221" i="11" s="1"/>
  <c r="AP222" i="11" s="1"/>
  <c r="AS262" i="3"/>
  <c r="AO263" i="3"/>
  <c r="AP262" i="3" s="1"/>
  <c r="BD201" i="11"/>
  <c r="CC201" i="11"/>
  <c r="BB62" i="3"/>
  <c r="BB64" i="3"/>
  <c r="BB207" i="2" s="1"/>
  <c r="BB94" i="3"/>
  <c r="BB95" i="3" s="1"/>
  <c r="BD142" i="11"/>
  <c r="BC143" i="11"/>
  <c r="BQ169" i="11"/>
  <c r="BQ194" i="11" s="1"/>
  <c r="BQ168" i="11"/>
  <c r="BQ192" i="11" s="1"/>
  <c r="BQ173" i="11"/>
  <c r="BF75" i="11"/>
  <c r="BF76" i="11" s="1"/>
  <c r="BF77" i="11" s="1"/>
  <c r="BC156" i="11"/>
  <c r="BB170" i="11"/>
  <c r="BC167" i="11" s="1"/>
  <c r="BG74" i="11"/>
  <c r="BH72" i="11" s="1"/>
  <c r="BT9" i="11"/>
  <c r="BT155" i="11" s="1"/>
  <c r="AV197" i="11"/>
  <c r="BB160" i="11"/>
  <c r="BB161" i="11" s="1"/>
  <c r="CD124" i="11"/>
  <c r="CD201" i="11" s="1"/>
  <c r="CE8" i="11"/>
  <c r="BM58" i="11"/>
  <c r="BN58" i="11" s="1"/>
  <c r="BO56" i="11" s="1"/>
  <c r="BH26" i="11"/>
  <c r="BI26" i="11" s="1"/>
  <c r="BJ24" i="11" s="1"/>
  <c r="AR46" i="3"/>
  <c r="AS46" i="3" s="1"/>
  <c r="BG82" i="11"/>
  <c r="BH80" i="11" s="1"/>
  <c r="BR155" i="11"/>
  <c r="AW121" i="11"/>
  <c r="AV176" i="11"/>
  <c r="CL180" i="3"/>
  <c r="BK20" i="2"/>
  <c r="CE146" i="2"/>
  <c r="CE218" i="2"/>
  <c r="BK21" i="2"/>
  <c r="CQ45" i="11" l="1"/>
  <c r="BK156" i="2"/>
  <c r="CF148" i="2"/>
  <c r="CF149" i="2" s="1"/>
  <c r="BB96" i="3"/>
  <c r="CO99" i="3"/>
  <c r="CO218" i="3"/>
  <c r="CN25" i="3"/>
  <c r="BH27" i="11"/>
  <c r="BH28" i="11" s="1"/>
  <c r="BH29" i="11" s="1"/>
  <c r="BF67" i="11"/>
  <c r="BF68" i="11" s="1"/>
  <c r="BE69" i="11" s="1"/>
  <c r="CQ133" i="11"/>
  <c r="CQ134" i="11" s="1"/>
  <c r="CQ135" i="11" s="1"/>
  <c r="AN261" i="3"/>
  <c r="AN210" i="2"/>
  <c r="AN267" i="3"/>
  <c r="CN149" i="11"/>
  <c r="CN150" i="11" s="1"/>
  <c r="CO148" i="11"/>
  <c r="CP146" i="11" s="1"/>
  <c r="CO216" i="11"/>
  <c r="CP67" i="3"/>
  <c r="CQ78" i="3"/>
  <c r="CQ67" i="3"/>
  <c r="CP78" i="3"/>
  <c r="CP253" i="3"/>
  <c r="CQ253" i="3" s="1"/>
  <c r="CP216" i="11"/>
  <c r="CO180" i="3"/>
  <c r="AS48" i="3"/>
  <c r="AS59" i="3" s="1"/>
  <c r="AS206" i="2" s="1"/>
  <c r="CL151" i="11"/>
  <c r="CM150" i="11"/>
  <c r="BE19" i="11"/>
  <c r="BG83" i="11"/>
  <c r="BG84" i="11" s="1"/>
  <c r="BJ26" i="11"/>
  <c r="BK24" i="11" s="1"/>
  <c r="AR48" i="3"/>
  <c r="BM59" i="11"/>
  <c r="BM60" i="11" s="1"/>
  <c r="BM61" i="11" s="1"/>
  <c r="BU9" i="11"/>
  <c r="BC67" i="3"/>
  <c r="BC64" i="3"/>
  <c r="BC207" i="2" s="1"/>
  <c r="BC62" i="3"/>
  <c r="CD195" i="11"/>
  <c r="AW123" i="11"/>
  <c r="AX113" i="11"/>
  <c r="BA40" i="11"/>
  <c r="BG66" i="11"/>
  <c r="BH64" i="11" s="1"/>
  <c r="BO58" i="11"/>
  <c r="BP56" i="11" s="1"/>
  <c r="BB171" i="11"/>
  <c r="BB162" i="11"/>
  <c r="BB172" i="11" s="1"/>
  <c r="BB179" i="11" s="1"/>
  <c r="BT169" i="11"/>
  <c r="BT194" i="11" s="1"/>
  <c r="BT168" i="11"/>
  <c r="BT192" i="11" s="1"/>
  <c r="BT173" i="11"/>
  <c r="AP263" i="3"/>
  <c r="AQ262" i="3" s="1"/>
  <c r="AQ211" i="11"/>
  <c r="AQ213" i="11" s="1"/>
  <c r="AQ221" i="11" s="1"/>
  <c r="AQ222" i="11" s="1"/>
  <c r="BF13" i="11"/>
  <c r="AW118" i="11"/>
  <c r="AW125" i="11" s="1"/>
  <c r="AW178" i="11" s="1"/>
  <c r="BH82" i="11"/>
  <c r="BI82" i="11" s="1"/>
  <c r="BJ80" i="11" s="1"/>
  <c r="CE124" i="11"/>
  <c r="CE201" i="11" s="1"/>
  <c r="CE195" i="11" s="1"/>
  <c r="CF8" i="11"/>
  <c r="CF112" i="11" s="1"/>
  <c r="AV198" i="11"/>
  <c r="BH74" i="11"/>
  <c r="BI74" i="11" s="1"/>
  <c r="BJ72" i="11" s="1"/>
  <c r="BC159" i="11"/>
  <c r="BB70" i="3"/>
  <c r="BH34" i="11"/>
  <c r="BI34" i="11" s="1"/>
  <c r="BJ32" i="11" s="1"/>
  <c r="BE138" i="11"/>
  <c r="BC207" i="3"/>
  <c r="BB174" i="11"/>
  <c r="BR169" i="11"/>
  <c r="BR194" i="11" s="1"/>
  <c r="BS194" i="11" s="1"/>
  <c r="BR168" i="11"/>
  <c r="BR192" i="11" s="1"/>
  <c r="BR173" i="11"/>
  <c r="CE112" i="11"/>
  <c r="BG75" i="11"/>
  <c r="BG76" i="11" s="1"/>
  <c r="BG35" i="11"/>
  <c r="BG36" i="11" s="1"/>
  <c r="BG37" i="11" s="1"/>
  <c r="BF124" i="11"/>
  <c r="BF201" i="11" s="1"/>
  <c r="BG117" i="11"/>
  <c r="CF146" i="2"/>
  <c r="CF218" i="2"/>
  <c r="CG145" i="2"/>
  <c r="CG148" i="2" l="1"/>
  <c r="CG149" i="2" s="1"/>
  <c r="CH148" i="2"/>
  <c r="CH149" i="2" s="1"/>
  <c r="CN99" i="3"/>
  <c r="CN218" i="3"/>
  <c r="CM25" i="3"/>
  <c r="BH35" i="11"/>
  <c r="BH36" i="11" s="1"/>
  <c r="BH37" i="11" s="1"/>
  <c r="CO149" i="11"/>
  <c r="CO150" i="11" s="1"/>
  <c r="CO151" i="11" s="1"/>
  <c r="BH75" i="11"/>
  <c r="BH76" i="11" s="1"/>
  <c r="BH77" i="11" s="1"/>
  <c r="CP148" i="11"/>
  <c r="CQ146" i="11" s="1"/>
  <c r="AN211" i="2"/>
  <c r="AN212" i="2" s="1"/>
  <c r="AN268" i="3"/>
  <c r="AN265" i="3"/>
  <c r="AN263" i="3"/>
  <c r="CQ180" i="3"/>
  <c r="CQ216" i="11"/>
  <c r="CP180" i="3"/>
  <c r="AS49" i="3"/>
  <c r="AS52" i="3"/>
  <c r="M138" i="9" s="1"/>
  <c r="BC208" i="3"/>
  <c r="BH117" i="11"/>
  <c r="BG124" i="11"/>
  <c r="BG201" i="11" s="1"/>
  <c r="BG195" i="11" s="1"/>
  <c r="BJ34" i="11"/>
  <c r="BK32" i="11" s="1"/>
  <c r="BD159" i="11"/>
  <c r="BE156" i="11" s="1"/>
  <c r="BC170" i="11"/>
  <c r="BC160" i="11"/>
  <c r="BC161" i="11" s="1"/>
  <c r="CF124" i="11"/>
  <c r="CF201" i="11" s="1"/>
  <c r="CF195" i="11" s="1"/>
  <c r="CG8" i="11"/>
  <c r="BH83" i="11"/>
  <c r="BH84" i="11" s="1"/>
  <c r="BH85" i="11" s="1"/>
  <c r="BG67" i="11"/>
  <c r="BG68" i="11" s="1"/>
  <c r="AX115" i="11"/>
  <c r="BH65" i="3"/>
  <c r="BC70" i="3"/>
  <c r="BC65" i="3"/>
  <c r="BJ27" i="11"/>
  <c r="BJ28" i="11" s="1"/>
  <c r="BJ29" i="11" s="1"/>
  <c r="AS62" i="3"/>
  <c r="AS64" i="3"/>
  <c r="AS207" i="2" s="1"/>
  <c r="AS92" i="3"/>
  <c r="AS60" i="3"/>
  <c r="BP58" i="11"/>
  <c r="BQ56" i="11" s="1"/>
  <c r="BQ59" i="11" s="1"/>
  <c r="BQ60" i="11" s="1"/>
  <c r="BR61" i="11" s="1"/>
  <c r="AX121" i="11"/>
  <c r="AW176" i="11"/>
  <c r="BK26" i="11"/>
  <c r="BL24" i="11" s="1"/>
  <c r="BJ74" i="11"/>
  <c r="BK72" i="11" s="1"/>
  <c r="AW207" i="11"/>
  <c r="AQ263" i="3"/>
  <c r="AR262" i="3" s="1"/>
  <c r="AR211" i="11"/>
  <c r="AR213" i="11" s="1"/>
  <c r="AR221" i="11" s="1"/>
  <c r="AR222" i="11" s="1"/>
  <c r="BO59" i="11"/>
  <c r="BO60" i="11" s="1"/>
  <c r="BA42" i="11"/>
  <c r="BV9" i="11"/>
  <c r="BV155" i="11" s="1"/>
  <c r="AR49" i="3"/>
  <c r="AR59" i="3"/>
  <c r="AR206" i="2" s="1"/>
  <c r="BE140" i="11"/>
  <c r="BE141" i="11" s="1"/>
  <c r="BE142" i="11" s="1"/>
  <c r="BJ82" i="11"/>
  <c r="BK80" i="11" s="1"/>
  <c r="BF15" i="11"/>
  <c r="BF16" i="11" s="1"/>
  <c r="BF17" i="11" s="1"/>
  <c r="BF18" i="11" s="1"/>
  <c r="BS192" i="11"/>
  <c r="BH66" i="11"/>
  <c r="BI66" i="11" s="1"/>
  <c r="BJ64" i="11" s="1"/>
  <c r="BF195" i="11"/>
  <c r="BC94" i="3"/>
  <c r="BU155" i="11"/>
  <c r="AW127" i="11"/>
  <c r="AW196" i="11" s="1"/>
  <c r="CG146" i="2"/>
  <c r="CG218" i="2"/>
  <c r="CH146" i="2"/>
  <c r="CH218" i="2"/>
  <c r="M99" i="9" l="1"/>
  <c r="M105" i="9" s="1"/>
  <c r="M98" i="9"/>
  <c r="M104" i="9" s="1"/>
  <c r="M97" i="9"/>
  <c r="M103" i="9" s="1"/>
  <c r="M100" i="9"/>
  <c r="M106" i="9" s="1"/>
  <c r="CI148" i="2"/>
  <c r="CI149" i="2" s="1"/>
  <c r="CM218" i="3"/>
  <c r="CM99" i="3"/>
  <c r="CP25" i="3"/>
  <c r="BH67" i="11"/>
  <c r="BH68" i="11" s="1"/>
  <c r="BG69" i="11" s="1"/>
  <c r="BP59" i="11"/>
  <c r="BP60" i="11" s="1"/>
  <c r="BP61" i="11" s="1"/>
  <c r="CP149" i="11"/>
  <c r="CP150" i="11" s="1"/>
  <c r="BJ75" i="11"/>
  <c r="BJ76" i="11" s="1"/>
  <c r="BK27" i="11"/>
  <c r="BK28" i="11" s="1"/>
  <c r="BK29" i="11" s="1"/>
  <c r="CQ148" i="11"/>
  <c r="CR148" i="11" s="1"/>
  <c r="BC95" i="3"/>
  <c r="BU169" i="11"/>
  <c r="BU194" i="11" s="1"/>
  <c r="BU168" i="11"/>
  <c r="BU192" i="11" s="1"/>
  <c r="BU173" i="11"/>
  <c r="BG13" i="11"/>
  <c r="BF138" i="11"/>
  <c r="BD207" i="3"/>
  <c r="BD208" i="3"/>
  <c r="AR62" i="3"/>
  <c r="AR64" i="3"/>
  <c r="AR207" i="2" s="1"/>
  <c r="AR92" i="3"/>
  <c r="AR60" i="3"/>
  <c r="BK74" i="11"/>
  <c r="BL72" i="11" s="1"/>
  <c r="BL26" i="11"/>
  <c r="BM24" i="11" s="1"/>
  <c r="BC171" i="11"/>
  <c r="BC162" i="11"/>
  <c r="BC172" i="11" s="1"/>
  <c r="BJ35" i="11"/>
  <c r="BJ36" i="11" s="1"/>
  <c r="BJ37" i="11" s="1"/>
  <c r="BK82" i="11"/>
  <c r="BL80" i="11" s="1"/>
  <c r="BD94" i="3"/>
  <c r="BD95" i="3" s="1"/>
  <c r="BD96" i="3" s="1"/>
  <c r="BB40" i="11"/>
  <c r="AS211" i="11"/>
  <c r="CG124" i="11"/>
  <c r="CG201" i="11" s="1"/>
  <c r="CI8" i="11"/>
  <c r="BK34" i="11"/>
  <c r="BL32" i="11" s="1"/>
  <c r="BF19" i="11"/>
  <c r="BJ83" i="11"/>
  <c r="BJ84" i="11" s="1"/>
  <c r="BW9" i="11"/>
  <c r="BY9" i="11" s="1"/>
  <c r="BY155" i="11" s="1"/>
  <c r="BA43" i="11"/>
  <c r="BA44" i="11" s="1"/>
  <c r="AS217" i="3"/>
  <c r="AS182" i="3"/>
  <c r="AS94" i="3"/>
  <c r="AX123" i="11"/>
  <c r="AX127" i="11" s="1"/>
  <c r="AX196" i="11" s="1"/>
  <c r="AY196" i="11" s="1"/>
  <c r="AY115" i="11"/>
  <c r="AZ113" i="11" s="1"/>
  <c r="CG195" i="11"/>
  <c r="CH195" i="11" s="1"/>
  <c r="BD170" i="11"/>
  <c r="BE167" i="11"/>
  <c r="BC174" i="11"/>
  <c r="AW197" i="11"/>
  <c r="AW198" i="11" s="1"/>
  <c r="BJ66" i="11"/>
  <c r="BK64" i="11" s="1"/>
  <c r="BF218" i="11"/>
  <c r="BF219" i="11" s="1"/>
  <c r="BF194" i="11"/>
  <c r="BV169" i="11"/>
  <c r="BV194" i="11" s="1"/>
  <c r="BV168" i="11"/>
  <c r="BV192" i="11" s="1"/>
  <c r="BV173" i="11"/>
  <c r="AS70" i="3"/>
  <c r="AS95" i="3"/>
  <c r="AX65" i="3"/>
  <c r="AS65" i="3"/>
  <c r="AX116" i="11"/>
  <c r="CG112" i="11"/>
  <c r="BE159" i="11"/>
  <c r="BE160" i="11" s="1"/>
  <c r="BE161" i="11" s="1"/>
  <c r="BH124" i="11"/>
  <c r="BH201" i="11" s="1"/>
  <c r="BJ117" i="11"/>
  <c r="CI146" i="2"/>
  <c r="CI218" i="2"/>
  <c r="CJ148" i="2" l="1"/>
  <c r="CJ149" i="2" s="1"/>
  <c r="CQ25" i="3"/>
  <c r="CP99" i="3"/>
  <c r="CP218" i="3"/>
  <c r="CQ218" i="3" s="1"/>
  <c r="CQ311" i="3" s="1"/>
  <c r="CQ312" i="3" s="1"/>
  <c r="BY168" i="11"/>
  <c r="BY192" i="11" s="1"/>
  <c r="BY173" i="11"/>
  <c r="BY169" i="11"/>
  <c r="BY194" i="11" s="1"/>
  <c r="BK83" i="11"/>
  <c r="BK84" i="11" s="1"/>
  <c r="BK85" i="11" s="1"/>
  <c r="CQ149" i="11"/>
  <c r="CQ150" i="11" s="1"/>
  <c r="AS96" i="3"/>
  <c r="N112" i="9"/>
  <c r="Q112" i="9"/>
  <c r="P112" i="9"/>
  <c r="O112" i="9"/>
  <c r="M112" i="9"/>
  <c r="Q110" i="9"/>
  <c r="O110" i="9"/>
  <c r="P110" i="9"/>
  <c r="N110" i="9"/>
  <c r="M110" i="9"/>
  <c r="AS233" i="3"/>
  <c r="AS210" i="2" s="1"/>
  <c r="Q109" i="9"/>
  <c r="P109" i="9"/>
  <c r="M109" i="9"/>
  <c r="N109" i="9"/>
  <c r="O109" i="9"/>
  <c r="Q111" i="9"/>
  <c r="M111" i="9"/>
  <c r="P111" i="9"/>
  <c r="N111" i="9"/>
  <c r="O111" i="9"/>
  <c r="BC96" i="3"/>
  <c r="BK117" i="11"/>
  <c r="BJ124" i="11"/>
  <c r="BJ201" i="11" s="1"/>
  <c r="BJ195" i="11" s="1"/>
  <c r="BI201" i="11"/>
  <c r="AX118" i="11"/>
  <c r="AX125" i="11" s="1"/>
  <c r="AX178" i="11" s="1"/>
  <c r="AX119" i="11"/>
  <c r="AX126" i="11" s="1"/>
  <c r="AX179" i="11" s="1"/>
  <c r="AY179" i="11" s="1"/>
  <c r="AZ121" i="11"/>
  <c r="AY123" i="11"/>
  <c r="AY176" i="11" s="1"/>
  <c r="AY204" i="11" s="1"/>
  <c r="AX176" i="11"/>
  <c r="BA45" i="11"/>
  <c r="BK35" i="11"/>
  <c r="BK36" i="11" s="1"/>
  <c r="BK37" i="11" s="1"/>
  <c r="BB42" i="11"/>
  <c r="BB43" i="11" s="1"/>
  <c r="BB44" i="11" s="1"/>
  <c r="BL82" i="11"/>
  <c r="BM80" i="11" s="1"/>
  <c r="BL27" i="11"/>
  <c r="BL28" i="11" s="1"/>
  <c r="BL29" i="11" s="1"/>
  <c r="BF156" i="11"/>
  <c r="BE170" i="11"/>
  <c r="BF167" i="11" s="1"/>
  <c r="BK66" i="11"/>
  <c r="BL64" i="11" s="1"/>
  <c r="CI124" i="11"/>
  <c r="CI201" i="11" s="1"/>
  <c r="CI195" i="11" s="1"/>
  <c r="CJ8" i="11"/>
  <c r="BK75" i="11"/>
  <c r="BK76" i="11" s="1"/>
  <c r="BK77" i="11" s="1"/>
  <c r="AR166" i="3"/>
  <c r="AR182" i="3"/>
  <c r="AR94" i="3"/>
  <c r="AR95" i="3" s="1"/>
  <c r="AR96" i="3" s="1"/>
  <c r="AR217" i="3"/>
  <c r="AR233" i="3" s="1"/>
  <c r="AR210" i="2" s="1"/>
  <c r="BE171" i="11"/>
  <c r="BE162" i="11"/>
  <c r="BE172" i="11" s="1"/>
  <c r="BE179" i="11" s="1"/>
  <c r="AX197" i="11"/>
  <c r="AX198" i="11" s="1"/>
  <c r="BJ67" i="11"/>
  <c r="BJ68" i="11" s="1"/>
  <c r="BH195" i="11"/>
  <c r="BW155" i="11"/>
  <c r="CI112" i="11"/>
  <c r="CI122" i="11" s="1"/>
  <c r="CI181" i="11" s="1"/>
  <c r="BL74" i="11"/>
  <c r="BM72" i="11" s="1"/>
  <c r="AR70" i="3"/>
  <c r="G139" i="11"/>
  <c r="BF140" i="11"/>
  <c r="AZ115" i="11"/>
  <c r="AZ116" i="11" s="1"/>
  <c r="BL34" i="11"/>
  <c r="BM32" i="11" s="1"/>
  <c r="CH201" i="11"/>
  <c r="BM26" i="11"/>
  <c r="BN26" i="11" s="1"/>
  <c r="BO24" i="11" s="1"/>
  <c r="BG15" i="11"/>
  <c r="CJ146" i="2"/>
  <c r="CJ218" i="2"/>
  <c r="CQ99" i="3" l="1"/>
  <c r="W39" i="9"/>
  <c r="W37" i="9" s="1"/>
  <c r="W118" i="9" s="1"/>
  <c r="CK148" i="2"/>
  <c r="CK149" i="2" s="1"/>
  <c r="BK67" i="11"/>
  <c r="BK68" i="11" s="1"/>
  <c r="BJ69" i="11" s="1"/>
  <c r="BM27" i="11"/>
  <c r="BM28" i="11" s="1"/>
  <c r="BM29" i="11" s="1"/>
  <c r="BE174" i="11"/>
  <c r="CR150" i="11"/>
  <c r="CQ151" i="11"/>
  <c r="AS267" i="3"/>
  <c r="AS261" i="3"/>
  <c r="CL145" i="2"/>
  <c r="BG218" i="11"/>
  <c r="BG219" i="11" s="1"/>
  <c r="BG194" i="11"/>
  <c r="AZ118" i="11"/>
  <c r="AZ125" i="11" s="1"/>
  <c r="AZ178" i="11" s="1"/>
  <c r="BG138" i="11"/>
  <c r="BE207" i="3"/>
  <c r="BE208" i="3"/>
  <c r="BW169" i="11"/>
  <c r="BW194" i="11" s="1"/>
  <c r="BX194" i="11" s="1"/>
  <c r="BW168" i="11"/>
  <c r="BW192" i="11" s="1"/>
  <c r="BW173" i="11"/>
  <c r="BG16" i="11"/>
  <c r="BF141" i="11"/>
  <c r="BF142" i="11" s="1"/>
  <c r="BM74" i="11"/>
  <c r="BN74" i="11" s="1"/>
  <c r="BO72" i="11" s="1"/>
  <c r="BI195" i="11"/>
  <c r="AY197" i="11"/>
  <c r="AY198" i="11" s="1"/>
  <c r="BL83" i="11"/>
  <c r="BL84" i="11" s="1"/>
  <c r="CJ124" i="11"/>
  <c r="CJ201" i="11" s="1"/>
  <c r="CK8" i="11"/>
  <c r="CK112" i="11" s="1"/>
  <c r="BM34" i="11"/>
  <c r="BN34" i="11" s="1"/>
  <c r="BO32" i="11" s="1"/>
  <c r="BL75" i="11"/>
  <c r="BL76" i="11" s="1"/>
  <c r="AT181" i="3"/>
  <c r="AR181" i="3"/>
  <c r="AS166" i="3"/>
  <c r="AR168" i="3"/>
  <c r="AR172" i="3" s="1"/>
  <c r="CJ112" i="11"/>
  <c r="BM82" i="11"/>
  <c r="BN82" i="11" s="1"/>
  <c r="BO80" i="11" s="1"/>
  <c r="AX207" i="11"/>
  <c r="AY207" i="11" s="1"/>
  <c r="AY178" i="11"/>
  <c r="BK124" i="11"/>
  <c r="BK201" i="11" s="1"/>
  <c r="BL117" i="11"/>
  <c r="BO26" i="11"/>
  <c r="BP24" i="11" s="1"/>
  <c r="BL35" i="11"/>
  <c r="BL36" i="11" s="1"/>
  <c r="BL37" i="11" s="1"/>
  <c r="BA113" i="11"/>
  <c r="AZ123" i="11"/>
  <c r="AZ127" i="11" s="1"/>
  <c r="AZ196" i="11" s="1"/>
  <c r="AS210" i="11"/>
  <c r="AS213" i="11" s="1"/>
  <c r="AS221" i="11" s="1"/>
  <c r="AS222" i="11" s="1"/>
  <c r="AR267" i="3"/>
  <c r="AR211" i="2" s="1"/>
  <c r="AR212" i="2" s="1"/>
  <c r="AR261" i="3"/>
  <c r="BZ9" i="11"/>
  <c r="BL66" i="11"/>
  <c r="BM64" i="11" s="1"/>
  <c r="BF159" i="11"/>
  <c r="BF160" i="11" s="1"/>
  <c r="BF161" i="11" s="1"/>
  <c r="BC40" i="11"/>
  <c r="CK146" i="2"/>
  <c r="CK218" i="2"/>
  <c r="W45" i="9" l="1"/>
  <c r="CL148" i="2"/>
  <c r="CL149" i="2" s="1"/>
  <c r="CM148" i="2"/>
  <c r="CM149" i="2" s="1"/>
  <c r="CL218" i="2"/>
  <c r="BM75" i="11"/>
  <c r="BM76" i="11" s="1"/>
  <c r="BM77" i="11" s="1"/>
  <c r="BL67" i="11"/>
  <c r="BL68" i="11" s="1"/>
  <c r="BO27" i="11"/>
  <c r="BO28" i="11" s="1"/>
  <c r="BO29" i="11" s="1"/>
  <c r="AS268" i="3"/>
  <c r="AS211" i="2"/>
  <c r="AS212" i="2" s="1"/>
  <c r="BM83" i="11"/>
  <c r="BM84" i="11" s="1"/>
  <c r="BM85" i="11" s="1"/>
  <c r="CM146" i="2"/>
  <c r="CM218" i="2"/>
  <c r="AS263" i="3"/>
  <c r="AS265" i="3"/>
  <c r="CL146" i="2"/>
  <c r="AR207" i="3"/>
  <c r="AR199" i="3"/>
  <c r="AR186" i="3"/>
  <c r="AT178" i="3" s="1"/>
  <c r="AR208" i="3"/>
  <c r="AR198" i="3"/>
  <c r="AR174" i="3"/>
  <c r="AR175" i="3" s="1"/>
  <c r="AZ197" i="11"/>
  <c r="AZ198" i="11" s="1"/>
  <c r="CA9" i="11"/>
  <c r="CA155" i="11" s="1"/>
  <c r="BA121" i="11"/>
  <c r="AZ176" i="11"/>
  <c r="BF170" i="11"/>
  <c r="BG156" i="11"/>
  <c r="BZ155" i="11"/>
  <c r="BA115" i="11"/>
  <c r="BA116" i="11" s="1"/>
  <c r="AS181" i="3"/>
  <c r="AX181" i="3"/>
  <c r="BM35" i="11"/>
  <c r="BM36" i="11" s="1"/>
  <c r="BM37" i="11" s="1"/>
  <c r="CK124" i="11"/>
  <c r="CK201" i="11" s="1"/>
  <c r="CK195" i="11" s="1"/>
  <c r="CL8" i="11"/>
  <c r="BO74" i="11"/>
  <c r="BP72" i="11" s="1"/>
  <c r="BH13" i="11"/>
  <c r="BG17" i="11"/>
  <c r="BG18" i="11" s="1"/>
  <c r="BM66" i="11"/>
  <c r="BN66" i="11" s="1"/>
  <c r="BO64" i="11" s="1"/>
  <c r="AR265" i="3"/>
  <c r="AR263" i="3"/>
  <c r="AT262" i="3" s="1"/>
  <c r="BO34" i="11"/>
  <c r="BP32" i="11" s="1"/>
  <c r="BF143" i="11"/>
  <c r="BC42" i="11"/>
  <c r="AR268" i="3"/>
  <c r="BP26" i="11"/>
  <c r="BQ24" i="11" s="1"/>
  <c r="BL124" i="11"/>
  <c r="BL201" i="11" s="1"/>
  <c r="BL195" i="11" s="1"/>
  <c r="BM117" i="11"/>
  <c r="BM124" i="11" s="1"/>
  <c r="BM201" i="11" s="1"/>
  <c r="BO82" i="11"/>
  <c r="BP80" i="11" s="1"/>
  <c r="CJ195" i="11"/>
  <c r="BX192" i="11"/>
  <c r="BG140" i="11"/>
  <c r="BG141" i="11" s="1"/>
  <c r="BG142" i="11" s="1"/>
  <c r="BI194" i="11"/>
  <c r="BF171" i="11"/>
  <c r="BF162" i="11"/>
  <c r="BF172" i="11" s="1"/>
  <c r="AS168" i="3"/>
  <c r="AR183" i="3"/>
  <c r="AT183" i="3"/>
  <c r="BK195" i="11"/>
  <c r="AZ207" i="11"/>
  <c r="W69" i="9" l="1"/>
  <c r="W85" i="9"/>
  <c r="CN148" i="2"/>
  <c r="CN149" i="2" s="1"/>
  <c r="BO83" i="11"/>
  <c r="BO84" i="11" s="1"/>
  <c r="BP27" i="11"/>
  <c r="BP28" i="11" s="1"/>
  <c r="BP29" i="11" s="1"/>
  <c r="BO75" i="11"/>
  <c r="BO76" i="11" s="1"/>
  <c r="CL124" i="11"/>
  <c r="CL201" i="11" s="1"/>
  <c r="CN8" i="11"/>
  <c r="CN112" i="11" s="1"/>
  <c r="CN122" i="11" s="1"/>
  <c r="CN181" i="11" s="1"/>
  <c r="CN146" i="2"/>
  <c r="CN218" i="2"/>
  <c r="AR187" i="3"/>
  <c r="BM195" i="11"/>
  <c r="BN195" i="11" s="1"/>
  <c r="AU211" i="11"/>
  <c r="AU213" i="11" s="1"/>
  <c r="AU221" i="11" s="1"/>
  <c r="AU222" i="11" s="1"/>
  <c r="AX262" i="3"/>
  <c r="AT263" i="3"/>
  <c r="AU262" i="3" s="1"/>
  <c r="BG19" i="11"/>
  <c r="BP74" i="11"/>
  <c r="BQ72" i="11" s="1"/>
  <c r="BQ75" i="11" s="1"/>
  <c r="BQ76" i="11" s="1"/>
  <c r="BR77" i="11" s="1"/>
  <c r="CL112" i="11"/>
  <c r="BG159" i="11"/>
  <c r="BG160" i="11" s="1"/>
  <c r="BG161" i="11" s="1"/>
  <c r="CB9" i="11"/>
  <c r="CB155" i="11" s="1"/>
  <c r="AS183" i="3"/>
  <c r="AX183" i="3"/>
  <c r="BP82" i="11"/>
  <c r="BQ80" i="11" s="1"/>
  <c r="BQ26" i="11"/>
  <c r="BR24" i="11" s="1"/>
  <c r="BH16" i="11"/>
  <c r="BH17" i="11" s="1"/>
  <c r="BH18" i="11" s="1"/>
  <c r="BA123" i="11"/>
  <c r="BA127" i="11" s="1"/>
  <c r="BA196" i="11" s="1"/>
  <c r="BB113" i="11"/>
  <c r="BG167" i="11"/>
  <c r="BF174" i="11"/>
  <c r="CA169" i="11"/>
  <c r="CA194" i="11" s="1"/>
  <c r="CA168" i="11"/>
  <c r="CA192" i="11" s="1"/>
  <c r="CA173" i="11"/>
  <c r="BD42" i="11"/>
  <c r="BP34" i="11"/>
  <c r="BQ32" i="11" s="1"/>
  <c r="BO66" i="11"/>
  <c r="BP64" i="11" s="1"/>
  <c r="AS172" i="3"/>
  <c r="BA118" i="11"/>
  <c r="BA125" i="11" s="1"/>
  <c r="BA178" i="11" s="1"/>
  <c r="BA119" i="11"/>
  <c r="BA126" i="11" s="1"/>
  <c r="BA179" i="11" s="1"/>
  <c r="BH138" i="11"/>
  <c r="BF207" i="3"/>
  <c r="BF208" i="3"/>
  <c r="BN201" i="11"/>
  <c r="BO195" i="11"/>
  <c r="BC43" i="11"/>
  <c r="BC44" i="11" s="1"/>
  <c r="BO35" i="11"/>
  <c r="BO36" i="11" s="1"/>
  <c r="BO37" i="11" s="1"/>
  <c r="BM67" i="11"/>
  <c r="BM68" i="11" s="1"/>
  <c r="BL69" i="11" s="1"/>
  <c r="BZ169" i="11"/>
  <c r="BZ194" i="11" s="1"/>
  <c r="BZ168" i="11"/>
  <c r="BZ192" i="11" s="1"/>
  <c r="BZ173" i="11"/>
  <c r="CO148" i="2" l="1"/>
  <c r="CO149" i="2" s="1"/>
  <c r="BP35" i="11"/>
  <c r="BP36" i="11" s="1"/>
  <c r="BP37" i="11" s="1"/>
  <c r="CM201" i="11"/>
  <c r="CL195" i="11"/>
  <c r="CM195" i="11" s="1"/>
  <c r="CO8" i="11"/>
  <c r="CO112" i="11" s="1"/>
  <c r="CN124" i="11"/>
  <c r="CN201" i="11" s="1"/>
  <c r="CN195" i="11" s="1"/>
  <c r="CO146" i="2"/>
  <c r="CO218" i="2"/>
  <c r="AX263" i="3"/>
  <c r="BG171" i="11"/>
  <c r="BG162" i="11"/>
  <c r="BG172" i="11" s="1"/>
  <c r="BG179" i="11" s="1"/>
  <c r="BA197" i="11"/>
  <c r="BA198" i="11" s="1"/>
  <c r="BC45" i="11"/>
  <c r="BO67" i="11"/>
  <c r="BO68" i="11" s="1"/>
  <c r="BE40" i="11"/>
  <c r="BI16" i="11"/>
  <c r="CB169" i="11"/>
  <c r="CB194" i="11" s="1"/>
  <c r="CC194" i="11" s="1"/>
  <c r="CB168" i="11"/>
  <c r="CB192" i="11" s="1"/>
  <c r="CC192" i="11" s="1"/>
  <c r="CB173" i="11"/>
  <c r="BP75" i="11"/>
  <c r="BP76" i="11" s="1"/>
  <c r="BP77" i="11" s="1"/>
  <c r="AU263" i="3"/>
  <c r="AV262" i="3" s="1"/>
  <c r="AV211" i="11"/>
  <c r="AV213" i="11" s="1"/>
  <c r="AV221" i="11" s="1"/>
  <c r="AV222" i="11" s="1"/>
  <c r="BS195" i="11"/>
  <c r="BH140" i="11"/>
  <c r="BH141" i="11" s="1"/>
  <c r="BH142" i="11" s="1"/>
  <c r="BA207" i="11"/>
  <c r="BQ34" i="11"/>
  <c r="BR32" i="11" s="1"/>
  <c r="BH19" i="11"/>
  <c r="AS186" i="3"/>
  <c r="AX178" i="3" s="1"/>
  <c r="AS208" i="3"/>
  <c r="AS198" i="3"/>
  <c r="AS207" i="3"/>
  <c r="AS199" i="3"/>
  <c r="AS174" i="3"/>
  <c r="AS175" i="3" s="1"/>
  <c r="BB115" i="11"/>
  <c r="BB116" i="11" s="1"/>
  <c r="BR26" i="11"/>
  <c r="BS26" i="11" s="1"/>
  <c r="BT24" i="11" s="1"/>
  <c r="BQ82" i="11"/>
  <c r="BR80" i="11" s="1"/>
  <c r="BH156" i="11"/>
  <c r="BG170" i="11"/>
  <c r="BH167" i="11" s="1"/>
  <c r="BP66" i="11"/>
  <c r="BQ64" i="11" s="1"/>
  <c r="BQ67" i="11" s="1"/>
  <c r="BQ68" i="11" s="1"/>
  <c r="BQ69" i="11" s="1"/>
  <c r="BB121" i="11"/>
  <c r="BA176" i="11"/>
  <c r="BQ27" i="11"/>
  <c r="BQ28" i="11" s="1"/>
  <c r="BQ29" i="11" s="1"/>
  <c r="BP83" i="11"/>
  <c r="BP84" i="11" s="1"/>
  <c r="BP85" i="11" s="1"/>
  <c r="CD9" i="11"/>
  <c r="CD155" i="11" s="1"/>
  <c r="BP67" i="11" l="1"/>
  <c r="BP68" i="11" s="1"/>
  <c r="BO69" i="11" s="1"/>
  <c r="BQ83" i="11"/>
  <c r="BQ84" i="11" s="1"/>
  <c r="CP8" i="11"/>
  <c r="CP112" i="11" s="1"/>
  <c r="CO124" i="11"/>
  <c r="CO201" i="11" s="1"/>
  <c r="CO195" i="11" s="1"/>
  <c r="BR27" i="11"/>
  <c r="BR28" i="11" s="1"/>
  <c r="BR29" i="11" s="1"/>
  <c r="BQ35" i="11"/>
  <c r="BQ36" i="11" s="1"/>
  <c r="BQ37" i="11" s="1"/>
  <c r="CQ145" i="2"/>
  <c r="CP148" i="2"/>
  <c r="CP146" i="2"/>
  <c r="CP218" i="2"/>
  <c r="AS187" i="3"/>
  <c r="CD169" i="11"/>
  <c r="CD194" i="11" s="1"/>
  <c r="CD168" i="11"/>
  <c r="CD192" i="11" s="1"/>
  <c r="CD173" i="11"/>
  <c r="CE9" i="11"/>
  <c r="CE155" i="11" s="1"/>
  <c r="BR82" i="11"/>
  <c r="BS82" i="11" s="1"/>
  <c r="BT80" i="11" s="1"/>
  <c r="BB123" i="11"/>
  <c r="BB127" i="11" s="1"/>
  <c r="BB196" i="11" s="1"/>
  <c r="BC113" i="11"/>
  <c r="BI142" i="11"/>
  <c r="BH143" i="11"/>
  <c r="CB249" i="3"/>
  <c r="BB118" i="11"/>
  <c r="BB125" i="11" s="1"/>
  <c r="BB178" i="11" s="1"/>
  <c r="AV263" i="3"/>
  <c r="AW262" i="3" s="1"/>
  <c r="AW211" i="11"/>
  <c r="AW213" i="11" s="1"/>
  <c r="AW221" i="11" s="1"/>
  <c r="AW222" i="11" s="1"/>
  <c r="CB250" i="3"/>
  <c r="BG174" i="11"/>
  <c r="BJ13" i="11"/>
  <c r="BE42" i="11"/>
  <c r="BE43" i="11" s="1"/>
  <c r="BE44" i="11" s="1"/>
  <c r="BH159" i="11"/>
  <c r="BH160" i="11" s="1"/>
  <c r="BH161" i="11" s="1"/>
  <c r="BT26" i="11"/>
  <c r="BU24" i="11" s="1"/>
  <c r="BR34" i="11"/>
  <c r="BS34" i="11" s="1"/>
  <c r="BT32" i="11" s="1"/>
  <c r="BI140" i="11"/>
  <c r="BG207" i="3"/>
  <c r="BG208" i="3"/>
  <c r="CQ218" i="2" l="1"/>
  <c r="CQ146" i="2"/>
  <c r="BR35" i="11"/>
  <c r="BR36" i="11" s="1"/>
  <c r="BR37" i="11" s="1"/>
  <c r="CP124" i="11"/>
  <c r="CP201" i="11" s="1"/>
  <c r="CQ8" i="11"/>
  <c r="CQ124" i="11" s="1"/>
  <c r="CQ201" i="11" s="1"/>
  <c r="CR201" i="11" s="1"/>
  <c r="CP149" i="2"/>
  <c r="CQ148" i="2"/>
  <c r="CQ149" i="2" s="1"/>
  <c r="CE169" i="11"/>
  <c r="CE194" i="11" s="1"/>
  <c r="CE168" i="11"/>
  <c r="CE192" i="11" s="1"/>
  <c r="CE173" i="11"/>
  <c r="BH171" i="11"/>
  <c r="BH162" i="11"/>
  <c r="BH172" i="11" s="1"/>
  <c r="BJ138" i="11"/>
  <c r="BH207" i="3"/>
  <c r="BH208" i="3"/>
  <c r="BT27" i="11"/>
  <c r="BT28" i="11" s="1"/>
  <c r="BT29" i="11" s="1"/>
  <c r="BF40" i="11"/>
  <c r="BB197" i="11"/>
  <c r="BB198" i="11" s="1"/>
  <c r="BC121" i="11"/>
  <c r="BB176" i="11"/>
  <c r="BB207" i="11"/>
  <c r="BT82" i="11"/>
  <c r="BU80" i="11" s="1"/>
  <c r="BT34" i="11"/>
  <c r="BU32" i="11" s="1"/>
  <c r="BH170" i="11"/>
  <c r="BI159" i="11"/>
  <c r="BJ156" i="11" s="1"/>
  <c r="BJ16" i="11"/>
  <c r="BJ17" i="11" s="1"/>
  <c r="BJ18" i="11" s="1"/>
  <c r="AW263" i="3"/>
  <c r="AY262" i="3" s="1"/>
  <c r="AX211" i="11"/>
  <c r="AX213" i="11" s="1"/>
  <c r="AX221" i="11" s="1"/>
  <c r="AX222" i="11" s="1"/>
  <c r="BR83" i="11"/>
  <c r="BR84" i="11" s="1"/>
  <c r="BR85" i="11" s="1"/>
  <c r="CC249" i="3"/>
  <c r="BU26" i="11"/>
  <c r="BV24" i="11" s="1"/>
  <c r="BC115" i="11"/>
  <c r="BC116" i="11" s="1"/>
  <c r="CF9" i="11"/>
  <c r="CC250" i="3"/>
  <c r="BT83" i="11" l="1"/>
  <c r="BT84" i="11" s="1"/>
  <c r="CQ112" i="11"/>
  <c r="CQ195" i="11"/>
  <c r="CP195" i="11"/>
  <c r="CG9" i="11"/>
  <c r="CG155" i="11" s="1"/>
  <c r="BJ19" i="11"/>
  <c r="BU34" i="11"/>
  <c r="BV32" i="11" s="1"/>
  <c r="CF155" i="11"/>
  <c r="BV26" i="11"/>
  <c r="BW24" i="11" s="1"/>
  <c r="BK13" i="11"/>
  <c r="BT35" i="11"/>
  <c r="BT36" i="11" s="1"/>
  <c r="BT37" i="11" s="1"/>
  <c r="BC123" i="11"/>
  <c r="BD115" i="11"/>
  <c r="BE113" i="11" s="1"/>
  <c r="BU27" i="11"/>
  <c r="BU28" i="11" s="1"/>
  <c r="BU29" i="11" s="1"/>
  <c r="BJ159" i="11"/>
  <c r="BJ160" i="11" s="1"/>
  <c r="BJ161" i="11" s="1"/>
  <c r="BU82" i="11"/>
  <c r="BV80" i="11" s="1"/>
  <c r="BF42" i="11"/>
  <c r="BF43" i="11" s="1"/>
  <c r="BF44" i="11" s="1"/>
  <c r="BJ140" i="11"/>
  <c r="BJ141" i="11" s="1"/>
  <c r="BJ142" i="11" s="1"/>
  <c r="CD249" i="3"/>
  <c r="BC118" i="11"/>
  <c r="BC125" i="11" s="1"/>
  <c r="BC178" i="11" s="1"/>
  <c r="BC119" i="11"/>
  <c r="BC126" i="11" s="1"/>
  <c r="BC179" i="11" s="1"/>
  <c r="BD179" i="11" s="1"/>
  <c r="AZ211" i="11"/>
  <c r="AZ213" i="11" s="1"/>
  <c r="AZ221" i="11" s="1"/>
  <c r="AZ222" i="11" s="1"/>
  <c r="BC262" i="3"/>
  <c r="AY263" i="3"/>
  <c r="AZ262" i="3" s="1"/>
  <c r="BJ167" i="11"/>
  <c r="BI170" i="11"/>
  <c r="BH174" i="11"/>
  <c r="CD250" i="3"/>
  <c r="BU35" i="11" l="1"/>
  <c r="BU36" i="11" s="1"/>
  <c r="BU37" i="11" s="1"/>
  <c r="CR195" i="11"/>
  <c r="BC263" i="3"/>
  <c r="BF45" i="11"/>
  <c r="BJ171" i="11"/>
  <c r="BJ162" i="11"/>
  <c r="BJ172" i="11" s="1"/>
  <c r="BJ179" i="11" s="1"/>
  <c r="BE121" i="11"/>
  <c r="BD123" i="11"/>
  <c r="BD176" i="11" s="1"/>
  <c r="BD204" i="11" s="1"/>
  <c r="BC176" i="11"/>
  <c r="BW26" i="11"/>
  <c r="BX26" i="11" s="1"/>
  <c r="BY24" i="11" s="1"/>
  <c r="BC127" i="11"/>
  <c r="BC196" i="11" s="1"/>
  <c r="BV27" i="11"/>
  <c r="BV28" i="11" s="1"/>
  <c r="BV29" i="11" s="1"/>
  <c r="BV34" i="11"/>
  <c r="BW32" i="11" s="1"/>
  <c r="CI9" i="11"/>
  <c r="CI155" i="11" s="1"/>
  <c r="BG40" i="11"/>
  <c r="BK16" i="11"/>
  <c r="AZ263" i="3"/>
  <c r="BA262" i="3" s="1"/>
  <c r="BA211" i="11"/>
  <c r="BA213" i="11" s="1"/>
  <c r="BA221" i="11" s="1"/>
  <c r="BA222" i="11" s="1"/>
  <c r="BV82" i="11"/>
  <c r="BW80" i="11" s="1"/>
  <c r="CF169" i="11"/>
  <c r="CF194" i="11" s="1"/>
  <c r="CF168" i="11"/>
  <c r="CF192" i="11" s="1"/>
  <c r="CF173" i="11"/>
  <c r="CG169" i="11"/>
  <c r="CG194" i="11" s="1"/>
  <c r="CG168" i="11"/>
  <c r="CG192" i="11" s="1"/>
  <c r="CG173" i="11"/>
  <c r="BJ170" i="11"/>
  <c r="BK167" i="11" s="1"/>
  <c r="BK156" i="11"/>
  <c r="BC207" i="11"/>
  <c r="BD207" i="11" s="1"/>
  <c r="BD178" i="11"/>
  <c r="BK138" i="11"/>
  <c r="BI208" i="3"/>
  <c r="BI207" i="3"/>
  <c r="BU83" i="11"/>
  <c r="BU84" i="11" s="1"/>
  <c r="BU85" i="11" s="1"/>
  <c r="BE115" i="11"/>
  <c r="BE116" i="11" s="1"/>
  <c r="BV83" i="11" l="1"/>
  <c r="BV84" i="11" s="1"/>
  <c r="BY26" i="11"/>
  <c r="BY27" i="11" s="1"/>
  <c r="BY28" i="11" s="1"/>
  <c r="BY29" i="11" s="1"/>
  <c r="BE118" i="11"/>
  <c r="BE125" i="11" s="1"/>
  <c r="BE178" i="11" s="1"/>
  <c r="BK139" i="11"/>
  <c r="BK194" i="11" s="1"/>
  <c r="CF249" i="3"/>
  <c r="CE203" i="11"/>
  <c r="CD149" i="3" s="1"/>
  <c r="CE250" i="3"/>
  <c r="CH194" i="11"/>
  <c r="CD203" i="11"/>
  <c r="CC149" i="3" s="1"/>
  <c r="BL13" i="11"/>
  <c r="CI169" i="11"/>
  <c r="CI194" i="11" s="1"/>
  <c r="CI168" i="11"/>
  <c r="CI192" i="11" s="1"/>
  <c r="CI173" i="11"/>
  <c r="BJ174" i="11"/>
  <c r="BW34" i="11"/>
  <c r="BX34" i="11" s="1"/>
  <c r="BY32" i="11" s="1"/>
  <c r="BC197" i="11"/>
  <c r="BD197" i="11" s="1"/>
  <c r="BD196" i="11"/>
  <c r="CF203" i="11"/>
  <c r="CE149" i="3" s="1"/>
  <c r="CF250" i="3"/>
  <c r="BW82" i="11"/>
  <c r="BX82" i="11" s="1"/>
  <c r="BY80" i="11" s="1"/>
  <c r="BA263" i="3"/>
  <c r="BB262" i="3" s="1"/>
  <c r="BB211" i="11"/>
  <c r="BB213" i="11" s="1"/>
  <c r="BB221" i="11" s="1"/>
  <c r="BB222" i="11" s="1"/>
  <c r="BG42" i="11"/>
  <c r="BV35" i="11"/>
  <c r="BV36" i="11" s="1"/>
  <c r="BV37" i="11" s="1"/>
  <c r="BK159" i="11"/>
  <c r="BF113" i="11"/>
  <c r="BE123" i="11"/>
  <c r="BE127" i="11" s="1"/>
  <c r="BE196" i="11" s="1"/>
  <c r="CE249" i="3"/>
  <c r="CH192" i="11"/>
  <c r="BK17" i="11"/>
  <c r="BK18" i="11" s="1"/>
  <c r="CJ9" i="11"/>
  <c r="BW27" i="11"/>
  <c r="BW28" i="11" s="1"/>
  <c r="BW29" i="11" s="1"/>
  <c r="BZ24" i="11" l="1"/>
  <c r="BZ26" i="11" s="1"/>
  <c r="CA24" i="11" s="1"/>
  <c r="BW35" i="11"/>
  <c r="BW36" i="11" s="1"/>
  <c r="BW37" i="11" s="1"/>
  <c r="BY34" i="11"/>
  <c r="BY35" i="11" s="1"/>
  <c r="BY36" i="11" s="1"/>
  <c r="BY37" i="11" s="1"/>
  <c r="BK140" i="11"/>
  <c r="BK141" i="11" s="1"/>
  <c r="BK142" i="11" s="1"/>
  <c r="BK143" i="11" s="1"/>
  <c r="BY82" i="11"/>
  <c r="BY83" i="11" s="1"/>
  <c r="BY84" i="11" s="1"/>
  <c r="BD198" i="11"/>
  <c r="BC198" i="11"/>
  <c r="BK170" i="11"/>
  <c r="BL156" i="11"/>
  <c r="CK9" i="11"/>
  <c r="CK155" i="11" s="1"/>
  <c r="CG249" i="3"/>
  <c r="BF115" i="11"/>
  <c r="BF116" i="11" s="1"/>
  <c r="BE197" i="11"/>
  <c r="BE198" i="11" s="1"/>
  <c r="BH40" i="11"/>
  <c r="BL16" i="11"/>
  <c r="BL17" i="11" s="1"/>
  <c r="BL18" i="11" s="1"/>
  <c r="CC203" i="11"/>
  <c r="CJ155" i="11"/>
  <c r="BK160" i="11"/>
  <c r="BK161" i="11" s="1"/>
  <c r="BG43" i="11"/>
  <c r="BG44" i="11" s="1"/>
  <c r="BW83" i="11"/>
  <c r="BW84" i="11" s="1"/>
  <c r="BW85" i="11" s="1"/>
  <c r="BK19" i="11"/>
  <c r="CH249" i="3"/>
  <c r="CG250" i="3"/>
  <c r="BE207" i="11"/>
  <c r="BF121" i="11"/>
  <c r="BE176" i="11"/>
  <c r="BB263" i="3"/>
  <c r="BD262" i="3" s="1"/>
  <c r="BC211" i="11"/>
  <c r="BC213" i="11" s="1"/>
  <c r="BC221" i="11" s="1"/>
  <c r="BC222" i="11" s="1"/>
  <c r="CH250" i="3"/>
  <c r="BN194" i="11"/>
  <c r="BZ80" i="11" l="1"/>
  <c r="BZ82" i="11" s="1"/>
  <c r="CA80" i="11" s="1"/>
  <c r="BZ32" i="11"/>
  <c r="BZ34" i="11" s="1"/>
  <c r="CA32" i="11" s="1"/>
  <c r="BJ207" i="3"/>
  <c r="BJ208" i="3"/>
  <c r="BL138" i="11"/>
  <c r="BL140" i="11" s="1"/>
  <c r="BL141" i="11" s="1"/>
  <c r="BL142" i="11" s="1"/>
  <c r="BZ27" i="11"/>
  <c r="BZ28" i="11" s="1"/>
  <c r="BZ29" i="11" s="1"/>
  <c r="CK169" i="11"/>
  <c r="CK194" i="11" s="1"/>
  <c r="CK168" i="11"/>
  <c r="CK192" i="11" s="1"/>
  <c r="CK173" i="11"/>
  <c r="BL19" i="11"/>
  <c r="BF118" i="11"/>
  <c r="BF125" i="11" s="1"/>
  <c r="BF178" i="11" s="1"/>
  <c r="BF119" i="11"/>
  <c r="BF126" i="11" s="1"/>
  <c r="BF179" i="11" s="1"/>
  <c r="BG113" i="11"/>
  <c r="BF123" i="11"/>
  <c r="BF127" i="11" s="1"/>
  <c r="BF196" i="11" s="1"/>
  <c r="BE211" i="11"/>
  <c r="BE213" i="11" s="1"/>
  <c r="BE221" i="11" s="1"/>
  <c r="BE222" i="11" s="1"/>
  <c r="BH262" i="3"/>
  <c r="BD263" i="3"/>
  <c r="BE262" i="3" s="1"/>
  <c r="CA26" i="11"/>
  <c r="CB24" i="11" s="1"/>
  <c r="BL159" i="11"/>
  <c r="BL160" i="11" s="1"/>
  <c r="BL161" i="11" s="1"/>
  <c r="CJ169" i="11"/>
  <c r="CJ194" i="11" s="1"/>
  <c r="CJ168" i="11"/>
  <c r="CJ192" i="11" s="1"/>
  <c r="CJ173" i="11"/>
  <c r="BH42" i="11"/>
  <c r="CL9" i="11"/>
  <c r="BM13" i="11"/>
  <c r="BK171" i="11"/>
  <c r="BK162" i="11"/>
  <c r="BK172" i="11" s="1"/>
  <c r="CB149" i="3"/>
  <c r="BL167" i="11"/>
  <c r="BK174" i="11"/>
  <c r="CL155" i="11" l="1"/>
  <c r="CL169" i="11" s="1"/>
  <c r="CL194" i="11" s="1"/>
  <c r="CN9" i="11"/>
  <c r="CN155" i="11" s="1"/>
  <c r="BH263" i="3"/>
  <c r="BZ35" i="11"/>
  <c r="BZ36" i="11" s="1"/>
  <c r="BZ37" i="11" s="1"/>
  <c r="BZ83" i="11"/>
  <c r="BZ84" i="11" s="1"/>
  <c r="BZ85" i="11" s="1"/>
  <c r="BL171" i="11"/>
  <c r="BL162" i="11"/>
  <c r="BL172" i="11" s="1"/>
  <c r="BL179" i="11" s="1"/>
  <c r="CA34" i="11"/>
  <c r="CB32" i="11" s="1"/>
  <c r="CI249" i="3"/>
  <c r="CA82" i="11"/>
  <c r="CB80" i="11" s="1"/>
  <c r="BM16" i="11"/>
  <c r="BM17" i="11" s="1"/>
  <c r="BM18" i="11" s="1"/>
  <c r="BE263" i="3"/>
  <c r="BF262" i="3" s="1"/>
  <c r="BF211" i="11"/>
  <c r="BF213" i="11" s="1"/>
  <c r="BF221" i="11" s="1"/>
  <c r="BF222" i="11" s="1"/>
  <c r="BG115" i="11"/>
  <c r="BG116" i="11" s="1"/>
  <c r="CI250" i="3"/>
  <c r="BL170" i="11"/>
  <c r="BM167" i="11" s="1"/>
  <c r="BM156" i="11"/>
  <c r="CB26" i="11"/>
  <c r="CC26" i="11" s="1"/>
  <c r="CD24" i="11" s="1"/>
  <c r="BF207" i="11"/>
  <c r="CJ249" i="3"/>
  <c r="BI42" i="11"/>
  <c r="BL174" i="11"/>
  <c r="BH43" i="11"/>
  <c r="BH44" i="11" s="1"/>
  <c r="BF197" i="11"/>
  <c r="BF198" i="11" s="1"/>
  <c r="CA27" i="11"/>
  <c r="CA28" i="11" s="1"/>
  <c r="CA29" i="11" s="1"/>
  <c r="BG121" i="11"/>
  <c r="BF176" i="11"/>
  <c r="BM138" i="11"/>
  <c r="BK207" i="3"/>
  <c r="BK208" i="3"/>
  <c r="CJ250" i="3"/>
  <c r="CL168" i="11" l="1"/>
  <c r="CL192" i="11" s="1"/>
  <c r="CM192" i="11" s="1"/>
  <c r="CM194" i="11"/>
  <c r="CJ203" i="11"/>
  <c r="CI149" i="3" s="1"/>
  <c r="CA83" i="11"/>
  <c r="CA84" i="11" s="1"/>
  <c r="CL173" i="11"/>
  <c r="CO9" i="11"/>
  <c r="CO155" i="11" s="1"/>
  <c r="CN168" i="11"/>
  <c r="CN192" i="11" s="1"/>
  <c r="CN169" i="11"/>
  <c r="CN194" i="11" s="1"/>
  <c r="CN173" i="11"/>
  <c r="CB27" i="11"/>
  <c r="CB28" i="11" s="1"/>
  <c r="CB29" i="11" s="1"/>
  <c r="BH45" i="11"/>
  <c r="BG123" i="11"/>
  <c r="BG127" i="11" s="1"/>
  <c r="BG196" i="11" s="1"/>
  <c r="BH113" i="11"/>
  <c r="BN16" i="11"/>
  <c r="BM140" i="11"/>
  <c r="BG118" i="11"/>
  <c r="BG125" i="11" s="1"/>
  <c r="BG178" i="11" s="1"/>
  <c r="BM19" i="11"/>
  <c r="CB34" i="11"/>
  <c r="CC34" i="11" s="1"/>
  <c r="CD32" i="11" s="1"/>
  <c r="CK203" i="11"/>
  <c r="CJ149" i="3" s="1"/>
  <c r="CK250" i="3"/>
  <c r="CL250" i="3" s="1"/>
  <c r="CD26" i="11"/>
  <c r="CE24" i="11" s="1"/>
  <c r="CA35" i="11"/>
  <c r="CA36" i="11" s="1"/>
  <c r="CA37" i="11" s="1"/>
  <c r="BJ40" i="11"/>
  <c r="BM159" i="11"/>
  <c r="BM160" i="11" s="1"/>
  <c r="BM161" i="11" s="1"/>
  <c r="CI203" i="11"/>
  <c r="CH149" i="3" s="1"/>
  <c r="BF263" i="3"/>
  <c r="BG262" i="3" s="1"/>
  <c r="BG211" i="11"/>
  <c r="BG213" i="11" s="1"/>
  <c r="BG221" i="11" s="1"/>
  <c r="BG222" i="11" s="1"/>
  <c r="CB82" i="11"/>
  <c r="CC82" i="11" s="1"/>
  <c r="CD80" i="11" s="1"/>
  <c r="CK249" i="3" l="1"/>
  <c r="CL249" i="3" s="1"/>
  <c r="CO173" i="11"/>
  <c r="CO168" i="11"/>
  <c r="CO192" i="11" s="1"/>
  <c r="CO169" i="11"/>
  <c r="CO194" i="11" s="1"/>
  <c r="CD27" i="11"/>
  <c r="CD28" i="11" s="1"/>
  <c r="CD29" i="11" s="1"/>
  <c r="CB35" i="11"/>
  <c r="CB36" i="11" s="1"/>
  <c r="CB37" i="11" s="1"/>
  <c r="CM250" i="3"/>
  <c r="CM249" i="3"/>
  <c r="CP9" i="11"/>
  <c r="CQ9" i="11" s="1"/>
  <c r="CQ155" i="11" s="1"/>
  <c r="BG263" i="3"/>
  <c r="BI262" i="3" s="1"/>
  <c r="BH211" i="11"/>
  <c r="BH213" i="11" s="1"/>
  <c r="BH221" i="11" s="1"/>
  <c r="BH222" i="11" s="1"/>
  <c r="BJ42" i="11"/>
  <c r="BJ43" i="11" s="1"/>
  <c r="BJ44" i="11" s="1"/>
  <c r="CE26" i="11"/>
  <c r="CF24" i="11" s="1"/>
  <c r="BN140" i="11"/>
  <c r="BL208" i="3"/>
  <c r="BL207" i="3"/>
  <c r="BH115" i="11"/>
  <c r="CB83" i="11"/>
  <c r="CB84" i="11" s="1"/>
  <c r="BN159" i="11"/>
  <c r="BO156" i="11" s="1"/>
  <c r="BM170" i="11"/>
  <c r="CD34" i="11"/>
  <c r="CE32" i="11" s="1"/>
  <c r="BM141" i="11"/>
  <c r="BM142" i="11" s="1"/>
  <c r="BH121" i="11"/>
  <c r="BG176" i="11"/>
  <c r="CD82" i="11"/>
  <c r="CE80" i="11" s="1"/>
  <c r="BM171" i="11"/>
  <c r="BM162" i="11"/>
  <c r="BM172" i="11" s="1"/>
  <c r="BG197" i="11"/>
  <c r="BG207" i="11"/>
  <c r="BO13" i="11"/>
  <c r="CB85" i="11" l="1"/>
  <c r="CP155" i="11"/>
  <c r="CP169" i="11" s="1"/>
  <c r="CP194" i="11" s="1"/>
  <c r="CD35" i="11"/>
  <c r="CD36" i="11" s="1"/>
  <c r="CD37" i="11" s="1"/>
  <c r="CE27" i="11"/>
  <c r="CE28" i="11" s="1"/>
  <c r="CE29" i="11" s="1"/>
  <c r="CQ168" i="11"/>
  <c r="CQ192" i="11" s="1"/>
  <c r="CQ169" i="11"/>
  <c r="CQ194" i="11" s="1"/>
  <c r="CQ173" i="11"/>
  <c r="CN249" i="3"/>
  <c r="CN250" i="3"/>
  <c r="BO16" i="11"/>
  <c r="BO17" i="11" s="1"/>
  <c r="BO18" i="11" s="1"/>
  <c r="BM143" i="11"/>
  <c r="BN142" i="11"/>
  <c r="BO159" i="11"/>
  <c r="CE82" i="11"/>
  <c r="CF80" i="11" s="1"/>
  <c r="CE34" i="11"/>
  <c r="CF32" i="11" s="1"/>
  <c r="BH123" i="11"/>
  <c r="BH127" i="11" s="1"/>
  <c r="BH196" i="11" s="1"/>
  <c r="BI115" i="11"/>
  <c r="BJ113" i="11" s="1"/>
  <c r="BO138" i="11"/>
  <c r="BM207" i="3"/>
  <c r="BM208" i="3"/>
  <c r="BG198" i="11"/>
  <c r="CD83" i="11"/>
  <c r="CD84" i="11" s="1"/>
  <c r="BO167" i="11"/>
  <c r="BN170" i="11"/>
  <c r="BM174" i="11"/>
  <c r="BH116" i="11"/>
  <c r="CF26" i="11"/>
  <c r="CG24" i="11" s="1"/>
  <c r="BK40" i="11"/>
  <c r="BJ211" i="11"/>
  <c r="BJ213" i="11" s="1"/>
  <c r="BJ221" i="11" s="1"/>
  <c r="BJ222" i="11" s="1"/>
  <c r="BM262" i="3"/>
  <c r="BI263" i="3"/>
  <c r="BJ262" i="3" s="1"/>
  <c r="CP173" i="11" l="1"/>
  <c r="CP168" i="11"/>
  <c r="CP192" i="11" s="1"/>
  <c r="CO249" i="3" s="1"/>
  <c r="CN203" i="11"/>
  <c r="CM149" i="3" s="1"/>
  <c r="CF27" i="11"/>
  <c r="CF28" i="11" s="1"/>
  <c r="CF29" i="11" s="1"/>
  <c r="CE35" i="11"/>
  <c r="CE36" i="11" s="1"/>
  <c r="CE37" i="11" s="1"/>
  <c r="CP249" i="3"/>
  <c r="CP203" i="11"/>
  <c r="CO149" i="3" s="1"/>
  <c r="CP250" i="3"/>
  <c r="CO203" i="11"/>
  <c r="CN149" i="3" s="1"/>
  <c r="CO250" i="3"/>
  <c r="CR194" i="11"/>
  <c r="BM263" i="3"/>
  <c r="CG26" i="11"/>
  <c r="CH26" i="11" s="1"/>
  <c r="CI24" i="11" s="1"/>
  <c r="CF34" i="11"/>
  <c r="CG32" i="11" s="1"/>
  <c r="BO140" i="11"/>
  <c r="BO170" i="11"/>
  <c r="BP167" i="11" s="1"/>
  <c r="BP156" i="11"/>
  <c r="BH118" i="11"/>
  <c r="BH125" i="11" s="1"/>
  <c r="BH178" i="11" s="1"/>
  <c r="BH119" i="11"/>
  <c r="BH126" i="11" s="1"/>
  <c r="BH179" i="11" s="1"/>
  <c r="BI179" i="11" s="1"/>
  <c r="BH197" i="11"/>
  <c r="BI197" i="11" s="1"/>
  <c r="BI196" i="11"/>
  <c r="BJ115" i="11"/>
  <c r="BJ116" i="11" s="1"/>
  <c r="CF82" i="11"/>
  <c r="CG80" i="11" s="1"/>
  <c r="BO160" i="11"/>
  <c r="BO161" i="11" s="1"/>
  <c r="BO19" i="11"/>
  <c r="BJ263" i="3"/>
  <c r="BK262" i="3" s="1"/>
  <c r="BK211" i="11"/>
  <c r="BK213" i="11" s="1"/>
  <c r="BK221" i="11" s="1"/>
  <c r="BK222" i="11" s="1"/>
  <c r="BK42" i="11"/>
  <c r="BK43" i="11" s="1"/>
  <c r="BK44" i="11" s="1"/>
  <c r="BI123" i="11"/>
  <c r="BI176" i="11" s="1"/>
  <c r="BI204" i="11" s="1"/>
  <c r="BJ121" i="11"/>
  <c r="BH176" i="11"/>
  <c r="CE83" i="11"/>
  <c r="CE84" i="11" s="1"/>
  <c r="BP13" i="11"/>
  <c r="CE85" i="11" l="1"/>
  <c r="CQ250" i="3"/>
  <c r="CR192" i="11"/>
  <c r="CQ249" i="3"/>
  <c r="CF35" i="11"/>
  <c r="CF36" i="11" s="1"/>
  <c r="CF37" i="11" s="1"/>
  <c r="CF83" i="11"/>
  <c r="CF84" i="11" s="1"/>
  <c r="BI198" i="11"/>
  <c r="CG27" i="11"/>
  <c r="CG28" i="11" s="1"/>
  <c r="CG29" i="11" s="1"/>
  <c r="BK45" i="11"/>
  <c r="BK113" i="11"/>
  <c r="BJ123" i="11"/>
  <c r="CG34" i="11"/>
  <c r="CH34" i="11" s="1"/>
  <c r="CI32" i="11" s="1"/>
  <c r="BO171" i="11"/>
  <c r="BO162" i="11"/>
  <c r="BO172" i="11" s="1"/>
  <c r="BO179" i="11" s="1"/>
  <c r="BJ118" i="11"/>
  <c r="BJ125" i="11" s="1"/>
  <c r="BJ178" i="11" s="1"/>
  <c r="BP138" i="11"/>
  <c r="BN207" i="3"/>
  <c r="BN208" i="3"/>
  <c r="BK263" i="3"/>
  <c r="BL262" i="3" s="1"/>
  <c r="BL211" i="11"/>
  <c r="BL213" i="11" s="1"/>
  <c r="BL221" i="11" s="1"/>
  <c r="BL222" i="11" s="1"/>
  <c r="BH207" i="11"/>
  <c r="BI207" i="11" s="1"/>
  <c r="BI178" i="11"/>
  <c r="BO141" i="11"/>
  <c r="BO142" i="11" s="1"/>
  <c r="BP16" i="11"/>
  <c r="BJ127" i="11"/>
  <c r="BJ196" i="11" s="1"/>
  <c r="BL40" i="11"/>
  <c r="CG82" i="11"/>
  <c r="CH82" i="11" s="1"/>
  <c r="CI80" i="11" s="1"/>
  <c r="BH198" i="11"/>
  <c r="BP159" i="11"/>
  <c r="BP160" i="11" s="1"/>
  <c r="BP161" i="11" s="1"/>
  <c r="BO174" i="11"/>
  <c r="CI26" i="11"/>
  <c r="CJ24" i="11" s="1"/>
  <c r="CG83" i="11" l="1"/>
  <c r="CG84" i="11" s="1"/>
  <c r="CG35" i="11"/>
  <c r="CG36" i="11" s="1"/>
  <c r="CG37" i="11" s="1"/>
  <c r="BP171" i="11"/>
  <c r="BP162" i="11"/>
  <c r="BP172" i="11" s="1"/>
  <c r="BP170" i="11"/>
  <c r="BQ156" i="11"/>
  <c r="CI27" i="11"/>
  <c r="CI28" i="11" s="1"/>
  <c r="CI29" i="11" s="1"/>
  <c r="CI82" i="11"/>
  <c r="CJ80" i="11" s="1"/>
  <c r="BL42" i="11"/>
  <c r="BL43" i="11" s="1"/>
  <c r="BL44" i="11" s="1"/>
  <c r="BP140" i="11"/>
  <c r="BK121" i="11"/>
  <c r="BJ176" i="11"/>
  <c r="BJ197" i="11"/>
  <c r="BJ198" i="11" s="1"/>
  <c r="BL263" i="3"/>
  <c r="BN262" i="3" s="1"/>
  <c r="BM211" i="11"/>
  <c r="BM213" i="11" s="1"/>
  <c r="BM221" i="11" s="1"/>
  <c r="BM222" i="11" s="1"/>
  <c r="BJ207" i="11"/>
  <c r="BK115" i="11"/>
  <c r="BK116" i="11" s="1"/>
  <c r="BQ13" i="11"/>
  <c r="CI34" i="11"/>
  <c r="CJ32" i="11" s="1"/>
  <c r="CJ26" i="11"/>
  <c r="CK24" i="11" s="1"/>
  <c r="BP17" i="11"/>
  <c r="BP18" i="11" s="1"/>
  <c r="CG85" i="11" l="1"/>
  <c r="CJ27" i="11"/>
  <c r="CJ28" i="11" s="1"/>
  <c r="CJ29" i="11" s="1"/>
  <c r="BQ16" i="11"/>
  <c r="BK118" i="11"/>
  <c r="BK125" i="11" s="1"/>
  <c r="BK178" i="11" s="1"/>
  <c r="BK119" i="11"/>
  <c r="BK126" i="11" s="1"/>
  <c r="BK179" i="11" s="1"/>
  <c r="BO211" i="11"/>
  <c r="BO213" i="11" s="1"/>
  <c r="BO221" i="11" s="1"/>
  <c r="BO222" i="11" s="1"/>
  <c r="BR262" i="3"/>
  <c r="BN263" i="3"/>
  <c r="BO262" i="3" s="1"/>
  <c r="BM40" i="11"/>
  <c r="CJ34" i="11"/>
  <c r="CK32" i="11" s="1"/>
  <c r="BQ138" i="11"/>
  <c r="BO208" i="3"/>
  <c r="BO207" i="3"/>
  <c r="CJ82" i="11"/>
  <c r="CK80" i="11" s="1"/>
  <c r="BQ159" i="11"/>
  <c r="BP19" i="11"/>
  <c r="CK26" i="11"/>
  <c r="CL24" i="11" s="1"/>
  <c r="CI35" i="11"/>
  <c r="CI36" i="11" s="1"/>
  <c r="CI37" i="11" s="1"/>
  <c r="BK123" i="11"/>
  <c r="BK127" i="11" s="1"/>
  <c r="BK196" i="11" s="1"/>
  <c r="BL113" i="11"/>
  <c r="BP141" i="11"/>
  <c r="BP142" i="11" s="1"/>
  <c r="CI83" i="11"/>
  <c r="CI84" i="11" s="1"/>
  <c r="BQ167" i="11"/>
  <c r="BP174" i="11"/>
  <c r="BR263" i="3" l="1"/>
  <c r="CJ83" i="11"/>
  <c r="CJ84" i="11" s="1"/>
  <c r="BK197" i="11"/>
  <c r="BM42" i="11"/>
  <c r="BM43" i="11" s="1"/>
  <c r="BM44" i="11" s="1"/>
  <c r="CL26" i="11"/>
  <c r="CM26" i="11" s="1"/>
  <c r="CN24" i="11" s="1"/>
  <c r="BO263" i="3"/>
  <c r="BP262" i="3" s="1"/>
  <c r="BP211" i="11"/>
  <c r="BP213" i="11" s="1"/>
  <c r="BP221" i="11" s="1"/>
  <c r="BP222" i="11" s="1"/>
  <c r="BK207" i="11"/>
  <c r="BR156" i="11"/>
  <c r="BQ170" i="11"/>
  <c r="BR167" i="11" s="1"/>
  <c r="BL115" i="11"/>
  <c r="BL116" i="11" s="1"/>
  <c r="BQ160" i="11"/>
  <c r="BQ161" i="11" s="1"/>
  <c r="CK34" i="11"/>
  <c r="CL32" i="11" s="1"/>
  <c r="BR13" i="11"/>
  <c r="BP143" i="11"/>
  <c r="CK27" i="11"/>
  <c r="CK28" i="11" s="1"/>
  <c r="CK29" i="11" s="1"/>
  <c r="BL121" i="11"/>
  <c r="BK176" i="11"/>
  <c r="CK82" i="11"/>
  <c r="CL80" i="11" s="1"/>
  <c r="BQ140" i="11"/>
  <c r="BQ141" i="11" s="1"/>
  <c r="BQ142" i="11" s="1"/>
  <c r="CJ35" i="11"/>
  <c r="CJ36" i="11" s="1"/>
  <c r="CJ37" i="11" s="1"/>
  <c r="BQ17" i="11"/>
  <c r="BQ18" i="11" s="1"/>
  <c r="CJ85" i="11" l="1"/>
  <c r="BQ174" i="11"/>
  <c r="CK35" i="11"/>
  <c r="CK36" i="11" s="1"/>
  <c r="CK37" i="11" s="1"/>
  <c r="CN26" i="11"/>
  <c r="CO24" i="11" s="1"/>
  <c r="BL123" i="11"/>
  <c r="BL127" i="11" s="1"/>
  <c r="BL196" i="11" s="1"/>
  <c r="BM113" i="11"/>
  <c r="CL27" i="11"/>
  <c r="CL28" i="11" s="1"/>
  <c r="CL29" i="11" s="1"/>
  <c r="BM45" i="11"/>
  <c r="BQ19" i="11"/>
  <c r="CL82" i="11"/>
  <c r="CM82" i="11" s="1"/>
  <c r="CN80" i="11" s="1"/>
  <c r="CL34" i="11"/>
  <c r="CM34" i="11" s="1"/>
  <c r="CN32" i="11" s="1"/>
  <c r="BL118" i="11"/>
  <c r="BL125" i="11" s="1"/>
  <c r="BL178" i="11" s="1"/>
  <c r="CK83" i="11"/>
  <c r="CK84" i="11" s="1"/>
  <c r="BR138" i="11"/>
  <c r="BP207" i="3"/>
  <c r="BP208" i="3"/>
  <c r="BR16" i="11"/>
  <c r="BQ171" i="11"/>
  <c r="BQ162" i="11"/>
  <c r="BQ172" i="11" s="1"/>
  <c r="BR159" i="11"/>
  <c r="BP263" i="3"/>
  <c r="BQ262" i="3" s="1"/>
  <c r="BQ211" i="11"/>
  <c r="BQ213" i="11" s="1"/>
  <c r="BQ221" i="11" s="1"/>
  <c r="BQ222" i="11" s="1"/>
  <c r="BN42" i="11"/>
  <c r="BK198" i="11"/>
  <c r="CN34" i="11" l="1"/>
  <c r="CO32" i="11" s="1"/>
  <c r="CO26" i="11"/>
  <c r="CP24" i="11" s="1"/>
  <c r="CN82" i="11"/>
  <c r="CO80" i="11" s="1"/>
  <c r="CN27" i="11"/>
  <c r="CN28" i="11" s="1"/>
  <c r="CN29" i="11" s="1"/>
  <c r="CL35" i="11"/>
  <c r="CL36" i="11" s="1"/>
  <c r="CL37" i="11" s="1"/>
  <c r="BL197" i="11"/>
  <c r="BL198" i="11" s="1"/>
  <c r="BQ263" i="3"/>
  <c r="BS262" i="3" s="1"/>
  <c r="BR211" i="11"/>
  <c r="BR213" i="11" s="1"/>
  <c r="BR221" i="11" s="1"/>
  <c r="BR222" i="11" s="1"/>
  <c r="BM115" i="11"/>
  <c r="BL207" i="11"/>
  <c r="BS16" i="11"/>
  <c r="BR140" i="11"/>
  <c r="BR141" i="11" s="1"/>
  <c r="BR142" i="11" s="1"/>
  <c r="BM121" i="11"/>
  <c r="BL176" i="11"/>
  <c r="BQ179" i="11"/>
  <c r="BS159" i="11"/>
  <c r="BT156" i="11" s="1"/>
  <c r="BR170" i="11"/>
  <c r="BO40" i="11"/>
  <c r="BR160" i="11"/>
  <c r="BR161" i="11" s="1"/>
  <c r="BR17" i="11"/>
  <c r="BR18" i="11" s="1"/>
  <c r="CL83" i="11"/>
  <c r="CL84" i="11" s="1"/>
  <c r="CL85" i="11" l="1"/>
  <c r="CN83" i="11"/>
  <c r="CN84" i="11" s="1"/>
  <c r="CO27" i="11"/>
  <c r="CO28" i="11" s="1"/>
  <c r="CO29" i="11" s="1"/>
  <c r="CN35" i="11"/>
  <c r="CN36" i="11" s="1"/>
  <c r="CN37" i="11" s="1"/>
  <c r="CO82" i="11"/>
  <c r="CP80" i="11" s="1"/>
  <c r="CP26" i="11"/>
  <c r="CQ24" i="11" s="1"/>
  <c r="CO34" i="11"/>
  <c r="CP32" i="11" s="1"/>
  <c r="BR19" i="11"/>
  <c r="BR143" i="11"/>
  <c r="BS142" i="11"/>
  <c r="BT211" i="11"/>
  <c r="BT213" i="11" s="1"/>
  <c r="BT221" i="11" s="1"/>
  <c r="BT222" i="11" s="1"/>
  <c r="BW262" i="3"/>
  <c r="BS263" i="3"/>
  <c r="BR171" i="11"/>
  <c r="BR162" i="11"/>
  <c r="BR172" i="11" s="1"/>
  <c r="BS170" i="11"/>
  <c r="BT167" i="11"/>
  <c r="BR174" i="11"/>
  <c r="BR196" i="11" s="1"/>
  <c r="BT13" i="11"/>
  <c r="BN115" i="11"/>
  <c r="BO113" i="11" s="1"/>
  <c r="BM123" i="11"/>
  <c r="BT159" i="11"/>
  <c r="BT160" i="11" s="1"/>
  <c r="BT161" i="11" s="1"/>
  <c r="BM116" i="11"/>
  <c r="BO42" i="11"/>
  <c r="BO43" i="11" s="1"/>
  <c r="BO44" i="11" s="1"/>
  <c r="BS140" i="11"/>
  <c r="BQ207" i="3"/>
  <c r="BQ208" i="3"/>
  <c r="CO35" i="11" l="1"/>
  <c r="CO36" i="11" s="1"/>
  <c r="CO37" i="11" s="1"/>
  <c r="CO83" i="11"/>
  <c r="CO84" i="11" s="1"/>
  <c r="CQ26" i="11"/>
  <c r="CR26" i="11" s="1"/>
  <c r="CP34" i="11"/>
  <c r="CQ32" i="11" s="1"/>
  <c r="CP27" i="11"/>
  <c r="CP28" i="11" s="1"/>
  <c r="CP29" i="11" s="1"/>
  <c r="CP82" i="11"/>
  <c r="CQ80" i="11" s="1"/>
  <c r="BT138" i="11"/>
  <c r="BR207" i="3"/>
  <c r="BR208" i="3"/>
  <c r="BT170" i="11"/>
  <c r="BU167" i="11" s="1"/>
  <c r="BU156" i="11"/>
  <c r="BT16" i="11"/>
  <c r="BT262" i="3"/>
  <c r="BS121" i="3"/>
  <c r="BP40" i="11"/>
  <c r="BT171" i="11"/>
  <c r="BT162" i="11"/>
  <c r="BT172" i="11" s="1"/>
  <c r="BO178" i="11"/>
  <c r="BO121" i="11"/>
  <c r="BN123" i="11"/>
  <c r="BN176" i="11" s="1"/>
  <c r="BN204" i="11" s="1"/>
  <c r="BM176" i="11"/>
  <c r="BM127" i="11"/>
  <c r="BM196" i="11" s="1"/>
  <c r="BM118" i="11"/>
  <c r="BM125" i="11" s="1"/>
  <c r="BM178" i="11" s="1"/>
  <c r="BM119" i="11"/>
  <c r="BM126" i="11" s="1"/>
  <c r="BM179" i="11" s="1"/>
  <c r="BN179" i="11" s="1"/>
  <c r="BO115" i="11"/>
  <c r="BR197" i="11"/>
  <c r="BR198" i="11" s="1"/>
  <c r="CO85" i="11" l="1"/>
  <c r="CP35" i="11"/>
  <c r="CP36" i="11" s="1"/>
  <c r="CP37" i="11" s="1"/>
  <c r="CQ27" i="11"/>
  <c r="CQ28" i="11" s="1"/>
  <c r="CQ29" i="11" s="1"/>
  <c r="BT174" i="11"/>
  <c r="CQ82" i="11"/>
  <c r="CR82" i="11" s="1"/>
  <c r="CP83" i="11"/>
  <c r="CP84" i="11" s="1"/>
  <c r="CQ34" i="11"/>
  <c r="CR34" i="11" s="1"/>
  <c r="BP113" i="11"/>
  <c r="BO123" i="11"/>
  <c r="BO127" i="11" s="1"/>
  <c r="BO196" i="11" s="1"/>
  <c r="BM197" i="11"/>
  <c r="BN197" i="11" s="1"/>
  <c r="BN196" i="11"/>
  <c r="BO207" i="11"/>
  <c r="BP42" i="11"/>
  <c r="BU13" i="11"/>
  <c r="BM207" i="11"/>
  <c r="BN207" i="11" s="1"/>
  <c r="BN178" i="11"/>
  <c r="BT186" i="11"/>
  <c r="BS264" i="3"/>
  <c r="BS265" i="3" s="1"/>
  <c r="BS192" i="3"/>
  <c r="BS128" i="3"/>
  <c r="BT17" i="11"/>
  <c r="BT18" i="11" s="1"/>
  <c r="BO116" i="11"/>
  <c r="BT263" i="3"/>
  <c r="BU211" i="11"/>
  <c r="BU213" i="11" s="1"/>
  <c r="BU221" i="11" s="1"/>
  <c r="BU222" i="11" s="1"/>
  <c r="BU159" i="11"/>
  <c r="BT140" i="11"/>
  <c r="BT141" i="11" s="1"/>
  <c r="BT142" i="11" s="1"/>
  <c r="CQ83" i="11" l="1"/>
  <c r="CQ84" i="11" s="1"/>
  <c r="CQ35" i="11"/>
  <c r="CQ36" i="11" s="1"/>
  <c r="CQ37" i="11" s="1"/>
  <c r="BU138" i="11"/>
  <c r="BS208" i="3"/>
  <c r="BS207" i="3"/>
  <c r="BT19" i="11"/>
  <c r="BT179" i="11" s="1"/>
  <c r="BU185" i="11"/>
  <c r="BT187" i="11"/>
  <c r="BM198" i="11"/>
  <c r="BU262" i="3"/>
  <c r="BT121" i="3"/>
  <c r="BS194" i="3"/>
  <c r="BS195" i="3" s="1"/>
  <c r="BS139" i="3"/>
  <c r="BS175" i="3" s="1"/>
  <c r="BQ40" i="11"/>
  <c r="BQ43" i="11" s="1"/>
  <c r="BQ44" i="11" s="1"/>
  <c r="BV156" i="11"/>
  <c r="BU170" i="11"/>
  <c r="BO197" i="11"/>
  <c r="BO198" i="11" s="1"/>
  <c r="BS200" i="3"/>
  <c r="BS198" i="3"/>
  <c r="BP43" i="11"/>
  <c r="BP44" i="11" s="1"/>
  <c r="BP121" i="11"/>
  <c r="BO176" i="11"/>
  <c r="BU160" i="11"/>
  <c r="BU161" i="11" s="1"/>
  <c r="BU16" i="11"/>
  <c r="BU17" i="11" s="1"/>
  <c r="BU18" i="11" s="1"/>
  <c r="BN198" i="11"/>
  <c r="BP115" i="11"/>
  <c r="CQ85" i="11" l="1"/>
  <c r="BV13" i="11"/>
  <c r="BU186" i="11"/>
  <c r="BV185" i="11" s="1"/>
  <c r="BT192" i="3"/>
  <c r="BT264" i="3"/>
  <c r="BT265" i="3" s="1"/>
  <c r="BT128" i="3"/>
  <c r="BQ113" i="11"/>
  <c r="BP123" i="11"/>
  <c r="BP127" i="11" s="1"/>
  <c r="BP196" i="11" s="1"/>
  <c r="BU19" i="11"/>
  <c r="BR45" i="11"/>
  <c r="BU263" i="3"/>
  <c r="BV211" i="11"/>
  <c r="BV213" i="11" s="1"/>
  <c r="BV221" i="11" s="1"/>
  <c r="BV222" i="11" s="1"/>
  <c r="BP116" i="11"/>
  <c r="BV167" i="11"/>
  <c r="BU174" i="11"/>
  <c r="BU188" i="11"/>
  <c r="BU171" i="11"/>
  <c r="BU162" i="11"/>
  <c r="BU172" i="11" s="1"/>
  <c r="BP45" i="11"/>
  <c r="BV159" i="11"/>
  <c r="BV160" i="11" s="1"/>
  <c r="BV161" i="11" s="1"/>
  <c r="BU140" i="11"/>
  <c r="BU141" i="11" s="1"/>
  <c r="BU142" i="11" s="1"/>
  <c r="BU187" i="11" l="1"/>
  <c r="BV171" i="11"/>
  <c r="BV162" i="11"/>
  <c r="BV172" i="11" s="1"/>
  <c r="BV138" i="11"/>
  <c r="BT208" i="3"/>
  <c r="BT207" i="3"/>
  <c r="BP197" i="11"/>
  <c r="BP198" i="11" s="1"/>
  <c r="BQ115" i="11"/>
  <c r="BV188" i="11"/>
  <c r="BV262" i="3"/>
  <c r="BW211" i="11" s="1"/>
  <c r="BU121" i="3"/>
  <c r="BT194" i="3"/>
  <c r="BT195" i="3" s="1"/>
  <c r="BT139" i="3"/>
  <c r="BT175" i="3" s="1"/>
  <c r="BV16" i="11"/>
  <c r="BU143" i="11"/>
  <c r="BW156" i="11"/>
  <c r="BV170" i="11"/>
  <c r="BW167" i="11" s="1"/>
  <c r="BP118" i="11"/>
  <c r="BP125" i="11" s="1"/>
  <c r="BP178" i="11" s="1"/>
  <c r="BP119" i="11"/>
  <c r="BP126" i="11" s="1"/>
  <c r="BP179" i="11" s="1"/>
  <c r="BQ121" i="11"/>
  <c r="BP176" i="11"/>
  <c r="BT200" i="3"/>
  <c r="BT198" i="3"/>
  <c r="BP207" i="11" l="1"/>
  <c r="BQ123" i="11"/>
  <c r="BQ127" i="11" s="1"/>
  <c r="BQ196" i="11" s="1"/>
  <c r="BR113" i="11"/>
  <c r="BV140" i="11"/>
  <c r="BV141" i="11" s="1"/>
  <c r="BV142" i="11" s="1"/>
  <c r="BW13" i="11"/>
  <c r="BQ116" i="11"/>
  <c r="BV174" i="11"/>
  <c r="BW159" i="11"/>
  <c r="BV17" i="11"/>
  <c r="BV18" i="11" s="1"/>
  <c r="BV186" i="11"/>
  <c r="BU128" i="3"/>
  <c r="BU264" i="3"/>
  <c r="BU265" i="3" s="1"/>
  <c r="BU192" i="3"/>
  <c r="BW185" i="11" l="1"/>
  <c r="BV187" i="11"/>
  <c r="BU200" i="3"/>
  <c r="BU198" i="3"/>
  <c r="BX159" i="11"/>
  <c r="BY156" i="11" s="1"/>
  <c r="BW170" i="11"/>
  <c r="BY167" i="11" s="1"/>
  <c r="BR115" i="11"/>
  <c r="BR116" i="11" s="1"/>
  <c r="BW16" i="11"/>
  <c r="BQ197" i="11"/>
  <c r="BS197" i="11" s="1"/>
  <c r="BS196" i="11"/>
  <c r="BV19" i="11"/>
  <c r="BV179" i="11" s="1"/>
  <c r="BU139" i="3"/>
  <c r="BU175" i="3" s="1"/>
  <c r="BU194" i="3"/>
  <c r="BU195" i="3" s="1"/>
  <c r="BW160" i="11"/>
  <c r="BW161" i="11" s="1"/>
  <c r="BQ118" i="11"/>
  <c r="BQ125" i="11" s="1"/>
  <c r="BQ178" i="11" s="1"/>
  <c r="BW138" i="11"/>
  <c r="BU208" i="3"/>
  <c r="BU207" i="3"/>
  <c r="BR121" i="11"/>
  <c r="BQ176" i="11"/>
  <c r="BR118" i="11" l="1"/>
  <c r="BR125" i="11" s="1"/>
  <c r="BR178" i="11" s="1"/>
  <c r="BR207" i="11" s="1"/>
  <c r="BR119" i="11"/>
  <c r="BR126" i="11" s="1"/>
  <c r="BR179" i="11" s="1"/>
  <c r="BS179" i="11" s="1"/>
  <c r="BY159" i="11"/>
  <c r="BY170" i="11" s="1"/>
  <c r="BY174" i="11" s="1"/>
  <c r="BS198" i="11"/>
  <c r="BQ198" i="11"/>
  <c r="BS115" i="11"/>
  <c r="BT113" i="11" s="1"/>
  <c r="BR123" i="11"/>
  <c r="BW171" i="11"/>
  <c r="BW162" i="11"/>
  <c r="BW172" i="11" s="1"/>
  <c r="BX16" i="11"/>
  <c r="BY13" i="11" s="1"/>
  <c r="BW140" i="11"/>
  <c r="BW17" i="11"/>
  <c r="BW18" i="11" s="1"/>
  <c r="BQ207" i="11"/>
  <c r="BX170" i="11"/>
  <c r="BW174" i="11"/>
  <c r="BW196" i="11" s="1"/>
  <c r="BW188" i="11"/>
  <c r="BS207" i="11" l="1"/>
  <c r="BS178" i="11"/>
  <c r="BY160" i="11"/>
  <c r="BY161" i="11" s="1"/>
  <c r="BY162" i="11" s="1"/>
  <c r="BY172" i="11" s="1"/>
  <c r="BY16" i="11"/>
  <c r="BX188" i="11"/>
  <c r="BV42" i="3"/>
  <c r="BV43" i="3" s="1"/>
  <c r="BW197" i="11"/>
  <c r="BW198" i="11" s="1"/>
  <c r="BZ156" i="11"/>
  <c r="BZ167" i="11"/>
  <c r="BW19" i="11"/>
  <c r="BX140" i="11"/>
  <c r="BY138" i="11" s="1"/>
  <c r="BV207" i="3"/>
  <c r="BV208" i="3"/>
  <c r="BT121" i="11"/>
  <c r="BS123" i="11"/>
  <c r="BS176" i="11" s="1"/>
  <c r="BS204" i="11" s="1"/>
  <c r="BR176" i="11"/>
  <c r="BW141" i="11"/>
  <c r="BW142" i="11" s="1"/>
  <c r="BT115" i="11"/>
  <c r="BY171" i="11" l="1"/>
  <c r="BY140" i="11"/>
  <c r="BY17" i="11"/>
  <c r="BY18" i="11" s="1"/>
  <c r="BX203" i="3"/>
  <c r="BX204" i="3"/>
  <c r="BU113" i="11"/>
  <c r="BT123" i="11"/>
  <c r="BT127" i="11" s="1"/>
  <c r="BT196" i="11" s="1"/>
  <c r="BT116" i="11"/>
  <c r="BW208" i="3"/>
  <c r="BW207" i="3"/>
  <c r="BW143" i="11"/>
  <c r="BX142" i="11"/>
  <c r="BZ159" i="11"/>
  <c r="BZ160" i="11" s="1"/>
  <c r="BZ161" i="11" s="1"/>
  <c r="BY19" i="11" l="1"/>
  <c r="BY179" i="11" s="1"/>
  <c r="BX208" i="3"/>
  <c r="BX207" i="3"/>
  <c r="BY141" i="11"/>
  <c r="BY142" i="11" s="1"/>
  <c r="BZ171" i="11"/>
  <c r="BZ162" i="11"/>
  <c r="BZ172" i="11" s="1"/>
  <c r="BU115" i="11"/>
  <c r="BU116" i="11" s="1"/>
  <c r="BZ138" i="11"/>
  <c r="BT118" i="11"/>
  <c r="BT125" i="11" s="1"/>
  <c r="BT178" i="11" s="1"/>
  <c r="BZ13" i="11"/>
  <c r="CA156" i="11"/>
  <c r="BZ170" i="11"/>
  <c r="BT197" i="11"/>
  <c r="BT198" i="11" s="1"/>
  <c r="BU121" i="11"/>
  <c r="BT176" i="11"/>
  <c r="BU118" i="11" l="1"/>
  <c r="BU125" i="11" s="1"/>
  <c r="BU178" i="11" s="1"/>
  <c r="BU207" i="11" s="1"/>
  <c r="BU119" i="11"/>
  <c r="BU126" i="11" s="1"/>
  <c r="BU179" i="11" s="1"/>
  <c r="CA167" i="11"/>
  <c r="BZ174" i="11"/>
  <c r="BZ16" i="11"/>
  <c r="BZ17" i="11" s="1"/>
  <c r="BZ18" i="11" s="1"/>
  <c r="BZ140" i="11"/>
  <c r="CA138" i="11" s="1"/>
  <c r="BU123" i="11"/>
  <c r="BV113" i="11"/>
  <c r="CA159" i="11"/>
  <c r="CA160" i="11" s="1"/>
  <c r="CA161" i="11" s="1"/>
  <c r="BT207" i="11"/>
  <c r="CA171" i="11" l="1"/>
  <c r="CA162" i="11"/>
  <c r="CA172" i="11" s="1"/>
  <c r="BZ19" i="11"/>
  <c r="BV115" i="11"/>
  <c r="BV121" i="11"/>
  <c r="BU176" i="11"/>
  <c r="CA13" i="11"/>
  <c r="CA140" i="11"/>
  <c r="CB138" i="11" s="1"/>
  <c r="CB156" i="11"/>
  <c r="CA170" i="11"/>
  <c r="CB167" i="11" s="1"/>
  <c r="BU127" i="11"/>
  <c r="BU196" i="11" s="1"/>
  <c r="BZ141" i="11"/>
  <c r="BZ142" i="11" s="1"/>
  <c r="CA141" i="11" l="1"/>
  <c r="CA142" i="11" s="1"/>
  <c r="CA174" i="11"/>
  <c r="BZ143" i="11"/>
  <c r="CB159" i="11"/>
  <c r="CB160" i="11" s="1"/>
  <c r="CB161" i="11" s="1"/>
  <c r="CA16" i="11"/>
  <c r="BV123" i="11"/>
  <c r="BV127" i="11" s="1"/>
  <c r="BV196" i="11" s="1"/>
  <c r="BW113" i="11"/>
  <c r="CB140" i="11"/>
  <c r="BU197" i="11"/>
  <c r="BU198" i="11" s="1"/>
  <c r="BV116" i="11"/>
  <c r="CC140" i="11" l="1"/>
  <c r="CD138" i="11" s="1"/>
  <c r="CD140" i="11" s="1"/>
  <c r="CE138" i="11" s="1"/>
  <c r="CA17" i="11"/>
  <c r="CA18" i="11" s="1"/>
  <c r="CB171" i="11"/>
  <c r="CB162" i="11"/>
  <c r="CB172" i="11" s="1"/>
  <c r="BV197" i="11"/>
  <c r="BV198" i="11" s="1"/>
  <c r="BX196" i="11"/>
  <c r="BW115" i="11"/>
  <c r="BW121" i="11"/>
  <c r="BV176" i="11"/>
  <c r="CB170" i="11"/>
  <c r="CC159" i="11"/>
  <c r="CD156" i="11" s="1"/>
  <c r="BV118" i="11"/>
  <c r="BV125" i="11" s="1"/>
  <c r="BV178" i="11" s="1"/>
  <c r="CB141" i="11"/>
  <c r="CB142" i="11" s="1"/>
  <c r="CB13" i="11"/>
  <c r="CA19" i="11" l="1"/>
  <c r="CA179" i="11" s="1"/>
  <c r="BX197" i="11"/>
  <c r="BX198" i="11" s="1"/>
  <c r="CD167" i="11"/>
  <c r="CC170" i="11"/>
  <c r="CB174" i="11"/>
  <c r="CB196" i="11" s="1"/>
  <c r="CE140" i="11"/>
  <c r="CF138" i="11" s="1"/>
  <c r="BW123" i="11"/>
  <c r="BX115" i="11"/>
  <c r="BY113" i="11" s="1"/>
  <c r="CB143" i="11"/>
  <c r="CC142" i="11"/>
  <c r="BW116" i="11"/>
  <c r="CB16" i="11"/>
  <c r="BV207" i="11"/>
  <c r="CD159" i="11"/>
  <c r="CD141" i="11"/>
  <c r="CD142" i="11" s="1"/>
  <c r="BY121" i="11" l="1"/>
  <c r="BW176" i="11"/>
  <c r="CB17" i="11"/>
  <c r="CB18" i="11" s="1"/>
  <c r="CB19" i="11" s="1"/>
  <c r="BY115" i="11"/>
  <c r="BY123" i="11" s="1"/>
  <c r="BY176" i="11" s="1"/>
  <c r="CE141" i="11"/>
  <c r="CE142" i="11" s="1"/>
  <c r="CE143" i="11" s="1"/>
  <c r="CD170" i="11"/>
  <c r="CE167" i="11" s="1"/>
  <c r="CE156" i="11"/>
  <c r="BW118" i="11"/>
  <c r="BW125" i="11" s="1"/>
  <c r="BW178" i="11" s="1"/>
  <c r="BW119" i="11"/>
  <c r="BW126" i="11" s="1"/>
  <c r="BW179" i="11" s="1"/>
  <c r="BX179" i="11" s="1"/>
  <c r="BX123" i="11"/>
  <c r="BX176" i="11" s="1"/>
  <c r="BX204" i="11" s="1"/>
  <c r="CC16" i="11"/>
  <c r="CD160" i="11"/>
  <c r="CD161" i="11" s="1"/>
  <c r="CF140" i="11"/>
  <c r="CG138" i="11" s="1"/>
  <c r="BY116" i="11" l="1"/>
  <c r="BY118" i="11" s="1"/>
  <c r="BY125" i="11" s="1"/>
  <c r="BY178" i="11" s="1"/>
  <c r="BY207" i="11" s="1"/>
  <c r="CD174" i="11"/>
  <c r="CF141" i="11"/>
  <c r="CF142" i="11" s="1"/>
  <c r="BY127" i="11"/>
  <c r="BY196" i="11" s="1"/>
  <c r="BY197" i="11" s="1"/>
  <c r="BY198" i="11" s="1"/>
  <c r="BZ113" i="11"/>
  <c r="BW207" i="11"/>
  <c r="BX207" i="11" s="1"/>
  <c r="BX178" i="11"/>
  <c r="CE159" i="11"/>
  <c r="CE160" i="11" s="1"/>
  <c r="CE161" i="11" s="1"/>
  <c r="CD171" i="11"/>
  <c r="CD162" i="11"/>
  <c r="CD172" i="11" s="1"/>
  <c r="CG140" i="11"/>
  <c r="CH140" i="11" s="1"/>
  <c r="CI138" i="11" s="1"/>
  <c r="CD13" i="11"/>
  <c r="CG141" i="11" l="1"/>
  <c r="CG142" i="11" s="1"/>
  <c r="CH142" i="11" s="1"/>
  <c r="CI140" i="11"/>
  <c r="CJ138" i="11" s="1"/>
  <c r="CE171" i="11"/>
  <c r="CE162" i="11"/>
  <c r="CE172" i="11" s="1"/>
  <c r="BZ121" i="11"/>
  <c r="CD16" i="11"/>
  <c r="CE170" i="11"/>
  <c r="CF156" i="11"/>
  <c r="BZ115" i="11"/>
  <c r="BZ116" i="11" s="1"/>
  <c r="BZ118" i="11" s="1"/>
  <c r="BZ125" i="11" s="1"/>
  <c r="BZ178" i="11" s="1"/>
  <c r="BZ207" i="11" s="1"/>
  <c r="CD17" i="11" l="1"/>
  <c r="CD18" i="11" s="1"/>
  <c r="CD19" i="11" s="1"/>
  <c r="CD179" i="11" s="1"/>
  <c r="CG143" i="11"/>
  <c r="CF167" i="11"/>
  <c r="CE174" i="11"/>
  <c r="BZ119" i="11"/>
  <c r="BZ126" i="11" s="1"/>
  <c r="BZ179" i="11" s="1"/>
  <c r="CJ140" i="11"/>
  <c r="CK138" i="11" s="1"/>
  <c r="CA113" i="11"/>
  <c r="BZ123" i="11"/>
  <c r="BZ127" i="11" s="1"/>
  <c r="BZ196" i="11" s="1"/>
  <c r="CE13" i="11"/>
  <c r="CF159" i="11"/>
  <c r="CI141" i="11"/>
  <c r="CI142" i="11" s="1"/>
  <c r="CJ141" i="11" l="1"/>
  <c r="CJ142" i="11" s="1"/>
  <c r="CJ143" i="11" s="1"/>
  <c r="CF170" i="11"/>
  <c r="CG167" i="11" s="1"/>
  <c r="CG156" i="11"/>
  <c r="CA115" i="11"/>
  <c r="CA116" i="11" s="1"/>
  <c r="CE16" i="11"/>
  <c r="CF160" i="11"/>
  <c r="CF161" i="11" s="1"/>
  <c r="CA121" i="11"/>
  <c r="BZ176" i="11"/>
  <c r="BY190" i="3" s="1"/>
  <c r="CK140" i="11"/>
  <c r="CL138" i="11" s="1"/>
  <c r="CF174" i="11"/>
  <c r="CA118" i="11" l="1"/>
  <c r="CA125" i="11" s="1"/>
  <c r="CA178" i="11" s="1"/>
  <c r="CF13" i="11"/>
  <c r="CL140" i="11"/>
  <c r="CM140" i="11" s="1"/>
  <c r="CN138" i="11" s="1"/>
  <c r="CF171" i="11"/>
  <c r="CF162" i="11"/>
  <c r="CF172" i="11" s="1"/>
  <c r="CA123" i="11"/>
  <c r="CA176" i="11" s="1"/>
  <c r="CB113" i="11"/>
  <c r="CK141" i="11"/>
  <c r="CK142" i="11" s="1"/>
  <c r="CG159" i="11"/>
  <c r="BZ197" i="11"/>
  <c r="BY191" i="3"/>
  <c r="CE17" i="11"/>
  <c r="CE18" i="11" s="1"/>
  <c r="CN140" i="11" l="1"/>
  <c r="CO138" i="11" s="1"/>
  <c r="CL141" i="11"/>
  <c r="CL142" i="11" s="1"/>
  <c r="CM142" i="11" s="1"/>
  <c r="BZ198" i="11"/>
  <c r="CB115" i="11"/>
  <c r="CB116" i="11" s="1"/>
  <c r="CH159" i="11"/>
  <c r="CI156" i="11" s="1"/>
  <c r="CG170" i="11"/>
  <c r="CB121" i="11"/>
  <c r="BZ190" i="3"/>
  <c r="CA127" i="11"/>
  <c r="CA196" i="11" s="1"/>
  <c r="CA207" i="11"/>
  <c r="CG160" i="11"/>
  <c r="CG161" i="11" s="1"/>
  <c r="CE19" i="11"/>
  <c r="CF16" i="11"/>
  <c r="CL143" i="11" l="1"/>
  <c r="CF17" i="11"/>
  <c r="CF18" i="11" s="1"/>
  <c r="CF19" i="11" s="1"/>
  <c r="CF179" i="11" s="1"/>
  <c r="CN141" i="11"/>
  <c r="CN142" i="11" s="1"/>
  <c r="CO140" i="11"/>
  <c r="CP138" i="11" s="1"/>
  <c r="CB118" i="11"/>
  <c r="CB125" i="11" s="1"/>
  <c r="CB178" i="11" s="1"/>
  <c r="CB119" i="11"/>
  <c r="CB126" i="11" s="1"/>
  <c r="CB179" i="11" s="1"/>
  <c r="CC179" i="11" s="1"/>
  <c r="CG162" i="11"/>
  <c r="CG172" i="11" s="1"/>
  <c r="CG171" i="11"/>
  <c r="CI167" i="11"/>
  <c r="CH170" i="11"/>
  <c r="CG174" i="11"/>
  <c r="CG196" i="11" s="1"/>
  <c r="CB259" i="3"/>
  <c r="CA197" i="11"/>
  <c r="CC196" i="11"/>
  <c r="CI159" i="11"/>
  <c r="CI160" i="11" s="1"/>
  <c r="CI161" i="11" s="1"/>
  <c r="CG13" i="11"/>
  <c r="CC115" i="11"/>
  <c r="CD113" i="11" s="1"/>
  <c r="CB123" i="11"/>
  <c r="CB176" i="11" s="1"/>
  <c r="BZ218" i="11"/>
  <c r="BZ219" i="11" s="1"/>
  <c r="BY257" i="3"/>
  <c r="CP140" i="11" l="1"/>
  <c r="CQ138" i="11" s="1"/>
  <c r="CO141" i="11"/>
  <c r="CO142" i="11" s="1"/>
  <c r="CI170" i="11"/>
  <c r="CJ167" i="11" s="1"/>
  <c r="CJ156" i="11"/>
  <c r="CB207" i="11"/>
  <c r="CC178" i="11"/>
  <c r="CC123" i="11"/>
  <c r="CD121" i="11"/>
  <c r="BZ191" i="3"/>
  <c r="CI171" i="11"/>
  <c r="CI162" i="11"/>
  <c r="CI172" i="11" s="1"/>
  <c r="CD115" i="11"/>
  <c r="CD116" i="11" s="1"/>
  <c r="CF259" i="3"/>
  <c r="CG16" i="11"/>
  <c r="CA198" i="11"/>
  <c r="CC176" i="11" l="1"/>
  <c r="CC204" i="11" s="1"/>
  <c r="CP141" i="11"/>
  <c r="CP142" i="11" s="1"/>
  <c r="CO143" i="11"/>
  <c r="CQ140" i="11"/>
  <c r="CR140" i="11" s="1"/>
  <c r="CI174" i="11"/>
  <c r="CD118" i="11"/>
  <c r="CD125" i="11" s="1"/>
  <c r="CD178" i="11" s="1"/>
  <c r="CE113" i="11"/>
  <c r="CD123" i="11"/>
  <c r="CA218" i="11"/>
  <c r="CA219" i="11" s="1"/>
  <c r="BZ257" i="3"/>
  <c r="CH16" i="11"/>
  <c r="CB197" i="11"/>
  <c r="CC207" i="11"/>
  <c r="CJ159" i="11"/>
  <c r="CJ160" i="11" s="1"/>
  <c r="CJ161" i="11" s="1"/>
  <c r="CG17" i="11"/>
  <c r="CG18" i="11" s="1"/>
  <c r="CD127" i="11" l="1"/>
  <c r="CD196" i="11" s="1"/>
  <c r="CC259" i="3" s="1"/>
  <c r="CD176" i="11"/>
  <c r="CD204" i="11" s="1"/>
  <c r="CC154" i="3" s="1"/>
  <c r="CC190" i="3" s="1"/>
  <c r="CQ141" i="11"/>
  <c r="CQ142" i="11" s="1"/>
  <c r="CQ143" i="11" s="1"/>
  <c r="CG19" i="11"/>
  <c r="CB43" i="3"/>
  <c r="CE121" i="11"/>
  <c r="CJ171" i="11"/>
  <c r="CJ162" i="11"/>
  <c r="CJ172" i="11" s="1"/>
  <c r="CB198" i="11"/>
  <c r="CC197" i="11"/>
  <c r="CC198" i="11" s="1"/>
  <c r="CE115" i="11"/>
  <c r="CJ170" i="11"/>
  <c r="CK156" i="11"/>
  <c r="CB154" i="3"/>
  <c r="CA190" i="3"/>
  <c r="CA191" i="3" s="1"/>
  <c r="CI13" i="11"/>
  <c r="CD207" i="11"/>
  <c r="CC43" i="3" s="1"/>
  <c r="CD197" i="11" l="1"/>
  <c r="CC255" i="3" s="1"/>
  <c r="CR142" i="11"/>
  <c r="CB190" i="3"/>
  <c r="CB191" i="3" s="1"/>
  <c r="CI16" i="11"/>
  <c r="CE123" i="11"/>
  <c r="CF113" i="11"/>
  <c r="CK159" i="11"/>
  <c r="CK160" i="11" s="1"/>
  <c r="CK161" i="11" s="1"/>
  <c r="CK167" i="11"/>
  <c r="CJ174" i="11"/>
  <c r="CE116" i="11"/>
  <c r="CB218" i="11"/>
  <c r="CB219" i="11" s="1"/>
  <c r="CA257" i="3"/>
  <c r="CB255" i="3"/>
  <c r="CE127" i="11" l="1"/>
  <c r="CE196" i="11" s="1"/>
  <c r="CD259" i="3" s="1"/>
  <c r="CE176" i="11"/>
  <c r="CE204" i="11" s="1"/>
  <c r="CD154" i="3" s="1"/>
  <c r="CD190" i="3" s="1"/>
  <c r="CI17" i="11"/>
  <c r="CI18" i="11" s="1"/>
  <c r="CD198" i="11"/>
  <c r="CC191" i="3"/>
  <c r="CB257" i="3"/>
  <c r="CK171" i="11"/>
  <c r="CK162" i="11"/>
  <c r="CK172" i="11" s="1"/>
  <c r="CF121" i="11"/>
  <c r="CE118" i="11"/>
  <c r="CE125" i="11" s="1"/>
  <c r="CE178" i="11" s="1"/>
  <c r="CE119" i="11"/>
  <c r="CE126" i="11" s="1"/>
  <c r="CE179" i="11" s="1"/>
  <c r="CD218" i="11"/>
  <c r="CD219" i="11" s="1"/>
  <c r="CC257" i="3"/>
  <c r="CI19" i="11"/>
  <c r="CI179" i="11" s="1"/>
  <c r="CL156" i="11"/>
  <c r="CK170" i="11"/>
  <c r="CL167" i="11" s="1"/>
  <c r="CF115" i="11"/>
  <c r="CF116" i="11" s="1"/>
  <c r="CJ13" i="11"/>
  <c r="CF118" i="11" l="1"/>
  <c r="CF125" i="11" s="1"/>
  <c r="CJ16" i="11"/>
  <c r="CL159" i="11"/>
  <c r="CL160" i="11" s="1"/>
  <c r="CL161" i="11" s="1"/>
  <c r="CE207" i="11"/>
  <c r="CD43" i="3" s="1"/>
  <c r="CE197" i="11"/>
  <c r="CF123" i="11"/>
  <c r="CG113" i="11"/>
  <c r="CK174" i="11"/>
  <c r="CF178" i="11" l="1"/>
  <c r="CF207" i="11" s="1"/>
  <c r="CE43" i="3" s="1"/>
  <c r="CF127" i="11"/>
  <c r="CF196" i="11" s="1"/>
  <c r="CH196" i="11" s="1"/>
  <c r="CF176" i="11"/>
  <c r="CF204" i="11" s="1"/>
  <c r="CE154" i="3" s="1"/>
  <c r="CE190" i="3" s="1"/>
  <c r="CJ17" i="11"/>
  <c r="CJ18" i="11" s="1"/>
  <c r="CD255" i="3"/>
  <c r="CE198" i="11"/>
  <c r="CL171" i="11"/>
  <c r="CL162" i="11"/>
  <c r="CL172" i="11" s="1"/>
  <c r="CK13" i="11"/>
  <c r="CJ19" i="11"/>
  <c r="CG115" i="11"/>
  <c r="CG116" i="11" s="1"/>
  <c r="CG121" i="11"/>
  <c r="CM159" i="11"/>
  <c r="CN156" i="11" s="1"/>
  <c r="CL170" i="11"/>
  <c r="CN167" i="11" s="1"/>
  <c r="CE259" i="3" l="1"/>
  <c r="CG259" i="3" s="1"/>
  <c r="CN159" i="11"/>
  <c r="CN160" i="11" s="1"/>
  <c r="CN161" i="11" s="1"/>
  <c r="CM170" i="11"/>
  <c r="CL174" i="11"/>
  <c r="CL196" i="11" s="1"/>
  <c r="CG123" i="11"/>
  <c r="CG176" i="11" s="1"/>
  <c r="CH115" i="11"/>
  <c r="CI113" i="11" s="1"/>
  <c r="CK16" i="11"/>
  <c r="CG118" i="11"/>
  <c r="CG125" i="11" s="1"/>
  <c r="CG178" i="11" s="1"/>
  <c r="CG119" i="11"/>
  <c r="CG126" i="11" s="1"/>
  <c r="CG179" i="11" s="1"/>
  <c r="CH179" i="11" s="1"/>
  <c r="CF197" i="11"/>
  <c r="CE218" i="11"/>
  <c r="CE219" i="11" s="1"/>
  <c r="CD257" i="3"/>
  <c r="CD191" i="3"/>
  <c r="CE191" i="3"/>
  <c r="CN171" i="11" l="1"/>
  <c r="CN162" i="11"/>
  <c r="CN172" i="11" s="1"/>
  <c r="CO156" i="11"/>
  <c r="CO159" i="11" s="1"/>
  <c r="CN170" i="11"/>
  <c r="CG207" i="11"/>
  <c r="CF43" i="3" s="1"/>
  <c r="CH178" i="11"/>
  <c r="CI115" i="11"/>
  <c r="CI116" i="11" s="1"/>
  <c r="CE255" i="3"/>
  <c r="CF198" i="11"/>
  <c r="CL13" i="11"/>
  <c r="CI121" i="11"/>
  <c r="CH123" i="11"/>
  <c r="CG204" i="11"/>
  <c r="CK17" i="11"/>
  <c r="CK18" i="11" s="1"/>
  <c r="CK259" i="3"/>
  <c r="CH176" i="11" l="1"/>
  <c r="CH204" i="11" s="1"/>
  <c r="CO167" i="11"/>
  <c r="CN174" i="11"/>
  <c r="CO160" i="11"/>
  <c r="CO161" i="11" s="1"/>
  <c r="CP156" i="11"/>
  <c r="CO170" i="11"/>
  <c r="CP167" i="11" s="1"/>
  <c r="CI118" i="11"/>
  <c r="CI125" i="11" s="1"/>
  <c r="CI178" i="11" s="1"/>
  <c r="CF154" i="3"/>
  <c r="CG197" i="11"/>
  <c r="CI123" i="11"/>
  <c r="CI176" i="11" s="1"/>
  <c r="CJ113" i="11"/>
  <c r="CK19" i="11"/>
  <c r="CK179" i="11" s="1"/>
  <c r="CL16" i="11"/>
  <c r="CF218" i="11"/>
  <c r="CF219" i="11" s="1"/>
  <c r="CE257" i="3"/>
  <c r="CH207" i="11"/>
  <c r="CI127" i="11" l="1"/>
  <c r="CI196" i="11" s="1"/>
  <c r="CH259" i="3" s="1"/>
  <c r="CP159" i="11"/>
  <c r="CO162" i="11"/>
  <c r="CO172" i="11" s="1"/>
  <c r="CO171" i="11"/>
  <c r="CO174" i="11"/>
  <c r="CF255" i="3"/>
  <c r="CG198" i="11"/>
  <c r="CH197" i="11"/>
  <c r="CH198" i="11" s="1"/>
  <c r="CG43" i="3"/>
  <c r="CG154" i="3"/>
  <c r="CF190" i="3"/>
  <c r="CF191" i="3" s="1"/>
  <c r="CM16" i="11"/>
  <c r="CL17" i="11"/>
  <c r="CL18" i="11" s="1"/>
  <c r="CJ115" i="11"/>
  <c r="CJ116" i="11" s="1"/>
  <c r="CJ121" i="11"/>
  <c r="CI204" i="11"/>
  <c r="CI207" i="11"/>
  <c r="CH43" i="3" s="1"/>
  <c r="CH154" i="3" l="1"/>
  <c r="CN13" i="11"/>
  <c r="CN16" i="11"/>
  <c r="CQ156" i="11"/>
  <c r="CQ159" i="11" s="1"/>
  <c r="CP170" i="11"/>
  <c r="CP160" i="11"/>
  <c r="CP161" i="11" s="1"/>
  <c r="CG190" i="3"/>
  <c r="CG191" i="3" s="1"/>
  <c r="CK113" i="11"/>
  <c r="CJ123" i="11"/>
  <c r="CJ176" i="11" s="1"/>
  <c r="CJ118" i="11"/>
  <c r="CJ125" i="11" s="1"/>
  <c r="CJ178" i="11" s="1"/>
  <c r="CJ119" i="11"/>
  <c r="CJ126" i="11" s="1"/>
  <c r="CJ179" i="11" s="1"/>
  <c r="CL19" i="11"/>
  <c r="CJ127" i="11"/>
  <c r="CJ196" i="11" s="1"/>
  <c r="CI197" i="11"/>
  <c r="CG218" i="11"/>
  <c r="CG219" i="11" s="1"/>
  <c r="CF257" i="3"/>
  <c r="CG255" i="3"/>
  <c r="CH190" i="3" l="1"/>
  <c r="CH191" i="3" s="1"/>
  <c r="CN17" i="11"/>
  <c r="CN18" i="11" s="1"/>
  <c r="CP171" i="11"/>
  <c r="CP162" i="11"/>
  <c r="CP172" i="11" s="1"/>
  <c r="CQ160" i="11"/>
  <c r="CQ161" i="11" s="1"/>
  <c r="CQ170" i="11"/>
  <c r="CR170" i="11" s="1"/>
  <c r="CR159" i="11"/>
  <c r="CN19" i="11"/>
  <c r="CN179" i="11" s="1"/>
  <c r="CP174" i="11"/>
  <c r="CQ167" i="11"/>
  <c r="CO13" i="11"/>
  <c r="CO16" i="11" s="1"/>
  <c r="CG257" i="3"/>
  <c r="CK121" i="11"/>
  <c r="CJ204" i="11"/>
  <c r="CI154" i="3" s="1"/>
  <c r="CI190" i="3" s="1"/>
  <c r="CH255" i="3"/>
  <c r="CI198" i="11"/>
  <c r="CK115" i="11"/>
  <c r="CK116" i="11" s="1"/>
  <c r="CJ207" i="11"/>
  <c r="CI43" i="3" s="1"/>
  <c r="CI259" i="3"/>
  <c r="CO17" i="11" l="1"/>
  <c r="CO18" i="11" s="1"/>
  <c r="CP13" i="11"/>
  <c r="CQ174" i="11"/>
  <c r="CQ196" i="11" s="1"/>
  <c r="CQ171" i="11"/>
  <c r="CQ162" i="11"/>
  <c r="CQ172" i="11" s="1"/>
  <c r="CJ197" i="11"/>
  <c r="CI255" i="3" s="1"/>
  <c r="CI257" i="3" s="1"/>
  <c r="CK123" i="11"/>
  <c r="CL113" i="11"/>
  <c r="CI218" i="11"/>
  <c r="CI219" i="11" s="1"/>
  <c r="CH257" i="3"/>
  <c r="CK118" i="11"/>
  <c r="CK125" i="11" s="1"/>
  <c r="CK178" i="11" s="1"/>
  <c r="CK127" i="11" l="1"/>
  <c r="CK196" i="11" s="1"/>
  <c r="CJ259" i="3" s="1"/>
  <c r="CL259" i="3" s="1"/>
  <c r="CK176" i="11"/>
  <c r="CK204" i="11" s="1"/>
  <c r="CJ154" i="3" s="1"/>
  <c r="CJ190" i="3" s="1"/>
  <c r="CP259" i="3"/>
  <c r="CP16" i="11"/>
  <c r="CO19" i="11"/>
  <c r="CJ218" i="11"/>
  <c r="CJ219" i="11" s="1"/>
  <c r="CJ198" i="11"/>
  <c r="CL115" i="11"/>
  <c r="CK207" i="11"/>
  <c r="CJ43" i="3" s="1"/>
  <c r="CL121" i="11"/>
  <c r="CI191" i="3"/>
  <c r="CM196" i="11" l="1"/>
  <c r="CQ13" i="11"/>
  <c r="CP17" i="11"/>
  <c r="CP18" i="11" s="1"/>
  <c r="CM115" i="11"/>
  <c r="CN113" i="11" s="1"/>
  <c r="CL123" i="11"/>
  <c r="CK197" i="11"/>
  <c r="CL116" i="11"/>
  <c r="CN121" i="11" l="1"/>
  <c r="CL176" i="11"/>
  <c r="CL204" i="11" s="1"/>
  <c r="CN115" i="11"/>
  <c r="CN116" i="11" s="1"/>
  <c r="CP19" i="11"/>
  <c r="CP179" i="11" s="1"/>
  <c r="CQ16" i="11"/>
  <c r="CL118" i="11"/>
  <c r="CL125" i="11" s="1"/>
  <c r="CL178" i="11" s="1"/>
  <c r="CL119" i="11"/>
  <c r="CL126" i="11" s="1"/>
  <c r="CL179" i="11" s="1"/>
  <c r="CM179" i="11" s="1"/>
  <c r="CJ255" i="3"/>
  <c r="CK198" i="11"/>
  <c r="CM123" i="11"/>
  <c r="CJ191" i="3"/>
  <c r="CM176" i="11" l="1"/>
  <c r="CM204" i="11" s="1"/>
  <c r="CQ17" i="11"/>
  <c r="CQ18" i="11" s="1"/>
  <c r="CQ19" i="11"/>
  <c r="CN118" i="11"/>
  <c r="CN125" i="11" s="1"/>
  <c r="CN178" i="11" s="1"/>
  <c r="CR16" i="11"/>
  <c r="CO113" i="11"/>
  <c r="CN123" i="11"/>
  <c r="CN176" i="11" s="1"/>
  <c r="CK154" i="3"/>
  <c r="CL197" i="11"/>
  <c r="CK218" i="11"/>
  <c r="CK219" i="11" s="1"/>
  <c r="CJ257" i="3"/>
  <c r="CL207" i="11"/>
  <c r="CK43" i="3" s="1"/>
  <c r="CM178" i="11"/>
  <c r="CO115" i="11" l="1"/>
  <c r="CN207" i="11"/>
  <c r="CM43" i="3" s="1"/>
  <c r="CO121" i="11"/>
  <c r="CN204" i="11"/>
  <c r="CM154" i="3" s="1"/>
  <c r="CM190" i="3" s="1"/>
  <c r="CN127" i="11"/>
  <c r="CN196" i="11" s="1"/>
  <c r="CK255" i="3"/>
  <c r="CL198" i="11"/>
  <c r="CM197" i="11"/>
  <c r="CM198" i="11" s="1"/>
  <c r="CM207" i="11"/>
  <c r="CL154" i="3"/>
  <c r="CK190" i="3"/>
  <c r="CM259" i="3" l="1"/>
  <c r="CN197" i="11"/>
  <c r="CN198" i="11" s="1"/>
  <c r="CO123" i="11"/>
  <c r="CO176" i="11" s="1"/>
  <c r="CP113" i="11"/>
  <c r="CO116" i="11"/>
  <c r="CL190" i="3"/>
  <c r="CK191" i="3"/>
  <c r="CL43" i="3"/>
  <c r="CL218" i="11"/>
  <c r="CL219" i="11" s="1"/>
  <c r="CK257" i="3"/>
  <c r="CL255" i="3"/>
  <c r="CO118" i="11" l="1"/>
  <c r="CO125" i="11" s="1"/>
  <c r="CO178" i="11" s="1"/>
  <c r="CO119" i="11"/>
  <c r="CO126" i="11" s="1"/>
  <c r="CO179" i="11" s="1"/>
  <c r="CP121" i="11"/>
  <c r="CO204" i="11"/>
  <c r="CN154" i="3" s="1"/>
  <c r="CN190" i="3" s="1"/>
  <c r="CP115" i="11"/>
  <c r="CP116" i="11" s="1"/>
  <c r="CO127" i="11"/>
  <c r="CO196" i="11" s="1"/>
  <c r="CM255" i="3"/>
  <c r="CM191" i="3"/>
  <c r="CL191" i="3"/>
  <c r="CL257" i="3"/>
  <c r="CN218" i="11" l="1"/>
  <c r="CN219" i="11" s="1"/>
  <c r="CM257" i="3"/>
  <c r="CN259" i="3"/>
  <c r="CO197" i="11"/>
  <c r="CO198" i="11" s="1"/>
  <c r="CQ113" i="11"/>
  <c r="CP123" i="11"/>
  <c r="CP118" i="11"/>
  <c r="CP125" i="11" s="1"/>
  <c r="CO207" i="11"/>
  <c r="CN43" i="3" s="1"/>
  <c r="AX234" i="3"/>
  <c r="CP178" i="11" l="1"/>
  <c r="CP207" i="11" s="1"/>
  <c r="CO43" i="3" s="1"/>
  <c r="CP127" i="11"/>
  <c r="CP196" i="11" s="1"/>
  <c r="CR196" i="11" s="1"/>
  <c r="CP176" i="11"/>
  <c r="CP204" i="11" s="1"/>
  <c r="CO154" i="3" s="1"/>
  <c r="CO190" i="3" s="1"/>
  <c r="CQ121" i="11"/>
  <c r="CQ115" i="11"/>
  <c r="CQ116" i="11" s="1"/>
  <c r="CN255" i="3"/>
  <c r="BC234" i="3"/>
  <c r="N38" i="10"/>
  <c r="CO191" i="3" l="1"/>
  <c r="CO259" i="3"/>
  <c r="CQ259" i="3" s="1"/>
  <c r="J43" i="10"/>
  <c r="J27" i="10"/>
  <c r="J45" i="10"/>
  <c r="J26" i="10"/>
  <c r="J48" i="10"/>
  <c r="J25" i="10"/>
  <c r="J34" i="10"/>
  <c r="J53" i="10"/>
  <c r="J37" i="10"/>
  <c r="J40" i="10"/>
  <c r="J24" i="10"/>
  <c r="J42" i="10"/>
  <c r="J23" i="10"/>
  <c r="K23" i="10" s="1"/>
  <c r="J38" i="10"/>
  <c r="J28" i="10"/>
  <c r="J47" i="10"/>
  <c r="J49" i="10"/>
  <c r="J33" i="10"/>
  <c r="J55" i="10"/>
  <c r="AM104" i="3"/>
  <c r="AM105" i="3"/>
  <c r="J54" i="10"/>
  <c r="J35" i="10"/>
  <c r="J50" i="10"/>
  <c r="J41" i="10"/>
  <c r="J46" i="10"/>
  <c r="J30" i="10"/>
  <c r="J52" i="10"/>
  <c r="J29" i="10"/>
  <c r="J51" i="10"/>
  <c r="J32" i="10"/>
  <c r="J44" i="10"/>
  <c r="J39" i="10"/>
  <c r="J31" i="10"/>
  <c r="M37" i="10"/>
  <c r="M43" i="10"/>
  <c r="M33" i="10"/>
  <c r="J36" i="10"/>
  <c r="M35" i="10"/>
  <c r="N37" i="10"/>
  <c r="O37" i="10" s="1"/>
  <c r="CQ118" i="11"/>
  <c r="CQ125" i="11" s="1"/>
  <c r="CQ178" i="11" s="1"/>
  <c r="CQ119" i="11"/>
  <c r="CQ126" i="11" s="1"/>
  <c r="CQ179" i="11" s="1"/>
  <c r="CR179" i="11" s="1"/>
  <c r="CO218" i="11"/>
  <c r="CO219" i="11" s="1"/>
  <c r="CN257" i="3"/>
  <c r="CR115" i="11"/>
  <c r="CQ123" i="11"/>
  <c r="CQ176" i="11" s="1"/>
  <c r="CP197" i="11"/>
  <c r="CN191" i="3"/>
  <c r="M31" i="10"/>
  <c r="M39" i="10"/>
  <c r="M26" i="10"/>
  <c r="M40" i="10"/>
  <c r="M41" i="10"/>
  <c r="M32" i="10"/>
  <c r="M49" i="10"/>
  <c r="M27" i="10"/>
  <c r="M38" i="10"/>
  <c r="M28" i="10"/>
  <c r="M42" i="10"/>
  <c r="K41" i="10" l="1"/>
  <c r="K46" i="10"/>
  <c r="K49" i="10"/>
  <c r="K35" i="10"/>
  <c r="K53" i="10"/>
  <c r="K34" i="10"/>
  <c r="K48" i="10"/>
  <c r="K44" i="10"/>
  <c r="K51" i="10"/>
  <c r="K54" i="10"/>
  <c r="K31" i="10"/>
  <c r="K55" i="10"/>
  <c r="K50" i="10"/>
  <c r="K24" i="10"/>
  <c r="K29" i="10"/>
  <c r="X54" i="10"/>
  <c r="K28" i="10"/>
  <c r="K32" i="10"/>
  <c r="K38" i="10"/>
  <c r="J89" i="10"/>
  <c r="K40" i="10"/>
  <c r="K45" i="10"/>
  <c r="K37" i="10"/>
  <c r="Y55" i="10"/>
  <c r="AA55" i="10" s="1"/>
  <c r="AN104" i="3"/>
  <c r="AN105" i="3"/>
  <c r="K25" i="10"/>
  <c r="M34" i="10"/>
  <c r="K27" i="10"/>
  <c r="K39" i="10"/>
  <c r="K33" i="10"/>
  <c r="K30" i="10"/>
  <c r="J87" i="10"/>
  <c r="J88" i="10"/>
  <c r="AX105" i="3"/>
  <c r="K42" i="10"/>
  <c r="K52" i="10"/>
  <c r="X55" i="10"/>
  <c r="Y54" i="10"/>
  <c r="AA54" i="10" s="1"/>
  <c r="AS104" i="3"/>
  <c r="AS105" i="3"/>
  <c r="Y104" i="3"/>
  <c r="Y105" i="3"/>
  <c r="R105" i="3"/>
  <c r="R104" i="3"/>
  <c r="M104" i="3"/>
  <c r="M105" i="3"/>
  <c r="N105" i="3"/>
  <c r="N104" i="3"/>
  <c r="AJ104" i="3"/>
  <c r="AJ105" i="3"/>
  <c r="BA105" i="3"/>
  <c r="BA104" i="3"/>
  <c r="AP104" i="3"/>
  <c r="AP105" i="3"/>
  <c r="AU104" i="3"/>
  <c r="AU105" i="3"/>
  <c r="AR104" i="3"/>
  <c r="AR105" i="3"/>
  <c r="Z105" i="3"/>
  <c r="Z104" i="3"/>
  <c r="AA105" i="3"/>
  <c r="AA104" i="3"/>
  <c r="AB104" i="3"/>
  <c r="AB105" i="3"/>
  <c r="O105" i="3"/>
  <c r="O104" i="3"/>
  <c r="BH104" i="3"/>
  <c r="BH105" i="3"/>
  <c r="AD104" i="3"/>
  <c r="AD105" i="3"/>
  <c r="K104" i="3"/>
  <c r="K105" i="3"/>
  <c r="Q105" i="3"/>
  <c r="Q104" i="3"/>
  <c r="U104" i="3"/>
  <c r="U105" i="3"/>
  <c r="AG104" i="3"/>
  <c r="AG105" i="3"/>
  <c r="AW104" i="3"/>
  <c r="AW105" i="3"/>
  <c r="BF104" i="3"/>
  <c r="BF105" i="3"/>
  <c r="BG104" i="3"/>
  <c r="BG105" i="3"/>
  <c r="AZ104" i="3"/>
  <c r="AZ105" i="3"/>
  <c r="BE104" i="3"/>
  <c r="BE105" i="3"/>
  <c r="BJ104" i="3"/>
  <c r="BJ105" i="3"/>
  <c r="K26" i="10"/>
  <c r="AI105" i="3"/>
  <c r="AI104" i="3"/>
  <c r="P104" i="3"/>
  <c r="P105" i="3"/>
  <c r="V104" i="3"/>
  <c r="V105" i="3"/>
  <c r="J85" i="10"/>
  <c r="K47" i="10"/>
  <c r="BK104" i="3"/>
  <c r="BK105" i="3"/>
  <c r="BD104" i="3"/>
  <c r="BD105" i="3"/>
  <c r="AC104" i="3"/>
  <c r="AC105" i="3"/>
  <c r="W104" i="3"/>
  <c r="W105" i="3"/>
  <c r="X104" i="3"/>
  <c r="X105" i="3"/>
  <c r="AO104" i="3"/>
  <c r="AO105" i="3"/>
  <c r="AK105" i="3"/>
  <c r="AK104" i="3"/>
  <c r="BB104" i="3"/>
  <c r="BB105" i="3"/>
  <c r="AY105" i="3"/>
  <c r="AY104" i="3"/>
  <c r="AV104" i="3"/>
  <c r="AV105" i="3"/>
  <c r="T104" i="3"/>
  <c r="T105" i="3"/>
  <c r="BC104" i="3"/>
  <c r="BC105" i="3"/>
  <c r="L105" i="3"/>
  <c r="L104" i="3"/>
  <c r="S104" i="3"/>
  <c r="S105" i="3"/>
  <c r="K43" i="10"/>
  <c r="AQ104" i="3"/>
  <c r="AQ105" i="3"/>
  <c r="AH104" i="3"/>
  <c r="AH105" i="3"/>
  <c r="AE105" i="3"/>
  <c r="AE104" i="3"/>
  <c r="AF104" i="3"/>
  <c r="AF105" i="3"/>
  <c r="AT104" i="3"/>
  <c r="AT105" i="3"/>
  <c r="AL104" i="3"/>
  <c r="AL105" i="3"/>
  <c r="M44" i="10"/>
  <c r="J84" i="10"/>
  <c r="J86" i="10"/>
  <c r="M36" i="10"/>
  <c r="O38" i="10"/>
  <c r="K36" i="10"/>
  <c r="J83" i="10"/>
  <c r="N39" i="10"/>
  <c r="O39" i="10" s="1"/>
  <c r="M30" i="10"/>
  <c r="CO255" i="3"/>
  <c r="CP198" i="11"/>
  <c r="CR123" i="11"/>
  <c r="CQ204" i="11"/>
  <c r="CQ207" i="11"/>
  <c r="CP43" i="3" s="1"/>
  <c r="CR178" i="11"/>
  <c r="M63" i="10"/>
  <c r="M59" i="10"/>
  <c r="BR22" i="2"/>
  <c r="M47" i="10"/>
  <c r="BC22" i="2"/>
  <c r="BC156" i="2" s="1"/>
  <c r="M51" i="10"/>
  <c r="M48" i="10"/>
  <c r="M53" i="10"/>
  <c r="M57" i="10"/>
  <c r="M61" i="10"/>
  <c r="BH22" i="2"/>
  <c r="BH156" i="2" s="1"/>
  <c r="M50" i="10"/>
  <c r="M58" i="10"/>
  <c r="M52" i="10"/>
  <c r="M45" i="10"/>
  <c r="M46" i="10"/>
  <c r="M55" i="10"/>
  <c r="M56" i="10"/>
  <c r="AX22" i="2"/>
  <c r="AX156" i="2" s="1"/>
  <c r="M60" i="10"/>
  <c r="CA103" i="2"/>
  <c r="CR176" i="11" l="1"/>
  <c r="CR204" i="11" s="1"/>
  <c r="AX104" i="3"/>
  <c r="BI104" i="3"/>
  <c r="BI105" i="3"/>
  <c r="M29" i="10"/>
  <c r="CQ43" i="3"/>
  <c r="CR207" i="11"/>
  <c r="CP154" i="3"/>
  <c r="CQ197" i="11"/>
  <c r="CP218" i="11"/>
  <c r="CP219" i="11" s="1"/>
  <c r="CO257" i="3"/>
  <c r="M64" i="10"/>
  <c r="M65" i="10"/>
  <c r="M62" i="10"/>
  <c r="BW22" i="2"/>
  <c r="M54" i="10"/>
  <c r="BM22" i="2"/>
  <c r="CJ103" i="2"/>
  <c r="CE103" i="2"/>
  <c r="CF103" i="2"/>
  <c r="CK103" i="2"/>
  <c r="N40" i="10" l="1"/>
  <c r="O40" i="10" s="1"/>
  <c r="CP255" i="3"/>
  <c r="CQ198" i="11"/>
  <c r="CR197" i="11"/>
  <c r="CR198" i="11" s="1"/>
  <c r="CQ154" i="3"/>
  <c r="CP190" i="3"/>
  <c r="CP191" i="3" s="1"/>
  <c r="CB113" i="2" l="1"/>
  <c r="N41" i="10"/>
  <c r="O41" i="10" s="1"/>
  <c r="CQ190" i="3"/>
  <c r="CQ191" i="3" s="1"/>
  <c r="CQ218" i="11"/>
  <c r="CQ219" i="11" s="1"/>
  <c r="CP257" i="3"/>
  <c r="CQ255" i="3"/>
  <c r="CK116" i="2" l="1"/>
  <c r="CF116" i="2"/>
  <c r="CP116" i="2"/>
  <c r="N42" i="10"/>
  <c r="O42" i="10" s="1"/>
  <c r="CQ257" i="3"/>
  <c r="F19" i="34" l="1"/>
  <c r="V19" i="34" s="1"/>
  <c r="AA18" i="35"/>
  <c r="CP114" i="2"/>
  <c r="CP113" i="2" s="1"/>
  <c r="CP127" i="2"/>
  <c r="CF114" i="2"/>
  <c r="CF113" i="2" s="1"/>
  <c r="CF127" i="2"/>
  <c r="CF126" i="2" s="1"/>
  <c r="CK114" i="2"/>
  <c r="CK113" i="2" s="1"/>
  <c r="CK127" i="2"/>
  <c r="N43" i="10"/>
  <c r="O43" i="10" s="1"/>
  <c r="CF124" i="2" l="1"/>
  <c r="CK126" i="2"/>
  <c r="CK124" i="2" s="1"/>
  <c r="CP126" i="2"/>
  <c r="CP124" i="2" s="1"/>
  <c r="CB132" i="2"/>
  <c r="CC103" i="2"/>
  <c r="CH103" i="2" l="1"/>
  <c r="BY103" i="2"/>
  <c r="CB95" i="2"/>
  <c r="CG132" i="2"/>
  <c r="CM116" i="2" l="1"/>
  <c r="CH116" i="2"/>
  <c r="CC116" i="2"/>
  <c r="BZ218" i="3"/>
  <c r="BZ99" i="3"/>
  <c r="CD103" i="2"/>
  <c r="CG95" i="2"/>
  <c r="CB103" i="2"/>
  <c r="CB26" i="2"/>
  <c r="C19" i="34" l="1"/>
  <c r="S19" i="34" s="1"/>
  <c r="X18" i="35"/>
  <c r="CC114" i="2"/>
  <c r="CC113" i="2" s="1"/>
  <c r="CC127" i="2"/>
  <c r="CH114" i="2"/>
  <c r="CH113" i="2" s="1"/>
  <c r="CH127" i="2"/>
  <c r="CM114" i="2"/>
  <c r="CM113" i="2" s="1"/>
  <c r="CM127" i="2"/>
  <c r="U27" i="35"/>
  <c r="BY218" i="3"/>
  <c r="BY99" i="3"/>
  <c r="CL132" i="2"/>
  <c r="CG103" i="2"/>
  <c r="CG26" i="2"/>
  <c r="CH126" i="2" l="1"/>
  <c r="CM126" i="2"/>
  <c r="CC126" i="2"/>
  <c r="M66" i="10"/>
  <c r="M67" i="10"/>
  <c r="E2" i="10"/>
  <c r="T27" i="35"/>
  <c r="CB25" i="3"/>
  <c r="CE25" i="3"/>
  <c r="CI103" i="2"/>
  <c r="CL95" i="2"/>
  <c r="CL26" i="2"/>
  <c r="T39" i="9" l="1"/>
  <c r="T37" i="9" s="1"/>
  <c r="T45" i="9" s="1"/>
  <c r="T69" i="9" s="1"/>
  <c r="CM124" i="2"/>
  <c r="CC124" i="2"/>
  <c r="CH124" i="2"/>
  <c r="CB99" i="3"/>
  <c r="CA99" i="3"/>
  <c r="CB22" i="2"/>
  <c r="CA218" i="3"/>
  <c r="CB218" i="3" s="1"/>
  <c r="CB311" i="3" s="1"/>
  <c r="CB312" i="3" s="1"/>
  <c r="S27" i="35"/>
  <c r="CE218" i="3"/>
  <c r="CE99" i="3"/>
  <c r="CD25" i="3"/>
  <c r="CL103" i="2"/>
  <c r="E29" i="34" l="1"/>
  <c r="U29" i="34" s="1"/>
  <c r="Z27" i="35"/>
  <c r="T118" i="9"/>
  <c r="T124" i="9" s="1"/>
  <c r="CE116" i="2"/>
  <c r="CO116" i="2"/>
  <c r="CJ116" i="2"/>
  <c r="CN116" i="2"/>
  <c r="CN127" i="2" s="1"/>
  <c r="CI116" i="2"/>
  <c r="CD116" i="2"/>
  <c r="W27" i="35"/>
  <c r="CB306" i="3"/>
  <c r="CB308" i="3" s="1"/>
  <c r="V27" i="35"/>
  <c r="CB132" i="3"/>
  <c r="CG22" i="2"/>
  <c r="CD218" i="3"/>
  <c r="CD99" i="3"/>
  <c r="CC25" i="3"/>
  <c r="D29" i="34" l="1"/>
  <c r="T29" i="34" s="1"/>
  <c r="Y27" i="35"/>
  <c r="E19" i="34"/>
  <c r="U19" i="34" s="1"/>
  <c r="Z18" i="35"/>
  <c r="D19" i="34"/>
  <c r="T19" i="34" s="1"/>
  <c r="Y18" i="35"/>
  <c r="CN126" i="2"/>
  <c r="CJ114" i="2"/>
  <c r="CJ113" i="2" s="1"/>
  <c r="CJ127" i="2"/>
  <c r="CJ126" i="2" s="1"/>
  <c r="CJ124" i="2" s="1"/>
  <c r="CD114" i="2"/>
  <c r="CD113" i="2" s="1"/>
  <c r="CD127" i="2"/>
  <c r="CO114" i="2"/>
  <c r="CO113" i="2" s="1"/>
  <c r="CO127" i="2"/>
  <c r="CO126" i="2" s="1"/>
  <c r="CO124" i="2" s="1"/>
  <c r="CI114" i="2"/>
  <c r="CI113" i="2" s="1"/>
  <c r="CI127" i="2"/>
  <c r="CE114" i="2"/>
  <c r="CE113" i="2" s="1"/>
  <c r="CE127" i="2"/>
  <c r="CE126" i="2" s="1"/>
  <c r="CE124" i="2" s="1"/>
  <c r="CN114" i="2"/>
  <c r="CN113" i="2" s="1"/>
  <c r="CB309" i="3"/>
  <c r="CF25" i="3"/>
  <c r="CF99" i="3" s="1"/>
  <c r="CJ25" i="3"/>
  <c r="CC218" i="3"/>
  <c r="CC99" i="3"/>
  <c r="C29" i="34" l="1"/>
  <c r="S29" i="34" s="1"/>
  <c r="X27" i="35"/>
  <c r="F29" i="34"/>
  <c r="V29" i="34" s="1"/>
  <c r="AA27" i="35"/>
  <c r="CL113" i="2"/>
  <c r="CG113" i="2"/>
  <c r="CQ127" i="2"/>
  <c r="CI126" i="2"/>
  <c r="CL127" i="2"/>
  <c r="CD126" i="2"/>
  <c r="CG127" i="2"/>
  <c r="CQ113" i="2"/>
  <c r="CN124" i="2"/>
  <c r="CQ126" i="2"/>
  <c r="CF218" i="3"/>
  <c r="CG218" i="3" s="1"/>
  <c r="CG311" i="3" s="1"/>
  <c r="CG312" i="3" s="1"/>
  <c r="CL22" i="2"/>
  <c r="CG25" i="3"/>
  <c r="CC132" i="3"/>
  <c r="CD132" i="3" s="1"/>
  <c r="CE132" i="3" s="1"/>
  <c r="CJ218" i="3"/>
  <c r="CJ99" i="3"/>
  <c r="CI25" i="3"/>
  <c r="U39" i="9" l="1"/>
  <c r="U37" i="9" s="1"/>
  <c r="U118" i="9" s="1"/>
  <c r="CD124" i="2"/>
  <c r="CG126" i="2"/>
  <c r="CI124" i="2"/>
  <c r="CL126" i="2"/>
  <c r="CG99" i="3"/>
  <c r="CG306" i="3"/>
  <c r="CG308" i="3" s="1"/>
  <c r="CF132" i="3"/>
  <c r="CG132" i="3" s="1"/>
  <c r="CI218" i="3"/>
  <c r="CI99" i="3"/>
  <c r="CH25" i="3"/>
  <c r="U45" i="9" l="1"/>
  <c r="U69" i="9" s="1"/>
  <c r="G29" i="34"/>
  <c r="W29" i="34" s="1"/>
  <c r="AB27" i="35"/>
  <c r="U124" i="9"/>
  <c r="CG309" i="3"/>
  <c r="CK25" i="3"/>
  <c r="CK99" i="3" s="1"/>
  <c r="CH218" i="3"/>
  <c r="CH99" i="3"/>
  <c r="U85" i="9" l="1"/>
  <c r="CK218" i="3"/>
  <c r="CL218" i="3" s="1"/>
  <c r="CL311" i="3" s="1"/>
  <c r="CL312" i="3" s="1"/>
  <c r="CL25" i="3"/>
  <c r="CI132" i="3"/>
  <c r="CJ132" i="3" s="1"/>
  <c r="V39" i="9" l="1"/>
  <c r="V37" i="9" s="1"/>
  <c r="V118" i="9" s="1"/>
  <c r="CL99" i="3"/>
  <c r="H29" i="34" s="1"/>
  <c r="X29" i="34" s="1"/>
  <c r="CL306" i="3"/>
  <c r="CL308" i="3" s="1"/>
  <c r="CK132" i="3"/>
  <c r="V45" i="9" l="1"/>
  <c r="V85" i="9" s="1"/>
  <c r="V69" i="9"/>
  <c r="W124" i="9"/>
  <c r="V124" i="9"/>
  <c r="CL309" i="3"/>
  <c r="CQ306" i="3"/>
  <c r="CQ308" i="3" s="1"/>
  <c r="CQ309" i="3" s="1"/>
  <c r="CL132" i="3"/>
  <c r="CM132" i="3"/>
  <c r="CN132" i="3" s="1"/>
  <c r="CO132" i="3" s="1"/>
  <c r="CP132" i="3" s="1"/>
  <c r="CQ132" i="3" s="1"/>
  <c r="CQ116" i="2" l="1"/>
  <c r="I19" i="34" s="1"/>
  <c r="Y19" i="34" s="1"/>
  <c r="N47" i="10"/>
  <c r="N54" i="10"/>
  <c r="N51" i="10"/>
  <c r="N49" i="10"/>
  <c r="N53" i="10"/>
  <c r="N45" i="10"/>
  <c r="N48" i="10"/>
  <c r="N44" i="10" l="1"/>
  <c r="O44" i="10" s="1"/>
  <c r="O49" i="10"/>
  <c r="O48" i="10"/>
  <c r="O54" i="10"/>
  <c r="O45" i="10" l="1"/>
  <c r="N46" i="10"/>
  <c r="N55" i="10"/>
  <c r="N50" i="10"/>
  <c r="N52" i="10"/>
  <c r="O55" i="10" l="1"/>
  <c r="AD55" i="10"/>
  <c r="O50" i="10"/>
  <c r="O51" i="10"/>
  <c r="O46" i="10"/>
  <c r="O47" i="10"/>
  <c r="O52" i="10"/>
  <c r="O53" i="10"/>
  <c r="S8" i="35"/>
  <c r="T8" i="35" l="1"/>
  <c r="S18" i="35" l="1"/>
  <c r="S13" i="35"/>
  <c r="T18" i="35" l="1"/>
  <c r="T13" i="35" l="1"/>
  <c r="U18" i="35"/>
  <c r="S16" i="35" l="1"/>
  <c r="S19" i="35" s="1"/>
  <c r="BY200" i="2"/>
  <c r="BY34" i="3"/>
  <c r="V18" i="35" l="1"/>
  <c r="CB116" i="2"/>
  <c r="T16" i="35"/>
  <c r="T19" i="35" s="1"/>
  <c r="W18" i="35" l="1"/>
  <c r="CB114" i="2" l="1"/>
  <c r="S22" i="35"/>
  <c r="S23" i="35" l="1"/>
  <c r="T22" i="35"/>
  <c r="BY16" i="3"/>
  <c r="BY15" i="3"/>
  <c r="CG116" i="2" l="1"/>
  <c r="G9" i="1" s="1"/>
  <c r="T23" i="35"/>
  <c r="G19" i="34" l="1"/>
  <c r="W19" i="34" s="1"/>
  <c r="Z19" i="34" s="1"/>
  <c r="AB18" i="35"/>
  <c r="CG114" i="2" l="1"/>
  <c r="CL116" i="2"/>
  <c r="H19" i="34" l="1"/>
  <c r="X19" i="34" s="1"/>
  <c r="AA19" i="34" s="1"/>
  <c r="H9" i="1"/>
  <c r="CL114" i="2" l="1"/>
  <c r="BV44" i="3" l="1"/>
  <c r="BW42" i="3"/>
  <c r="BV48" i="3" l="1"/>
  <c r="Q30" i="35" s="1"/>
  <c r="Q28" i="35"/>
  <c r="BV191" i="3"/>
  <c r="BW43" i="3"/>
  <c r="BV203" i="3"/>
  <c r="BV204" i="3"/>
  <c r="BV52" i="3" l="1"/>
  <c r="Q32" i="35" s="1"/>
  <c r="BV49" i="3"/>
  <c r="BV59" i="3"/>
  <c r="BV92" i="3" s="1"/>
  <c r="BW191" i="3"/>
  <c r="BW203" i="3"/>
  <c r="BW204" i="3"/>
  <c r="BW44" i="3"/>
  <c r="Q34" i="35" l="1"/>
  <c r="BV206" i="2"/>
  <c r="BV64" i="3"/>
  <c r="BV60" i="3"/>
  <c r="BW48" i="3"/>
  <c r="R28" i="35"/>
  <c r="BV217" i="3"/>
  <c r="BV233" i="3" s="1"/>
  <c r="BV182" i="3"/>
  <c r="BV181" i="3" s="1"/>
  <c r="BV94" i="3"/>
  <c r="BW210" i="11" l="1"/>
  <c r="BW213" i="11" s="1"/>
  <c r="BW221" i="11" s="1"/>
  <c r="BW222" i="11" s="1"/>
  <c r="BV210" i="2"/>
  <c r="R30" i="35"/>
  <c r="Q35" i="35"/>
  <c r="BV207" i="2"/>
  <c r="BV70" i="3"/>
  <c r="CQ114" i="2"/>
  <c r="BW49" i="3"/>
  <c r="BW52" i="3"/>
  <c r="BW59" i="3"/>
  <c r="BV261" i="3"/>
  <c r="BV267" i="3"/>
  <c r="BV211" i="2" s="1"/>
  <c r="BV212" i="2" s="1"/>
  <c r="BV95" i="3"/>
  <c r="BV96" i="3" s="1"/>
  <c r="BW92" i="3" l="1"/>
  <c r="BW182" i="3" s="1"/>
  <c r="S138" i="9"/>
  <c r="S100" i="9" s="1"/>
  <c r="S106" i="9" s="1"/>
  <c r="S112" i="9" s="1"/>
  <c r="R32" i="35"/>
  <c r="R34" i="35"/>
  <c r="BW206" i="2"/>
  <c r="BW64" i="3"/>
  <c r="BW60" i="3"/>
  <c r="BV268" i="3"/>
  <c r="BV263" i="3"/>
  <c r="BX262" i="3" s="1"/>
  <c r="BW217" i="3" l="1"/>
  <c r="BW94" i="3"/>
  <c r="S98" i="9"/>
  <c r="S104" i="9" s="1"/>
  <c r="S110" i="9" s="1"/>
  <c r="S99" i="9"/>
  <c r="S105" i="9" s="1"/>
  <c r="S111" i="9" s="1"/>
  <c r="S97" i="9"/>
  <c r="S103" i="9" s="1"/>
  <c r="S109" i="9" s="1"/>
  <c r="R35" i="35"/>
  <c r="BW207" i="2"/>
  <c r="BW70" i="3"/>
  <c r="BW65" i="3"/>
  <c r="BY211" i="11"/>
  <c r="BY213" i="11" s="1"/>
  <c r="BY221" i="11" s="1"/>
  <c r="BY222" i="11" s="1"/>
  <c r="BX263" i="3"/>
  <c r="BX121" i="3" s="1"/>
  <c r="BW95" i="3"/>
  <c r="BW181" i="3"/>
  <c r="BV121" i="3"/>
  <c r="BW186" i="11" s="1"/>
  <c r="BW233" i="3" l="1"/>
  <c r="BY186" i="11"/>
  <c r="BX192" i="3"/>
  <c r="BX128" i="3"/>
  <c r="BW96" i="3"/>
  <c r="CB262" i="3"/>
  <c r="BX186" i="11"/>
  <c r="BY185" i="11" s="1"/>
  <c r="BY188" i="11" s="1"/>
  <c r="BW187" i="11"/>
  <c r="BV264" i="3"/>
  <c r="BV265" i="3" s="1"/>
  <c r="BV192" i="3"/>
  <c r="BV128" i="3"/>
  <c r="BW121" i="3"/>
  <c r="BW210" i="2" l="1"/>
  <c r="BW267" i="3"/>
  <c r="BW211" i="2" s="1"/>
  <c r="BW212" i="2" s="1"/>
  <c r="BW261" i="3"/>
  <c r="BW263" i="3" s="1"/>
  <c r="BX139" i="3"/>
  <c r="BX175" i="3" s="1"/>
  <c r="BX194" i="3"/>
  <c r="BX195" i="3" s="1"/>
  <c r="BX198" i="3"/>
  <c r="BX200" i="3"/>
  <c r="BX264" i="3"/>
  <c r="BX265" i="3" s="1"/>
  <c r="BY187" i="11"/>
  <c r="BV198" i="3"/>
  <c r="BV200" i="3"/>
  <c r="BW264" i="3"/>
  <c r="BW128" i="3"/>
  <c r="BW192" i="3"/>
  <c r="BV194" i="3"/>
  <c r="BV195" i="3" s="1"/>
  <c r="BV139" i="3"/>
  <c r="BV175" i="3" s="1"/>
  <c r="BW268" i="3" l="1"/>
  <c r="BW265" i="3"/>
  <c r="BW200" i="3"/>
  <c r="BW198" i="3"/>
  <c r="BW194" i="3"/>
  <c r="BW195" i="3" s="1"/>
  <c r="BW139" i="3"/>
  <c r="BW175" i="3" l="1"/>
  <c r="S28" i="35" l="1"/>
  <c r="P29" i="36" l="1"/>
  <c r="O34" i="36"/>
  <c r="P31" i="36"/>
  <c r="Q21" i="36" l="1"/>
  <c r="Q32" i="36"/>
  <c r="Q29" i="36"/>
  <c r="Q31" i="36" l="1"/>
  <c r="Q35" i="36" s="1"/>
  <c r="R32" i="36" l="1"/>
  <c r="R21" i="36"/>
  <c r="R29" i="36"/>
  <c r="R31" i="36" l="1"/>
  <c r="R35" i="36" s="1"/>
  <c r="S32" i="36" l="1"/>
  <c r="S29" i="36"/>
  <c r="S21" i="36"/>
  <c r="S31" i="36" l="1"/>
  <c r="S35" i="36" s="1"/>
  <c r="T32" i="36" l="1"/>
  <c r="T21" i="36"/>
  <c r="T29" i="36"/>
  <c r="T31" i="36" l="1"/>
  <c r="T35" i="36" s="1"/>
  <c r="O67" i="36"/>
  <c r="O12" i="36"/>
  <c r="O23" i="36" s="1"/>
  <c r="O44" i="36" l="1"/>
  <c r="P90" i="36" s="1"/>
  <c r="P91" i="36" s="1"/>
  <c r="O66" i="36"/>
  <c r="O68" i="36" s="1"/>
  <c r="P25" i="36"/>
  <c r="O45" i="36"/>
  <c r="O47" i="36"/>
  <c r="P23" i="36"/>
  <c r="P67" i="36" l="1"/>
  <c r="Q38" i="36"/>
  <c r="P45" i="36"/>
  <c r="Q22" i="36"/>
  <c r="P44" i="36"/>
  <c r="P47" i="36" s="1"/>
  <c r="Q37" i="36"/>
  <c r="P51" i="36"/>
  <c r="P93" i="36"/>
  <c r="P95" i="36" s="1"/>
  <c r="P99" i="36" s="1"/>
  <c r="P60" i="36"/>
  <c r="O61" i="36"/>
  <c r="O62" i="36" s="1"/>
  <c r="O69" i="36" s="1"/>
  <c r="Q42" i="36" l="1"/>
  <c r="R38" i="36" s="1"/>
  <c r="P61" i="36"/>
  <c r="P66" i="36"/>
  <c r="Q90" i="36"/>
  <c r="Q91" i="36" s="1"/>
  <c r="Q23" i="36"/>
  <c r="Q24" i="36"/>
  <c r="Q45" i="36" l="1"/>
  <c r="Q44" i="36"/>
  <c r="Q66" i="36" s="1"/>
  <c r="R37" i="36"/>
  <c r="R42" i="36" s="1"/>
  <c r="R22" i="36"/>
  <c r="R24" i="36" s="1"/>
  <c r="R25" i="36" s="1"/>
  <c r="P68" i="36"/>
  <c r="Q67" i="36"/>
  <c r="Q25" i="36"/>
  <c r="P62" i="36"/>
  <c r="Q47" i="36" l="1"/>
  <c r="Q61" i="36" s="1"/>
  <c r="R90" i="36"/>
  <c r="R91" i="36" s="1"/>
  <c r="R23" i="36"/>
  <c r="P69" i="36"/>
  <c r="R67" i="36"/>
  <c r="Q68" i="36"/>
  <c r="R51" i="36"/>
  <c r="R60" i="36"/>
  <c r="R93" i="36"/>
  <c r="S38" i="36"/>
  <c r="R45" i="36"/>
  <c r="S37" i="36"/>
  <c r="S22" i="36"/>
  <c r="R44" i="36"/>
  <c r="Q93" i="36"/>
  <c r="Q95" i="36" s="1"/>
  <c r="Q99" i="36" s="1"/>
  <c r="Q51" i="36"/>
  <c r="Q60" i="36"/>
  <c r="R95" i="36" l="1"/>
  <c r="R99" i="36" s="1"/>
  <c r="S42" i="36"/>
  <c r="S45" i="36" s="1"/>
  <c r="R66" i="36"/>
  <c r="R68" i="36" s="1"/>
  <c r="S90" i="36"/>
  <c r="S91" i="36" s="1"/>
  <c r="R47" i="36"/>
  <c r="Q62" i="36"/>
  <c r="Q69" i="36" s="1"/>
  <c r="S23" i="36"/>
  <c r="S24" i="36"/>
  <c r="T37" i="36" l="1"/>
  <c r="S44" i="36"/>
  <c r="T90" i="36" s="1"/>
  <c r="T91" i="36" s="1"/>
  <c r="T22" i="36"/>
  <c r="T24" i="36" s="1"/>
  <c r="T25" i="36" s="1"/>
  <c r="T38" i="36"/>
  <c r="R61" i="36"/>
  <c r="R62" i="36" s="1"/>
  <c r="R69" i="36" s="1"/>
  <c r="S25" i="36"/>
  <c r="S67" i="36"/>
  <c r="S47" i="36" l="1"/>
  <c r="S61" i="36" s="1"/>
  <c r="T42" i="36"/>
  <c r="T45" i="36" s="1"/>
  <c r="S66" i="36"/>
  <c r="S68" i="36" s="1"/>
  <c r="T23" i="36"/>
  <c r="T67" i="36"/>
  <c r="T51" i="36"/>
  <c r="T60" i="36"/>
  <c r="T93" i="36"/>
  <c r="T95" i="36" s="1"/>
  <c r="T99" i="36" s="1"/>
  <c r="S93" i="36"/>
  <c r="S95" i="36" s="1"/>
  <c r="S99" i="36" s="1"/>
  <c r="S60" i="36"/>
  <c r="S51" i="36"/>
  <c r="T44" i="36" l="1"/>
  <c r="T66" i="36" s="1"/>
  <c r="T68" i="36" s="1"/>
  <c r="S62" i="36"/>
  <c r="S69" i="36" s="1"/>
  <c r="O45" i="37"/>
  <c r="O67" i="37"/>
  <c r="O12" i="37"/>
  <c r="O23" i="37" s="1"/>
  <c r="O44" i="37"/>
  <c r="O66" i="37" s="1"/>
  <c r="T47" i="36" l="1"/>
  <c r="T61" i="36" s="1"/>
  <c r="T62" i="36" s="1"/>
  <c r="T69" i="36" s="1"/>
  <c r="U69" i="36" s="1"/>
  <c r="O68" i="37"/>
  <c r="O47" i="37"/>
  <c r="O61" i="37" s="1"/>
  <c r="O62" i="37" s="1"/>
  <c r="P45" i="37"/>
  <c r="Q38" i="37"/>
  <c r="Q22" i="37"/>
  <c r="Q37" i="37"/>
  <c r="P44" i="37"/>
  <c r="P47" i="37" s="1"/>
  <c r="P67" i="37"/>
  <c r="CB89" i="2"/>
  <c r="BW196" i="3"/>
  <c r="BV196" i="3" s="1"/>
  <c r="O69" i="37" l="1"/>
  <c r="CA89" i="2"/>
  <c r="BZ89" i="2" s="1"/>
  <c r="BY89" i="2" s="1"/>
  <c r="BX89" i="2" s="1"/>
  <c r="Q42" i="37"/>
  <c r="Q45" i="37" s="1"/>
  <c r="BU196" i="3"/>
  <c r="BV193" i="3"/>
  <c r="P61" i="37"/>
  <c r="P51" i="37"/>
  <c r="P60" i="37"/>
  <c r="CB196" i="3"/>
  <c r="CA196" i="3" s="1"/>
  <c r="BZ196" i="3" s="1"/>
  <c r="BY196" i="3" s="1"/>
  <c r="BX196" i="3" s="1"/>
  <c r="BX193" i="3" s="1"/>
  <c r="P66" i="37"/>
  <c r="Q23" i="37"/>
  <c r="Q24" i="37"/>
  <c r="R37" i="37" l="1"/>
  <c r="R38" i="37"/>
  <c r="Q44" i="37"/>
  <c r="Q66" i="37" s="1"/>
  <c r="R22" i="37"/>
  <c r="R24" i="37" s="1"/>
  <c r="R67" i="37" s="1"/>
  <c r="BX201" i="3"/>
  <c r="BX199" i="3"/>
  <c r="Q25" i="37"/>
  <c r="CG89" i="2" s="1"/>
  <c r="CF89" i="2" s="1"/>
  <c r="CE89" i="2" s="1"/>
  <c r="CD89" i="2" s="1"/>
  <c r="CC89" i="2" s="1"/>
  <c r="P68" i="37"/>
  <c r="CB157" i="3"/>
  <c r="CB147" i="3"/>
  <c r="BV201" i="3"/>
  <c r="BV199" i="3"/>
  <c r="BW193" i="3"/>
  <c r="Q67" i="37"/>
  <c r="BY183" i="3"/>
  <c r="P62" i="37"/>
  <c r="BU193" i="3"/>
  <c r="BT196" i="3"/>
  <c r="R23" i="37" l="1"/>
  <c r="R42" i="37"/>
  <c r="R45" i="37" s="1"/>
  <c r="Q47" i="37"/>
  <c r="Q61" i="37" s="1"/>
  <c r="CC147" i="3" s="1"/>
  <c r="CD147" i="3" s="1"/>
  <c r="CE147" i="3" s="1"/>
  <c r="CF147" i="3" s="1"/>
  <c r="CG196" i="3"/>
  <c r="CF196" i="3" s="1"/>
  <c r="CE196" i="3" s="1"/>
  <c r="CD196" i="3" s="1"/>
  <c r="CC196" i="3" s="1"/>
  <c r="Q51" i="37"/>
  <c r="R25" i="37"/>
  <c r="R51" i="37" s="1"/>
  <c r="P69" i="37"/>
  <c r="CB229" i="3"/>
  <c r="Q60" i="37"/>
  <c r="CE229" i="3" s="1"/>
  <c r="BS196" i="3"/>
  <c r="BS193" i="3" s="1"/>
  <c r="BT193" i="3"/>
  <c r="BW199" i="3"/>
  <c r="BW201" i="3"/>
  <c r="Q68" i="37"/>
  <c r="CC157" i="3"/>
  <c r="CD157" i="3" s="1"/>
  <c r="CE157" i="3" s="1"/>
  <c r="CF157" i="3" s="1"/>
  <c r="CG157" i="3" s="1"/>
  <c r="BU201" i="3"/>
  <c r="BU199" i="3"/>
  <c r="BZ183" i="3"/>
  <c r="CF229" i="3" l="1"/>
  <c r="R44" i="37"/>
  <c r="R66" i="37" s="1"/>
  <c r="R68" i="37" s="1"/>
  <c r="S37" i="37"/>
  <c r="S38" i="37"/>
  <c r="S22" i="37"/>
  <c r="R60" i="37"/>
  <c r="CL89" i="2"/>
  <c r="CK89" i="2" s="1"/>
  <c r="CJ89" i="2" s="1"/>
  <c r="CI89" i="2" s="1"/>
  <c r="CH89" i="2" s="1"/>
  <c r="Q62" i="37"/>
  <c r="Q69" i="37" s="1"/>
  <c r="CD229" i="3"/>
  <c r="CC229" i="3"/>
  <c r="BT199" i="3"/>
  <c r="BT201" i="3"/>
  <c r="CA183" i="3"/>
  <c r="CB168" i="3"/>
  <c r="CG147" i="3"/>
  <c r="BS199" i="3"/>
  <c r="BS201" i="3"/>
  <c r="S42" i="37" l="1"/>
  <c r="S44" i="37" s="1"/>
  <c r="S66" i="37" s="1"/>
  <c r="R47" i="37"/>
  <c r="CH157" i="3"/>
  <c r="CI157" i="3" s="1"/>
  <c r="CJ157" i="3" s="1"/>
  <c r="CK157" i="3" s="1"/>
  <c r="CL157" i="3" s="1"/>
  <c r="CH229" i="3"/>
  <c r="CK229" i="3"/>
  <c r="CJ229" i="3"/>
  <c r="CI229" i="3"/>
  <c r="S23" i="37"/>
  <c r="S24" i="37"/>
  <c r="CG229" i="3"/>
  <c r="CB183" i="3"/>
  <c r="CC168" i="3"/>
  <c r="S45" i="37" l="1"/>
  <c r="T22" i="37"/>
  <c r="T24" i="37" s="1"/>
  <c r="T38" i="37"/>
  <c r="T37" i="37"/>
  <c r="S47" i="37"/>
  <c r="S61" i="37" s="1"/>
  <c r="R61" i="37"/>
  <c r="CM157" i="3"/>
  <c r="CN157" i="3" s="1"/>
  <c r="CO157" i="3" s="1"/>
  <c r="CP157" i="3" s="1"/>
  <c r="CQ157" i="3" s="1"/>
  <c r="CL229" i="3"/>
  <c r="S67" i="37"/>
  <c r="S68" i="37" s="1"/>
  <c r="S25" i="37"/>
  <c r="T23" i="37"/>
  <c r="CC183" i="3"/>
  <c r="CD168" i="3"/>
  <c r="T42" i="37" l="1"/>
  <c r="T45" i="37" s="1"/>
  <c r="R62" i="37"/>
  <c r="R69" i="37" s="1"/>
  <c r="CH147" i="3"/>
  <c r="CI147" i="3" s="1"/>
  <c r="CJ147" i="3" s="1"/>
  <c r="CK147" i="3" s="1"/>
  <c r="T67" i="37"/>
  <c r="CQ89" i="2"/>
  <c r="CP89" i="2" s="1"/>
  <c r="CO89" i="2" s="1"/>
  <c r="CN89" i="2" s="1"/>
  <c r="CM89" i="2" s="1"/>
  <c r="S60" i="37"/>
  <c r="S51" i="37"/>
  <c r="T25" i="37"/>
  <c r="T60" i="37" s="1"/>
  <c r="BY199" i="2"/>
  <c r="BY32" i="3"/>
  <c r="S6" i="35"/>
  <c r="S9" i="35" s="1"/>
  <c r="CE168" i="3"/>
  <c r="CD183" i="3"/>
  <c r="T44" i="37" l="1"/>
  <c r="T66" i="37" s="1"/>
  <c r="T68" i="37" s="1"/>
  <c r="CM147" i="3"/>
  <c r="CN147" i="3" s="1"/>
  <c r="CO147" i="3" s="1"/>
  <c r="CP147" i="3" s="1"/>
  <c r="CQ147" i="3" s="1"/>
  <c r="CL147" i="3"/>
  <c r="CM229" i="3"/>
  <c r="CO229" i="3"/>
  <c r="CN229" i="3"/>
  <c r="CP229" i="3"/>
  <c r="S62" i="37"/>
  <c r="S69" i="37" s="1"/>
  <c r="T51" i="37"/>
  <c r="CE183" i="3"/>
  <c r="CF168" i="3"/>
  <c r="T6" i="35"/>
  <c r="T9" i="35" s="1"/>
  <c r="T47" i="37" l="1"/>
  <c r="T61" i="37" s="1"/>
  <c r="T62" i="37" s="1"/>
  <c r="T69" i="37" s="1"/>
  <c r="U69" i="37" s="1"/>
  <c r="CQ229" i="3"/>
  <c r="CF183" i="3"/>
  <c r="CG168" i="3"/>
  <c r="CH168" i="3" s="1"/>
  <c r="CG183" i="3" l="1"/>
  <c r="CH183" i="3" l="1"/>
  <c r="CI168" i="3"/>
  <c r="CI183" i="3" l="1"/>
  <c r="CJ168" i="3"/>
  <c r="CK168" i="3" l="1"/>
  <c r="CJ183" i="3"/>
  <c r="CK183" i="3" l="1"/>
  <c r="CL168" i="3"/>
  <c r="CM168" i="3" s="1"/>
  <c r="CN168" i="3" s="1"/>
  <c r="CO168" i="3" s="1"/>
  <c r="CP168" i="3" s="1"/>
  <c r="CQ168" i="3" s="1"/>
  <c r="CM183" i="3" l="1"/>
  <c r="CL183" i="3"/>
  <c r="CN183" i="3" l="1"/>
  <c r="CO183" i="3" l="1"/>
  <c r="CP183" i="3" l="1"/>
  <c r="CQ183" i="3" l="1"/>
  <c r="BY201" i="2" l="1"/>
  <c r="BY33" i="3"/>
  <c r="S11" i="35"/>
  <c r="S14" i="35" s="1"/>
  <c r="S24" i="35" l="1"/>
  <c r="BY40" i="3"/>
  <c r="T11" i="35"/>
  <c r="T14" i="35" s="1"/>
  <c r="BY39" i="3"/>
  <c r="T24" i="35" l="1"/>
  <c r="BY28" i="3"/>
  <c r="BY205" i="2" s="1"/>
  <c r="BY98" i="3"/>
  <c r="S30" i="35"/>
  <c r="S32" i="35"/>
  <c r="BY203" i="3"/>
  <c r="BY29" i="3" l="1"/>
  <c r="BY18" i="3"/>
  <c r="S25" i="35"/>
  <c r="BY101" i="3"/>
  <c r="BY209" i="2" s="1"/>
  <c r="BY202" i="2" l="1"/>
  <c r="S31" i="35"/>
  <c r="BY204" i="3"/>
  <c r="BY20" i="3"/>
  <c r="BY21" i="3" s="1"/>
  <c r="BY102" i="3"/>
  <c r="T25" i="35"/>
  <c r="S34" i="35" l="1"/>
  <c r="S35" i="35" l="1"/>
  <c r="BY228" i="3"/>
  <c r="BY178" i="3" l="1"/>
  <c r="BY262" i="3" l="1"/>
  <c r="BZ211" i="11" s="1"/>
  <c r="BZ185" i="11" l="1"/>
  <c r="BZ188" i="11" l="1"/>
  <c r="BY44" i="3" l="1"/>
  <c r="T28" i="35" l="1"/>
  <c r="BY48" i="3"/>
  <c r="BY52" i="3" s="1"/>
  <c r="BY49" i="3" l="1"/>
  <c r="T30" i="35"/>
  <c r="T32" i="35"/>
  <c r="BY73" i="3" l="1"/>
  <c r="BY59" i="3"/>
  <c r="BY206" i="2" s="1"/>
  <c r="T31" i="35"/>
  <c r="BY60" i="3" l="1"/>
  <c r="BY92" i="3"/>
  <c r="T34" i="35"/>
  <c r="BY64" i="3"/>
  <c r="BY207" i="2" s="1"/>
  <c r="BY182" i="3" l="1"/>
  <c r="BY94" i="3"/>
  <c r="BY70" i="3"/>
  <c r="T35" i="35"/>
  <c r="BY172" i="3"/>
  <c r="BY217" i="3"/>
  <c r="BY233" i="3" s="1"/>
  <c r="BY267" i="3" l="1"/>
  <c r="BY211" i="2" s="1"/>
  <c r="BY212" i="2" s="1"/>
  <c r="BY210" i="2"/>
  <c r="BY181" i="3"/>
  <c r="BY261" i="3"/>
  <c r="BY263" i="3" s="1"/>
  <c r="BY95" i="3"/>
  <c r="BY96" i="3" s="1"/>
  <c r="BZ210" i="11"/>
  <c r="BZ213" i="11" s="1"/>
  <c r="BZ221" i="11" s="1"/>
  <c r="BZ222" i="11" s="1"/>
  <c r="BY208" i="3"/>
  <c r="BY207" i="3"/>
  <c r="BY186" i="3"/>
  <c r="BZ178" i="3" s="1"/>
  <c r="BY268" i="3" l="1"/>
  <c r="BY187" i="3"/>
  <c r="BY121" i="3"/>
  <c r="BZ262" i="3"/>
  <c r="CA211" i="11" s="1"/>
  <c r="BY192" i="3" l="1"/>
  <c r="BY264" i="3"/>
  <c r="BY265" i="3" s="1"/>
  <c r="BZ186" i="11"/>
  <c r="BY198" i="3" l="1"/>
  <c r="BY193" i="3"/>
  <c r="BY200" i="3"/>
  <c r="CA185" i="11"/>
  <c r="BZ187" i="11"/>
  <c r="CA188" i="11" l="1"/>
  <c r="BY199" i="3"/>
  <c r="BY201" i="3"/>
  <c r="BZ44" i="3" l="1"/>
  <c r="U28" i="35" l="1"/>
  <c r="BY272" i="3" l="1"/>
  <c r="BY128" i="3"/>
  <c r="BY139" i="3" s="1"/>
  <c r="BY271" i="3"/>
  <c r="BY278" i="3" l="1"/>
  <c r="BY152" i="3"/>
  <c r="BY194" i="3" s="1"/>
  <c r="BY195" i="3" s="1"/>
  <c r="BY273" i="3"/>
  <c r="BY275" i="3" s="1"/>
  <c r="BY161" i="3" l="1"/>
  <c r="BY174" i="3" s="1"/>
  <c r="BY175" i="3" s="1"/>
  <c r="BY10" i="3" l="1"/>
  <c r="BY9" i="3" l="1"/>
  <c r="BY11" i="3" l="1"/>
  <c r="BY12" i="3" l="1"/>
  <c r="BZ11" i="3" l="1"/>
  <c r="CA11" i="3" l="1"/>
  <c r="CC11" i="3" l="1"/>
  <c r="CB11" i="3"/>
  <c r="T11" i="9" s="1"/>
  <c r="CD11" i="3" l="1"/>
  <c r="CE11" i="3" l="1"/>
  <c r="CF11" i="3" l="1"/>
  <c r="CG11" i="3" l="1"/>
  <c r="U11" i="9" s="1"/>
  <c r="CH11" i="3"/>
  <c r="CI11" i="3" l="1"/>
  <c r="CJ11" i="3" l="1"/>
  <c r="CM11" i="3" l="1"/>
  <c r="CK11" i="3"/>
  <c r="CN11" i="3" l="1"/>
  <c r="CL11" i="3"/>
  <c r="V11" i="9" s="1"/>
  <c r="CO11" i="3" l="1"/>
  <c r="CP11" i="3" l="1"/>
  <c r="CQ11" i="3" l="1"/>
  <c r="W11" i="9" s="1"/>
  <c r="CN61" i="2" l="1"/>
  <c r="CP61" i="2" l="1"/>
  <c r="CP68" i="2" s="1"/>
  <c r="CO61" i="2"/>
  <c r="CN68" i="2"/>
  <c r="CQ54" i="2"/>
  <c r="CO68" i="2" l="1"/>
  <c r="CQ55" i="2"/>
  <c r="BN11" i="2" l="1"/>
  <c r="CB55" i="2"/>
  <c r="BN44" i="2" l="1"/>
  <c r="BM55" i="2"/>
  <c r="BR9" i="2"/>
  <c r="BR55" i="2"/>
  <c r="BQ11" i="2"/>
  <c r="BQ44" i="2" s="1"/>
  <c r="BV11" i="2"/>
  <c r="BV44" i="2" s="1"/>
  <c r="BY11" i="2"/>
  <c r="BY44" i="2" s="1"/>
  <c r="BL11" i="2"/>
  <c r="BL44" i="2" s="1"/>
  <c r="BM9" i="2"/>
  <c r="BS11" i="2"/>
  <c r="BS44" i="2" s="1"/>
  <c r="BW9" i="2"/>
  <c r="BR10" i="2"/>
  <c r="BX11" i="2"/>
  <c r="BX44" i="2" s="1"/>
  <c r="BU11" i="2"/>
  <c r="BU44" i="2" s="1"/>
  <c r="BW10" i="2"/>
  <c r="BT11" i="2"/>
  <c r="BT44" i="2" s="1"/>
  <c r="BM10" i="2"/>
  <c r="BP11" i="2"/>
  <c r="BP44" i="2" s="1"/>
  <c r="BO11" i="2"/>
  <c r="BO44" i="2" s="1"/>
  <c r="J57" i="10" l="1"/>
  <c r="BW55" i="2"/>
  <c r="BR11" i="2"/>
  <c r="BR44" i="2" s="1"/>
  <c r="BM11" i="2"/>
  <c r="BM44" i="2" s="1"/>
  <c r="BW11" i="2"/>
  <c r="BW44" i="2" s="1"/>
  <c r="J65" i="10" l="1"/>
  <c r="J60" i="10"/>
  <c r="J61" i="10"/>
  <c r="BS105" i="3"/>
  <c r="J59" i="10"/>
  <c r="BP105" i="3"/>
  <c r="J63" i="10"/>
  <c r="J64" i="10"/>
  <c r="J62" i="10"/>
  <c r="BT104" i="3"/>
  <c r="J56" i="10"/>
  <c r="K56" i="10" s="1"/>
  <c r="BL104" i="3"/>
  <c r="J66" i="10"/>
  <c r="BY105" i="3"/>
  <c r="BQ104" i="3"/>
  <c r="BU104" i="3"/>
  <c r="BX104" i="3"/>
  <c r="BT105" i="3"/>
  <c r="BS104" i="3"/>
  <c r="BN104" i="3"/>
  <c r="BN105" i="3"/>
  <c r="BQ105" i="3"/>
  <c r="BP104" i="3"/>
  <c r="BY104" i="3"/>
  <c r="BO105" i="3"/>
  <c r="BO104" i="3"/>
  <c r="J58" i="10"/>
  <c r="Y58" i="10" s="1"/>
  <c r="AA58" i="10" s="1"/>
  <c r="K65" i="10" l="1"/>
  <c r="Y66" i="10"/>
  <c r="AA66" i="10" s="1"/>
  <c r="X66" i="10"/>
  <c r="K66" i="10"/>
  <c r="X64" i="10"/>
  <c r="Y64" i="10"/>
  <c r="AA64" i="10" s="1"/>
  <c r="X65" i="10"/>
  <c r="K85" i="10"/>
  <c r="Y65" i="10"/>
  <c r="AA65" i="10" s="1"/>
  <c r="Y56" i="10"/>
  <c r="AA56" i="10" s="1"/>
  <c r="K64" i="10"/>
  <c r="K63" i="10"/>
  <c r="X61" i="10"/>
  <c r="Y60" i="10"/>
  <c r="AA60" i="10" s="1"/>
  <c r="Y61" i="10"/>
  <c r="AA61" i="10" s="1"/>
  <c r="Y63" i="10"/>
  <c r="AA63" i="10" s="1"/>
  <c r="K60" i="10"/>
  <c r="K62" i="10"/>
  <c r="K86" i="10"/>
  <c r="K61" i="10"/>
  <c r="X57" i="10"/>
  <c r="K59" i="10"/>
  <c r="X63" i="10"/>
  <c r="X56" i="10"/>
  <c r="K57" i="10"/>
  <c r="X60" i="10"/>
  <c r="Y57" i="10"/>
  <c r="AA57" i="10" s="1"/>
  <c r="BL105" i="3"/>
  <c r="BU105" i="3"/>
  <c r="BX105" i="3"/>
  <c r="BV105" i="3"/>
  <c r="BV104" i="3"/>
  <c r="X62" i="10"/>
  <c r="X59" i="10"/>
  <c r="Y59" i="10"/>
  <c r="AA59" i="10" s="1"/>
  <c r="X58" i="10"/>
  <c r="K58" i="10"/>
  <c r="Y62" i="10"/>
  <c r="AA62" i="10" s="1"/>
  <c r="CM61" i="2"/>
  <c r="CQ61" i="2" s="1"/>
  <c r="CI61" i="2" l="1"/>
  <c r="CH61" i="2"/>
  <c r="CJ61" i="2"/>
  <c r="CE61" i="2"/>
  <c r="CF61" i="2"/>
  <c r="CD61" i="2"/>
  <c r="CC61" i="2"/>
  <c r="CK61" i="2"/>
  <c r="BR105" i="3"/>
  <c r="CQ68" i="2"/>
  <c r="BW104" i="3"/>
  <c r="BW105" i="3"/>
  <c r="CL55" i="2"/>
  <c r="CL54" i="2"/>
  <c r="CG55" i="2"/>
  <c r="CG54" i="2"/>
  <c r="CL61" i="2" l="1"/>
  <c r="CG61" i="2"/>
  <c r="CJ68" i="2"/>
  <c r="BR104" i="3"/>
  <c r="CI68" i="2"/>
  <c r="CE68" i="2"/>
  <c r="CH68" i="2"/>
  <c r="CD68" i="2"/>
  <c r="CF68" i="2"/>
  <c r="CM68" i="2"/>
  <c r="CK68" i="2"/>
  <c r="BM105" i="3"/>
  <c r="BM104" i="3"/>
  <c r="CC68" i="2"/>
  <c r="CG68" i="2" l="1"/>
  <c r="CL68" i="2"/>
  <c r="CO121" i="2" l="1"/>
  <c r="CN121" i="2"/>
  <c r="CQ8" i="2"/>
  <c r="CP121" i="2"/>
  <c r="CP167" i="2" l="1"/>
  <c r="CN167" i="2"/>
  <c r="CO167" i="2"/>
  <c r="CN63" i="2"/>
  <c r="CO63" i="2"/>
  <c r="CP63" i="2"/>
  <c r="CP70" i="2" s="1"/>
  <c r="CQ56" i="2"/>
  <c r="CO62" i="2" l="1"/>
  <c r="CO69" i="2" s="1"/>
  <c r="CP62" i="2"/>
  <c r="CP69" i="2" s="1"/>
  <c r="CN70" i="2"/>
  <c r="CO70" i="2"/>
  <c r="CM11" i="2" l="1"/>
  <c r="CM44" i="2" s="1"/>
  <c r="CN122" i="2" l="1"/>
  <c r="J77" i="10"/>
  <c r="CN11" i="2" l="1"/>
  <c r="CN44" i="2" s="1"/>
  <c r="CO122" i="2" l="1"/>
  <c r="J78" i="10" l="1"/>
  <c r="CO11" i="2" l="1"/>
  <c r="CO44" i="2" s="1"/>
  <c r="CP122" i="2" l="1"/>
  <c r="CQ12" i="2"/>
  <c r="J79" i="10" l="1"/>
  <c r="CP11" i="2" l="1"/>
  <c r="CP44" i="2" s="1"/>
  <c r="CQ9" i="2"/>
  <c r="CQ10" i="2"/>
  <c r="CQ11" i="2" l="1"/>
  <c r="CQ44" i="2" s="1"/>
  <c r="J80" i="10" l="1"/>
  <c r="CA122" i="2"/>
  <c r="BZ167" i="2"/>
  <c r="BZ120" i="2" l="1"/>
  <c r="CA121" i="2"/>
  <c r="CA120" i="2"/>
  <c r="CA167" i="2"/>
  <c r="CA63" i="2"/>
  <c r="BZ63" i="2"/>
  <c r="CD122" i="2"/>
  <c r="CG9" i="2"/>
  <c r="CC44" i="2"/>
  <c r="CF121" i="2"/>
  <c r="CB9" i="2"/>
  <c r="BZ11" i="2"/>
  <c r="BZ44" i="2" s="1"/>
  <c r="CE121" i="2"/>
  <c r="CF44" i="2"/>
  <c r="CF122" i="2"/>
  <c r="CH122" i="2"/>
  <c r="CD44" i="2"/>
  <c r="CE122" i="2"/>
  <c r="BZ122" i="2"/>
  <c r="CB12" i="2"/>
  <c r="CH121" i="2"/>
  <c r="CC122" i="2"/>
  <c r="CG12" i="2"/>
  <c r="BZ121" i="2"/>
  <c r="CB8" i="2"/>
  <c r="CI11" i="2"/>
  <c r="CI44" i="2" s="1"/>
  <c r="CB10" i="2"/>
  <c r="CG8" i="2"/>
  <c r="CC121" i="2"/>
  <c r="CI121" i="2"/>
  <c r="CG10" i="2"/>
  <c r="CE44" i="2"/>
  <c r="CJ122" i="2"/>
  <c r="CJ121" i="2"/>
  <c r="CD121" i="2"/>
  <c r="CI122" i="2"/>
  <c r="CA44" i="2"/>
  <c r="CH11" i="2"/>
  <c r="CH44" i="2" s="1"/>
  <c r="CB56" i="2"/>
  <c r="CA62" i="2" l="1"/>
  <c r="CA69" i="2" s="1"/>
  <c r="BZ62" i="2"/>
  <c r="CH167" i="2"/>
  <c r="CJ167" i="2"/>
  <c r="CE167" i="2"/>
  <c r="CF167" i="2"/>
  <c r="CC63" i="2"/>
  <c r="CC167" i="2"/>
  <c r="CD167" i="2"/>
  <c r="CI167" i="2"/>
  <c r="CB120" i="2"/>
  <c r="CI63" i="2"/>
  <c r="CF63" i="2"/>
  <c r="CJ63" i="2"/>
  <c r="CD63" i="2"/>
  <c r="CH63" i="2"/>
  <c r="CE63" i="2"/>
  <c r="CA70" i="2"/>
  <c r="CB167" i="2"/>
  <c r="J71" i="10"/>
  <c r="BZ70" i="2"/>
  <c r="J68" i="10"/>
  <c r="J73" i="10"/>
  <c r="J74" i="10"/>
  <c r="J69" i="10"/>
  <c r="C69" i="10" s="1"/>
  <c r="J70" i="10"/>
  <c r="J67" i="10"/>
  <c r="J72" i="10"/>
  <c r="CB121" i="2"/>
  <c r="CG122" i="2"/>
  <c r="CB122" i="2"/>
  <c r="CG121" i="2"/>
  <c r="CB11" i="2"/>
  <c r="CB44" i="2" s="1"/>
  <c r="CJ11" i="2"/>
  <c r="CG11" i="2"/>
  <c r="CG44" i="2" s="1"/>
  <c r="CG56" i="2"/>
  <c r="C70" i="10" l="1"/>
  <c r="C71" i="10"/>
  <c r="C72" i="10" s="1"/>
  <c r="C73" i="10" s="1"/>
  <c r="K68" i="10"/>
  <c r="CA76" i="2"/>
  <c r="CA75" i="2"/>
  <c r="CA74" i="2" s="1"/>
  <c r="CF62" i="2"/>
  <c r="CF69" i="2" s="1"/>
  <c r="BZ76" i="2"/>
  <c r="BZ75" i="2"/>
  <c r="BZ74" i="2" s="1"/>
  <c r="CD62" i="2"/>
  <c r="CD69" i="2" s="1"/>
  <c r="CC62" i="2"/>
  <c r="CI62" i="2"/>
  <c r="CI69" i="2" s="1"/>
  <c r="CH62" i="2"/>
  <c r="CI70" i="2"/>
  <c r="CJ62" i="2"/>
  <c r="CJ69" i="2" s="1"/>
  <c r="BZ69" i="2"/>
  <c r="CB62" i="2"/>
  <c r="CB69" i="2" s="1"/>
  <c r="CE62" i="2"/>
  <c r="CE69" i="2" s="1"/>
  <c r="CG63" i="2"/>
  <c r="CB51" i="2"/>
  <c r="CE70" i="2"/>
  <c r="CF70" i="2"/>
  <c r="CJ44" i="2"/>
  <c r="CB63" i="2"/>
  <c r="CJ70" i="2"/>
  <c r="CD70" i="2"/>
  <c r="CC70" i="2"/>
  <c r="BZ34" i="3"/>
  <c r="C74" i="10" l="1"/>
  <c r="CI51" i="2" s="1"/>
  <c r="CH51" i="2"/>
  <c r="CG62" i="2"/>
  <c r="CG69" i="2" s="1"/>
  <c r="CC69" i="2"/>
  <c r="CH69" i="2"/>
  <c r="CK167" i="2"/>
  <c r="CM167" i="2"/>
  <c r="CM63" i="2"/>
  <c r="CK63" i="2"/>
  <c r="CC51" i="2"/>
  <c r="CB76" i="2"/>
  <c r="CB75" i="2"/>
  <c r="CB70" i="2"/>
  <c r="CG70" i="2"/>
  <c r="CH70" i="2"/>
  <c r="CG167" i="2"/>
  <c r="J75" i="10"/>
  <c r="K67" i="10"/>
  <c r="Y67" i="10"/>
  <c r="X67" i="10"/>
  <c r="CM121" i="2"/>
  <c r="CQ121" i="2" s="1"/>
  <c r="CK121" i="2"/>
  <c r="CL121" i="2" s="1"/>
  <c r="CL8" i="2"/>
  <c r="CK11" i="2"/>
  <c r="CL9" i="2"/>
  <c r="U16" i="35"/>
  <c r="U19" i="35" s="1"/>
  <c r="CL56" i="2"/>
  <c r="C75" i="10" l="1"/>
  <c r="CJ51" i="2" s="1"/>
  <c r="C9" i="34"/>
  <c r="S9" i="34" s="1"/>
  <c r="X8" i="35"/>
  <c r="CQ63" i="2"/>
  <c r="CN62" i="2"/>
  <c r="CN69" i="2" s="1"/>
  <c r="CM62" i="2"/>
  <c r="CL63" i="2"/>
  <c r="CK62" i="2"/>
  <c r="CC49" i="2"/>
  <c r="CH49" i="2"/>
  <c r="CD51" i="2"/>
  <c r="CK44" i="2"/>
  <c r="CM70" i="2"/>
  <c r="Z67" i="10"/>
  <c r="AA67" i="10" s="1"/>
  <c r="CL10" i="2"/>
  <c r="CM122" i="2"/>
  <c r="CQ122" i="2" s="1"/>
  <c r="CK122" i="2"/>
  <c r="CL122" i="2" s="1"/>
  <c r="CL12" i="2"/>
  <c r="CL11" i="2"/>
  <c r="D9" i="34" l="1"/>
  <c r="T9" i="34" s="1"/>
  <c r="Y8" i="35"/>
  <c r="CQ62" i="2"/>
  <c r="CQ69" i="2" s="1"/>
  <c r="CM69" i="2"/>
  <c r="CK69" i="2"/>
  <c r="CL62" i="2"/>
  <c r="CL69" i="2" s="1"/>
  <c r="CI49" i="2"/>
  <c r="CD49" i="2"/>
  <c r="CE51" i="2"/>
  <c r="CL44" i="2"/>
  <c r="CL46" i="2" s="1"/>
  <c r="CM46" i="2" s="1"/>
  <c r="CK70" i="2"/>
  <c r="CQ167" i="2"/>
  <c r="CL167" i="2"/>
  <c r="CQ70" i="2"/>
  <c r="CL70" i="2"/>
  <c r="U8" i="35"/>
  <c r="CC34" i="3"/>
  <c r="E9" i="34" l="1"/>
  <c r="U9" i="34" s="1"/>
  <c r="Z8" i="35"/>
  <c r="C17" i="34"/>
  <c r="S17" i="34" s="1"/>
  <c r="X16" i="35"/>
  <c r="X19" i="35" s="1"/>
  <c r="CE49" i="2"/>
  <c r="CJ49" i="2"/>
  <c r="CF51" i="2"/>
  <c r="V8" i="35"/>
  <c r="J76" i="10"/>
  <c r="C76" i="10" s="1"/>
  <c r="W8" i="35"/>
  <c r="CC200" i="2"/>
  <c r="CD34" i="3"/>
  <c r="C77" i="10" l="1"/>
  <c r="CK51" i="2"/>
  <c r="CL51" i="2" s="1"/>
  <c r="F9" i="34"/>
  <c r="V9" i="34" s="1"/>
  <c r="AA8" i="35"/>
  <c r="C20" i="34"/>
  <c r="S20" i="34" s="1"/>
  <c r="D17" i="34"/>
  <c r="T17" i="34" s="1"/>
  <c r="Y16" i="35"/>
  <c r="Y19" i="35" s="1"/>
  <c r="CG51" i="2"/>
  <c r="G8" i="1" s="1"/>
  <c r="CF49" i="2"/>
  <c r="CG124" i="2"/>
  <c r="BZ32" i="3"/>
  <c r="CE34" i="3"/>
  <c r="CD200" i="2"/>
  <c r="H9" i="34" l="1"/>
  <c r="X9" i="34" s="1"/>
  <c r="AA9" i="34" s="1"/>
  <c r="H8" i="1"/>
  <c r="CK49" i="2"/>
  <c r="C78" i="10"/>
  <c r="CM51" i="2"/>
  <c r="D20" i="34"/>
  <c r="T20" i="34" s="1"/>
  <c r="E17" i="34"/>
  <c r="U17" i="34" s="1"/>
  <c r="Z16" i="35"/>
  <c r="Z19" i="35" s="1"/>
  <c r="G9" i="34"/>
  <c r="W9" i="34" s="1"/>
  <c r="Z9" i="34" s="1"/>
  <c r="AB8" i="35"/>
  <c r="BZ9" i="3"/>
  <c r="U6" i="35"/>
  <c r="U9" i="35" s="1"/>
  <c r="CE200" i="2"/>
  <c r="CF34" i="3"/>
  <c r="AA16" i="35" s="1"/>
  <c r="AA19" i="35" s="1"/>
  <c r="C79" i="10" l="1"/>
  <c r="CN51" i="2"/>
  <c r="CN49" i="2" s="1"/>
  <c r="CM49" i="2"/>
  <c r="E20" i="34"/>
  <c r="U20" i="34" s="1"/>
  <c r="CG34" i="3"/>
  <c r="G23" i="1" s="1"/>
  <c r="F17" i="34"/>
  <c r="V17" i="34" s="1"/>
  <c r="CB49" i="2"/>
  <c r="CC48" i="2"/>
  <c r="CA9" i="3"/>
  <c r="CL124" i="2"/>
  <c r="CH34" i="3"/>
  <c r="CF200" i="2"/>
  <c r="CG200" i="2"/>
  <c r="C80" i="10" l="1"/>
  <c r="CP51" i="2" s="1"/>
  <c r="CP49" i="2" s="1"/>
  <c r="CO51" i="2"/>
  <c r="CB9" i="3"/>
  <c r="T9" i="9" s="1"/>
  <c r="F20" i="34"/>
  <c r="V20" i="34" s="1"/>
  <c r="G17" i="34"/>
  <c r="W17" i="34" s="1"/>
  <c r="AB16" i="35"/>
  <c r="AB19" i="35" s="1"/>
  <c r="U27" i="9"/>
  <c r="CB48" i="2"/>
  <c r="CB46" i="2" s="1"/>
  <c r="CB45" i="2" s="1"/>
  <c r="CC9" i="3"/>
  <c r="CI34" i="3"/>
  <c r="CH200" i="2"/>
  <c r="CO49" i="2" l="1"/>
  <c r="CQ51" i="2"/>
  <c r="I9" i="34" s="1"/>
  <c r="Y9" i="34" s="1"/>
  <c r="G20" i="34"/>
  <c r="W20" i="34" s="1"/>
  <c r="CD48" i="2"/>
  <c r="CE48" i="2"/>
  <c r="U44" i="9"/>
  <c r="U92" i="9" s="1"/>
  <c r="U76" i="9"/>
  <c r="CI200" i="2"/>
  <c r="CJ34" i="3"/>
  <c r="CD9" i="3" l="1"/>
  <c r="CE9" i="3"/>
  <c r="CK34" i="3"/>
  <c r="CL34" i="3" s="1"/>
  <c r="CJ200" i="2"/>
  <c r="U68" i="9"/>
  <c r="U84" i="9"/>
  <c r="H17" i="34" l="1"/>
  <c r="X17" i="34" s="1"/>
  <c r="H23" i="1"/>
  <c r="V27" i="9"/>
  <c r="CG49" i="2"/>
  <c r="CM34" i="3"/>
  <c r="CK200" i="2"/>
  <c r="H20" i="34" l="1"/>
  <c r="X20" i="34" s="1"/>
  <c r="CH48" i="2"/>
  <c r="CF48" i="2"/>
  <c r="CG48" i="2"/>
  <c r="CQ124" i="2"/>
  <c r="CN34" i="3"/>
  <c r="CL200" i="2"/>
  <c r="CM200" i="2"/>
  <c r="V44" i="9"/>
  <c r="V92" i="9" s="1"/>
  <c r="V76" i="9"/>
  <c r="CH9" i="3" l="1"/>
  <c r="CF9" i="3"/>
  <c r="CG9" i="3" s="1"/>
  <c r="V84" i="9"/>
  <c r="V68" i="9"/>
  <c r="CO34" i="3"/>
  <c r="CN200" i="2"/>
  <c r="U9" i="9" l="1"/>
  <c r="CI48" i="2"/>
  <c r="CL49" i="2"/>
  <c r="CO200" i="2"/>
  <c r="CP34" i="3"/>
  <c r="CQ34" i="3" s="1"/>
  <c r="W27" i="9" l="1"/>
  <c r="W44" i="9" s="1"/>
  <c r="W92" i="9" s="1"/>
  <c r="I17" i="34"/>
  <c r="CJ48" i="2"/>
  <c r="CK48" i="2"/>
  <c r="CI9" i="3"/>
  <c r="CL48" i="2"/>
  <c r="CM48" i="2"/>
  <c r="CP200" i="2"/>
  <c r="W76" i="9" l="1"/>
  <c r="I20" i="34"/>
  <c r="Y20" i="34" s="1"/>
  <c r="Y17" i="34"/>
  <c r="CK9" i="3"/>
  <c r="CJ9" i="3"/>
  <c r="CM9" i="3"/>
  <c r="CN48" i="2"/>
  <c r="CQ200" i="2"/>
  <c r="W68" i="9"/>
  <c r="W84" i="9"/>
  <c r="CL9" i="3" l="1"/>
  <c r="V9" i="9" s="1"/>
  <c r="CN9" i="3"/>
  <c r="CQ49" i="2"/>
  <c r="CO48" i="2"/>
  <c r="CO9" i="3" l="1"/>
  <c r="CQ48" i="2"/>
  <c r="CP48" i="2"/>
  <c r="CP9" i="3" l="1"/>
  <c r="CQ9" i="3" s="1"/>
  <c r="W9" i="9" s="1"/>
  <c r="CA164" i="2" l="1"/>
  <c r="CB164" i="2" l="1"/>
  <c r="CB159" i="2"/>
  <c r="AE67" i="10" l="1"/>
  <c r="U13" i="35" l="1"/>
  <c r="BZ10" i="3" l="1"/>
  <c r="BZ12" i="3" s="1"/>
  <c r="BZ15" i="3" l="1"/>
  <c r="BZ16" i="3"/>
  <c r="U22" i="35"/>
  <c r="U23" i="35" l="1"/>
  <c r="CA165" i="2" l="1"/>
  <c r="BZ165" i="2" l="1"/>
  <c r="CB160" i="2"/>
  <c r="BZ161" i="2"/>
  <c r="CA166" i="2" s="1"/>
  <c r="CA171" i="2" s="1"/>
  <c r="CA170" i="2" s="1"/>
  <c r="BZ166" i="2" l="1"/>
  <c r="CB166" i="2"/>
  <c r="CB165" i="2"/>
  <c r="CB161" i="2"/>
  <c r="BZ171" i="2" l="1"/>
  <c r="BZ170" i="2" l="1"/>
  <c r="CB170" i="2" s="1"/>
  <c r="BZ33" i="3" l="1"/>
  <c r="BZ39" i="3" l="1"/>
  <c r="BZ40" i="3"/>
  <c r="U11" i="35"/>
  <c r="U14" i="35" s="1"/>
  <c r="BZ28" i="3" l="1"/>
  <c r="BZ205" i="2" s="1"/>
  <c r="BZ48" i="3"/>
  <c r="BZ98" i="3"/>
  <c r="BZ203" i="3"/>
  <c r="U24" i="35"/>
  <c r="BZ18" i="3" l="1"/>
  <c r="BZ29" i="3"/>
  <c r="BZ101" i="3"/>
  <c r="BZ104" i="3"/>
  <c r="BZ49" i="3"/>
  <c r="U30" i="35"/>
  <c r="BZ52" i="3"/>
  <c r="U32" i="35" s="1"/>
  <c r="BZ209" i="2" l="1"/>
  <c r="BZ202" i="2"/>
  <c r="BZ273" i="3"/>
  <c r="BZ272" i="3"/>
  <c r="BZ20" i="3"/>
  <c r="BZ21" i="3" s="1"/>
  <c r="BZ102" i="3"/>
  <c r="BZ204" i="3"/>
  <c r="BZ105" i="3"/>
  <c r="U25" i="35"/>
  <c r="BZ275" i="3" l="1"/>
  <c r="BZ73" i="3"/>
  <c r="U31" i="35"/>
  <c r="BZ59" i="3"/>
  <c r="BZ206" i="2" s="1"/>
  <c r="BZ228" i="3" l="1"/>
  <c r="BZ60" i="3"/>
  <c r="BZ92" i="3"/>
  <c r="BZ64" i="3"/>
  <c r="U34" i="35"/>
  <c r="BZ207" i="2" l="1"/>
  <c r="BZ70" i="3"/>
  <c r="U35" i="35"/>
  <c r="BZ94" i="3"/>
  <c r="BZ182" i="3"/>
  <c r="BZ217" i="3"/>
  <c r="BZ233" i="3" s="1"/>
  <c r="BZ210" i="2" s="1"/>
  <c r="BZ95" i="3" l="1"/>
  <c r="BZ96" i="3" s="1"/>
  <c r="CA210" i="11"/>
  <c r="CA213" i="11" s="1"/>
  <c r="CA221" i="11" s="1"/>
  <c r="CA222" i="11" s="1"/>
  <c r="BZ261" i="3"/>
  <c r="BZ267" i="3"/>
  <c r="BZ211" i="2" s="1"/>
  <c r="BZ212" i="2" s="1"/>
  <c r="BZ172" i="3"/>
  <c r="BZ181" i="3"/>
  <c r="BZ208" i="3" l="1"/>
  <c r="BZ186" i="3"/>
  <c r="CA178" i="3" s="1"/>
  <c r="BZ207" i="3"/>
  <c r="BZ268" i="3"/>
  <c r="BZ263" i="3"/>
  <c r="BZ187" i="3" l="1"/>
  <c r="BZ121" i="3"/>
  <c r="CA262" i="3"/>
  <c r="CB211" i="11" s="1"/>
  <c r="CA186" i="11" l="1"/>
  <c r="BZ128" i="3"/>
  <c r="BZ192" i="3"/>
  <c r="BZ264" i="3"/>
  <c r="BZ265" i="3" s="1"/>
  <c r="BZ193" i="3" l="1"/>
  <c r="BZ198" i="3"/>
  <c r="BZ200" i="3"/>
  <c r="BZ139" i="3"/>
  <c r="CA187" i="11"/>
  <c r="CB185" i="11"/>
  <c r="CB188" i="11" l="1"/>
  <c r="BZ199" i="3"/>
  <c r="BZ201" i="3"/>
  <c r="CC188" i="11" l="1"/>
  <c r="CB42" i="3" l="1"/>
  <c r="CA44" i="3"/>
  <c r="V28" i="35" l="1"/>
  <c r="CB44" i="3"/>
  <c r="W28" i="35" l="1"/>
  <c r="BZ152" i="3" l="1"/>
  <c r="BZ194" i="3" s="1"/>
  <c r="BZ195" i="3" s="1"/>
  <c r="BZ278" i="3"/>
  <c r="BZ161" i="3" l="1"/>
  <c r="BZ174" i="3" s="1"/>
  <c r="BZ175" i="3" s="1"/>
  <c r="BN23" i="2" l="1"/>
  <c r="BN20" i="2"/>
  <c r="BN19" i="2"/>
  <c r="BX23" i="2" l="1"/>
  <c r="BX19" i="2"/>
  <c r="BX20" i="2"/>
  <c r="BY20" i="2"/>
  <c r="BY19" i="2"/>
  <c r="BY23" i="2"/>
  <c r="BO19" i="2"/>
  <c r="BN21" i="2"/>
  <c r="BN156" i="2" s="1"/>
  <c r="BL23" i="2"/>
  <c r="BM18" i="2"/>
  <c r="BL19" i="2"/>
  <c r="BS20" i="2"/>
  <c r="BS23" i="2"/>
  <c r="BW18" i="2"/>
  <c r="BS19" i="2"/>
  <c r="BR18" i="2"/>
  <c r="BO23" i="2"/>
  <c r="BM19" i="2" l="1"/>
  <c r="BL20" i="2"/>
  <c r="BL21" i="2"/>
  <c r="N57" i="10"/>
  <c r="BT19" i="2"/>
  <c r="BS21" i="2"/>
  <c r="BS156" i="2" s="1"/>
  <c r="BO21" i="2"/>
  <c r="BP19" i="2"/>
  <c r="BX21" i="2"/>
  <c r="BX156" i="2" s="1"/>
  <c r="BO20" i="2"/>
  <c r="BY21" i="2"/>
  <c r="BY156" i="2" s="1"/>
  <c r="BP23" i="2"/>
  <c r="BT23" i="2"/>
  <c r="BM23" i="2"/>
  <c r="BL156" i="2" l="1"/>
  <c r="BO156" i="2"/>
  <c r="N58" i="10" s="1"/>
  <c r="BT20" i="2"/>
  <c r="N66" i="10"/>
  <c r="BQ19" i="2"/>
  <c r="BP21" i="2"/>
  <c r="BM21" i="2"/>
  <c r="BP20" i="2"/>
  <c r="N61" i="10"/>
  <c r="BM20" i="2"/>
  <c r="BQ23" i="2"/>
  <c r="BT21" i="2"/>
  <c r="BU19" i="2"/>
  <c r="BU23" i="2"/>
  <c r="N65" i="10"/>
  <c r="BM156" i="2" l="1"/>
  <c r="BT156" i="2"/>
  <c r="BP156" i="2"/>
  <c r="N59" i="10" s="1"/>
  <c r="O66" i="10"/>
  <c r="BR23" i="2"/>
  <c r="BV19" i="2"/>
  <c r="BU21" i="2"/>
  <c r="BQ20" i="2"/>
  <c r="BV23" i="2"/>
  <c r="AD58" i="10"/>
  <c r="O58" i="10"/>
  <c r="BR19" i="2"/>
  <c r="BQ21" i="2"/>
  <c r="AD66" i="10"/>
  <c r="AF66" i="10" s="1"/>
  <c r="BU20" i="2"/>
  <c r="BU156" i="2" s="1"/>
  <c r="BQ156" i="2" l="1"/>
  <c r="N62" i="10"/>
  <c r="O62" i="10" s="1"/>
  <c r="N56" i="10"/>
  <c r="AD56" i="10" s="1"/>
  <c r="N63" i="10"/>
  <c r="BW19" i="2"/>
  <c r="BW23" i="2"/>
  <c r="AD59" i="10"/>
  <c r="O59" i="10"/>
  <c r="BR21" i="2"/>
  <c r="BV20" i="2"/>
  <c r="BR20" i="2"/>
  <c r="BV21" i="2"/>
  <c r="BV156" i="2" l="1"/>
  <c r="N64" i="10" s="1"/>
  <c r="BR156" i="2"/>
  <c r="O57" i="10"/>
  <c r="AD57" i="10"/>
  <c r="O56" i="10"/>
  <c r="AD62" i="10"/>
  <c r="AF62" i="10" s="1"/>
  <c r="BW20" i="2"/>
  <c r="O63" i="10"/>
  <c r="AD63" i="10"/>
  <c r="AF63" i="10" s="1"/>
  <c r="BW21" i="2"/>
  <c r="BW156" i="2" l="1"/>
  <c r="N60" i="10"/>
  <c r="AD60" i="10" s="1"/>
  <c r="AF60" i="10" s="1"/>
  <c r="O64" i="10"/>
  <c r="AD64" i="10"/>
  <c r="AF64" i="10" s="1"/>
  <c r="AD65" i="10"/>
  <c r="AF65" i="10" s="1"/>
  <c r="O65" i="10"/>
  <c r="AD61" i="10" l="1"/>
  <c r="AF61" i="10" s="1"/>
  <c r="O61" i="10"/>
  <c r="O60" i="10"/>
  <c r="CL18" i="2" l="1"/>
  <c r="CQ18" i="2" l="1"/>
  <c r="CG18" i="2"/>
  <c r="BZ23" i="2" l="1"/>
  <c r="BZ20" i="2"/>
  <c r="BZ19" i="2"/>
  <c r="CB18" i="2"/>
  <c r="BZ21" i="2" l="1"/>
  <c r="BZ156" i="2" s="1"/>
  <c r="CC19" i="2"/>
  <c r="CC23" i="2"/>
  <c r="CD23" i="2" s="1"/>
  <c r="CE23" i="2" s="1"/>
  <c r="CF23" i="2" s="1"/>
  <c r="CD19" i="2" l="1"/>
  <c r="CC21" i="2"/>
  <c r="CC20" i="2"/>
  <c r="CB23" i="2"/>
  <c r="CB19" i="2"/>
  <c r="N67" i="10"/>
  <c r="CA156" i="2"/>
  <c r="CD20" i="2" l="1"/>
  <c r="CE19" i="2"/>
  <c r="CD21" i="2"/>
  <c r="CB20" i="2"/>
  <c r="AD67" i="10"/>
  <c r="AF67" i="10" s="1"/>
  <c r="O67" i="10"/>
  <c r="CB21" i="2"/>
  <c r="CF19" i="2" l="1"/>
  <c r="CF21" i="2" s="1"/>
  <c r="CE21" i="2"/>
  <c r="CE20" i="2"/>
  <c r="CC156" i="2"/>
  <c r="CB156" i="2"/>
  <c r="N68" i="10"/>
  <c r="O68" i="10" s="1"/>
  <c r="CF20" i="2" l="1"/>
  <c r="CD156" i="2"/>
  <c r="N69" i="10"/>
  <c r="G69" i="10" s="1"/>
  <c r="CA196" i="2" l="1"/>
  <c r="CM155" i="2"/>
  <c r="CH155" i="2"/>
  <c r="CC155" i="2"/>
  <c r="CE156" i="2"/>
  <c r="V13" i="35"/>
  <c r="CB155" i="2"/>
  <c r="N70" i="10"/>
  <c r="G70" i="10" s="1"/>
  <c r="CG23" i="2"/>
  <c r="CG19" i="2"/>
  <c r="CH19" i="2"/>
  <c r="CH23" i="2"/>
  <c r="C14" i="34" l="1"/>
  <c r="S14" i="34" s="1"/>
  <c r="X13" i="35"/>
  <c r="CB171" i="2"/>
  <c r="CH153" i="2"/>
  <c r="CH196" i="2"/>
  <c r="CM153" i="2"/>
  <c r="CM196" i="2"/>
  <c r="CB196" i="2"/>
  <c r="CC153" i="2"/>
  <c r="CC196" i="2"/>
  <c r="E30" i="1" s="1"/>
  <c r="CN155" i="2"/>
  <c r="CD155" i="2"/>
  <c r="CI155" i="2"/>
  <c r="CF156" i="2"/>
  <c r="W13" i="35"/>
  <c r="N71" i="10"/>
  <c r="G71" i="10" s="1"/>
  <c r="CG20" i="2"/>
  <c r="CB153" i="2"/>
  <c r="CG21" i="2"/>
  <c r="CI23" i="2"/>
  <c r="CI19" i="2"/>
  <c r="CH21" i="2"/>
  <c r="CH20" i="2"/>
  <c r="D14" i="34" l="1"/>
  <c r="T14" i="34" s="1"/>
  <c r="Y13" i="35"/>
  <c r="CB169" i="2"/>
  <c r="CC171" i="2"/>
  <c r="CI153" i="2"/>
  <c r="CI196" i="2"/>
  <c r="CN153" i="2"/>
  <c r="CN196" i="2"/>
  <c r="CD153" i="2"/>
  <c r="CD196" i="2"/>
  <c r="F30" i="1" s="1"/>
  <c r="CJ155" i="2"/>
  <c r="CO155" i="2"/>
  <c r="CE155" i="2"/>
  <c r="CH156" i="2"/>
  <c r="CG156" i="2"/>
  <c r="N72" i="10"/>
  <c r="G72" i="10" s="1"/>
  <c r="CB152" i="2"/>
  <c r="CI20" i="2"/>
  <c r="CA10" i="3"/>
  <c r="CA12" i="3" s="1"/>
  <c r="CB12" i="3" s="1"/>
  <c r="T12" i="9" s="1"/>
  <c r="CJ19" i="2"/>
  <c r="CI21" i="2"/>
  <c r="CJ23" i="2"/>
  <c r="T77" i="9" l="1"/>
  <c r="T85" i="9"/>
  <c r="E14" i="34"/>
  <c r="U14" i="34" s="1"/>
  <c r="Z13" i="35"/>
  <c r="CB176" i="2"/>
  <c r="CC169" i="2"/>
  <c r="CJ153" i="2"/>
  <c r="CJ196" i="2"/>
  <c r="CO153" i="2"/>
  <c r="CO196" i="2"/>
  <c r="CE153" i="2"/>
  <c r="CE196" i="2"/>
  <c r="G30" i="1" s="1"/>
  <c r="CP155" i="2"/>
  <c r="CK155" i="2"/>
  <c r="CF155" i="2"/>
  <c r="CI156" i="2"/>
  <c r="N74" i="10" s="1"/>
  <c r="CJ20" i="2"/>
  <c r="CK23" i="2"/>
  <c r="CB10" i="3"/>
  <c r="T10" i="9" s="1"/>
  <c r="T14" i="9" s="1"/>
  <c r="CJ21" i="2"/>
  <c r="CK19" i="2"/>
  <c r="F14" i="34" l="1"/>
  <c r="V14" i="34" s="1"/>
  <c r="AA13" i="35"/>
  <c r="CD171" i="2"/>
  <c r="CD169" i="2" s="1"/>
  <c r="CC176" i="2"/>
  <c r="CB175" i="2"/>
  <c r="CB201" i="2" s="1"/>
  <c r="CA201" i="2"/>
  <c r="CA204" i="2"/>
  <c r="CK153" i="2"/>
  <c r="CK196" i="2"/>
  <c r="CP153" i="2"/>
  <c r="CP196" i="2"/>
  <c r="CF153" i="2"/>
  <c r="CF196" i="2"/>
  <c r="H30" i="1" s="1"/>
  <c r="CJ156" i="2"/>
  <c r="CC152" i="2"/>
  <c r="CC10" i="3" s="1"/>
  <c r="CC14" i="3" s="1"/>
  <c r="N73" i="10"/>
  <c r="G73" i="10" s="1"/>
  <c r="CM23" i="2"/>
  <c r="CL23" i="2"/>
  <c r="CM19" i="2"/>
  <c r="CK21" i="2"/>
  <c r="CL19" i="2"/>
  <c r="CB14" i="3"/>
  <c r="CK20" i="2"/>
  <c r="CA15" i="3"/>
  <c r="CA16" i="3"/>
  <c r="V22" i="35"/>
  <c r="X22" i="35" l="1"/>
  <c r="E34" i="1"/>
  <c r="CC175" i="2"/>
  <c r="CC173" i="2" s="1"/>
  <c r="C25" i="34"/>
  <c r="S25" i="34" s="1"/>
  <c r="CB173" i="2"/>
  <c r="CA33" i="3"/>
  <c r="CE171" i="2"/>
  <c r="CE169" i="2" s="1"/>
  <c r="CD176" i="2"/>
  <c r="CC204" i="2"/>
  <c r="G74" i="10"/>
  <c r="CK156" i="2"/>
  <c r="N76" i="10" s="1"/>
  <c r="CD152" i="2"/>
  <c r="CG155" i="2"/>
  <c r="G10" i="1" s="1"/>
  <c r="CL21" i="2"/>
  <c r="CB204" i="2"/>
  <c r="CN19" i="2"/>
  <c r="CM21" i="2"/>
  <c r="CN23" i="2"/>
  <c r="W22" i="35"/>
  <c r="CB15" i="3"/>
  <c r="V23" i="35"/>
  <c r="CB23" i="3"/>
  <c r="CB226" i="3"/>
  <c r="CC150" i="3"/>
  <c r="CC23" i="3"/>
  <c r="CC16" i="3"/>
  <c r="CC15" i="3"/>
  <c r="CM20" i="2"/>
  <c r="CL20" i="2"/>
  <c r="CC201" i="2" l="1"/>
  <c r="CC51" i="3"/>
  <c r="CC33" i="3"/>
  <c r="C12" i="34" s="1"/>
  <c r="CD175" i="2"/>
  <c r="CD173" i="2" s="1"/>
  <c r="G14" i="34"/>
  <c r="W14" i="34" s="1"/>
  <c r="Z14" i="34" s="1"/>
  <c r="AB13" i="35"/>
  <c r="C26" i="34"/>
  <c r="S26" i="34" s="1"/>
  <c r="X23" i="35"/>
  <c r="CE176" i="2"/>
  <c r="CF171" i="2"/>
  <c r="CB33" i="3"/>
  <c r="V11" i="35"/>
  <c r="V14" i="35" s="1"/>
  <c r="CG196" i="2"/>
  <c r="G11" i="1" s="1"/>
  <c r="CM156" i="2"/>
  <c r="CL156" i="2"/>
  <c r="CD10" i="3"/>
  <c r="CD14" i="3" s="1"/>
  <c r="CE152" i="2"/>
  <c r="CE10" i="3" s="1"/>
  <c r="CE14" i="3" s="1"/>
  <c r="N75" i="10"/>
  <c r="G75" i="10" s="1"/>
  <c r="CB223" i="3"/>
  <c r="CO19" i="2"/>
  <c r="CN21" i="2"/>
  <c r="CB24" i="3"/>
  <c r="W23" i="35"/>
  <c r="CO23" i="2"/>
  <c r="CN20" i="2"/>
  <c r="Z22" i="35" l="1"/>
  <c r="G34" i="1"/>
  <c r="Y22" i="35"/>
  <c r="F34" i="1"/>
  <c r="C15" i="34"/>
  <c r="S15" i="34" s="1"/>
  <c r="S12" i="34"/>
  <c r="CD201" i="2"/>
  <c r="X11" i="35"/>
  <c r="X14" i="35" s="1"/>
  <c r="CD51" i="3"/>
  <c r="CD33" i="3"/>
  <c r="Y11" i="35" s="1"/>
  <c r="Y14" i="35" s="1"/>
  <c r="CE175" i="2"/>
  <c r="CE173" i="2" s="1"/>
  <c r="E25" i="34"/>
  <c r="U25" i="34" s="1"/>
  <c r="D25" i="34"/>
  <c r="T25" i="34" s="1"/>
  <c r="CF169" i="2"/>
  <c r="CG171" i="2"/>
  <c r="T26" i="9"/>
  <c r="T75" i="9" s="1"/>
  <c r="W11" i="35"/>
  <c r="W14" i="35" s="1"/>
  <c r="CE204" i="2"/>
  <c r="CD204" i="2"/>
  <c r="G76" i="10"/>
  <c r="CN156" i="2"/>
  <c r="N78" i="10" s="1"/>
  <c r="CG153" i="2"/>
  <c r="CF152" i="2"/>
  <c r="CL155" i="2"/>
  <c r="CO20" i="2"/>
  <c r="CE23" i="3"/>
  <c r="CE15" i="3"/>
  <c r="CE16" i="3"/>
  <c r="CE150" i="3"/>
  <c r="CP23" i="2"/>
  <c r="CO21" i="2"/>
  <c r="CP19" i="2"/>
  <c r="T18" i="9"/>
  <c r="T20" i="9"/>
  <c r="T21" i="9"/>
  <c r="T17" i="9"/>
  <c r="T22" i="9"/>
  <c r="T19" i="9"/>
  <c r="CD15" i="3"/>
  <c r="CD16" i="3"/>
  <c r="CD150" i="3"/>
  <c r="CD226" i="3" s="1"/>
  <c r="CD23" i="3"/>
  <c r="H14" i="34" l="1"/>
  <c r="X14" i="34" s="1"/>
  <c r="AA14" i="34" s="1"/>
  <c r="H10" i="1"/>
  <c r="D12" i="34"/>
  <c r="CE201" i="2"/>
  <c r="CE51" i="3"/>
  <c r="CE33" i="3"/>
  <c r="D26" i="34"/>
  <c r="T26" i="34" s="1"/>
  <c r="Y23" i="35"/>
  <c r="E26" i="34"/>
  <c r="U26" i="34" s="1"/>
  <c r="Z23" i="35"/>
  <c r="T43" i="9"/>
  <c r="T91" i="9" s="1"/>
  <c r="CF176" i="2"/>
  <c r="CF175" i="2" s="1"/>
  <c r="CH171" i="2"/>
  <c r="CH169" i="2" s="1"/>
  <c r="CH176" i="2" s="1"/>
  <c r="CH175" i="2" s="1"/>
  <c r="CG169" i="2"/>
  <c r="CL196" i="2"/>
  <c r="H11" i="1" s="1"/>
  <c r="CO156" i="2"/>
  <c r="CF10" i="3"/>
  <c r="CG10" i="3" s="1"/>
  <c r="U10" i="9" s="1"/>
  <c r="U14" i="9" s="1"/>
  <c r="N77" i="10"/>
  <c r="G77" i="10" s="1"/>
  <c r="CG152" i="2"/>
  <c r="CH152" i="2"/>
  <c r="CQ23" i="2"/>
  <c r="CE226" i="3"/>
  <c r="CP20" i="2"/>
  <c r="CP21" i="2"/>
  <c r="CQ19" i="2"/>
  <c r="D15" i="34" l="1"/>
  <c r="T15" i="34" s="1"/>
  <c r="T12" i="34"/>
  <c r="Z11" i="35"/>
  <c r="Z14" i="35" s="1"/>
  <c r="E12" i="34"/>
  <c r="U12" i="34" s="1"/>
  <c r="T83" i="9"/>
  <c r="T67" i="9"/>
  <c r="CI171" i="2"/>
  <c r="CI169" i="2" s="1"/>
  <c r="CI176" i="2" s="1"/>
  <c r="CG176" i="2"/>
  <c r="CH173" i="2"/>
  <c r="CH51" i="3" s="1"/>
  <c r="CH201" i="2"/>
  <c r="G78" i="10"/>
  <c r="CP156" i="2"/>
  <c r="CI152" i="2"/>
  <c r="CF14" i="3"/>
  <c r="CH10" i="3"/>
  <c r="CH14" i="3" s="1"/>
  <c r="N79" i="10"/>
  <c r="G79" i="10" s="1"/>
  <c r="CG14" i="3"/>
  <c r="O7" i="1" s="1"/>
  <c r="CQ21" i="2"/>
  <c r="CQ20" i="2"/>
  <c r="AA22" i="35" l="1"/>
  <c r="H34" i="1"/>
  <c r="CH204" i="2"/>
  <c r="CH150" i="3"/>
  <c r="E15" i="34"/>
  <c r="U15" i="34" s="1"/>
  <c r="G25" i="34"/>
  <c r="W25" i="34" s="1"/>
  <c r="AB22" i="35"/>
  <c r="F25" i="34"/>
  <c r="V25" i="34" s="1"/>
  <c r="CF173" i="2"/>
  <c r="CF51" i="3" s="1"/>
  <c r="CG175" i="2"/>
  <c r="CF201" i="2"/>
  <c r="CF204" i="2"/>
  <c r="CH33" i="3"/>
  <c r="CI175" i="2"/>
  <c r="CJ171" i="2"/>
  <c r="CQ156" i="2"/>
  <c r="CI10" i="3"/>
  <c r="CI14" i="3" s="1"/>
  <c r="CI204" i="2" s="1"/>
  <c r="CF23" i="3"/>
  <c r="AA23" i="35" s="1"/>
  <c r="CJ152" i="2"/>
  <c r="CJ10" i="3" s="1"/>
  <c r="CJ14" i="3" s="1"/>
  <c r="CJ204" i="2" s="1"/>
  <c r="CL153" i="2"/>
  <c r="CF150" i="3"/>
  <c r="CF226" i="3" s="1"/>
  <c r="CF16" i="3"/>
  <c r="CF15" i="3"/>
  <c r="N80" i="10"/>
  <c r="G80" i="10" s="1"/>
  <c r="CG204" i="2"/>
  <c r="CG15" i="3"/>
  <c r="CG277" i="3"/>
  <c r="CH15" i="3"/>
  <c r="CH16" i="3"/>
  <c r="CH23" i="3"/>
  <c r="CG23" i="3" l="1"/>
  <c r="O10" i="1" s="1"/>
  <c r="F26" i="34"/>
  <c r="V26" i="34" s="1"/>
  <c r="CG201" i="2"/>
  <c r="CG173" i="2"/>
  <c r="CF33" i="3"/>
  <c r="CJ169" i="2"/>
  <c r="CJ176" i="2" s="1"/>
  <c r="CI173" i="2"/>
  <c r="CI51" i="3" s="1"/>
  <c r="CI201" i="2"/>
  <c r="CI23" i="3"/>
  <c r="CI16" i="3"/>
  <c r="CI15" i="3"/>
  <c r="CI150" i="3"/>
  <c r="CI226" i="3" s="1"/>
  <c r="CL152" i="2"/>
  <c r="CK152" i="2"/>
  <c r="CG150" i="3"/>
  <c r="CJ16" i="3"/>
  <c r="CJ150" i="3"/>
  <c r="CJ23" i="3"/>
  <c r="CJ15" i="3"/>
  <c r="CQ155" i="2"/>
  <c r="CM152" i="2"/>
  <c r="U18" i="9"/>
  <c r="CQ196" i="2" l="1"/>
  <c r="I14" i="34"/>
  <c r="Y14" i="34" s="1"/>
  <c r="G26" i="34"/>
  <c r="W26" i="34" s="1"/>
  <c r="AB23" i="35"/>
  <c r="F12" i="34"/>
  <c r="V12" i="34" s="1"/>
  <c r="AA11" i="35"/>
  <c r="AA14" i="35" s="1"/>
  <c r="CG24" i="3"/>
  <c r="CG33" i="3"/>
  <c r="G24" i="1" s="1"/>
  <c r="CI33" i="3"/>
  <c r="CK171" i="2"/>
  <c r="CJ175" i="2"/>
  <c r="CJ226" i="3"/>
  <c r="CG278" i="3"/>
  <c r="CH226" i="3"/>
  <c r="CK10" i="3"/>
  <c r="CK14" i="3" s="1"/>
  <c r="CK150" i="3" s="1"/>
  <c r="CK226" i="3" s="1"/>
  <c r="CM10" i="3"/>
  <c r="CM14" i="3" s="1"/>
  <c r="CM204" i="2" s="1"/>
  <c r="U19" i="9"/>
  <c r="U17" i="9"/>
  <c r="U20" i="9"/>
  <c r="U22" i="9"/>
  <c r="U21" i="9"/>
  <c r="G12" i="34" l="1"/>
  <c r="W12" i="34" s="1"/>
  <c r="AB11" i="35"/>
  <c r="AB14" i="35" s="1"/>
  <c r="F15" i="34"/>
  <c r="V15" i="34" s="1"/>
  <c r="U26" i="9"/>
  <c r="CJ173" i="2"/>
  <c r="CJ51" i="3" s="1"/>
  <c r="CJ201" i="2"/>
  <c r="CK169" i="2"/>
  <c r="CK176" i="2" s="1"/>
  <c r="CL176" i="2" s="1"/>
  <c r="CL171" i="2"/>
  <c r="CL226" i="3"/>
  <c r="CL150" i="3"/>
  <c r="CK15" i="3"/>
  <c r="CL10" i="3"/>
  <c r="CK16" i="3"/>
  <c r="CK204" i="2"/>
  <c r="CK23" i="3"/>
  <c r="CL23" i="3" s="1"/>
  <c r="CN152" i="2"/>
  <c r="CM16" i="3"/>
  <c r="CM150" i="3"/>
  <c r="CM23" i="3"/>
  <c r="CM15" i="3"/>
  <c r="H26" i="34" l="1"/>
  <c r="X26" i="34" s="1"/>
  <c r="P10" i="1"/>
  <c r="G15" i="34"/>
  <c r="W15" i="34" s="1"/>
  <c r="U75" i="9"/>
  <c r="U43" i="9"/>
  <c r="CL14" i="3"/>
  <c r="V10" i="9"/>
  <c r="V14" i="9" s="1"/>
  <c r="CK175" i="2"/>
  <c r="CL175" i="2" s="1"/>
  <c r="CM171" i="2"/>
  <c r="CL169" i="2"/>
  <c r="CJ33" i="3"/>
  <c r="CM226" i="3"/>
  <c r="CN10" i="3"/>
  <c r="CN14" i="3" s="1"/>
  <c r="CN204" i="2" s="1"/>
  <c r="CQ153" i="2"/>
  <c r="CQ152" i="2" s="1"/>
  <c r="CO152" i="2"/>
  <c r="H25" i="34" l="1"/>
  <c r="X25" i="34" s="1"/>
  <c r="P7" i="1"/>
  <c r="CL278" i="3"/>
  <c r="CL277" i="3"/>
  <c r="CL204" i="2"/>
  <c r="CL15" i="3"/>
  <c r="CL24" i="3"/>
  <c r="U91" i="9"/>
  <c r="U83" i="9"/>
  <c r="U67" i="9"/>
  <c r="CM169" i="2"/>
  <c r="CK173" i="2"/>
  <c r="CK201" i="2"/>
  <c r="CN23" i="3"/>
  <c r="CN150" i="3"/>
  <c r="CN226" i="3" s="1"/>
  <c r="CN16" i="3"/>
  <c r="CN15" i="3"/>
  <c r="CP152" i="2"/>
  <c r="CO10" i="3"/>
  <c r="CO14" i="3" s="1"/>
  <c r="CO150" i="3" s="1"/>
  <c r="CL173" i="2" l="1"/>
  <c r="CK51" i="3"/>
  <c r="CN171" i="2"/>
  <c r="CN169" i="2" s="1"/>
  <c r="CM176" i="2"/>
  <c r="CM175" i="2" s="1"/>
  <c r="CK33" i="3"/>
  <c r="V18" i="9"/>
  <c r="CO226" i="3"/>
  <c r="CP10" i="3"/>
  <c r="CQ10" i="3" s="1"/>
  <c r="W10" i="9" s="1"/>
  <c r="W14" i="9" s="1"/>
  <c r="CO16" i="3"/>
  <c r="CO15" i="3"/>
  <c r="CO204" i="2"/>
  <c r="CO23" i="3"/>
  <c r="V20" i="9"/>
  <c r="V22" i="9"/>
  <c r="V21" i="9"/>
  <c r="V17" i="9"/>
  <c r="V19" i="9"/>
  <c r="CO171" i="2" l="1"/>
  <c r="CO169" i="2" s="1"/>
  <c r="CN176" i="2"/>
  <c r="CN175" i="2" s="1"/>
  <c r="CN201" i="2" s="1"/>
  <c r="CL201" i="2"/>
  <c r="CL33" i="3"/>
  <c r="CM173" i="2"/>
  <c r="CM51" i="3" s="1"/>
  <c r="CM201" i="2"/>
  <c r="CQ14" i="3"/>
  <c r="CP14" i="3"/>
  <c r="CP204" i="2" s="1"/>
  <c r="H12" i="34" l="1"/>
  <c r="X12" i="34" s="1"/>
  <c r="H24" i="1"/>
  <c r="CQ204" i="2"/>
  <c r="I25" i="34"/>
  <c r="Y25" i="34" s="1"/>
  <c r="CN173" i="2"/>
  <c r="CP171" i="2"/>
  <c r="CP169" i="2" s="1"/>
  <c r="CO176" i="2"/>
  <c r="CO175" i="2" s="1"/>
  <c r="V26" i="9"/>
  <c r="CM33" i="3"/>
  <c r="CP150" i="3"/>
  <c r="CP226" i="3" s="1"/>
  <c r="CQ226" i="3" s="1"/>
  <c r="CP16" i="3"/>
  <c r="CP15" i="3"/>
  <c r="CP23" i="3"/>
  <c r="CQ23" i="3" s="1"/>
  <c r="CQ277" i="3"/>
  <c r="CQ15" i="3"/>
  <c r="H15" i="34" l="1"/>
  <c r="X15" i="34" s="1"/>
  <c r="CQ24" i="3"/>
  <c r="I26" i="34"/>
  <c r="Y26" i="34" s="1"/>
  <c r="CN33" i="3"/>
  <c r="CN51" i="3"/>
  <c r="CQ171" i="2"/>
  <c r="CQ169" i="2"/>
  <c r="CP176" i="2"/>
  <c r="CP175" i="2" s="1"/>
  <c r="CQ175" i="2" s="1"/>
  <c r="CO173" i="2"/>
  <c r="CO51" i="3" s="1"/>
  <c r="CO201" i="2"/>
  <c r="CQ150" i="3"/>
  <c r="W18" i="9"/>
  <c r="W21" i="9"/>
  <c r="W22" i="9"/>
  <c r="W19" i="9"/>
  <c r="W20" i="9"/>
  <c r="W17" i="9"/>
  <c r="CP173" i="2" l="1"/>
  <c r="CP201" i="2"/>
  <c r="CQ176" i="2"/>
  <c r="V43" i="9"/>
  <c r="V91" i="9" s="1"/>
  <c r="V75" i="9"/>
  <c r="CO33" i="3"/>
  <c r="CQ278" i="3"/>
  <c r="CP33" i="3" l="1"/>
  <c r="CQ33" i="3" s="1"/>
  <c r="CP51" i="3"/>
  <c r="CQ173" i="2"/>
  <c r="CQ201" i="2"/>
  <c r="V67" i="9"/>
  <c r="V83" i="9"/>
  <c r="W26" i="9" l="1"/>
  <c r="W75" i="9" s="1"/>
  <c r="I12" i="34"/>
  <c r="W43" i="9" l="1"/>
  <c r="W91" i="9" s="1"/>
  <c r="I15" i="34"/>
  <c r="Y15" i="34" s="1"/>
  <c r="Y12" i="34"/>
  <c r="W83" i="9" l="1"/>
  <c r="W67" i="9"/>
  <c r="M7" i="3"/>
  <c r="K7" i="3"/>
  <c r="N7" i="3"/>
  <c r="L7" i="3"/>
  <c r="O7" i="3"/>
  <c r="K6" i="3" s="1"/>
  <c r="K117" i="3" s="1"/>
  <c r="BN18" i="3" l="1"/>
  <c r="BN273" i="3" s="1"/>
  <c r="BR18" i="3" l="1"/>
  <c r="BN272" i="3"/>
  <c r="BN275" i="3" s="1"/>
  <c r="BN20" i="3"/>
  <c r="BN21" i="3" s="1"/>
  <c r="BR273" i="3" l="1"/>
  <c r="BR272" i="3"/>
  <c r="BR275" i="3" s="1"/>
  <c r="BR20" i="3"/>
  <c r="BR21" i="3" s="1"/>
  <c r="CB84" i="2" l="1"/>
  <c r="CA32" i="3"/>
  <c r="V6" i="35" l="1"/>
  <c r="V9" i="35" s="1"/>
  <c r="CB32" i="3"/>
  <c r="W6" i="35" l="1"/>
  <c r="W9" i="35" s="1"/>
  <c r="T25" i="9"/>
  <c r="T74" i="9" l="1"/>
  <c r="T42" i="9"/>
  <c r="T82" i="9" l="1"/>
  <c r="T90" i="9"/>
  <c r="T66" i="9"/>
  <c r="CA199" i="2" l="1"/>
  <c r="CB86" i="2"/>
  <c r="CB199" i="2" s="1"/>
  <c r="CA73" i="2"/>
  <c r="CC76" i="2" l="1"/>
  <c r="CB73" i="2"/>
  <c r="CB87" i="2" s="1"/>
  <c r="CC75" i="2"/>
  <c r="CB74" i="2"/>
  <c r="CC73" i="2" l="1"/>
  <c r="CD76" i="2" l="1"/>
  <c r="CD75" i="2"/>
  <c r="CC87" i="2"/>
  <c r="CC86" i="2" s="1"/>
  <c r="CC199" i="2" l="1"/>
  <c r="CC84" i="2"/>
  <c r="CD73" i="2"/>
  <c r="CE76" i="2" l="1"/>
  <c r="CD87" i="2"/>
  <c r="CD86" i="2" s="1"/>
  <c r="CE75" i="2"/>
  <c r="CC32" i="3"/>
  <c r="CC40" i="3" l="1"/>
  <c r="C7" i="34"/>
  <c r="S7" i="34" s="1"/>
  <c r="CC39" i="3"/>
  <c r="X6" i="35"/>
  <c r="X9" i="35" s="1"/>
  <c r="CD199" i="2"/>
  <c r="CD84" i="2"/>
  <c r="CE73" i="2"/>
  <c r="C10" i="34" l="1"/>
  <c r="S10" i="34" s="1"/>
  <c r="CF76" i="2"/>
  <c r="CG76" i="2" s="1"/>
  <c r="CF75" i="2"/>
  <c r="CE87" i="2"/>
  <c r="CE86" i="2" s="1"/>
  <c r="CD32" i="3"/>
  <c r="X24" i="35"/>
  <c r="CC98" i="3"/>
  <c r="E36" i="1" s="1"/>
  <c r="CC28" i="3"/>
  <c r="C27" i="34"/>
  <c r="S27" i="34" s="1"/>
  <c r="CC104" i="3" l="1"/>
  <c r="CC101" i="3"/>
  <c r="E35" i="1" s="1"/>
  <c r="CF73" i="2"/>
  <c r="CG75" i="2"/>
  <c r="CC29" i="3"/>
  <c r="CC205" i="2"/>
  <c r="CC18" i="3"/>
  <c r="Y6" i="35"/>
  <c r="Y9" i="35" s="1"/>
  <c r="CD40" i="3"/>
  <c r="D7" i="34"/>
  <c r="T7" i="34" s="1"/>
  <c r="CD39" i="3"/>
  <c r="CE199" i="2"/>
  <c r="CE84" i="2"/>
  <c r="CE32" i="3" l="1"/>
  <c r="D10" i="34"/>
  <c r="T10" i="34" s="1"/>
  <c r="CC202" i="2"/>
  <c r="X25" i="35"/>
  <c r="CC105" i="3"/>
  <c r="CC102" i="3"/>
  <c r="CC209" i="2"/>
  <c r="C28" i="34"/>
  <c r="Y24" i="35"/>
  <c r="CD98" i="3"/>
  <c r="F36" i="1" s="1"/>
  <c r="CD28" i="3"/>
  <c r="D27" i="34"/>
  <c r="T27" i="34" s="1"/>
  <c r="CC20" i="3"/>
  <c r="CC21" i="3" s="1"/>
  <c r="CH75" i="2"/>
  <c r="CH76" i="2"/>
  <c r="CF87" i="2"/>
  <c r="CF86" i="2" s="1"/>
  <c r="CG73" i="2"/>
  <c r="CG87" i="2" s="1"/>
  <c r="S28" i="34" l="1"/>
  <c r="CD104" i="3"/>
  <c r="CD101" i="3"/>
  <c r="F35" i="1" s="1"/>
  <c r="CF199" i="2"/>
  <c r="CF84" i="2"/>
  <c r="CG86" i="2"/>
  <c r="CH73" i="2"/>
  <c r="CD29" i="3"/>
  <c r="CD205" i="2"/>
  <c r="CD18" i="3"/>
  <c r="E7" i="34"/>
  <c r="U7" i="34" s="1"/>
  <c r="CE40" i="3"/>
  <c r="Z6" i="35"/>
  <c r="Z9" i="35" s="1"/>
  <c r="CE39" i="3"/>
  <c r="CG199" i="2" l="1"/>
  <c r="Z24" i="35"/>
  <c r="CE28" i="3"/>
  <c r="E27" i="34"/>
  <c r="U27" i="34" s="1"/>
  <c r="CE98" i="3"/>
  <c r="G36" i="1" s="1"/>
  <c r="CD20" i="3"/>
  <c r="CD21" i="3" s="1"/>
  <c r="CF32" i="3"/>
  <c r="CG84" i="2"/>
  <c r="Y25" i="35"/>
  <c r="CD209" i="2"/>
  <c r="CD102" i="3"/>
  <c r="CD105" i="3"/>
  <c r="CD202" i="2"/>
  <c r="D28" i="34"/>
  <c r="E10" i="34"/>
  <c r="U10" i="34" s="1"/>
  <c r="CI76" i="2"/>
  <c r="CH87" i="2"/>
  <c r="CH86" i="2" s="1"/>
  <c r="CI75" i="2"/>
  <c r="T28" i="34" l="1"/>
  <c r="CH199" i="2"/>
  <c r="CH84" i="2"/>
  <c r="CF40" i="3"/>
  <c r="AA6" i="35"/>
  <c r="AA9" i="35" s="1"/>
  <c r="F7" i="34"/>
  <c r="V7" i="34" s="1"/>
  <c r="CF39" i="3"/>
  <c r="CG32" i="3"/>
  <c r="G22" i="1" s="1"/>
  <c r="CE205" i="2"/>
  <c r="CE29" i="3"/>
  <c r="CE18" i="3"/>
  <c r="CI73" i="2"/>
  <c r="CE104" i="3"/>
  <c r="CE101" i="3"/>
  <c r="G35" i="1" s="1"/>
  <c r="CE105" i="3" l="1"/>
  <c r="CE102" i="3"/>
  <c r="CE209" i="2"/>
  <c r="Z25" i="35"/>
  <c r="CE202" i="2"/>
  <c r="E28" i="34"/>
  <c r="CE20" i="3"/>
  <c r="CE21" i="3" s="1"/>
  <c r="AA24" i="35"/>
  <c r="F27" i="34"/>
  <c r="V27" i="34" s="1"/>
  <c r="CF98" i="3"/>
  <c r="H36" i="1" s="1"/>
  <c r="CF28" i="3"/>
  <c r="CF203" i="3"/>
  <c r="CJ75" i="2"/>
  <c r="CI87" i="2"/>
  <c r="CI86" i="2" s="1"/>
  <c r="CJ76" i="2"/>
  <c r="CG40" i="3"/>
  <c r="G7" i="34"/>
  <c r="W7" i="34" s="1"/>
  <c r="AB6" i="35"/>
  <c r="AB9" i="35" s="1"/>
  <c r="CG39" i="3"/>
  <c r="U25" i="9"/>
  <c r="F10" i="34"/>
  <c r="V10" i="34" s="1"/>
  <c r="CH32" i="3"/>
  <c r="O12" i="1" l="1"/>
  <c r="U28" i="34"/>
  <c r="AB24" i="35"/>
  <c r="G27" i="34"/>
  <c r="W27" i="34" s="1"/>
  <c r="CG28" i="3"/>
  <c r="CG203" i="3"/>
  <c r="U31" i="9"/>
  <c r="CG98" i="3"/>
  <c r="CJ73" i="2"/>
  <c r="CF205" i="2"/>
  <c r="CF29" i="3"/>
  <c r="CF18" i="3"/>
  <c r="CF104" i="3"/>
  <c r="CF101" i="3"/>
  <c r="H35" i="1" s="1"/>
  <c r="CH40" i="3"/>
  <c r="CH39" i="3"/>
  <c r="U74" i="9"/>
  <c r="U42" i="9"/>
  <c r="G10" i="34"/>
  <c r="W10" i="34" s="1"/>
  <c r="CI199" i="2"/>
  <c r="CI84" i="2"/>
  <c r="CI32" i="3" l="1"/>
  <c r="U90" i="9"/>
  <c r="U82" i="9"/>
  <c r="U66" i="9"/>
  <c r="U71" i="9" s="1"/>
  <c r="CH203" i="3"/>
  <c r="CH98" i="3"/>
  <c r="CH28" i="3"/>
  <c r="CF202" i="2"/>
  <c r="CF102" i="3"/>
  <c r="CF209" i="2"/>
  <c r="AA25" i="35"/>
  <c r="CF105" i="3"/>
  <c r="F28" i="34"/>
  <c r="CF204" i="3"/>
  <c r="CG104" i="3"/>
  <c r="CG101" i="3"/>
  <c r="O11" i="1" s="1"/>
  <c r="CF20" i="3"/>
  <c r="CF21" i="3" s="1"/>
  <c r="CG18" i="3"/>
  <c r="O8" i="1" s="1"/>
  <c r="CK75" i="2"/>
  <c r="CK76" i="2"/>
  <c r="CL76" i="2" s="1"/>
  <c r="CJ87" i="2"/>
  <c r="CJ86" i="2" s="1"/>
  <c r="U29" i="9"/>
  <c r="U47" i="9"/>
  <c r="U79" i="9"/>
  <c r="CG29" i="3"/>
  <c r="CG205" i="2"/>
  <c r="V28" i="34" l="1"/>
  <c r="CK73" i="2"/>
  <c r="CL75" i="2"/>
  <c r="CG105" i="3"/>
  <c r="CG202" i="2"/>
  <c r="CG209" i="2"/>
  <c r="CG204" i="3"/>
  <c r="AB25" i="35"/>
  <c r="CG102" i="3"/>
  <c r="G28" i="34"/>
  <c r="U87" i="9"/>
  <c r="U53" i="9"/>
  <c r="U52" i="9"/>
  <c r="U51" i="9"/>
  <c r="U94" i="9"/>
  <c r="CG20" i="3"/>
  <c r="CG21" i="3" s="1"/>
  <c r="CJ199" i="2"/>
  <c r="CJ84" i="2"/>
  <c r="CH205" i="2"/>
  <c r="CH29" i="3"/>
  <c r="CH18" i="3"/>
  <c r="CH101" i="3"/>
  <c r="CH104" i="3"/>
  <c r="U50" i="9"/>
  <c r="CI40" i="3"/>
  <c r="CI39" i="3"/>
  <c r="W28" i="34" l="1"/>
  <c r="Z28" i="34" s="1"/>
  <c r="CH20" i="3"/>
  <c r="CH21" i="3" s="1"/>
  <c r="CJ32" i="3"/>
  <c r="CI98" i="3"/>
  <c r="CI28" i="3"/>
  <c r="CI203" i="3"/>
  <c r="U55" i="9"/>
  <c r="CH209" i="2"/>
  <c r="CH204" i="3"/>
  <c r="CH102" i="3"/>
  <c r="CH105" i="3"/>
  <c r="CH202" i="2"/>
  <c r="CM76" i="2"/>
  <c r="CM75" i="2"/>
  <c r="CK87" i="2"/>
  <c r="CK86" i="2" s="1"/>
  <c r="CL73" i="2"/>
  <c r="CL87" i="2" s="1"/>
  <c r="CM73" i="2" l="1"/>
  <c r="CK199" i="2"/>
  <c r="CK84" i="2"/>
  <c r="CL86" i="2"/>
  <c r="CI101" i="3"/>
  <c r="CI104" i="3"/>
  <c r="CJ40" i="3"/>
  <c r="CJ39" i="3"/>
  <c r="CI205" i="2"/>
  <c r="CI29" i="3"/>
  <c r="CI18" i="3"/>
  <c r="CL199" i="2" l="1"/>
  <c r="CI20" i="3"/>
  <c r="CI21" i="3" s="1"/>
  <c r="CJ28" i="3"/>
  <c r="CJ98" i="3"/>
  <c r="CJ203" i="3"/>
  <c r="CK32" i="3"/>
  <c r="CL84" i="2"/>
  <c r="CN76" i="2"/>
  <c r="CN75" i="2"/>
  <c r="CM87" i="2"/>
  <c r="CM86" i="2" s="1"/>
  <c r="CI102" i="3"/>
  <c r="CI202" i="2"/>
  <c r="CI209" i="2"/>
  <c r="CI105" i="3"/>
  <c r="CI204" i="3"/>
  <c r="CM199" i="2" l="1"/>
  <c r="CM84" i="2"/>
  <c r="CN73" i="2"/>
  <c r="CJ104" i="3"/>
  <c r="CJ101" i="3"/>
  <c r="CJ29" i="3"/>
  <c r="CJ205" i="2"/>
  <c r="CJ18" i="3"/>
  <c r="CK40" i="3"/>
  <c r="CK39" i="3"/>
  <c r="CL32" i="3"/>
  <c r="H22" i="1" s="1"/>
  <c r="H7" i="34" l="1"/>
  <c r="X7" i="34" s="1"/>
  <c r="CL40" i="3"/>
  <c r="V25" i="9"/>
  <c r="CL39" i="3"/>
  <c r="CJ20" i="3"/>
  <c r="CJ21" i="3" s="1"/>
  <c r="CO76" i="2"/>
  <c r="CO75" i="2"/>
  <c r="CN87" i="2"/>
  <c r="CN86" i="2" s="1"/>
  <c r="CK98" i="3"/>
  <c r="CK28" i="3"/>
  <c r="CK203" i="3"/>
  <c r="CJ102" i="3"/>
  <c r="CJ202" i="2"/>
  <c r="CJ209" i="2"/>
  <c r="CJ105" i="3"/>
  <c r="CJ204" i="3"/>
  <c r="CM32" i="3"/>
  <c r="P12" i="1" l="1"/>
  <c r="CM40" i="3"/>
  <c r="CM39" i="3"/>
  <c r="CK29" i="3"/>
  <c r="CK205" i="2"/>
  <c r="CK18" i="3"/>
  <c r="CK101" i="3"/>
  <c r="CK104" i="3"/>
  <c r="CN84" i="2"/>
  <c r="CN199" i="2"/>
  <c r="CL203" i="3"/>
  <c r="V31" i="9"/>
  <c r="CL28" i="3"/>
  <c r="H27" i="34"/>
  <c r="X27" i="34" s="1"/>
  <c r="CL98" i="3"/>
  <c r="CO73" i="2"/>
  <c r="V74" i="9"/>
  <c r="V42" i="9"/>
  <c r="H10" i="34"/>
  <c r="X10" i="34" s="1"/>
  <c r="V90" i="9" l="1"/>
  <c r="V82" i="9"/>
  <c r="V66" i="9"/>
  <c r="V71" i="9" s="1"/>
  <c r="CO87" i="2"/>
  <c r="CO86" i="2" s="1"/>
  <c r="CP75" i="2"/>
  <c r="CP76" i="2"/>
  <c r="CQ76" i="2" s="1"/>
  <c r="CL104" i="3"/>
  <c r="CL101" i="3"/>
  <c r="P11" i="1" s="1"/>
  <c r="CK20" i="3"/>
  <c r="CK21" i="3" s="1"/>
  <c r="CL18" i="3"/>
  <c r="P8" i="1" s="1"/>
  <c r="CL29" i="3"/>
  <c r="CL205" i="2"/>
  <c r="V79" i="9"/>
  <c r="V29" i="9"/>
  <c r="V47" i="9"/>
  <c r="V50" i="9" s="1"/>
  <c r="CN32" i="3"/>
  <c r="CK202" i="2"/>
  <c r="CK102" i="3"/>
  <c r="CK105" i="3"/>
  <c r="CK209" i="2"/>
  <c r="CK204" i="3"/>
  <c r="CM203" i="3"/>
  <c r="CM98" i="3"/>
  <c r="CM28" i="3"/>
  <c r="CM101" i="3" l="1"/>
  <c r="CM104" i="3"/>
  <c r="CN40" i="3"/>
  <c r="CN39" i="3"/>
  <c r="CL202" i="2"/>
  <c r="CL204" i="3"/>
  <c r="CL102" i="3"/>
  <c r="CL209" i="2"/>
  <c r="CL105" i="3"/>
  <c r="H28" i="34"/>
  <c r="CP73" i="2"/>
  <c r="CQ75" i="2"/>
  <c r="CM205" i="2"/>
  <c r="CM29" i="3"/>
  <c r="CM18" i="3"/>
  <c r="V87" i="9"/>
  <c r="V53" i="9"/>
  <c r="V51" i="9"/>
  <c r="V94" i="9"/>
  <c r="V52" i="9"/>
  <c r="CL20" i="3"/>
  <c r="CL21" i="3" s="1"/>
  <c r="CO199" i="2"/>
  <c r="CO84" i="2"/>
  <c r="X28" i="34" l="1"/>
  <c r="AA28" i="34" s="1"/>
  <c r="V55" i="9"/>
  <c r="CO32" i="3"/>
  <c r="CP87" i="2"/>
  <c r="CP86" i="2" s="1"/>
  <c r="CQ73" i="2"/>
  <c r="CQ87" i="2" s="1"/>
  <c r="CN98" i="3"/>
  <c r="CN28" i="3"/>
  <c r="CN203" i="3"/>
  <c r="CM20" i="3"/>
  <c r="CM21" i="3" s="1"/>
  <c r="CM105" i="3"/>
  <c r="CM202" i="2"/>
  <c r="CM209" i="2"/>
  <c r="CM204" i="3"/>
  <c r="CM102" i="3"/>
  <c r="CN101" i="3" l="1"/>
  <c r="CN104" i="3"/>
  <c r="CN205" i="2"/>
  <c r="CN29" i="3"/>
  <c r="CN18" i="3"/>
  <c r="CP199" i="2"/>
  <c r="CP84" i="2"/>
  <c r="CQ86" i="2"/>
  <c r="CO40" i="3"/>
  <c r="CO39" i="3"/>
  <c r="CQ199" i="2" l="1"/>
  <c r="CO98" i="3"/>
  <c r="CO28" i="3"/>
  <c r="CO203" i="3"/>
  <c r="CP32" i="3"/>
  <c r="CQ84" i="2"/>
  <c r="CN20" i="3"/>
  <c r="CN21" i="3" s="1"/>
  <c r="CN209" i="2"/>
  <c r="CN105" i="3"/>
  <c r="CN202" i="2"/>
  <c r="CN102" i="3"/>
  <c r="CN204" i="3"/>
  <c r="CP40" i="3" l="1"/>
  <c r="CP39" i="3"/>
  <c r="CQ32" i="3"/>
  <c r="I7" i="34" s="1"/>
  <c r="CO29" i="3"/>
  <c r="CO18" i="3"/>
  <c r="CO205" i="2"/>
  <c r="CO104" i="3"/>
  <c r="CO101" i="3"/>
  <c r="I10" i="34" l="1"/>
  <c r="Y10" i="34" s="1"/>
  <c r="Y7" i="34"/>
  <c r="CO209" i="2"/>
  <c r="CO105" i="3"/>
  <c r="CO202" i="2"/>
  <c r="CO102" i="3"/>
  <c r="CO204" i="3"/>
  <c r="CP98" i="3"/>
  <c r="CP28" i="3"/>
  <c r="CP203" i="3"/>
  <c r="CO20" i="3"/>
  <c r="CO21" i="3" s="1"/>
  <c r="CQ40" i="3"/>
  <c r="CQ39" i="3"/>
  <c r="I27" i="34" s="1"/>
  <c r="Y27" i="34" s="1"/>
  <c r="W25" i="9"/>
  <c r="W74" i="9" l="1"/>
  <c r="W42" i="9"/>
  <c r="CP29" i="3"/>
  <c r="CP205" i="2"/>
  <c r="CP18" i="3"/>
  <c r="CP101" i="3"/>
  <c r="CP104" i="3"/>
  <c r="W31" i="9"/>
  <c r="CQ98" i="3"/>
  <c r="CQ28" i="3"/>
  <c r="CQ203" i="3"/>
  <c r="CQ205" i="2" l="1"/>
  <c r="CQ29" i="3"/>
  <c r="W79" i="9"/>
  <c r="W47" i="9"/>
  <c r="W50" i="9" s="1"/>
  <c r="W29" i="9"/>
  <c r="CP105" i="3"/>
  <c r="CP202" i="2"/>
  <c r="CP102" i="3"/>
  <c r="CP209" i="2"/>
  <c r="CP204" i="3"/>
  <c r="W82" i="9"/>
  <c r="W90" i="9"/>
  <c r="W66" i="9"/>
  <c r="W71" i="9" s="1"/>
  <c r="CQ104" i="3"/>
  <c r="CQ101" i="3"/>
  <c r="CP20" i="3"/>
  <c r="CP21" i="3" s="1"/>
  <c r="CQ18" i="3"/>
  <c r="I28" i="34" l="1"/>
  <c r="Y28" i="34" s="1"/>
  <c r="CQ204" i="3"/>
  <c r="CQ209" i="2"/>
  <c r="CQ102" i="3"/>
  <c r="CQ202" i="2"/>
  <c r="CQ105" i="3"/>
  <c r="W51" i="9"/>
  <c r="W52" i="9"/>
  <c r="W87" i="9"/>
  <c r="W94" i="9"/>
  <c r="W53" i="9"/>
  <c r="CQ20" i="3"/>
  <c r="CQ21" i="3" s="1"/>
  <c r="W55" i="9" l="1"/>
  <c r="CB127" i="2"/>
  <c r="CA200" i="2"/>
  <c r="CB126" i="2"/>
  <c r="CB200" i="2" s="1"/>
  <c r="CB124" i="2"/>
  <c r="CA118" i="2"/>
  <c r="CB118" i="2" s="1"/>
  <c r="CA34" i="3"/>
  <c r="V16" i="35" l="1"/>
  <c r="V19" i="35" s="1"/>
  <c r="CA40" i="3"/>
  <c r="CA39" i="3"/>
  <c r="CB34" i="3"/>
  <c r="V24" i="35" l="1"/>
  <c r="CA203" i="3"/>
  <c r="CC203" i="3"/>
  <c r="CA98" i="3"/>
  <c r="CE203" i="3"/>
  <c r="CA28" i="3"/>
  <c r="CD203" i="3"/>
  <c r="CA48" i="3"/>
  <c r="CA52" i="3" s="1"/>
  <c r="CB40" i="3"/>
  <c r="W16" i="35"/>
  <c r="W19" i="35" s="1"/>
  <c r="CB39" i="3"/>
  <c r="T27" i="9"/>
  <c r="T76" i="9" l="1"/>
  <c r="T44" i="9"/>
  <c r="W24" i="35"/>
  <c r="CB203" i="3"/>
  <c r="CB98" i="3"/>
  <c r="CB28" i="3"/>
  <c r="CB48" i="3"/>
  <c r="T31" i="9"/>
  <c r="V30" i="35"/>
  <c r="V32" i="35"/>
  <c r="CA49" i="3"/>
  <c r="CA29" i="3"/>
  <c r="CA205" i="2"/>
  <c r="CA18" i="3"/>
  <c r="CA104" i="3"/>
  <c r="CA101" i="3"/>
  <c r="CA73" i="3" l="1"/>
  <c r="V25" i="35"/>
  <c r="CA202" i="2"/>
  <c r="CD204" i="3"/>
  <c r="CC204" i="3"/>
  <c r="CA102" i="3"/>
  <c r="CA105" i="3"/>
  <c r="CA209" i="2"/>
  <c r="CE204" i="3"/>
  <c r="CA204" i="3"/>
  <c r="CA20" i="3"/>
  <c r="CA21" i="3" s="1"/>
  <c r="CB18" i="3"/>
  <c r="V31" i="35"/>
  <c r="CB51" i="3"/>
  <c r="T79" i="9"/>
  <c r="T47" i="9"/>
  <c r="T29" i="9"/>
  <c r="CB49" i="3"/>
  <c r="CB59" i="3"/>
  <c r="W30" i="35"/>
  <c r="CB205" i="2"/>
  <c r="CB29" i="3"/>
  <c r="CB104" i="3"/>
  <c r="CB101" i="3"/>
  <c r="T92" i="9"/>
  <c r="T84" i="9"/>
  <c r="T68" i="9"/>
  <c r="T71" i="9" s="1"/>
  <c r="CA59" i="3" l="1"/>
  <c r="CA206" i="2" s="1"/>
  <c r="CB125" i="3"/>
  <c r="V34" i="35"/>
  <c r="CB60" i="3"/>
  <c r="CB206" i="2"/>
  <c r="W34" i="35"/>
  <c r="CB64" i="3"/>
  <c r="CB92" i="3"/>
  <c r="T53" i="9"/>
  <c r="T94" i="9"/>
  <c r="T87" i="9"/>
  <c r="T50" i="9"/>
  <c r="T51" i="9"/>
  <c r="W31" i="35"/>
  <c r="CB73" i="3"/>
  <c r="CB52" i="3"/>
  <c r="T52" i="9"/>
  <c r="CB105" i="3"/>
  <c r="CB202" i="2"/>
  <c r="CB102" i="3"/>
  <c r="CB204" i="3"/>
  <c r="CB209" i="2"/>
  <c r="W25" i="35"/>
  <c r="CB220" i="3"/>
  <c r="CB20" i="3"/>
  <c r="CB21" i="3" s="1"/>
  <c r="CA60" i="3" l="1"/>
  <c r="CA92" i="3"/>
  <c r="CA94" i="3" s="1"/>
  <c r="CA64" i="3"/>
  <c r="W32" i="35"/>
  <c r="T138" i="9"/>
  <c r="CA70" i="3"/>
  <c r="CB228" i="3"/>
  <c r="CA228" i="3"/>
  <c r="T55" i="9"/>
  <c r="CB94" i="3"/>
  <c r="CB217" i="3"/>
  <c r="CB182" i="3"/>
  <c r="CB207" i="2"/>
  <c r="W35" i="35"/>
  <c r="CB70" i="3"/>
  <c r="CB65" i="3"/>
  <c r="CA172" i="3" l="1"/>
  <c r="V35" i="35"/>
  <c r="CA182" i="3"/>
  <c r="CA207" i="2"/>
  <c r="CA217" i="3"/>
  <c r="CA233" i="3" s="1"/>
  <c r="CA267" i="3" s="1"/>
  <c r="CB233" i="3"/>
  <c r="CA95" i="3"/>
  <c r="CA96" i="3" s="1"/>
  <c r="T100" i="9"/>
  <c r="T106" i="9" s="1"/>
  <c r="T98" i="9"/>
  <c r="T104" i="9" s="1"/>
  <c r="T97" i="9"/>
  <c r="T103" i="9" s="1"/>
  <c r="T99" i="9"/>
  <c r="T105" i="9" s="1"/>
  <c r="CB95" i="3"/>
  <c r="CB96" i="3" s="1"/>
  <c r="CB166" i="3" l="1"/>
  <c r="CA181" i="3"/>
  <c r="CB210" i="11"/>
  <c r="CB213" i="11" s="1"/>
  <c r="CB221" i="11" s="1"/>
  <c r="CB222" i="11" s="1"/>
  <c r="CA261" i="3"/>
  <c r="CA263" i="3" s="1"/>
  <c r="CA210" i="2"/>
  <c r="CA208" i="3"/>
  <c r="CA186" i="3"/>
  <c r="CC178" i="3" s="1"/>
  <c r="CA207" i="3"/>
  <c r="T111" i="9"/>
  <c r="T110" i="9"/>
  <c r="CB181" i="3"/>
  <c r="CB172" i="3"/>
  <c r="T109" i="9"/>
  <c r="T112" i="9"/>
  <c r="CA268" i="3"/>
  <c r="CA211" i="2"/>
  <c r="CA212" i="2" s="1"/>
  <c r="CB261" i="3"/>
  <c r="CB267" i="3"/>
  <c r="CB210" i="2"/>
  <c r="CA187" i="3" l="1"/>
  <c r="CB268" i="3"/>
  <c r="CB211" i="2"/>
  <c r="CB212" i="2" s="1"/>
  <c r="CB263" i="3"/>
  <c r="CB208" i="3"/>
  <c r="CB186" i="3"/>
  <c r="CG178" i="3" s="1"/>
  <c r="CB207" i="3"/>
  <c r="CC262" i="3"/>
  <c r="CA121" i="3"/>
  <c r="CB187" i="3" l="1"/>
  <c r="CA192" i="3"/>
  <c r="CB121" i="3"/>
  <c r="CA264" i="3"/>
  <c r="CA265" i="3" s="1"/>
  <c r="CB186" i="11"/>
  <c r="CD211" i="11"/>
  <c r="CG262" i="3"/>
  <c r="CB187" i="11" l="1"/>
  <c r="CC186" i="11"/>
  <c r="CD185" i="11" s="1"/>
  <c r="CB264" i="3"/>
  <c r="CB265" i="3" s="1"/>
  <c r="CB192" i="3"/>
  <c r="CA198" i="3"/>
  <c r="CA200" i="3"/>
  <c r="CA193" i="3"/>
  <c r="CA199" i="3" l="1"/>
  <c r="CB193" i="3"/>
  <c r="CA201" i="3"/>
  <c r="CB200" i="3"/>
  <c r="CB198" i="3"/>
  <c r="CD188" i="11"/>
  <c r="CC42" i="3" l="1"/>
  <c r="CB199" i="3"/>
  <c r="CB201" i="3"/>
  <c r="CC44" i="3" l="1"/>
  <c r="X28" i="35" l="1"/>
  <c r="C30" i="34"/>
  <c r="S30" i="34" s="1"/>
  <c r="CC48" i="3"/>
  <c r="CC52" i="3" s="1"/>
  <c r="CC49" i="3" l="1"/>
  <c r="X30" i="35"/>
  <c r="X32" i="35"/>
  <c r="X31" i="35" l="1"/>
  <c r="CC73" i="3"/>
  <c r="C31" i="34"/>
  <c r="S31" i="34" s="1"/>
  <c r="CC220" i="3"/>
  <c r="CC59" i="3"/>
  <c r="CC60" i="3" l="1"/>
  <c r="CC64" i="3"/>
  <c r="E37" i="1" s="1"/>
  <c r="CC206" i="2"/>
  <c r="C32" i="34"/>
  <c r="S32" i="34" s="1"/>
  <c r="X34" i="35"/>
  <c r="CC92" i="3"/>
  <c r="CC125" i="3"/>
  <c r="CC182" i="3" l="1"/>
  <c r="CC94" i="3"/>
  <c r="E38" i="1" s="1"/>
  <c r="CC217" i="3"/>
  <c r="CC166" i="3"/>
  <c r="CC207" i="2"/>
  <c r="X35" i="35"/>
  <c r="C33" i="34"/>
  <c r="S33" i="34" s="1"/>
  <c r="CC70" i="3"/>
  <c r="CC181" i="3" l="1"/>
  <c r="CC172" i="3"/>
  <c r="CC95" i="3"/>
  <c r="CC96" i="3" s="1"/>
  <c r="CC207" i="3" l="1"/>
  <c r="CC208" i="3"/>
  <c r="CC186" i="3"/>
  <c r="CD178" i="3" s="1"/>
  <c r="CC187" i="3" l="1"/>
  <c r="CA278" i="3"/>
  <c r="CB150" i="3"/>
  <c r="CC226" i="3" s="1"/>
  <c r="CG226" i="3" s="1"/>
  <c r="CA128" i="3"/>
  <c r="CA152" i="3"/>
  <c r="CA272" i="3"/>
  <c r="CB124" i="3"/>
  <c r="CB122" i="3"/>
  <c r="CB271" i="3" s="1"/>
  <c r="CA273" i="3"/>
  <c r="CB142" i="3"/>
  <c r="CA271" i="3"/>
  <c r="CB273" i="3" l="1"/>
  <c r="CC273" i="3" s="1"/>
  <c r="CC142" i="3" s="1"/>
  <c r="CC152" i="3" s="1"/>
  <c r="CC161" i="3" s="1"/>
  <c r="CC174" i="3" s="1"/>
  <c r="CB278" i="3"/>
  <c r="CA275" i="3"/>
  <c r="CB272" i="3"/>
  <c r="CC272" i="3" s="1"/>
  <c r="CC271" i="3"/>
  <c r="CA161" i="3"/>
  <c r="CA174" i="3" s="1"/>
  <c r="CB152" i="3"/>
  <c r="CB161" i="3" s="1"/>
  <c r="CB174" i="3" s="1"/>
  <c r="CB128" i="3"/>
  <c r="CA139" i="3"/>
  <c r="CA194" i="3"/>
  <c r="CA195" i="3" s="1"/>
  <c r="CD273" i="3" l="1"/>
  <c r="CC225" i="3"/>
  <c r="CA175" i="3"/>
  <c r="CB194" i="3"/>
  <c r="CB195" i="3" s="1"/>
  <c r="CB139" i="3"/>
  <c r="CC275" i="3"/>
  <c r="CC122" i="3"/>
  <c r="CD271" i="3"/>
  <c r="CC124" i="3"/>
  <c r="CC224" i="3" s="1"/>
  <c r="CD272" i="3"/>
  <c r="CB275" i="3"/>
  <c r="CD142" i="3" l="1"/>
  <c r="CE273" i="3"/>
  <c r="CD122" i="3"/>
  <c r="CD223" i="3" s="1"/>
  <c r="CD275" i="3"/>
  <c r="CE271" i="3"/>
  <c r="CD124" i="3"/>
  <c r="CD224" i="3" s="1"/>
  <c r="CE272" i="3"/>
  <c r="CC223" i="3"/>
  <c r="CB175" i="3"/>
  <c r="CD152" i="3" l="1"/>
  <c r="CD161" i="3" s="1"/>
  <c r="CD225" i="3"/>
  <c r="CD228" i="3" s="1"/>
  <c r="CF273" i="3"/>
  <c r="CE142" i="3"/>
  <c r="CE275" i="3"/>
  <c r="CE122" i="3"/>
  <c r="CE223" i="3" s="1"/>
  <c r="CF271" i="3"/>
  <c r="CC228" i="3"/>
  <c r="CC233" i="3" s="1"/>
  <c r="CE124" i="3"/>
  <c r="CE224" i="3" s="1"/>
  <c r="CE225" i="3" l="1"/>
  <c r="CE228" i="3" s="1"/>
  <c r="CE152" i="3"/>
  <c r="CE161" i="3" s="1"/>
  <c r="CF142" i="3"/>
  <c r="CF124" i="3"/>
  <c r="CG124" i="3" s="1"/>
  <c r="O24" i="1" s="1"/>
  <c r="CF275" i="3"/>
  <c r="CF122" i="3"/>
  <c r="CC267" i="3"/>
  <c r="CC210" i="2"/>
  <c r="CD210" i="11"/>
  <c r="CD213" i="11" s="1"/>
  <c r="CD221" i="11" s="1"/>
  <c r="CD222" i="11" s="1"/>
  <c r="CC261" i="3"/>
  <c r="CF223" i="3" l="1"/>
  <c r="CG223" i="3" s="1"/>
  <c r="CH122" i="3"/>
  <c r="CH223" i="3" s="1"/>
  <c r="CG142" i="3"/>
  <c r="O33" i="1" s="1"/>
  <c r="CF225" i="3"/>
  <c r="CG225" i="3" s="1"/>
  <c r="CF152" i="3"/>
  <c r="CF224" i="3"/>
  <c r="CG224" i="3" s="1"/>
  <c r="CC263" i="3"/>
  <c r="CG122" i="3"/>
  <c r="O23" i="1" s="1"/>
  <c r="CG272" i="3"/>
  <c r="CH272" i="3" s="1"/>
  <c r="CH124" i="3" s="1"/>
  <c r="CC211" i="2"/>
  <c r="CC212" i="2" s="1"/>
  <c r="CC268" i="3"/>
  <c r="CF161" i="3" l="1"/>
  <c r="CG152" i="3"/>
  <c r="CG161" i="3" s="1"/>
  <c r="CG273" i="3"/>
  <c r="CH273" i="3" s="1"/>
  <c r="CH142" i="3" s="1"/>
  <c r="CH152" i="3" s="1"/>
  <c r="CH161" i="3" s="1"/>
  <c r="CG228" i="3"/>
  <c r="O44" i="1" s="1"/>
  <c r="CF228" i="3"/>
  <c r="CD262" i="3"/>
  <c r="CE211" i="11" s="1"/>
  <c r="CC121" i="3"/>
  <c r="CI272" i="3"/>
  <c r="CH224" i="3"/>
  <c r="CI122" i="3"/>
  <c r="CI223" i="3" s="1"/>
  <c r="CG271" i="3"/>
  <c r="CG275" i="3" l="1"/>
  <c r="CH275" i="3"/>
  <c r="CI273" i="3"/>
  <c r="CI275" i="3" s="1"/>
  <c r="CI124" i="3"/>
  <c r="CI224" i="3" s="1"/>
  <c r="CJ272" i="3"/>
  <c r="CC264" i="3"/>
  <c r="CC265" i="3" s="1"/>
  <c r="CC128" i="3"/>
  <c r="CC192" i="3"/>
  <c r="CD186" i="11"/>
  <c r="CJ122" i="3"/>
  <c r="CJ273" i="3" l="1"/>
  <c r="CI142" i="3"/>
  <c r="CH225" i="3"/>
  <c r="CH228" i="3" s="1"/>
  <c r="CK122" i="3"/>
  <c r="CC200" i="3"/>
  <c r="CC198" i="3"/>
  <c r="CC193" i="3"/>
  <c r="CJ223" i="3"/>
  <c r="CD187" i="11"/>
  <c r="CE185" i="11"/>
  <c r="CC139" i="3"/>
  <c r="CC175" i="3" s="1"/>
  <c r="CC194" i="3"/>
  <c r="CC195" i="3" s="1"/>
  <c r="CK272" i="3"/>
  <c r="CJ124" i="3"/>
  <c r="CJ224" i="3" s="1"/>
  <c r="CJ142" i="3" l="1"/>
  <c r="CK273" i="3"/>
  <c r="CK275" i="3" s="1"/>
  <c r="CJ275" i="3"/>
  <c r="CI225" i="3"/>
  <c r="CI228" i="3" s="1"/>
  <c r="CI152" i="3"/>
  <c r="CI161" i="3" s="1"/>
  <c r="CK124" i="3"/>
  <c r="CL122" i="3"/>
  <c r="P23" i="1" s="1"/>
  <c r="CM122" i="3"/>
  <c r="CE188" i="11"/>
  <c r="CC201" i="3"/>
  <c r="CC199" i="3"/>
  <c r="CK223" i="3"/>
  <c r="CL223" i="3" s="1"/>
  <c r="CJ152" i="3" l="1"/>
  <c r="CJ161" i="3" s="1"/>
  <c r="CJ225" i="3"/>
  <c r="CJ228" i="3" s="1"/>
  <c r="CK142" i="3"/>
  <c r="CD42" i="3"/>
  <c r="CN122" i="3"/>
  <c r="CL271" i="3"/>
  <c r="CM223" i="3"/>
  <c r="CK224" i="3"/>
  <c r="CL224" i="3" s="1"/>
  <c r="CL124" i="3"/>
  <c r="P24" i="1" s="1"/>
  <c r="CK225" i="3" l="1"/>
  <c r="CL225" i="3" s="1"/>
  <c r="CL228" i="3" s="1"/>
  <c r="P44" i="1" s="1"/>
  <c r="CL142" i="3"/>
  <c r="P33" i="1" s="1"/>
  <c r="CK152" i="3"/>
  <c r="CO122" i="3"/>
  <c r="CL272" i="3"/>
  <c r="CM272" i="3" s="1"/>
  <c r="CN223" i="3"/>
  <c r="CD44" i="3"/>
  <c r="CK228" i="3" l="1"/>
  <c r="CL152" i="3"/>
  <c r="CL161" i="3" s="1"/>
  <c r="CK161" i="3"/>
  <c r="CL273" i="3"/>
  <c r="CM273" i="3" s="1"/>
  <c r="CN272" i="3"/>
  <c r="CM124" i="3"/>
  <c r="CM224" i="3" s="1"/>
  <c r="CP122" i="3"/>
  <c r="CQ122" i="3" s="1"/>
  <c r="CQ271" i="3" s="1"/>
  <c r="Y28" i="35"/>
  <c r="D30" i="34"/>
  <c r="T30" i="34" s="1"/>
  <c r="CD48" i="3"/>
  <c r="CD52" i="3" s="1"/>
  <c r="CO223" i="3"/>
  <c r="CM142" i="3" l="1"/>
  <c r="CN273" i="3"/>
  <c r="CN275" i="3" s="1"/>
  <c r="CL275" i="3"/>
  <c r="CM275" i="3"/>
  <c r="CP223" i="3"/>
  <c r="CO272" i="3"/>
  <c r="CN124" i="3"/>
  <c r="CN224" i="3" s="1"/>
  <c r="CD49" i="3"/>
  <c r="Y30" i="35"/>
  <c r="Y32" i="35"/>
  <c r="CM225" i="3" l="1"/>
  <c r="CM228" i="3" s="1"/>
  <c r="CM152" i="3"/>
  <c r="CM161" i="3" s="1"/>
  <c r="CO273" i="3"/>
  <c r="CO275" i="3" s="1"/>
  <c r="CN142" i="3"/>
  <c r="CD59" i="3"/>
  <c r="CD206" i="2" s="1"/>
  <c r="CO124" i="3"/>
  <c r="CO224" i="3" s="1"/>
  <c r="CQ223" i="3"/>
  <c r="CN225" i="3" l="1"/>
  <c r="CN228" i="3" s="1"/>
  <c r="CN152" i="3"/>
  <c r="CN161" i="3" s="1"/>
  <c r="CO142" i="3"/>
  <c r="CP273" i="3"/>
  <c r="CD92" i="3"/>
  <c r="CD182" i="3" s="1"/>
  <c r="Y34" i="35"/>
  <c r="D32" i="34"/>
  <c r="T32" i="34" s="1"/>
  <c r="CD220" i="3"/>
  <c r="CD125" i="3" s="1"/>
  <c r="Y31" i="35"/>
  <c r="CD64" i="3"/>
  <c r="F37" i="1" s="1"/>
  <c r="CD60" i="3"/>
  <c r="D31" i="34"/>
  <c r="T31" i="34" s="1"/>
  <c r="CD73" i="3"/>
  <c r="CP124" i="3"/>
  <c r="CP142" i="3" l="1"/>
  <c r="CP225" i="3" s="1"/>
  <c r="CP275" i="3"/>
  <c r="CO225" i="3"/>
  <c r="CO228" i="3" s="1"/>
  <c r="CO152" i="3"/>
  <c r="CO161" i="3" s="1"/>
  <c r="CD207" i="2"/>
  <c r="CD70" i="3"/>
  <c r="CD94" i="3"/>
  <c r="F38" i="1" s="1"/>
  <c r="CD166" i="3"/>
  <c r="CD172" i="3" s="1"/>
  <c r="D33" i="34"/>
  <c r="T33" i="34" s="1"/>
  <c r="Y35" i="35"/>
  <c r="CD217" i="3"/>
  <c r="CD233" i="3" s="1"/>
  <c r="CD210" i="2" s="1"/>
  <c r="CP224" i="3"/>
  <c r="CQ124" i="3"/>
  <c r="CQ272" i="3" s="1"/>
  <c r="CQ142" i="3" l="1"/>
  <c r="CQ273" i="3" s="1"/>
  <c r="CQ275" i="3" s="1"/>
  <c r="CP152" i="3"/>
  <c r="CQ225" i="3"/>
  <c r="CD181" i="3"/>
  <c r="CD95" i="3"/>
  <c r="CD96" i="3" s="1"/>
  <c r="CD261" i="3"/>
  <c r="CD263" i="3" s="1"/>
  <c r="CD267" i="3"/>
  <c r="CD211" i="2" s="1"/>
  <c r="CD212" i="2" s="1"/>
  <c r="CE210" i="11"/>
  <c r="CE213" i="11" s="1"/>
  <c r="CE221" i="11" s="1"/>
  <c r="CE222" i="11" s="1"/>
  <c r="CP228" i="3"/>
  <c r="CQ224" i="3"/>
  <c r="CD207" i="3"/>
  <c r="CD174" i="3"/>
  <c r="CD208" i="3"/>
  <c r="CD186" i="3"/>
  <c r="CE178" i="3" s="1"/>
  <c r="CP161" i="3" l="1"/>
  <c r="CQ152" i="3"/>
  <c r="CQ161" i="3" s="1"/>
  <c r="CQ228" i="3"/>
  <c r="CD268" i="3"/>
  <c r="CD187" i="3"/>
  <c r="CE262" i="3"/>
  <c r="CF211" i="11" s="1"/>
  <c r="CD121" i="3"/>
  <c r="CD264" i="3" l="1"/>
  <c r="CD265" i="3" s="1"/>
  <c r="CD192" i="3"/>
  <c r="CD128" i="3"/>
  <c r="CE186" i="11"/>
  <c r="CD200" i="3" l="1"/>
  <c r="CD198" i="3"/>
  <c r="CD193" i="3"/>
  <c r="CF185" i="11"/>
  <c r="CE187" i="11"/>
  <c r="CD194" i="3"/>
  <c r="CD195" i="3" s="1"/>
  <c r="CD139" i="3"/>
  <c r="CD175" i="3" s="1"/>
  <c r="CF188" i="11" l="1"/>
  <c r="CD201" i="3"/>
  <c r="CD199" i="3"/>
  <c r="CE42" i="3" l="1"/>
  <c r="CE44" i="3" l="1"/>
  <c r="Z28" i="35" l="1"/>
  <c r="E30" i="34"/>
  <c r="U30" i="34" s="1"/>
  <c r="CE48" i="3"/>
  <c r="CE52" i="3" s="1"/>
  <c r="Z30" i="35" l="1"/>
  <c r="CE49" i="3"/>
  <c r="Z32" i="35"/>
  <c r="CE73" i="3" l="1"/>
  <c r="Z31" i="35"/>
  <c r="E31" i="34"/>
  <c r="U31" i="34" s="1"/>
  <c r="CE220" i="3"/>
  <c r="CE59" i="3"/>
  <c r="Z34" i="35" l="1"/>
  <c r="CE60" i="3"/>
  <c r="CE206" i="2"/>
  <c r="E32" i="34"/>
  <c r="U32" i="34" s="1"/>
  <c r="CE92" i="3"/>
  <c r="CE64" i="3"/>
  <c r="G37" i="1" s="1"/>
  <c r="CE125" i="3"/>
  <c r="Z35" i="35" l="1"/>
  <c r="E33" i="34"/>
  <c r="U33" i="34" s="1"/>
  <c r="CE70" i="3"/>
  <c r="CE207" i="2"/>
  <c r="CE182" i="3"/>
  <c r="CE94" i="3"/>
  <c r="G38" i="1" s="1"/>
  <c r="CE217" i="3"/>
  <c r="CE233" i="3" s="1"/>
  <c r="CE166" i="3"/>
  <c r="CE181" i="3" l="1"/>
  <c r="CE172" i="3"/>
  <c r="CE95" i="3"/>
  <c r="CE96" i="3" s="1"/>
  <c r="CE210" i="2"/>
  <c r="CE267" i="3"/>
  <c r="CF210" i="11"/>
  <c r="CF213" i="11" s="1"/>
  <c r="CF221" i="11" s="1"/>
  <c r="CF222" i="11" s="1"/>
  <c r="CE261" i="3"/>
  <c r="CE186" i="3" l="1"/>
  <c r="CF178" i="3" s="1"/>
  <c r="CE207" i="3"/>
  <c r="CE208" i="3"/>
  <c r="CE174" i="3"/>
  <c r="CE263" i="3"/>
  <c r="CE268" i="3"/>
  <c r="CE211" i="2"/>
  <c r="CE212" i="2" s="1"/>
  <c r="CE187" i="3" l="1"/>
  <c r="CF262" i="3"/>
  <c r="CG211" i="11" s="1"/>
  <c r="CE121" i="3"/>
  <c r="CE128" i="3" l="1"/>
  <c r="CE192" i="3"/>
  <c r="CE264" i="3"/>
  <c r="CE265" i="3" s="1"/>
  <c r="CF186" i="11"/>
  <c r="CG185" i="11" l="1"/>
  <c r="CF187" i="11"/>
  <c r="CE198" i="3"/>
  <c r="CE200" i="3"/>
  <c r="CE193" i="3"/>
  <c r="CE194" i="3"/>
  <c r="CE195" i="3" s="1"/>
  <c r="CE139" i="3"/>
  <c r="CE175" i="3" s="1"/>
  <c r="CE199" i="3" l="1"/>
  <c r="CE201" i="3"/>
  <c r="CG188" i="11"/>
  <c r="CF42" i="3" l="1"/>
  <c r="CH188" i="11"/>
  <c r="CF44" i="3" l="1"/>
  <c r="CG42" i="3"/>
  <c r="CG44" i="3" s="1"/>
  <c r="AB28" i="35" l="1"/>
  <c r="G30" i="34"/>
  <c r="W30" i="34" s="1"/>
  <c r="CG48" i="3"/>
  <c r="O13" i="1" s="1"/>
  <c r="F30" i="34"/>
  <c r="V30" i="34" s="1"/>
  <c r="AA28" i="35"/>
  <c r="CF48" i="3"/>
  <c r="CF52" i="3" s="1"/>
  <c r="AA30" i="35" l="1"/>
  <c r="AA32" i="35"/>
  <c r="CF49" i="3"/>
  <c r="AB30" i="35"/>
  <c r="CG49" i="3"/>
  <c r="CF73" i="3" l="1"/>
  <c r="AA31" i="35"/>
  <c r="CF220" i="3"/>
  <c r="F31" i="34"/>
  <c r="V31" i="34" s="1"/>
  <c r="CG51" i="3"/>
  <c r="CF59" i="3"/>
  <c r="CG52" i="3" l="1"/>
  <c r="G53" i="1" s="1"/>
  <c r="O14" i="1"/>
  <c r="AB32" i="35"/>
  <c r="U138" i="9"/>
  <c r="CF206" i="2"/>
  <c r="F32" i="34"/>
  <c r="V32" i="34" s="1"/>
  <c r="CF60" i="3"/>
  <c r="AA34" i="35"/>
  <c r="CF64" i="3"/>
  <c r="H37" i="1" s="1"/>
  <c r="CF92" i="3"/>
  <c r="CG73" i="3"/>
  <c r="AB31" i="35"/>
  <c r="G31" i="34"/>
  <c r="W31" i="34" s="1"/>
  <c r="CG59" i="3"/>
  <c r="O16" i="1" s="1"/>
  <c r="G52" i="1" s="1"/>
  <c r="CG220" i="3"/>
  <c r="CF125" i="3"/>
  <c r="CG125" i="3" s="1"/>
  <c r="O27" i="1" s="1"/>
  <c r="U97" i="9" l="1"/>
  <c r="U103" i="9" s="1"/>
  <c r="U109" i="9" s="1"/>
  <c r="U99" i="9"/>
  <c r="U105" i="9" s="1"/>
  <c r="U111" i="9" s="1"/>
  <c r="U100" i="9"/>
  <c r="U106" i="9" s="1"/>
  <c r="U112" i="9" s="1"/>
  <c r="U98" i="9"/>
  <c r="U104" i="9" s="1"/>
  <c r="U110" i="9" s="1"/>
  <c r="CF182" i="3"/>
  <c r="CF217" i="3"/>
  <c r="CF233" i="3" s="1"/>
  <c r="CF94" i="3"/>
  <c r="H38" i="1" s="1"/>
  <c r="CF166" i="3"/>
  <c r="CG206" i="2"/>
  <c r="CG60" i="3"/>
  <c r="AB34" i="35"/>
  <c r="CG64" i="3"/>
  <c r="O17" i="1" s="1"/>
  <c r="G43" i="1" s="1"/>
  <c r="G32" i="34"/>
  <c r="W32" i="34" s="1"/>
  <c r="CG92" i="3"/>
  <c r="CF70" i="3"/>
  <c r="AA35" i="35"/>
  <c r="F33" i="34"/>
  <c r="V33" i="34" s="1"/>
  <c r="CF207" i="2"/>
  <c r="G45" i="1" l="1"/>
  <c r="G50" i="1"/>
  <c r="CF181" i="3"/>
  <c r="CF172" i="3"/>
  <c r="CG166" i="3"/>
  <c r="CF210" i="2"/>
  <c r="CG210" i="11"/>
  <c r="CG213" i="11" s="1"/>
  <c r="CG221" i="11" s="1"/>
  <c r="CG222" i="11" s="1"/>
  <c r="CF261" i="3"/>
  <c r="CF267" i="3"/>
  <c r="CG182" i="3"/>
  <c r="CG217" i="3"/>
  <c r="O41" i="1" s="1"/>
  <c r="CG94" i="3"/>
  <c r="O18" i="1" s="1"/>
  <c r="CG70" i="3"/>
  <c r="G33" i="34"/>
  <c r="W33" i="34" s="1"/>
  <c r="CG65" i="3"/>
  <c r="G44" i="1" s="1"/>
  <c r="AB35" i="35"/>
  <c r="CG207" i="2"/>
  <c r="CF95" i="3"/>
  <c r="CF96" i="3" s="1"/>
  <c r="CG233" i="3" l="1"/>
  <c r="O45" i="1" s="1"/>
  <c r="O43" i="1" s="1"/>
  <c r="CF268" i="3"/>
  <c r="CF211" i="2"/>
  <c r="CF212" i="2" s="1"/>
  <c r="CF174" i="3"/>
  <c r="CF207" i="3"/>
  <c r="CF186" i="3"/>
  <c r="CH178" i="3" s="1"/>
  <c r="CF208" i="3"/>
  <c r="CG95" i="3"/>
  <c r="CG96" i="3" s="1"/>
  <c r="CF263" i="3"/>
  <c r="CG181" i="3"/>
  <c r="CG172" i="3"/>
  <c r="O36" i="1" s="1"/>
  <c r="G46" i="1" s="1"/>
  <c r="CF187" i="3" l="1"/>
  <c r="CG210" i="2"/>
  <c r="CG267" i="3"/>
  <c r="CG261" i="3"/>
  <c r="O57" i="1" s="1"/>
  <c r="CG174" i="3"/>
  <c r="CG208" i="3"/>
  <c r="CG207" i="3"/>
  <c r="CG186" i="3"/>
  <c r="CL178" i="3" s="1"/>
  <c r="CH262" i="3"/>
  <c r="CF121" i="3"/>
  <c r="CG187" i="3" l="1"/>
  <c r="CG263" i="3"/>
  <c r="O58" i="1" s="1"/>
  <c r="CG211" i="2"/>
  <c r="CG212" i="2" s="1"/>
  <c r="CG268" i="3"/>
  <c r="G57" i="1" s="1"/>
  <c r="G58" i="1" s="1"/>
  <c r="CF264" i="3"/>
  <c r="CF265" i="3" s="1"/>
  <c r="CF192" i="3"/>
  <c r="CF128" i="3"/>
  <c r="CG121" i="3"/>
  <c r="O22" i="1" s="1"/>
  <c r="CG186" i="11"/>
  <c r="CL262" i="3"/>
  <c r="CI211" i="11"/>
  <c r="G54" i="1" l="1"/>
  <c r="CG264" i="3"/>
  <c r="CG265" i="3" s="1"/>
  <c r="CG192" i="3"/>
  <c r="CG128" i="3"/>
  <c r="CF198" i="3"/>
  <c r="CF193" i="3"/>
  <c r="CF200" i="3"/>
  <c r="CH186" i="11"/>
  <c r="CI185" i="11" s="1"/>
  <c r="CG187" i="11"/>
  <c r="CF139" i="3"/>
  <c r="CF175" i="3" s="1"/>
  <c r="CF194" i="3"/>
  <c r="CF195" i="3" s="1"/>
  <c r="G55" i="1" l="1"/>
  <c r="G56" i="1"/>
  <c r="G47" i="1"/>
  <c r="G48" i="1" s="1"/>
  <c r="CI188" i="11"/>
  <c r="CF201" i="3"/>
  <c r="CG193" i="3"/>
  <c r="CF199" i="3"/>
  <c r="CG194" i="3"/>
  <c r="CG195" i="3" s="1"/>
  <c r="CG139" i="3"/>
  <c r="O29" i="1" s="1"/>
  <c r="CG200" i="3"/>
  <c r="CG198" i="3"/>
  <c r="O37" i="1" l="1"/>
  <c r="O35" i="1" s="1"/>
  <c r="O28" i="1"/>
  <c r="CG199" i="3"/>
  <c r="CG201" i="3"/>
  <c r="CH42" i="3"/>
  <c r="CG175" i="3"/>
  <c r="CH44" i="3" l="1"/>
  <c r="CH48" i="3" s="1"/>
  <c r="CH52" i="3" s="1"/>
  <c r="CH59" i="3" l="1"/>
  <c r="CH49" i="3"/>
  <c r="CH206" i="2" l="1"/>
  <c r="CH64" i="3"/>
  <c r="CH60" i="3"/>
  <c r="CH92" i="3"/>
  <c r="CH166" i="3" s="1"/>
  <c r="CH172" i="3" s="1"/>
  <c r="CH174" i="3" s="1"/>
  <c r="CH73" i="3"/>
  <c r="CH220" i="3"/>
  <c r="CH125" i="3" s="1"/>
  <c r="CH94" i="3" l="1"/>
  <c r="CH217" i="3"/>
  <c r="CH233" i="3" s="1"/>
  <c r="CH182" i="3"/>
  <c r="CH70" i="3"/>
  <c r="CH207" i="2"/>
  <c r="CH210" i="2" l="1"/>
  <c r="CH267" i="3"/>
  <c r="CI210" i="11"/>
  <c r="CI213" i="11" s="1"/>
  <c r="CI221" i="11" s="1"/>
  <c r="CI222" i="11" s="1"/>
  <c r="CH261" i="3"/>
  <c r="CH181" i="3"/>
  <c r="CH208" i="3" l="1"/>
  <c r="CH186" i="3"/>
  <c r="CI178" i="3" s="1"/>
  <c r="CH207" i="3"/>
  <c r="CH263" i="3"/>
  <c r="CH121" i="3" s="1"/>
  <c r="CH128" i="3" s="1"/>
  <c r="CH139" i="3" s="1"/>
  <c r="CH175" i="3" s="1"/>
  <c r="CH268" i="3"/>
  <c r="CH211" i="2"/>
  <c r="CH212" i="2" s="1"/>
  <c r="CH187" i="3" l="1"/>
  <c r="CI262" i="3"/>
  <c r="CJ211" i="11" s="1"/>
  <c r="CH192" i="3" l="1"/>
  <c r="CH264" i="3"/>
  <c r="CH265" i="3" s="1"/>
  <c r="CI186" i="11"/>
  <c r="CJ185" i="11" l="1"/>
  <c r="CI187" i="11"/>
  <c r="CH200" i="3"/>
  <c r="CH198" i="3"/>
  <c r="CH193" i="3"/>
  <c r="CH194" i="3"/>
  <c r="CH195" i="3" s="1"/>
  <c r="CH199" i="3" l="1"/>
  <c r="CH201" i="3"/>
  <c r="CJ188" i="11"/>
  <c r="CI42" i="3" l="1"/>
  <c r="CI44" i="3" l="1"/>
  <c r="CI48" i="3" s="1"/>
  <c r="CI52" i="3" s="1"/>
  <c r="CI49" i="3" l="1"/>
  <c r="CI220" i="3" l="1"/>
  <c r="CI73" i="3"/>
  <c r="CI59" i="3"/>
  <c r="CI60" i="3" l="1"/>
  <c r="CI64" i="3"/>
  <c r="CI92" i="3"/>
  <c r="CI206" i="2"/>
  <c r="CI125" i="3"/>
  <c r="CI70" i="3" l="1"/>
  <c r="CI207" i="2"/>
  <c r="CI94" i="3"/>
  <c r="CI182" i="3"/>
  <c r="CI217" i="3"/>
  <c r="CI233" i="3" s="1"/>
  <c r="CI166" i="3"/>
  <c r="CI210" i="2" l="1"/>
  <c r="CI267" i="3"/>
  <c r="CJ210" i="11"/>
  <c r="CJ213" i="11" s="1"/>
  <c r="CJ221" i="11" s="1"/>
  <c r="CJ222" i="11" s="1"/>
  <c r="CI261" i="3"/>
  <c r="CI181" i="3"/>
  <c r="CI172" i="3"/>
  <c r="CI263" i="3" l="1"/>
  <c r="CI211" i="2"/>
  <c r="CI212" i="2" s="1"/>
  <c r="CI268" i="3"/>
  <c r="CI174" i="3"/>
  <c r="CI208" i="3"/>
  <c r="CI207" i="3"/>
  <c r="CI186" i="3"/>
  <c r="CJ178" i="3" s="1"/>
  <c r="CI187" i="3" l="1"/>
  <c r="CJ262" i="3"/>
  <c r="CK211" i="11" s="1"/>
  <c r="CI121" i="3"/>
  <c r="CI264" i="3" l="1"/>
  <c r="CI265" i="3" s="1"/>
  <c r="CI192" i="3"/>
  <c r="CJ186" i="11"/>
  <c r="CI128" i="3"/>
  <c r="CI139" i="3" l="1"/>
  <c r="CI175" i="3" s="1"/>
  <c r="CI194" i="3"/>
  <c r="CI195" i="3" s="1"/>
  <c r="CI198" i="3"/>
  <c r="CI193" i="3"/>
  <c r="CI200" i="3"/>
  <c r="CK185" i="11"/>
  <c r="CJ187" i="11"/>
  <c r="CK188" i="11" l="1"/>
  <c r="CI201" i="3"/>
  <c r="CI199" i="3"/>
  <c r="CJ42" i="3" l="1"/>
  <c r="CJ44" i="3" l="1"/>
  <c r="CJ48" i="3" s="1"/>
  <c r="CJ52" i="3" s="1"/>
  <c r="CJ49" i="3" l="1"/>
  <c r="CJ73" i="3" l="1"/>
  <c r="CJ220" i="3"/>
  <c r="CJ59" i="3"/>
  <c r="CJ60" i="3" l="1"/>
  <c r="CJ64" i="3"/>
  <c r="CJ206" i="2"/>
  <c r="CJ92" i="3"/>
  <c r="CJ125" i="3"/>
  <c r="CJ70" i="3" l="1"/>
  <c r="CJ207" i="2"/>
  <c r="CJ182" i="3"/>
  <c r="CJ94" i="3"/>
  <c r="CJ217" i="3"/>
  <c r="CJ233" i="3" s="1"/>
  <c r="CJ166" i="3"/>
  <c r="CJ210" i="2" l="1"/>
  <c r="CJ267" i="3"/>
  <c r="CK210" i="11"/>
  <c r="CK213" i="11" s="1"/>
  <c r="CK221" i="11" s="1"/>
  <c r="CK222" i="11" s="1"/>
  <c r="CJ261" i="3"/>
  <c r="CJ181" i="3"/>
  <c r="CJ172" i="3"/>
  <c r="CJ174" i="3" l="1"/>
  <c r="CJ207" i="3"/>
  <c r="CJ208" i="3"/>
  <c r="CJ186" i="3"/>
  <c r="CK178" i="3" s="1"/>
  <c r="CJ263" i="3"/>
  <c r="CJ211" i="2"/>
  <c r="CJ212" i="2" s="1"/>
  <c r="CJ268" i="3"/>
  <c r="CJ187" i="3" l="1"/>
  <c r="CK262" i="3"/>
  <c r="CL211" i="11" s="1"/>
  <c r="CJ121" i="3"/>
  <c r="CJ128" i="3" l="1"/>
  <c r="CJ192" i="3"/>
  <c r="CJ264" i="3"/>
  <c r="CJ265" i="3" s="1"/>
  <c r="CK186" i="11"/>
  <c r="CL185" i="11" l="1"/>
  <c r="CK187" i="11"/>
  <c r="CJ198" i="3"/>
  <c r="CJ193" i="3"/>
  <c r="CJ200" i="3"/>
  <c r="CJ194" i="3"/>
  <c r="CJ195" i="3" s="1"/>
  <c r="CJ139" i="3"/>
  <c r="CJ175" i="3" s="1"/>
  <c r="CJ199" i="3" l="1"/>
  <c r="CJ201" i="3"/>
  <c r="CL188" i="11"/>
  <c r="CK42" i="3" l="1"/>
  <c r="CM188" i="11"/>
  <c r="CK44" i="3" l="1"/>
  <c r="CK48" i="3" s="1"/>
  <c r="CK52" i="3" s="1"/>
  <c r="CL42" i="3"/>
  <c r="CL44" i="3" s="1"/>
  <c r="H30" i="34" l="1"/>
  <c r="X30" i="34" s="1"/>
  <c r="CL48" i="3"/>
  <c r="P13" i="1" s="1"/>
  <c r="CK59" i="3"/>
  <c r="CK49" i="3"/>
  <c r="CK206" i="2" l="1"/>
  <c r="CK64" i="3"/>
  <c r="CK60" i="3"/>
  <c r="CK92" i="3"/>
  <c r="CL49" i="3"/>
  <c r="CK73" i="3"/>
  <c r="CK220" i="3"/>
  <c r="CL51" i="3"/>
  <c r="CL59" i="3" l="1"/>
  <c r="P16" i="1" s="1"/>
  <c r="H52" i="1" s="1"/>
  <c r="P14" i="1"/>
  <c r="CL52" i="3"/>
  <c r="CK182" i="3"/>
  <c r="CK94" i="3"/>
  <c r="CK217" i="3"/>
  <c r="CK233" i="3" s="1"/>
  <c r="CK166" i="3"/>
  <c r="CK207" i="2"/>
  <c r="CK70" i="3"/>
  <c r="CL220" i="3"/>
  <c r="CK125" i="3"/>
  <c r="CL125" i="3" s="1"/>
  <c r="P27" i="1" s="1"/>
  <c r="CL206" i="2"/>
  <c r="H32" i="34"/>
  <c r="X32" i="34" s="1"/>
  <c r="CL92" i="3"/>
  <c r="CL60" i="3"/>
  <c r="CL64" i="3"/>
  <c r="P17" i="1" s="1"/>
  <c r="H43" i="1" s="1"/>
  <c r="CL73" i="3"/>
  <c r="H31" i="34"/>
  <c r="X31" i="34" s="1"/>
  <c r="H45" i="1" l="1"/>
  <c r="H50" i="1"/>
  <c r="V138" i="9"/>
  <c r="V100" i="9" s="1"/>
  <c r="V106" i="9" s="1"/>
  <c r="H53" i="1"/>
  <c r="CK181" i="3"/>
  <c r="CK172" i="3"/>
  <c r="CL166" i="3"/>
  <c r="CL65" i="3"/>
  <c r="H44" i="1" s="1"/>
  <c r="H33" i="34"/>
  <c r="X33" i="34" s="1"/>
  <c r="CL207" i="2"/>
  <c r="CL70" i="3"/>
  <c r="CL182" i="3"/>
  <c r="CL94" i="3"/>
  <c r="P18" i="1" s="1"/>
  <c r="CL217" i="3"/>
  <c r="P41" i="1" s="1"/>
  <c r="V97" i="9"/>
  <c r="V103" i="9" s="1"/>
  <c r="V98" i="9"/>
  <c r="V104" i="9" s="1"/>
  <c r="CK210" i="2"/>
  <c r="CK267" i="3"/>
  <c r="CL210" i="11"/>
  <c r="CL213" i="11" s="1"/>
  <c r="CL221" i="11" s="1"/>
  <c r="CL222" i="11" s="1"/>
  <c r="CK261" i="3"/>
  <c r="V99" i="9" l="1"/>
  <c r="V105" i="9" s="1"/>
  <c r="CK263" i="3"/>
  <c r="CK268" i="3"/>
  <c r="CK211" i="2"/>
  <c r="CK212" i="2" s="1"/>
  <c r="V111" i="9"/>
  <c r="V110" i="9"/>
  <c r="CL233" i="3"/>
  <c r="CK208" i="3"/>
  <c r="CK186" i="3"/>
  <c r="CM178" i="3" s="1"/>
  <c r="CK174" i="3"/>
  <c r="CK207" i="3"/>
  <c r="V112" i="9"/>
  <c r="V109" i="9"/>
  <c r="CL172" i="3"/>
  <c r="P36" i="1" s="1"/>
  <c r="H46" i="1" s="1"/>
  <c r="CL181" i="3"/>
  <c r="CL267" i="3" l="1"/>
  <c r="P45" i="1"/>
  <c r="P43" i="1" s="1"/>
  <c r="CK187" i="3"/>
  <c r="CM262" i="3"/>
  <c r="CK121" i="3"/>
  <c r="CL207" i="3"/>
  <c r="CL186" i="3"/>
  <c r="CQ178" i="3" s="1"/>
  <c r="CL208" i="3"/>
  <c r="CL174" i="3"/>
  <c r="CL210" i="2"/>
  <c r="CL261" i="3"/>
  <c r="P57" i="1" s="1"/>
  <c r="CL187" i="3" l="1"/>
  <c r="CN211" i="11"/>
  <c r="CQ262" i="3"/>
  <c r="CL263" i="3"/>
  <c r="P58" i="1" s="1"/>
  <c r="CL211" i="2"/>
  <c r="CL212" i="2" s="1"/>
  <c r="CL268" i="3"/>
  <c r="H57" i="1" s="1"/>
  <c r="H58" i="1" s="1"/>
  <c r="CK264" i="3"/>
  <c r="CK265" i="3" s="1"/>
  <c r="CK128" i="3"/>
  <c r="CL121" i="3"/>
  <c r="P22" i="1" s="1"/>
  <c r="CL186" i="11"/>
  <c r="CK192" i="3"/>
  <c r="H54" i="1" l="1"/>
  <c r="CM186" i="11"/>
  <c r="CN185" i="11" s="1"/>
  <c r="CL187" i="11"/>
  <c r="CK139" i="3"/>
  <c r="CK175" i="3" s="1"/>
  <c r="CK194" i="3"/>
  <c r="CK195" i="3" s="1"/>
  <c r="CK198" i="3"/>
  <c r="CK193" i="3"/>
  <c r="CK200" i="3"/>
  <c r="CL264" i="3"/>
  <c r="CL265" i="3" s="1"/>
  <c r="CL192" i="3"/>
  <c r="CL128" i="3"/>
  <c r="H55" i="1" l="1"/>
  <c r="H56" i="1"/>
  <c r="H47" i="1"/>
  <c r="H48" i="1" s="1"/>
  <c r="CK201" i="3"/>
  <c r="CL193" i="3"/>
  <c r="CK199" i="3"/>
  <c r="CL139" i="3"/>
  <c r="P29" i="1" s="1"/>
  <c r="CL194" i="3"/>
  <c r="CL195" i="3" s="1"/>
  <c r="CL198" i="3"/>
  <c r="CL200" i="3"/>
  <c r="CN188" i="11"/>
  <c r="P37" i="1" l="1"/>
  <c r="P35" i="1" s="1"/>
  <c r="P28" i="1"/>
  <c r="CL201" i="3"/>
  <c r="CL199" i="3"/>
  <c r="CM42" i="3"/>
  <c r="CL175" i="3"/>
  <c r="CM44" i="3" l="1"/>
  <c r="CM48" i="3" s="1"/>
  <c r="CM52" i="3" s="1"/>
  <c r="CM49" i="3" l="1"/>
  <c r="CM73" i="3" l="1"/>
  <c r="CM220" i="3"/>
  <c r="CM59" i="3"/>
  <c r="CM206" i="2" l="1"/>
  <c r="CM64" i="3"/>
  <c r="CM92" i="3"/>
  <c r="CM166" i="3" s="1"/>
  <c r="CM60" i="3"/>
  <c r="CM125" i="3"/>
  <c r="CM172" i="3" l="1"/>
  <c r="CM174" i="3" s="1"/>
  <c r="CM207" i="2"/>
  <c r="CM70" i="3"/>
  <c r="CM94" i="3"/>
  <c r="CM182" i="3"/>
  <c r="CM217" i="3"/>
  <c r="CM233" i="3" s="1"/>
  <c r="CM210" i="2" l="1"/>
  <c r="CM267" i="3"/>
  <c r="CN210" i="11"/>
  <c r="CN213" i="11" s="1"/>
  <c r="CN221" i="11" s="1"/>
  <c r="CN222" i="11" s="1"/>
  <c r="CM261" i="3"/>
  <c r="CM181" i="3"/>
  <c r="CM263" i="3" l="1"/>
  <c r="CM211" i="2"/>
  <c r="CM212" i="2" s="1"/>
  <c r="CM268" i="3"/>
  <c r="CM207" i="3"/>
  <c r="CM208" i="3"/>
  <c r="CM186" i="3"/>
  <c r="CN178" i="3" s="1"/>
  <c r="CN262" i="3" l="1"/>
  <c r="CO211" i="11" s="1"/>
  <c r="CM121" i="3"/>
  <c r="CM187" i="3"/>
  <c r="CM128" i="3" l="1"/>
  <c r="CM264" i="3"/>
  <c r="CM265" i="3" s="1"/>
  <c r="CM192" i="3"/>
  <c r="CN186" i="11"/>
  <c r="CO185" i="11" l="1"/>
  <c r="CN187" i="11"/>
  <c r="CM200" i="3"/>
  <c r="CM193" i="3"/>
  <c r="CM198" i="3"/>
  <c r="CM194" i="3"/>
  <c r="CM195" i="3" s="1"/>
  <c r="CM139" i="3"/>
  <c r="CM175" i="3" s="1"/>
  <c r="CM201" i="3" l="1"/>
  <c r="CM199" i="3"/>
  <c r="CO188" i="11"/>
  <c r="CN42" i="3" l="1"/>
  <c r="CN44" i="3" l="1"/>
  <c r="CN48" i="3" s="1"/>
  <c r="CN52" i="3" s="1"/>
  <c r="CN49" i="3" l="1"/>
  <c r="CN220" i="3" l="1"/>
  <c r="CN73" i="3"/>
  <c r="CN59" i="3"/>
  <c r="CN60" i="3" l="1"/>
  <c r="CN206" i="2"/>
  <c r="CN64" i="3"/>
  <c r="CN92" i="3"/>
  <c r="CN166" i="3" s="1"/>
  <c r="CN125" i="3"/>
  <c r="CN172" i="3" l="1"/>
  <c r="CN174" i="3" s="1"/>
  <c r="CN182" i="3"/>
  <c r="CN94" i="3"/>
  <c r="CN217" i="3"/>
  <c r="CN233" i="3" s="1"/>
  <c r="CN70" i="3"/>
  <c r="CN207" i="2"/>
  <c r="CN267" i="3" l="1"/>
  <c r="CO210" i="11"/>
  <c r="CO213" i="11" s="1"/>
  <c r="CO221" i="11" s="1"/>
  <c r="CO222" i="11" s="1"/>
  <c r="CN261" i="3"/>
  <c r="CN210" i="2"/>
  <c r="CN181" i="3"/>
  <c r="CN208" i="3" l="1"/>
  <c r="CN207" i="3"/>
  <c r="CN186" i="3"/>
  <c r="CO178" i="3" s="1"/>
  <c r="CN263" i="3"/>
  <c r="CN211" i="2"/>
  <c r="CN212" i="2" s="1"/>
  <c r="CN268" i="3"/>
  <c r="CN121" i="3" l="1"/>
  <c r="CO262" i="3"/>
  <c r="CP211" i="11" s="1"/>
  <c r="CN187" i="3"/>
  <c r="CN264" i="3" l="1"/>
  <c r="CN265" i="3" s="1"/>
  <c r="CN192" i="3"/>
  <c r="CN128" i="3"/>
  <c r="CO186" i="11"/>
  <c r="CP185" i="11" l="1"/>
  <c r="CO187" i="11"/>
  <c r="CN198" i="3"/>
  <c r="CN193" i="3"/>
  <c r="CN200" i="3"/>
  <c r="CN139" i="3"/>
  <c r="CN175" i="3" s="1"/>
  <c r="CN194" i="3"/>
  <c r="CN195" i="3" s="1"/>
  <c r="CN201" i="3" l="1"/>
  <c r="CN199" i="3"/>
  <c r="CP188" i="11"/>
  <c r="CO42" i="3" l="1"/>
  <c r="CO44" i="3" l="1"/>
  <c r="CO48" i="3" s="1"/>
  <c r="CO52" i="3" s="1"/>
  <c r="CO59" i="3" l="1"/>
  <c r="CO49" i="3"/>
  <c r="CO60" i="3" l="1"/>
  <c r="CO206" i="2"/>
  <c r="CO92" i="3"/>
  <c r="CO166" i="3" s="1"/>
  <c r="CO64" i="3"/>
  <c r="CO220" i="3"/>
  <c r="CO73" i="3"/>
  <c r="CO172" i="3" l="1"/>
  <c r="CO174" i="3" s="1"/>
  <c r="CO70" i="3"/>
  <c r="CO207" i="2"/>
  <c r="CO125" i="3"/>
  <c r="CO182" i="3"/>
  <c r="CO94" i="3"/>
  <c r="CO217" i="3"/>
  <c r="CO233" i="3" s="1"/>
  <c r="CO181" i="3" l="1"/>
  <c r="CO210" i="2"/>
  <c r="CO267" i="3"/>
  <c r="CP210" i="11"/>
  <c r="CP213" i="11" s="1"/>
  <c r="CP221" i="11" s="1"/>
  <c r="CP222" i="11" s="1"/>
  <c r="CO261" i="3"/>
  <c r="CO263" i="3" l="1"/>
  <c r="CO211" i="2"/>
  <c r="CO212" i="2" s="1"/>
  <c r="CO268" i="3"/>
  <c r="CO208" i="3"/>
  <c r="CO207" i="3"/>
  <c r="CO186" i="3"/>
  <c r="CP178" i="3" s="1"/>
  <c r="CP262" i="3" l="1"/>
  <c r="CQ211" i="11" s="1"/>
  <c r="CO121" i="3"/>
  <c r="CO187" i="3"/>
  <c r="CO264" i="3" l="1"/>
  <c r="CO265" i="3" s="1"/>
  <c r="CO192" i="3"/>
  <c r="CP186" i="11"/>
  <c r="CO128" i="3"/>
  <c r="CO139" i="3" l="1"/>
  <c r="CO175" i="3" s="1"/>
  <c r="CO194" i="3"/>
  <c r="CO195" i="3" s="1"/>
  <c r="CO198" i="3"/>
  <c r="CO193" i="3"/>
  <c r="CO200" i="3"/>
  <c r="CQ185" i="11"/>
  <c r="CP187" i="11"/>
  <c r="CQ188" i="11" l="1"/>
  <c r="CO199" i="3"/>
  <c r="CO201" i="3"/>
  <c r="CP42" i="3" l="1"/>
  <c r="CR188" i="11"/>
  <c r="CP44" i="3" l="1"/>
  <c r="CP48" i="3" s="1"/>
  <c r="CQ42" i="3"/>
  <c r="CQ44" i="3" s="1"/>
  <c r="CQ48" i="3" l="1"/>
  <c r="CQ49" i="3" s="1"/>
  <c r="I30" i="34"/>
  <c r="Y30" i="34" s="1"/>
  <c r="CP49" i="3"/>
  <c r="CP73" i="3" l="1"/>
  <c r="CQ51" i="3"/>
  <c r="CP220" i="3"/>
  <c r="CQ220" i="3" s="1"/>
  <c r="CP52" i="3"/>
  <c r="CQ52" i="3" s="1"/>
  <c r="W138" i="9" s="1"/>
  <c r="CP59" i="3"/>
  <c r="CP60" i="3" s="1"/>
  <c r="CQ59" i="3" l="1"/>
  <c r="I32" i="34" s="1"/>
  <c r="Y32" i="34" s="1"/>
  <c r="I31" i="34"/>
  <c r="Y31" i="34" s="1"/>
  <c r="CP125" i="3"/>
  <c r="CQ125" i="3" s="1"/>
  <c r="CP92" i="3"/>
  <c r="W100" i="9"/>
  <c r="W106" i="9" s="1"/>
  <c r="W112" i="9" s="1"/>
  <c r="W98" i="9"/>
  <c r="W104" i="9" s="1"/>
  <c r="W110" i="9" s="1"/>
  <c r="W97" i="9"/>
  <c r="W103" i="9" s="1"/>
  <c r="W109" i="9" s="1"/>
  <c r="W99" i="9"/>
  <c r="W105" i="9" s="1"/>
  <c r="W111" i="9" s="1"/>
  <c r="CP206" i="2"/>
  <c r="CQ73" i="3"/>
  <c r="CP64" i="3"/>
  <c r="CQ92" i="3" l="1"/>
  <c r="CQ182" i="3" s="1"/>
  <c r="CQ64" i="3"/>
  <c r="I33" i="34" s="1"/>
  <c r="Y33" i="34" s="1"/>
  <c r="CQ206" i="2"/>
  <c r="CQ60" i="3"/>
  <c r="CP94" i="3"/>
  <c r="CP166" i="3"/>
  <c r="CP182" i="3"/>
  <c r="CP217" i="3"/>
  <c r="CP233" i="3" s="1"/>
  <c r="CP207" i="2"/>
  <c r="CP70" i="3"/>
  <c r="CQ207" i="2" l="1"/>
  <c r="CQ217" i="3"/>
  <c r="CQ233" i="3" s="1"/>
  <c r="CQ210" i="2" s="1"/>
  <c r="CQ70" i="3"/>
  <c r="CQ65" i="3"/>
  <c r="CQ94" i="3"/>
  <c r="CQ166" i="3"/>
  <c r="CQ172" i="3" s="1"/>
  <c r="CQ174" i="3" s="1"/>
  <c r="CP172" i="3"/>
  <c r="CP174" i="3" s="1"/>
  <c r="CP181" i="3"/>
  <c r="CP267" i="3"/>
  <c r="CQ210" i="11"/>
  <c r="CQ213" i="11" s="1"/>
  <c r="CQ221" i="11" s="1"/>
  <c r="CQ222" i="11" s="1"/>
  <c r="CP210" i="2"/>
  <c r="CP261" i="3"/>
  <c r="CP263" i="3" s="1"/>
  <c r="CP121" i="3" s="1"/>
  <c r="CQ186" i="11" s="1"/>
  <c r="CQ261" i="3" l="1"/>
  <c r="CQ263" i="3" s="1"/>
  <c r="CQ267" i="3"/>
  <c r="CQ211" i="2" s="1"/>
  <c r="CQ212" i="2" s="1"/>
  <c r="CQ181" i="3"/>
  <c r="CQ208" i="3"/>
  <c r="CP207" i="3"/>
  <c r="CP208" i="3"/>
  <c r="CP186" i="3"/>
  <c r="CP187" i="3" s="1"/>
  <c r="CQ121" i="3"/>
  <c r="CQ192" i="3" s="1"/>
  <c r="CP264" i="3"/>
  <c r="CP265" i="3" s="1"/>
  <c r="CP192" i="3"/>
  <c r="CP200" i="3" s="1"/>
  <c r="CP128" i="3"/>
  <c r="CP139" i="3" s="1"/>
  <c r="CP175" i="3" s="1"/>
  <c r="CP211" i="2"/>
  <c r="CP212" i="2" s="1"/>
  <c r="CP268" i="3"/>
  <c r="CR186" i="11"/>
  <c r="CQ187" i="11"/>
  <c r="CQ268" i="3" l="1"/>
  <c r="CQ207" i="3"/>
  <c r="CQ186" i="3"/>
  <c r="CQ187" i="3" s="1"/>
  <c r="CP198" i="3"/>
  <c r="CP193" i="3"/>
  <c r="CP199" i="3" s="1"/>
  <c r="CQ128" i="3"/>
  <c r="CQ139" i="3" s="1"/>
  <c r="CQ175" i="3" s="1"/>
  <c r="CQ264" i="3"/>
  <c r="CQ265" i="3" s="1"/>
  <c r="CP194" i="3"/>
  <c r="CP195" i="3" s="1"/>
  <c r="CQ198" i="3"/>
  <c r="CQ200" i="3"/>
  <c r="CQ194" i="3" l="1"/>
  <c r="CQ195" i="3" s="1"/>
  <c r="CQ193" i="3"/>
  <c r="CQ201" i="3" s="1"/>
  <c r="CP201" i="3"/>
  <c r="CQ199" i="3" l="1"/>
</calcChain>
</file>

<file path=xl/comments1.xml><?xml version="1.0" encoding="utf-8"?>
<comments xmlns="http://schemas.openxmlformats.org/spreadsheetml/2006/main">
  <authors>
    <author>Evan L. Kurtz</author>
    <author>Rocha Calejon, Serena (Research)</author>
    <author>Piyush Sood</author>
    <author>E Kurtz</author>
    <author>alelevy</author>
    <author>evankurt</author>
    <author>Sood, Piyush (Research)</author>
    <author>Evan Kurtz</author>
  </authors>
  <commentList>
    <comment ref="AC26" authorId="0">
      <text>
        <r>
          <rPr>
            <b/>
            <sz val="8"/>
            <color indexed="81"/>
            <rFont val="Tahoma"/>
            <family val="2"/>
          </rPr>
          <t>Evan L. Kurtz:</t>
        </r>
        <r>
          <rPr>
            <sz val="8"/>
            <color indexed="81"/>
            <rFont val="Tahoma"/>
            <family val="2"/>
          </rPr>
          <t xml:space="preserve">
2 months of Stelco = 750k tons of cap</t>
        </r>
      </text>
    </comment>
    <comment ref="AE26" authorId="0">
      <text>
        <r>
          <rPr>
            <b/>
            <sz val="8"/>
            <color indexed="81"/>
            <rFont val="Tahoma"/>
            <family val="2"/>
          </rPr>
          <t>Evan L. Kurtz:</t>
        </r>
        <r>
          <rPr>
            <sz val="8"/>
            <color indexed="81"/>
            <rFont val="Tahoma"/>
            <family val="2"/>
          </rPr>
          <t xml:space="preserve">
Stelco - more than 4.5mt of new production</t>
        </r>
      </text>
    </comment>
    <comment ref="CE26" authorId="1">
      <text>
        <r>
          <rPr>
            <b/>
            <sz val="9"/>
            <color indexed="81"/>
            <rFont val="Tahoma"/>
            <family val="2"/>
          </rPr>
          <t>Rocha Calejon, Serena (Research):</t>
        </r>
        <r>
          <rPr>
            <sz val="9"/>
            <color indexed="81"/>
            <rFont val="Tahoma"/>
            <family val="2"/>
          </rPr>
          <t xml:space="preserve">
Granite City restart adds 100kt per month</t>
        </r>
      </text>
    </comment>
    <comment ref="C75" authorId="2">
      <text>
        <r>
          <rPr>
            <b/>
            <sz val="9"/>
            <color indexed="81"/>
            <rFont val="Tahoma"/>
            <family val="2"/>
          </rPr>
          <t>Piyush Sood:</t>
        </r>
        <r>
          <rPr>
            <sz val="9"/>
            <color indexed="81"/>
            <rFont val="Tahoma"/>
            <family val="2"/>
          </rPr>
          <t xml:space="preserve">
Based on 2007-2016</t>
        </r>
      </text>
    </comment>
    <comment ref="C76" authorId="2">
      <text>
        <r>
          <rPr>
            <b/>
            <sz val="9"/>
            <color indexed="81"/>
            <rFont val="Tahoma"/>
            <family val="2"/>
          </rPr>
          <t>Piyush Sood:</t>
        </r>
        <r>
          <rPr>
            <sz val="9"/>
            <color indexed="81"/>
            <rFont val="Tahoma"/>
            <family val="2"/>
          </rPr>
          <t xml:space="preserve">
Based on 2007-3Q17</t>
        </r>
      </text>
    </comment>
    <comment ref="J85" authorId="0">
      <text>
        <r>
          <rPr>
            <b/>
            <sz val="8"/>
            <color indexed="81"/>
            <rFont val="Tahoma"/>
            <family val="2"/>
          </rPr>
          <t>Evan L. Kurtz:</t>
        </r>
        <r>
          <rPr>
            <sz val="8"/>
            <color indexed="81"/>
            <rFont val="Tahoma"/>
            <family val="2"/>
          </rPr>
          <t xml:space="preserve">
Quarterly data not available</t>
        </r>
      </text>
    </comment>
    <comment ref="O85" authorId="0">
      <text>
        <r>
          <rPr>
            <b/>
            <sz val="8"/>
            <color indexed="81"/>
            <rFont val="Tahoma"/>
            <family val="2"/>
          </rPr>
          <t>Evan L. Kurtz:</t>
        </r>
        <r>
          <rPr>
            <sz val="8"/>
            <color indexed="81"/>
            <rFont val="Tahoma"/>
            <family val="2"/>
          </rPr>
          <t xml:space="preserve">
Quarterly data not available</t>
        </r>
      </text>
    </comment>
    <comment ref="CB86" authorId="3">
      <text>
        <r>
          <rPr>
            <b/>
            <sz val="9"/>
            <color indexed="81"/>
            <rFont val="Tahoma"/>
            <family val="2"/>
          </rPr>
          <t>E Kurtz:</t>
        </r>
        <r>
          <rPr>
            <sz val="9"/>
            <color indexed="81"/>
            <rFont val="Tahoma"/>
            <family val="2"/>
          </rPr>
          <t xml:space="preserve">
@2Q17: 750 @ $612 HRC</t>
        </r>
      </text>
    </comment>
    <comment ref="AE87" authorId="0">
      <text>
        <r>
          <rPr>
            <b/>
            <sz val="8"/>
            <color indexed="81"/>
            <rFont val="Tahoma"/>
            <family val="2"/>
          </rPr>
          <t>Evan L. Kurtz:</t>
        </r>
        <r>
          <rPr>
            <sz val="8"/>
            <color indexed="81"/>
            <rFont val="Tahoma"/>
            <family val="2"/>
          </rPr>
          <t xml:space="preserve">
Recovery from production issues
</t>
        </r>
      </text>
    </comment>
    <comment ref="AJ87" authorId="0">
      <text>
        <r>
          <rPr>
            <b/>
            <sz val="8"/>
            <color indexed="81"/>
            <rFont val="Tahoma"/>
            <family val="2"/>
          </rPr>
          <t>Evan L. Kurtz:</t>
        </r>
        <r>
          <rPr>
            <sz val="8"/>
            <color indexed="81"/>
            <rFont val="Tahoma"/>
            <family val="2"/>
          </rPr>
          <t xml:space="preserve">
Cost savings as company switches off higher cost capacity</t>
        </r>
      </text>
    </comment>
    <comment ref="AO87" authorId="0">
      <text>
        <r>
          <rPr>
            <b/>
            <sz val="8"/>
            <color indexed="81"/>
            <rFont val="Tahoma"/>
            <family val="2"/>
          </rPr>
          <t>Evan L. Kurtz:</t>
        </r>
        <r>
          <rPr>
            <sz val="8"/>
            <color indexed="81"/>
            <rFont val="Tahoma"/>
            <family val="2"/>
          </rPr>
          <t xml:space="preserve">
-$55m LIFO/emp benies
-$10m Fe delivery
</t>
        </r>
      </text>
    </comment>
    <comment ref="AP87" authorId="0">
      <text>
        <r>
          <rPr>
            <b/>
            <sz val="8"/>
            <color indexed="81"/>
            <rFont val="Tahoma"/>
            <family val="2"/>
          </rPr>
          <t>Evan L. Kurtz:</t>
        </r>
        <r>
          <rPr>
            <sz val="8"/>
            <color indexed="81"/>
            <rFont val="Tahoma"/>
            <family val="2"/>
          </rPr>
          <t xml:space="preserve">
Increased facility repair work and Lake Erie startup</t>
        </r>
      </text>
    </comment>
    <comment ref="AQ87" authorId="0">
      <text>
        <r>
          <rPr>
            <b/>
            <sz val="8"/>
            <color indexed="81"/>
            <rFont val="Tahoma"/>
            <family val="2"/>
          </rPr>
          <t>Evan L. Kurtz:</t>
        </r>
        <r>
          <rPr>
            <sz val="8"/>
            <color indexed="81"/>
            <rFont val="Tahoma"/>
            <family val="2"/>
          </rPr>
          <t xml:space="preserve">
Include $86m of inspection/repair costs of critical struction</t>
        </r>
      </text>
    </comment>
    <comment ref="AR87" authorId="0">
      <text>
        <r>
          <rPr>
            <b/>
            <sz val="8"/>
            <color indexed="81"/>
            <rFont val="Tahoma"/>
            <family val="2"/>
          </rPr>
          <t>Evan L. Kurtz:</t>
        </r>
        <r>
          <rPr>
            <sz val="8"/>
            <color indexed="81"/>
            <rFont val="Tahoma"/>
            <family val="2"/>
          </rPr>
          <t xml:space="preserve">
$40 Bounce from inspection/repair of critical structures 
$80 Gary hi-line work</t>
        </r>
      </text>
    </comment>
    <comment ref="AT87" authorId="0">
      <text>
        <r>
          <rPr>
            <b/>
            <sz val="8"/>
            <color indexed="81"/>
            <rFont val="Tahoma"/>
            <family val="2"/>
          </rPr>
          <t>Evan L. Kurtz:</t>
        </r>
        <r>
          <rPr>
            <sz val="8"/>
            <color indexed="81"/>
            <rFont val="Tahoma"/>
            <family val="2"/>
          </rPr>
          <t xml:space="preserve">
Granite City Outage</t>
        </r>
      </text>
    </comment>
    <comment ref="AU87" authorId="0">
      <text>
        <r>
          <rPr>
            <b/>
            <sz val="8"/>
            <color indexed="81"/>
            <rFont val="Tahoma"/>
            <family val="2"/>
          </rPr>
          <t>Evan L. Kurtz:</t>
        </r>
        <r>
          <rPr>
            <sz val="8"/>
            <color indexed="81"/>
            <rFont val="Tahoma"/>
            <family val="2"/>
          </rPr>
          <t xml:space="preserve">
Drag from profit sharing offsets reversal of unplanned downtime
</t>
        </r>
      </text>
    </comment>
    <comment ref="AV87" authorId="0">
      <text>
        <r>
          <rPr>
            <b/>
            <sz val="8"/>
            <color indexed="81"/>
            <rFont val="Tahoma"/>
            <family val="2"/>
          </rPr>
          <t>Evan L. Kurtz:</t>
        </r>
        <r>
          <rPr>
            <sz val="8"/>
            <color indexed="81"/>
            <rFont val="Tahoma"/>
            <family val="2"/>
          </rPr>
          <t xml:space="preserve">
One-time issue at Fairfield and Lake Erie</t>
        </r>
      </text>
    </comment>
    <comment ref="AW87" authorId="0">
      <text>
        <r>
          <rPr>
            <b/>
            <sz val="8"/>
            <color indexed="81"/>
            <rFont val="Tahoma"/>
            <family val="2"/>
          </rPr>
          <t>Evan L. Kurtz:</t>
        </r>
        <r>
          <rPr>
            <sz val="8"/>
            <color indexed="81"/>
            <rFont val="Tahoma"/>
            <family val="2"/>
          </rPr>
          <t xml:space="preserve">
$50mn mainetenance costs
$20mn Hamilton labor costs
$60mn loss on pellet sales
$15mn LCM pellet adjustement</t>
        </r>
      </text>
    </comment>
    <comment ref="BI87" authorId="4">
      <text>
        <r>
          <rPr>
            <b/>
            <sz val="8"/>
            <color indexed="81"/>
            <rFont val="Tahoma"/>
            <family val="2"/>
          </rPr>
          <t>alelevy:</t>
        </r>
        <r>
          <rPr>
            <sz val="8"/>
            <color indexed="81"/>
            <rFont val="Tahoma"/>
            <family val="2"/>
          </rPr>
          <t xml:space="preserve">
$75m in annual cost savings from closing Hamilton, 2 Gary coke batteries, and Double Eagle JV, of which ~$25m is D&amp;A.
Offset by impact of weather and the initial part of the Gary and Great Lakes problems.</t>
        </r>
      </text>
    </comment>
    <comment ref="BJ87" authorId="5">
      <text>
        <r>
          <rPr>
            <b/>
            <sz val="8"/>
            <color indexed="81"/>
            <rFont val="Tahoma"/>
            <family val="2"/>
          </rPr>
          <t>evankurt:</t>
        </r>
        <r>
          <rPr>
            <sz val="8"/>
            <color indexed="81"/>
            <rFont val="Tahoma"/>
            <family val="2"/>
          </rPr>
          <t xml:space="preserve">
Incremental $25mn from Gary and Great Lakes Outages, and $15mn from Gary #8</t>
        </r>
      </text>
    </comment>
    <comment ref="BN87" authorId="3">
      <text>
        <r>
          <rPr>
            <b/>
            <sz val="9"/>
            <color indexed="81"/>
            <rFont val="Tahoma"/>
            <family val="2"/>
          </rPr>
          <t>E Kurtz:</t>
        </r>
        <r>
          <rPr>
            <sz val="9"/>
            <color indexed="81"/>
            <rFont val="Tahoma"/>
            <family val="2"/>
          </rPr>
          <t xml:space="preserve">
$130mn YoY inc. in Outage costs
$14mn layoff accurals seasonal mining costs</t>
        </r>
      </text>
    </comment>
    <comment ref="BO87" authorId="3">
      <text>
        <r>
          <rPr>
            <b/>
            <sz val="9"/>
            <color indexed="81"/>
            <rFont val="Tahoma"/>
            <family val="2"/>
          </rPr>
          <t>E Kurtz:</t>
        </r>
        <r>
          <rPr>
            <sz val="9"/>
            <color indexed="81"/>
            <rFont val="Tahoma"/>
            <family val="2"/>
          </rPr>
          <t xml:space="preserve">
$20mn reversal of mining headwind
$14mn reversal of accruals
$12mn benefit from ST savings
$35mn benefit from new Carnegie</t>
        </r>
      </text>
    </comment>
    <comment ref="BP87" authorId="3">
      <text>
        <r>
          <rPr>
            <b/>
            <sz val="9"/>
            <color indexed="81"/>
            <rFont val="Tahoma"/>
            <family val="2"/>
          </rPr>
          <t>E Kurtz:</t>
        </r>
        <r>
          <rPr>
            <sz val="9"/>
            <color indexed="81"/>
            <rFont val="Tahoma"/>
            <family val="2"/>
          </rPr>
          <t xml:space="preserve">
$44m from ST savings (assume 50% FRP)
$100m from Carnegie
($20m) Fairfield costs
</t>
        </r>
      </text>
    </comment>
    <comment ref="CA87" authorId="2">
      <text>
        <r>
          <rPr>
            <b/>
            <sz val="9"/>
            <color indexed="81"/>
            <rFont val="Tahoma"/>
            <family val="2"/>
          </rPr>
          <t>Piyush Sood:</t>
        </r>
        <r>
          <rPr>
            <sz val="9"/>
            <color indexed="81"/>
            <rFont val="Tahoma"/>
            <family val="2"/>
          </rPr>
          <t xml:space="preserve">
extra maintenance sequentially in 4Q</t>
        </r>
      </text>
    </comment>
    <comment ref="CD87" authorId="2">
      <text>
        <r>
          <rPr>
            <b/>
            <sz val="9"/>
            <color indexed="81"/>
            <rFont val="Tahoma"/>
            <family val="2"/>
          </rPr>
          <t>Piyush Sood:</t>
        </r>
        <r>
          <rPr>
            <sz val="9"/>
            <color indexed="81"/>
            <rFont val="Tahoma"/>
            <family val="2"/>
          </rPr>
          <t xml:space="preserve">
Assuming $1325 of maintenance capex in 2018. 4Q17 and 1Q18 at ~$350mn/qtr level</t>
        </r>
      </text>
    </comment>
    <comment ref="CE87" authorId="2">
      <text>
        <r>
          <rPr>
            <b/>
            <sz val="9"/>
            <color indexed="81"/>
            <rFont val="Tahoma"/>
            <family val="2"/>
          </rPr>
          <t>Piyush Sood:</t>
        </r>
        <r>
          <rPr>
            <sz val="9"/>
            <color indexed="81"/>
            <rFont val="Tahoma"/>
            <family val="2"/>
          </rPr>
          <t xml:space="preserve">
Assuming $1325 of maintenance capex in 2018. 4Q17 and 1Q18 at ~$350mn/qtr level</t>
        </r>
      </text>
    </comment>
    <comment ref="CF87" authorId="2">
      <text>
        <r>
          <rPr>
            <b/>
            <sz val="9"/>
            <color indexed="81"/>
            <rFont val="Tahoma"/>
            <family val="2"/>
          </rPr>
          <t>Piyush Sood:</t>
        </r>
        <r>
          <rPr>
            <sz val="9"/>
            <color indexed="81"/>
            <rFont val="Tahoma"/>
            <family val="2"/>
          </rPr>
          <t xml:space="preserve">
Assuming $1325 of maintenance capex in 2018. 4Q17 and 1Q18 at ~$350mn/qtr level</t>
        </r>
      </text>
    </comment>
    <comment ref="A89" authorId="0">
      <text>
        <r>
          <rPr>
            <b/>
            <sz val="8"/>
            <color indexed="81"/>
            <rFont val="Tahoma"/>
            <family val="2"/>
          </rPr>
          <t>Evan L. Kurtz:</t>
        </r>
        <r>
          <rPr>
            <sz val="8"/>
            <color indexed="81"/>
            <rFont val="Tahoma"/>
            <family val="2"/>
          </rPr>
          <t xml:space="preserve">
Excluding actuarial changes</t>
        </r>
      </text>
    </comment>
    <comment ref="CG89" authorId="3">
      <text>
        <r>
          <rPr>
            <b/>
            <sz val="9"/>
            <color indexed="81"/>
            <rFont val="Tahoma"/>
            <family val="2"/>
          </rPr>
          <t>E Kurtz:</t>
        </r>
        <r>
          <rPr>
            <sz val="9"/>
            <color indexed="81"/>
            <rFont val="Tahoma"/>
            <family val="2"/>
          </rPr>
          <t xml:space="preserve">
Need to automate formula
</t>
        </r>
      </text>
    </comment>
    <comment ref="CL89" authorId="3">
      <text>
        <r>
          <rPr>
            <b/>
            <sz val="9"/>
            <color indexed="81"/>
            <rFont val="Tahoma"/>
            <family val="2"/>
          </rPr>
          <t>E Kurtz:</t>
        </r>
        <r>
          <rPr>
            <sz val="9"/>
            <color indexed="81"/>
            <rFont val="Tahoma"/>
            <family val="2"/>
          </rPr>
          <t xml:space="preserve">
Need to automate formula
</t>
        </r>
      </text>
    </comment>
    <comment ref="CQ89" authorId="3">
      <text>
        <r>
          <rPr>
            <b/>
            <sz val="9"/>
            <color indexed="81"/>
            <rFont val="Tahoma"/>
            <family val="2"/>
          </rPr>
          <t>E Kurtz:</t>
        </r>
        <r>
          <rPr>
            <sz val="9"/>
            <color indexed="81"/>
            <rFont val="Tahoma"/>
            <family val="2"/>
          </rPr>
          <t xml:space="preserve">
Need to automate formula
</t>
        </r>
      </text>
    </comment>
    <comment ref="AD91" authorId="0">
      <text>
        <r>
          <rPr>
            <b/>
            <sz val="8"/>
            <color indexed="81"/>
            <rFont val="Tahoma"/>
            <family val="2"/>
          </rPr>
          <t>Evan L. Kurtz:</t>
        </r>
        <r>
          <rPr>
            <sz val="8"/>
            <color indexed="81"/>
            <rFont val="Tahoma"/>
            <family val="2"/>
          </rPr>
          <t xml:space="preserve">
Guided to $520m in domestic Capex</t>
        </r>
      </text>
    </comment>
    <comment ref="AI91" authorId="0">
      <text>
        <r>
          <rPr>
            <b/>
            <sz val="8"/>
            <color indexed="81"/>
            <rFont val="Tahoma"/>
            <family val="2"/>
          </rPr>
          <t>Evan L. Kurtz:</t>
        </r>
        <r>
          <rPr>
            <sz val="8"/>
            <color indexed="81"/>
            <rFont val="Tahoma"/>
            <family val="2"/>
          </rPr>
          <t xml:space="preserve">
Guided to $670 (1/29/08)</t>
        </r>
      </text>
    </comment>
    <comment ref="AN91" authorId="0">
      <text>
        <r>
          <rPr>
            <b/>
            <sz val="8"/>
            <color indexed="81"/>
            <rFont val="Tahoma"/>
            <family val="2"/>
          </rPr>
          <t>Evan L. Kurtz:</t>
        </r>
        <r>
          <rPr>
            <sz val="8"/>
            <color indexed="81"/>
            <rFont val="Tahoma"/>
            <family val="2"/>
          </rPr>
          <t xml:space="preserve">
$240m Clariton
$110m Granite City
$200m maintenance</t>
        </r>
      </text>
    </comment>
    <comment ref="AS91" authorId="0">
      <text>
        <r>
          <rPr>
            <b/>
            <sz val="8"/>
            <color indexed="81"/>
            <rFont val="Tahoma"/>
            <family val="2"/>
          </rPr>
          <t>Evan L. Kurtz:</t>
        </r>
        <r>
          <rPr>
            <sz val="8"/>
            <color indexed="81"/>
            <rFont val="Tahoma"/>
            <family val="2"/>
          </rPr>
          <t xml:space="preserve">
$200m Clariton
$100m Keewatin
$200m maintenance</t>
        </r>
      </text>
    </comment>
    <comment ref="CL91" authorId="6">
      <text>
        <r>
          <rPr>
            <b/>
            <sz val="9"/>
            <color indexed="81"/>
            <rFont val="Tahoma"/>
            <family val="2"/>
          </rPr>
          <t>Sood, Piyush (Research):</t>
        </r>
        <r>
          <rPr>
            <sz val="9"/>
            <color indexed="81"/>
            <rFont val="Tahoma"/>
            <family val="2"/>
          </rPr>
          <t xml:space="preserve">
250 which is half of base maintenance. Plus $2bn total outlay -200 for 2017 - 300 for 2018 divided over 2019 and 2020</t>
        </r>
      </text>
    </comment>
    <comment ref="CQ91" authorId="6">
      <text>
        <r>
          <rPr>
            <b/>
            <sz val="9"/>
            <color indexed="81"/>
            <rFont val="Tahoma"/>
            <family val="2"/>
          </rPr>
          <t>Sood, Piyush (Research):</t>
        </r>
        <r>
          <rPr>
            <sz val="9"/>
            <color indexed="81"/>
            <rFont val="Tahoma"/>
            <family val="2"/>
          </rPr>
          <t xml:space="preserve">
250 which is half of base maintenance. Plus $2bn total outlay -200 for 2017 - 300 for 2018 divided over 2019 and 2020</t>
        </r>
      </text>
    </comment>
    <comment ref="AA95" authorId="0">
      <text>
        <r>
          <rPr>
            <b/>
            <sz val="8"/>
            <color indexed="81"/>
            <rFont val="Tahoma"/>
            <family val="2"/>
          </rPr>
          <t>Evan L. Kurtz:</t>
        </r>
        <r>
          <rPr>
            <sz val="8"/>
            <color indexed="81"/>
            <rFont val="Tahoma"/>
            <family val="2"/>
          </rPr>
          <t xml:space="preserve">
47,000 of Lone Star (2wks)</t>
        </r>
      </text>
    </comment>
    <comment ref="AB95" authorId="0">
      <text>
        <r>
          <rPr>
            <b/>
            <sz val="8"/>
            <color indexed="81"/>
            <rFont val="Tahoma"/>
            <family val="2"/>
          </rPr>
          <t>Evan L. Kurtz:</t>
        </r>
        <r>
          <rPr>
            <sz val="8"/>
            <color indexed="81"/>
            <rFont val="Tahoma"/>
            <family val="2"/>
          </rPr>
          <t xml:space="preserve">
47,000 of Lone Star (2wks)</t>
        </r>
      </text>
    </comment>
    <comment ref="BG124" authorId="4">
      <text>
        <r>
          <rPr>
            <b/>
            <sz val="8"/>
            <color indexed="81"/>
            <rFont val="Tahoma"/>
            <family val="2"/>
          </rPr>
          <t>alelevy:</t>
        </r>
        <r>
          <rPr>
            <sz val="8"/>
            <color indexed="81"/>
            <rFont val="Tahoma"/>
            <family val="2"/>
          </rPr>
          <t xml:space="preserve">
@3Q13: Comparable QoQ</t>
        </r>
      </text>
    </comment>
    <comment ref="J125" authorId="0">
      <text>
        <r>
          <rPr>
            <b/>
            <sz val="8"/>
            <color indexed="81"/>
            <rFont val="Tahoma"/>
            <family val="2"/>
          </rPr>
          <t>Evan L. Kurtz:</t>
        </r>
        <r>
          <rPr>
            <sz val="8"/>
            <color indexed="81"/>
            <rFont val="Tahoma"/>
            <family val="2"/>
          </rPr>
          <t xml:space="preserve">
Quarterly data not available</t>
        </r>
      </text>
    </comment>
    <comment ref="O125" authorId="0">
      <text>
        <r>
          <rPr>
            <b/>
            <sz val="8"/>
            <color indexed="81"/>
            <rFont val="Tahoma"/>
            <family val="2"/>
          </rPr>
          <t>Evan L. Kurtz:</t>
        </r>
        <r>
          <rPr>
            <sz val="8"/>
            <color indexed="81"/>
            <rFont val="Tahoma"/>
            <family val="2"/>
          </rPr>
          <t xml:space="preserve">
Quarterly data not available</t>
        </r>
      </text>
    </comment>
    <comment ref="AA127" authorId="0">
      <text>
        <r>
          <rPr>
            <b/>
            <sz val="8"/>
            <color indexed="81"/>
            <rFont val="Tahoma"/>
            <family val="2"/>
          </rPr>
          <t>Evan L. Kurtz:</t>
        </r>
        <r>
          <rPr>
            <sz val="8"/>
            <color indexed="81"/>
            <rFont val="Tahoma"/>
            <family val="2"/>
          </rPr>
          <t xml:space="preserve">
Margins impacted by LS products (2wks)</t>
        </r>
      </text>
    </comment>
    <comment ref="AB127" authorId="0">
      <text>
        <r>
          <rPr>
            <b/>
            <sz val="8"/>
            <color indexed="81"/>
            <rFont val="Tahoma"/>
            <family val="2"/>
          </rPr>
          <t>Evan L. Kurtz:</t>
        </r>
        <r>
          <rPr>
            <sz val="8"/>
            <color indexed="81"/>
            <rFont val="Tahoma"/>
            <family val="2"/>
          </rPr>
          <t xml:space="preserve">
Margins impacted by LS products
</t>
        </r>
      </text>
    </comment>
    <comment ref="AD127" authorId="0">
      <text>
        <r>
          <rPr>
            <b/>
            <sz val="8"/>
            <color indexed="81"/>
            <rFont val="Tahoma"/>
            <family val="2"/>
          </rPr>
          <t>Evan L. Kurtz:</t>
        </r>
        <r>
          <rPr>
            <sz val="8"/>
            <color indexed="81"/>
            <rFont val="Tahoma"/>
            <family val="2"/>
          </rPr>
          <t xml:space="preserve">
Impact from LS volumes</t>
        </r>
      </text>
    </comment>
    <comment ref="AI127" authorId="0">
      <text>
        <r>
          <rPr>
            <b/>
            <sz val="8"/>
            <color indexed="81"/>
            <rFont val="Tahoma"/>
            <family val="2"/>
          </rPr>
          <t>Evan L. Kurtz:</t>
        </r>
        <r>
          <rPr>
            <sz val="8"/>
            <color indexed="81"/>
            <rFont val="Tahoma"/>
            <family val="2"/>
          </rPr>
          <t xml:space="preserve">
Impact from LS volumes</t>
        </r>
      </text>
    </comment>
    <comment ref="BN127" authorId="3">
      <text>
        <r>
          <rPr>
            <b/>
            <sz val="9"/>
            <color indexed="81"/>
            <rFont val="Tahoma"/>
            <family val="2"/>
          </rPr>
          <t>E Kurtz:</t>
        </r>
        <r>
          <rPr>
            <sz val="9"/>
            <color indexed="81"/>
            <rFont val="Tahoma"/>
            <family val="2"/>
          </rPr>
          <t xml:space="preserve">
$15mn Higher maintenance YoY</t>
        </r>
      </text>
    </comment>
    <comment ref="BO127" authorId="3">
      <text>
        <r>
          <rPr>
            <b/>
            <sz val="9"/>
            <color indexed="81"/>
            <rFont val="Tahoma"/>
            <family val="2"/>
          </rPr>
          <t>E Kurtz:</t>
        </r>
        <r>
          <rPr>
            <sz val="9"/>
            <color indexed="81"/>
            <rFont val="Tahoma"/>
            <family val="2"/>
          </rPr>
          <t xml:space="preserve">
$10mn benefit from ST savings
$4mn benefit from new Carnegie</t>
        </r>
      </text>
    </comment>
    <comment ref="BP127" authorId="3">
      <text>
        <r>
          <rPr>
            <b/>
            <sz val="9"/>
            <color indexed="81"/>
            <rFont val="Tahoma"/>
            <family val="2"/>
          </rPr>
          <t>E Kurtz:</t>
        </r>
        <r>
          <rPr>
            <sz val="9"/>
            <color indexed="81"/>
            <rFont val="Tahoma"/>
            <family val="2"/>
          </rPr>
          <t xml:space="preserve">
$44m from ST savings (assume 50% TP)</t>
        </r>
      </text>
    </comment>
    <comment ref="BT127" authorId="3">
      <text>
        <r>
          <rPr>
            <b/>
            <sz val="9"/>
            <color indexed="81"/>
            <rFont val="Tahoma"/>
            <family val="2"/>
          </rPr>
          <t>E Kurtz:</t>
        </r>
        <r>
          <rPr>
            <sz val="9"/>
            <color indexed="81"/>
            <rFont val="Tahoma"/>
            <family val="2"/>
          </rPr>
          <t xml:space="preserve">
$10mn benefit from ST savings
$4mn benefit from new Carnegie</t>
        </r>
      </text>
    </comment>
    <comment ref="BU127" authorId="3">
      <text>
        <r>
          <rPr>
            <b/>
            <sz val="9"/>
            <color indexed="81"/>
            <rFont val="Tahoma"/>
            <family val="2"/>
          </rPr>
          <t>E Kurtz:</t>
        </r>
        <r>
          <rPr>
            <sz val="9"/>
            <color indexed="81"/>
            <rFont val="Tahoma"/>
            <family val="2"/>
          </rPr>
          <t xml:space="preserve">
$10mn benefit from ST savings
$4mn benefit from new Carnegie</t>
        </r>
      </text>
    </comment>
    <comment ref="BV127" authorId="3">
      <text>
        <r>
          <rPr>
            <b/>
            <sz val="9"/>
            <color indexed="81"/>
            <rFont val="Tahoma"/>
            <family val="2"/>
          </rPr>
          <t>E Kurtz:</t>
        </r>
        <r>
          <rPr>
            <sz val="9"/>
            <color indexed="81"/>
            <rFont val="Tahoma"/>
            <family val="2"/>
          </rPr>
          <t xml:space="preserve">
Includes an LCM charge</t>
        </r>
      </text>
    </comment>
    <comment ref="AN129" authorId="0">
      <text>
        <r>
          <rPr>
            <b/>
            <sz val="8"/>
            <color indexed="81"/>
            <rFont val="Tahoma"/>
            <family val="2"/>
          </rPr>
          <t>Evan L. Kurtz:</t>
        </r>
        <r>
          <rPr>
            <sz val="8"/>
            <color indexed="81"/>
            <rFont val="Tahoma"/>
            <family val="2"/>
          </rPr>
          <t xml:space="preserve">
$15 Spiral welded plant
$15m maintenance</t>
        </r>
      </text>
    </comment>
    <comment ref="AS129" authorId="0">
      <text>
        <r>
          <rPr>
            <b/>
            <sz val="8"/>
            <color indexed="81"/>
            <rFont val="Tahoma"/>
            <family val="2"/>
          </rPr>
          <t>Evan L. Kurtz:</t>
        </r>
        <r>
          <rPr>
            <sz val="8"/>
            <color indexed="81"/>
            <rFont val="Tahoma"/>
            <family val="2"/>
          </rPr>
          <t xml:space="preserve">
$15m maintenance</t>
        </r>
      </text>
    </comment>
    <comment ref="AX129" authorId="0">
      <text>
        <r>
          <rPr>
            <b/>
            <sz val="8"/>
            <color indexed="81"/>
            <rFont val="Tahoma"/>
            <family val="2"/>
          </rPr>
          <t>Evan L. Kurtz:</t>
        </r>
        <r>
          <rPr>
            <sz val="8"/>
            <color indexed="81"/>
            <rFont val="Tahoma"/>
            <family val="2"/>
          </rPr>
          <t xml:space="preserve">
$15m maintenance
$ Tech Center</t>
        </r>
      </text>
    </comment>
    <comment ref="BC129" authorId="0">
      <text>
        <r>
          <rPr>
            <b/>
            <sz val="8"/>
            <color indexed="81"/>
            <rFont val="Tahoma"/>
            <family val="2"/>
          </rPr>
          <t>Evan L. Kurtz:</t>
        </r>
        <r>
          <rPr>
            <sz val="8"/>
            <color indexed="81"/>
            <rFont val="Tahoma"/>
            <family val="2"/>
          </rPr>
          <t xml:space="preserve">
$15m maintenance</t>
        </r>
      </text>
    </comment>
    <comment ref="AC132" authorId="0">
      <text>
        <r>
          <rPr>
            <b/>
            <sz val="8"/>
            <color indexed="81"/>
            <rFont val="Tahoma"/>
            <family val="2"/>
          </rPr>
          <t>Evan L. Kurtz:</t>
        </r>
        <r>
          <rPr>
            <sz val="8"/>
            <color indexed="81"/>
            <rFont val="Tahoma"/>
            <family val="2"/>
          </rPr>
          <t xml:space="preserve">
Downtime, including Serbian BF reline</t>
        </r>
      </text>
    </comment>
    <comment ref="B159" authorId="0">
      <text>
        <r>
          <rPr>
            <b/>
            <sz val="8"/>
            <color indexed="81"/>
            <rFont val="Tahoma"/>
            <family val="2"/>
          </rPr>
          <t>Evan L. Kurtz:</t>
        </r>
        <r>
          <rPr>
            <sz val="8"/>
            <color indexed="81"/>
            <rFont val="Tahoma"/>
            <family val="2"/>
          </rPr>
          <t xml:space="preserve">
Using 62% China CFR price less $10/t for shipping differential</t>
        </r>
      </text>
    </comment>
    <comment ref="B160" authorId="0">
      <text>
        <r>
          <rPr>
            <b/>
            <sz val="8"/>
            <color indexed="81"/>
            <rFont val="Tahoma"/>
            <family val="2"/>
          </rPr>
          <t>Evan L. Kurtz:</t>
        </r>
        <r>
          <rPr>
            <sz val="8"/>
            <color indexed="81"/>
            <rFont val="Tahoma"/>
            <family val="2"/>
          </rPr>
          <t xml:space="preserve">
Using global contract prices, assumes blending offset frieght</t>
        </r>
      </text>
    </comment>
    <comment ref="B164" authorId="0">
      <text>
        <r>
          <rPr>
            <b/>
            <sz val="8"/>
            <color indexed="81"/>
            <rFont val="Tahoma"/>
            <family val="2"/>
          </rPr>
          <t>Evan L. Kurtz:</t>
        </r>
        <r>
          <rPr>
            <sz val="8"/>
            <color indexed="81"/>
            <rFont val="Tahoma"/>
            <family val="2"/>
          </rPr>
          <t xml:space="preserve">
Half pellet - half fines</t>
        </r>
      </text>
    </comment>
    <comment ref="BI173" authorId="4">
      <text>
        <r>
          <rPr>
            <b/>
            <sz val="8"/>
            <color indexed="81"/>
            <rFont val="Tahoma"/>
            <family val="2"/>
          </rPr>
          <t>alelevy:</t>
        </r>
        <r>
          <rPr>
            <sz val="8"/>
            <color indexed="81"/>
            <rFont val="Tahoma"/>
            <family val="2"/>
          </rPr>
          <t xml:space="preserve">
Adjusted for $17m gain on carbon allowance sale and swap</t>
        </r>
      </text>
    </comment>
    <comment ref="O174" authorId="0">
      <text>
        <r>
          <rPr>
            <b/>
            <sz val="8"/>
            <color indexed="81"/>
            <rFont val="Tahoma"/>
            <family val="2"/>
          </rPr>
          <t>Evan L. Kurtz:</t>
        </r>
        <r>
          <rPr>
            <sz val="8"/>
            <color indexed="81"/>
            <rFont val="Tahoma"/>
            <family val="2"/>
          </rPr>
          <t xml:space="preserve">
Quarterly data not available</t>
        </r>
      </text>
    </comment>
    <comment ref="CB175" authorId="3">
      <text>
        <r>
          <rPr>
            <b/>
            <sz val="9"/>
            <color indexed="81"/>
            <rFont val="Tahoma"/>
            <family val="2"/>
          </rPr>
          <t>E Kurtz:</t>
        </r>
        <r>
          <rPr>
            <sz val="9"/>
            <color indexed="81"/>
            <rFont val="Tahoma"/>
            <family val="2"/>
          </rPr>
          <t xml:space="preserve">
@2Q17: $400mn</t>
        </r>
      </text>
    </comment>
    <comment ref="AD178" authorId="0">
      <text>
        <r>
          <rPr>
            <b/>
            <sz val="8"/>
            <color indexed="81"/>
            <rFont val="Tahoma"/>
            <family val="2"/>
          </rPr>
          <t>Evan L. Kurtz:</t>
        </r>
        <r>
          <rPr>
            <sz val="8"/>
            <color indexed="81"/>
            <rFont val="Tahoma"/>
            <family val="2"/>
          </rPr>
          <t xml:space="preserve">
guidance of $205m</t>
        </r>
      </text>
    </comment>
    <comment ref="AI178" authorId="0">
      <text>
        <r>
          <rPr>
            <b/>
            <sz val="8"/>
            <color indexed="81"/>
            <rFont val="Tahoma"/>
            <family val="2"/>
          </rPr>
          <t>Evan L. Kurtz:</t>
        </r>
        <r>
          <rPr>
            <sz val="8"/>
            <color indexed="81"/>
            <rFont val="Tahoma"/>
            <family val="2"/>
          </rPr>
          <t xml:space="preserve">
Guided to 260m (1/29/08)</t>
        </r>
      </text>
    </comment>
    <comment ref="AN178" authorId="0">
      <text>
        <r>
          <rPr>
            <b/>
            <sz val="8"/>
            <color indexed="81"/>
            <rFont val="Tahoma"/>
            <family val="2"/>
          </rPr>
          <t>Evan L. Kurtz:</t>
        </r>
        <r>
          <rPr>
            <sz val="8"/>
            <color indexed="81"/>
            <rFont val="Tahoma"/>
            <family val="2"/>
          </rPr>
          <t xml:space="preserve">
1-27-09 guidance</t>
        </r>
      </text>
    </comment>
    <comment ref="AS178" authorId="0">
      <text>
        <r>
          <rPr>
            <b/>
            <sz val="8"/>
            <color indexed="81"/>
            <rFont val="Tahoma"/>
            <family val="2"/>
          </rPr>
          <t>Evan L. Kurtz:</t>
        </r>
        <r>
          <rPr>
            <sz val="8"/>
            <color indexed="81"/>
            <rFont val="Tahoma"/>
            <family val="2"/>
          </rPr>
          <t xml:space="preserve">
$150m maintenance</t>
        </r>
      </text>
    </comment>
    <comment ref="AX178" authorId="0">
      <text>
        <r>
          <rPr>
            <b/>
            <sz val="8"/>
            <color indexed="81"/>
            <rFont val="Tahoma"/>
            <family val="2"/>
          </rPr>
          <t>Evan L. Kurtz:</t>
        </r>
        <r>
          <rPr>
            <sz val="8"/>
            <color indexed="81"/>
            <rFont val="Tahoma"/>
            <family val="2"/>
          </rPr>
          <t xml:space="preserve">
$100m maintenance
$50m PCI Injection</t>
        </r>
      </text>
    </comment>
    <comment ref="AX185" authorId="7">
      <text>
        <r>
          <rPr>
            <b/>
            <sz val="8"/>
            <color indexed="81"/>
            <rFont val="Tahoma"/>
            <family val="2"/>
          </rPr>
          <t>Evan Kurtz:</t>
        </r>
        <r>
          <rPr>
            <sz val="8"/>
            <color indexed="81"/>
            <rFont val="Tahoma"/>
            <family val="2"/>
          </rPr>
          <t xml:space="preserve">
Calculated based on $65mn 4Q loss discussed on 4q CC
</t>
        </r>
      </text>
    </comment>
    <comment ref="AD214" authorId="0">
      <text>
        <r>
          <rPr>
            <b/>
            <sz val="8"/>
            <color indexed="81"/>
            <rFont val="Tahoma"/>
            <family val="2"/>
          </rPr>
          <t>Evan L. Kurtz:</t>
        </r>
        <r>
          <rPr>
            <sz val="8"/>
            <color indexed="81"/>
            <rFont val="Tahoma"/>
            <family val="2"/>
          </rPr>
          <t xml:space="preserve">
Guided to $725m</t>
        </r>
      </text>
    </comment>
    <comment ref="AI215" authorId="0">
      <text>
        <r>
          <rPr>
            <b/>
            <sz val="8"/>
            <color indexed="81"/>
            <rFont val="Tahoma"/>
            <family val="2"/>
          </rPr>
          <t>Evan L. Kurtz:</t>
        </r>
        <r>
          <rPr>
            <sz val="8"/>
            <color indexed="81"/>
            <rFont val="Tahoma"/>
            <family val="2"/>
          </rPr>
          <t xml:space="preserve">
guidance of $660m (1/29/08)</t>
        </r>
      </text>
    </comment>
    <comment ref="CB215" authorId="3">
      <text>
        <r>
          <rPr>
            <b/>
            <sz val="9"/>
            <color indexed="81"/>
            <rFont val="Tahoma"/>
            <family val="2"/>
          </rPr>
          <t>E Kurtz:</t>
        </r>
        <r>
          <rPr>
            <sz val="9"/>
            <color indexed="81"/>
            <rFont val="Tahoma"/>
            <family val="2"/>
          </rPr>
          <t xml:space="preserve">
@1Q17: $500mn
@3Q17: $515mn</t>
        </r>
      </text>
    </comment>
  </commentList>
</comments>
</file>

<file path=xl/comments2.xml><?xml version="1.0" encoding="utf-8"?>
<comments xmlns="http://schemas.openxmlformats.org/spreadsheetml/2006/main">
  <authors>
    <author>lindbmar</author>
    <author>alelevy</author>
    <author>E Kurtz</author>
    <author>Hunter Alley</author>
    <author>Evan L. Kurtz</author>
    <author>Sood, Piyush (Research)</author>
    <author>Evan Kurtz</author>
    <author>thibaulw</author>
    <author>Nandu, Ankit (Research)</author>
    <author>Piyush Sood</author>
    <author>Alley, Hunter (Research)</author>
    <author>vikashm</author>
    <author>Alley, Hunter (REM)</author>
  </authors>
  <commentList>
    <comment ref="BF18" authorId="0">
      <text>
        <r>
          <rPr>
            <b/>
            <sz val="8"/>
            <color indexed="81"/>
            <rFont val="Tahoma"/>
            <family val="2"/>
          </rPr>
          <t>lindbmar:</t>
        </r>
        <r>
          <rPr>
            <sz val="8"/>
            <color indexed="81"/>
            <rFont val="Tahoma"/>
            <family val="2"/>
          </rPr>
          <t xml:space="preserve">
Excluding $23m benefit from supplier contract dispute settlement</t>
        </r>
      </text>
    </comment>
    <comment ref="BG18" authorId="1">
      <text>
        <r>
          <rPr>
            <b/>
            <sz val="8"/>
            <color indexed="81"/>
            <rFont val="Tahoma"/>
            <family val="2"/>
          </rPr>
          <t>alelevy:</t>
        </r>
        <r>
          <rPr>
            <sz val="8"/>
            <color indexed="81"/>
            <rFont val="Tahoma"/>
            <family val="2"/>
          </rPr>
          <t xml:space="preserve">
Excludes pre-tax $32m environmental remediation charge and pre-tax $16m equity investment write-off</t>
        </r>
      </text>
    </comment>
    <comment ref="BG26" authorId="1">
      <text>
        <r>
          <rPr>
            <b/>
            <sz val="8"/>
            <color indexed="81"/>
            <rFont val="Tahoma"/>
            <family val="2"/>
          </rPr>
          <t>alelevy:</t>
        </r>
        <r>
          <rPr>
            <sz val="8"/>
            <color indexed="81"/>
            <rFont val="Tahoma"/>
            <family val="2"/>
          </rPr>
          <t xml:space="preserve">
Excludes pre-tax $23m goodwill impairment, pre-tax $248m restructuring charge</t>
        </r>
      </text>
    </comment>
    <comment ref="BI26" authorId="1">
      <text>
        <r>
          <rPr>
            <b/>
            <sz val="8"/>
            <color indexed="81"/>
            <rFont val="Tahoma"/>
            <family val="2"/>
          </rPr>
          <t>alelevy:</t>
        </r>
        <r>
          <rPr>
            <sz val="8"/>
            <color indexed="81"/>
            <rFont val="Tahoma"/>
            <family val="2"/>
          </rPr>
          <t xml:space="preserve">
Excludes $20m in total asset sale gains</t>
        </r>
      </text>
    </comment>
    <comment ref="BN26" authorId="2">
      <text>
        <r>
          <rPr>
            <b/>
            <sz val="9"/>
            <color indexed="81"/>
            <rFont val="Tahoma"/>
            <family val="2"/>
          </rPr>
          <t>E Kurtz:</t>
        </r>
        <r>
          <rPr>
            <sz val="9"/>
            <color indexed="81"/>
            <rFont val="Tahoma"/>
            <family val="2"/>
          </rPr>
          <t xml:space="preserve">
Excludes $153mn in restructuring charges</t>
        </r>
      </text>
    </comment>
    <comment ref="BA32" authorId="0">
      <text>
        <r>
          <rPr>
            <b/>
            <sz val="8"/>
            <color indexed="81"/>
            <rFont val="Tahoma"/>
            <family val="2"/>
          </rPr>
          <t>lindbmar:</t>
        </r>
        <r>
          <rPr>
            <sz val="8"/>
            <color indexed="81"/>
            <rFont val="Tahoma"/>
            <family val="2"/>
          </rPr>
          <t xml:space="preserve">
Excludes $35m in lump sum payments related to labor agreements.</t>
        </r>
      </text>
    </comment>
    <comment ref="BW32" authorId="3">
      <text>
        <r>
          <rPr>
            <b/>
            <sz val="9"/>
            <color indexed="81"/>
            <rFont val="Tahoma"/>
            <family val="2"/>
          </rPr>
          <t>Hunter Alley:</t>
        </r>
        <r>
          <rPr>
            <sz val="9"/>
            <color indexed="81"/>
            <rFont val="Tahoma"/>
            <family val="2"/>
          </rPr>
          <t xml:space="preserve">
3Q16: Results for our Flat-Rolled and European segments to be higher than 2015 results and results for our
Tubular segment to be lower than 2015 results;</t>
        </r>
      </text>
    </comment>
    <comment ref="X35" authorId="4">
      <text>
        <r>
          <rPr>
            <b/>
            <sz val="8"/>
            <color indexed="81"/>
            <rFont val="Tahoma"/>
            <family val="2"/>
          </rPr>
          <t>Evan L. Kurtz:</t>
        </r>
        <r>
          <rPr>
            <sz val="8"/>
            <color indexed="81"/>
            <rFont val="Tahoma"/>
            <family val="2"/>
          </rPr>
          <t xml:space="preserve">
Excludes $25m real estate sale</t>
        </r>
      </text>
    </comment>
    <comment ref="BI35" authorId="1">
      <text>
        <r>
          <rPr>
            <b/>
            <sz val="8"/>
            <color indexed="81"/>
            <rFont val="Tahoma"/>
            <family val="2"/>
          </rPr>
          <t>alelevy:</t>
        </r>
        <r>
          <rPr>
            <sz val="8"/>
            <color indexed="81"/>
            <rFont val="Tahoma"/>
            <family val="2"/>
          </rPr>
          <t xml:space="preserve">
Adjusted for $3m in other asset sale gains</t>
        </r>
      </text>
    </comment>
    <comment ref="BW35" authorId="2">
      <text>
        <r>
          <rPr>
            <b/>
            <sz val="9"/>
            <color indexed="81"/>
            <rFont val="Tahoma"/>
            <family val="2"/>
          </rPr>
          <t>E Kurtz:</t>
        </r>
        <r>
          <rPr>
            <sz val="9"/>
            <color indexed="81"/>
            <rFont val="Tahoma"/>
            <family val="2"/>
          </rPr>
          <t xml:space="preserve">
2Q16: 10-Q improved results in 2H from real estate sales</t>
        </r>
      </text>
    </comment>
    <comment ref="CB35" authorId="2">
      <text>
        <r>
          <rPr>
            <b/>
            <sz val="9"/>
            <color indexed="81"/>
            <rFont val="Tahoma"/>
            <family val="2"/>
          </rPr>
          <t>E Kurtz:</t>
        </r>
        <r>
          <rPr>
            <sz val="9"/>
            <color indexed="81"/>
            <rFont val="Tahoma"/>
            <family val="2"/>
          </rPr>
          <t xml:space="preserve">
4Q16: Similar to 2016</t>
        </r>
      </text>
    </comment>
    <comment ref="B36" authorId="4">
      <text>
        <r>
          <rPr>
            <b/>
            <sz val="8"/>
            <color indexed="81"/>
            <rFont val="Tahoma"/>
            <family val="2"/>
          </rPr>
          <t>Evan L. Kurtz:</t>
        </r>
        <r>
          <rPr>
            <sz val="8"/>
            <color indexed="81"/>
            <rFont val="Tahoma"/>
            <family val="2"/>
          </rPr>
          <t xml:space="preserve">
All non-active employees starting in 1Q11</t>
        </r>
      </text>
    </comment>
    <comment ref="AB36" authorId="4">
      <text>
        <r>
          <rPr>
            <b/>
            <sz val="8"/>
            <color indexed="81"/>
            <rFont val="Tahoma"/>
            <family val="2"/>
          </rPr>
          <t>Evan L. Kurtz:</t>
        </r>
        <r>
          <rPr>
            <sz val="8"/>
            <color indexed="81"/>
            <rFont val="Tahoma"/>
            <family val="2"/>
          </rPr>
          <t xml:space="preserve">
$28m after-tax one-time charges</t>
        </r>
      </text>
    </comment>
    <comment ref="BW36" authorId="2">
      <text>
        <r>
          <rPr>
            <b/>
            <sz val="9"/>
            <color indexed="81"/>
            <rFont val="Tahoma"/>
            <family val="2"/>
          </rPr>
          <t>E Kurtz:</t>
        </r>
        <r>
          <rPr>
            <sz val="9"/>
            <color indexed="81"/>
            <rFont val="Tahoma"/>
            <family val="2"/>
          </rPr>
          <t xml:space="preserve">
1Q16: $60mn
2Q16: $60mn
3Q16: $52mn</t>
        </r>
      </text>
    </comment>
    <comment ref="CB36" authorId="2">
      <text>
        <r>
          <rPr>
            <b/>
            <sz val="9"/>
            <color indexed="81"/>
            <rFont val="Tahoma"/>
            <family val="2"/>
          </rPr>
          <t>E Kurtz:</t>
        </r>
        <r>
          <rPr>
            <sz val="9"/>
            <color indexed="81"/>
            <rFont val="Tahoma"/>
            <family val="2"/>
          </rPr>
          <t xml:space="preserve">
4Q16: Aprrox $50mn</t>
        </r>
      </text>
    </comment>
    <comment ref="CG36" authorId="5">
      <text>
        <r>
          <rPr>
            <b/>
            <sz val="9"/>
            <color indexed="81"/>
            <rFont val="Tahoma"/>
            <family val="2"/>
          </rPr>
          <t>Sood, Piyush (Research):</t>
        </r>
        <r>
          <rPr>
            <sz val="9"/>
            <color indexed="81"/>
            <rFont val="Tahoma"/>
            <family val="2"/>
          </rPr>
          <t xml:space="preserve">
EBITDA rule change</t>
        </r>
      </text>
    </comment>
    <comment ref="AW39" authorId="6">
      <text>
        <r>
          <rPr>
            <b/>
            <sz val="8"/>
            <color indexed="81"/>
            <rFont val="Tahoma"/>
            <family val="2"/>
          </rPr>
          <t>Evan Kurtz:</t>
        </r>
        <r>
          <rPr>
            <sz val="8"/>
            <color indexed="81"/>
            <rFont val="Tahoma"/>
            <family val="2"/>
          </rPr>
          <t xml:space="preserve">
Excludes environmental remediation charge</t>
        </r>
      </text>
    </comment>
    <comment ref="BF39" authorId="0">
      <text>
        <r>
          <rPr>
            <b/>
            <sz val="8"/>
            <color indexed="81"/>
            <rFont val="Tahoma"/>
            <family val="2"/>
          </rPr>
          <t>lindbmar:</t>
        </r>
        <r>
          <rPr>
            <sz val="8"/>
            <color indexed="81"/>
            <rFont val="Tahoma"/>
            <family val="2"/>
          </rPr>
          <t xml:space="preserve">
Excluding $1,783m impairment of goodwill and $23m benefit from supplier contract dispute settlement</t>
        </r>
      </text>
    </comment>
    <comment ref="BG39" authorId="1">
      <text>
        <r>
          <rPr>
            <b/>
            <sz val="8"/>
            <color indexed="81"/>
            <rFont val="Tahoma"/>
            <family val="2"/>
          </rPr>
          <t>alelevy:</t>
        </r>
        <r>
          <rPr>
            <sz val="8"/>
            <color indexed="81"/>
            <rFont val="Tahoma"/>
            <family val="2"/>
          </rPr>
          <t xml:space="preserve">
Excludes pre-tax charges:
- $23m goodwill impairment
- $248m restructuring
- $32m environmental remediation
- $16m equity investment write-off</t>
        </r>
      </text>
    </comment>
    <comment ref="BJ39" authorId="1">
      <text>
        <r>
          <rPr>
            <b/>
            <sz val="8"/>
            <color indexed="81"/>
            <rFont val="Arial"/>
            <family val="2"/>
          </rPr>
          <t>alelevy:</t>
        </r>
        <r>
          <rPr>
            <sz val="8"/>
            <color indexed="81"/>
            <rFont val="Arial"/>
            <family val="2"/>
          </rPr>
          <t xml:space="preserve">
Excludes $70m litigation reserve, $14m loss on assets held for sale, and $19m curtailment gain (all pre-tax)</t>
        </r>
      </text>
    </comment>
    <comment ref="BK39" authorId="1">
      <text>
        <r>
          <rPr>
            <b/>
            <sz val="8"/>
            <color indexed="81"/>
            <rFont val="Arial"/>
            <family val="2"/>
          </rPr>
          <t>alelevy:</t>
        </r>
        <r>
          <rPr>
            <sz val="8"/>
            <color indexed="81"/>
            <rFont val="Arial"/>
            <family val="2"/>
          </rPr>
          <t xml:space="preserve">
Excludes $413m in deconsolidation impact, $236m in restructuring charges, and $55m in asset sale gains</t>
        </r>
      </text>
    </comment>
    <comment ref="BL39" authorId="1">
      <text>
        <r>
          <rPr>
            <b/>
            <sz val="8"/>
            <color indexed="81"/>
            <rFont val="Arial"/>
            <family val="2"/>
          </rPr>
          <t>alelevy:</t>
        </r>
        <r>
          <rPr>
            <sz val="8"/>
            <color indexed="81"/>
            <rFont val="Arial"/>
            <family val="2"/>
          </rPr>
          <t xml:space="preserve">
Excludes $3m in Canada deconsolidation items and $4m in impairments</t>
        </r>
      </text>
    </comment>
    <comment ref="BW44" authorId="2">
      <text>
        <r>
          <rPr>
            <b/>
            <sz val="9"/>
            <color indexed="81"/>
            <rFont val="Tahoma"/>
            <family val="2"/>
          </rPr>
          <t>E Kurtz:</t>
        </r>
        <r>
          <rPr>
            <sz val="9"/>
            <color indexed="81"/>
            <rFont val="Tahoma"/>
            <family val="2"/>
          </rPr>
          <t xml:space="preserve">
2Q16: $265mn net int. and other financial cost</t>
        </r>
      </text>
    </comment>
    <comment ref="Z46" authorId="7">
      <text>
        <r>
          <rPr>
            <b/>
            <sz val="8"/>
            <color indexed="81"/>
            <rFont val="Tahoma"/>
            <family val="2"/>
          </rPr>
          <t>thibaulw:</t>
        </r>
        <r>
          <rPr>
            <sz val="8"/>
            <color indexed="81"/>
            <rFont val="Tahoma"/>
            <family val="2"/>
          </rPr>
          <t xml:space="preserve">
excludes $3M charge from early redemption of notes</t>
        </r>
      </text>
    </comment>
    <comment ref="AA46" authorId="4">
      <text>
        <r>
          <rPr>
            <b/>
            <sz val="8"/>
            <color indexed="81"/>
            <rFont val="Tahoma"/>
            <family val="2"/>
          </rPr>
          <t>Evan L. Kurtz:</t>
        </r>
        <r>
          <rPr>
            <sz val="8"/>
            <color indexed="81"/>
            <rFont val="Tahoma"/>
            <family val="2"/>
          </rPr>
          <t xml:space="preserve">
$23m pre-tax debt restructuring charge</t>
        </r>
      </text>
    </comment>
    <comment ref="AE46" authorId="4">
      <text>
        <r>
          <rPr>
            <b/>
            <sz val="8"/>
            <color indexed="81"/>
            <rFont val="Tahoma"/>
            <family val="2"/>
          </rPr>
          <t>Evan L. Kurtz:</t>
        </r>
        <r>
          <rPr>
            <sz val="8"/>
            <color indexed="81"/>
            <rFont val="Tahoma"/>
            <family val="2"/>
          </rPr>
          <t xml:space="preserve">
Adjustment for $70m fx gain @ 35% tax rate</t>
        </r>
      </text>
    </comment>
    <comment ref="AG46" authorId="4">
      <text>
        <r>
          <rPr>
            <b/>
            <sz val="8"/>
            <color indexed="81"/>
            <rFont val="Tahoma"/>
            <family val="2"/>
          </rPr>
          <t>Evan L. Kurtz:</t>
        </r>
        <r>
          <rPr>
            <sz val="8"/>
            <color indexed="81"/>
            <rFont val="Tahoma"/>
            <family val="2"/>
          </rPr>
          <t xml:space="preserve">
$49m reversal of $39m after tax currency charge @ 20% tax rate</t>
        </r>
      </text>
    </comment>
    <comment ref="AT46" authorId="4">
      <text>
        <r>
          <rPr>
            <b/>
            <sz val="8"/>
            <color indexed="81"/>
            <rFont val="Tahoma"/>
            <family val="2"/>
          </rPr>
          <t>Evan L. Kurtz:</t>
        </r>
        <r>
          <rPr>
            <sz val="8"/>
            <color indexed="81"/>
            <rFont val="Tahoma"/>
            <family val="2"/>
          </rPr>
          <t xml:space="preserve">
Assume 35% tax rate on $81mn after tax fx remeasurement gain</t>
        </r>
      </text>
    </comment>
    <comment ref="AV46" authorId="1">
      <text>
        <r>
          <rPr>
            <b/>
            <sz val="8"/>
            <color indexed="81"/>
            <rFont val="Tahoma"/>
            <family val="2"/>
          </rPr>
          <t>alelevy:</t>
        </r>
        <r>
          <rPr>
            <sz val="8"/>
            <color indexed="81"/>
            <rFont val="Tahoma"/>
            <family val="2"/>
          </rPr>
          <t xml:space="preserve">
Adjusted to exclude a $96m foreign currency loss on an intercompany loan</t>
        </r>
      </text>
    </comment>
    <comment ref="AZ46" authorId="1">
      <text>
        <r>
          <rPr>
            <b/>
            <sz val="8"/>
            <color indexed="81"/>
            <rFont val="Tahoma"/>
            <family val="2"/>
          </rPr>
          <t>alelevy:</t>
        </r>
        <r>
          <rPr>
            <sz val="8"/>
            <color indexed="81"/>
            <rFont val="Tahoma"/>
            <family val="2"/>
          </rPr>
          <t xml:space="preserve">
Adjusted for $11m after-tax early redemption premium for senior notes ($17m estimated pre-tax)</t>
        </r>
      </text>
    </comment>
    <comment ref="BD46" authorId="0">
      <text>
        <r>
          <rPr>
            <b/>
            <sz val="8"/>
            <color indexed="81"/>
            <rFont val="Tahoma"/>
            <family val="2"/>
          </rPr>
          <t>lindbmar:</t>
        </r>
        <r>
          <rPr>
            <sz val="8"/>
            <color indexed="81"/>
            <rFont val="Tahoma"/>
            <family val="2"/>
          </rPr>
          <t xml:space="preserve">
Adjusted for $22m after-tax charge related to repurchases of $542m senior convertible notes</t>
        </r>
      </text>
    </comment>
    <comment ref="BF46" authorId="0">
      <text>
        <r>
          <rPr>
            <b/>
            <sz val="8"/>
            <color indexed="81"/>
            <rFont val="Tahoma"/>
            <family val="2"/>
          </rPr>
          <t>lindbmar:</t>
        </r>
        <r>
          <rPr>
            <sz val="8"/>
            <color indexed="81"/>
            <rFont val="Tahoma"/>
            <family val="2"/>
          </rPr>
          <t xml:space="preserve">
Adjusted for $22m pre-tax charge related to guarantee of unconsolidated equity method investment</t>
        </r>
      </text>
    </comment>
    <comment ref="BT46" authorId="8">
      <text>
        <r>
          <rPr>
            <b/>
            <sz val="9"/>
            <color indexed="81"/>
            <rFont val="Tahoma"/>
            <family val="2"/>
          </rPr>
          <t>Nandu, Ankit (Research):</t>
        </r>
        <r>
          <rPr>
            <sz val="9"/>
            <color indexed="81"/>
            <rFont val="Tahoma"/>
            <family val="2"/>
          </rPr>
          <t xml:space="preserve">
Excludes Loss on debt extiguishment $24</t>
        </r>
      </text>
    </comment>
    <comment ref="BZ46" authorId="8">
      <text>
        <r>
          <rPr>
            <b/>
            <sz val="9"/>
            <color indexed="81"/>
            <rFont val="Tahoma"/>
            <family val="2"/>
          </rPr>
          <t>Nandu, Ankit (Research):</t>
        </r>
        <r>
          <rPr>
            <sz val="9"/>
            <color indexed="81"/>
            <rFont val="Tahoma"/>
            <family val="2"/>
          </rPr>
          <t xml:space="preserve">
Excl. loss on debt extinguishment $35mn</t>
        </r>
      </text>
    </comment>
    <comment ref="CA46" authorId="8">
      <text>
        <r>
          <rPr>
            <b/>
            <sz val="9"/>
            <color indexed="81"/>
            <rFont val="Tahoma"/>
            <family val="2"/>
          </rPr>
          <t>Nandu, Ankit (Research):</t>
        </r>
        <r>
          <rPr>
            <sz val="9"/>
            <color indexed="81"/>
            <rFont val="Tahoma"/>
            <family val="2"/>
          </rPr>
          <t xml:space="preserve">
Excl. Loss on debt extinguishment</t>
        </r>
      </text>
    </comment>
    <comment ref="AC51" authorId="4">
      <text>
        <r>
          <rPr>
            <b/>
            <sz val="8"/>
            <color indexed="81"/>
            <rFont val="Tahoma"/>
            <family val="2"/>
          </rPr>
          <t>Evan L. Kurtz:</t>
        </r>
        <r>
          <rPr>
            <sz val="8"/>
            <color indexed="81"/>
            <rFont val="Tahoma"/>
            <family val="2"/>
          </rPr>
          <t xml:space="preserve">
$20m one-time tax adjustment</t>
        </r>
      </text>
    </comment>
    <comment ref="AY51" authorId="1">
      <text>
        <r>
          <rPr>
            <b/>
            <sz val="8"/>
            <color indexed="81"/>
            <rFont val="Tahoma"/>
            <family val="2"/>
          </rPr>
          <t>alelevy:</t>
        </r>
        <r>
          <rPr>
            <sz val="8"/>
            <color indexed="81"/>
            <rFont val="Tahoma"/>
            <family val="2"/>
          </rPr>
          <t xml:space="preserve">
Add back of $31m and $7m in taxes on one-time gains for transport asset sale and property tax settlement</t>
        </r>
      </text>
    </comment>
    <comment ref="AZ51" authorId="1">
      <text>
        <r>
          <rPr>
            <b/>
            <sz val="8"/>
            <color indexed="81"/>
            <rFont val="Tahoma"/>
            <family val="2"/>
          </rPr>
          <t>alelevy:</t>
        </r>
        <r>
          <rPr>
            <sz val="8"/>
            <color indexed="81"/>
            <rFont val="Tahoma"/>
            <family val="2"/>
          </rPr>
          <t xml:space="preserve">
Does not reflect any tax benefit for pre-tax loses in Canada because a valuation allowance has been recorded against deferred tax assets in that jurisdiction. Adjusted for $11m after-tax early redemption premium for senior notes ($16.92m estimated pre-tax)</t>
        </r>
      </text>
    </comment>
    <comment ref="BA51" authorId="1">
      <text>
        <r>
          <rPr>
            <b/>
            <sz val="8"/>
            <color indexed="81"/>
            <rFont val="Tahoma"/>
            <family val="2"/>
          </rPr>
          <t>alelevy:</t>
        </r>
        <r>
          <rPr>
            <sz val="8"/>
            <color indexed="81"/>
            <rFont val="Tahoma"/>
            <family val="2"/>
          </rPr>
          <t xml:space="preserve">
Adjusted for $20m of tax benefit from settlement of 2011 tax audits, $26m of tax benefit to adjust estimated 2011 liability to actual, and $13m of tax impact of employee lump sum payments</t>
        </r>
      </text>
    </comment>
    <comment ref="BB51" authorId="0">
      <text>
        <r>
          <rPr>
            <b/>
            <sz val="8"/>
            <color indexed="81"/>
            <rFont val="Tahoma"/>
            <family val="2"/>
          </rPr>
          <t>lindbmar:</t>
        </r>
        <r>
          <rPr>
            <sz val="8"/>
            <color indexed="81"/>
            <rFont val="Tahoma"/>
            <family val="2"/>
          </rPr>
          <t xml:space="preserve">
Adjusted for $9m after-tax favorable settlement related to a supplier contract dispute ($15 pre-tax)</t>
        </r>
      </text>
    </comment>
    <comment ref="BF51" authorId="0">
      <text>
        <r>
          <rPr>
            <b/>
            <sz val="8"/>
            <color indexed="81"/>
            <rFont val="Tahoma"/>
            <family val="2"/>
          </rPr>
          <t>lindbmar:</t>
        </r>
        <r>
          <rPr>
            <sz val="8"/>
            <color indexed="81"/>
            <rFont val="Tahoma"/>
            <family val="2"/>
          </rPr>
          <t xml:space="preserve">
Adjusted for $8m tax impact for supplier contract dispute settlement and $7.7m tax impact for a charge related to guarantee of unconsolidated equity method investmont</t>
        </r>
      </text>
    </comment>
    <comment ref="BG51" authorId="1">
      <text>
        <r>
          <rPr>
            <b/>
            <sz val="8"/>
            <color indexed="81"/>
            <rFont val="Tahoma"/>
            <family val="2"/>
          </rPr>
          <t>alelevy:</t>
        </r>
        <r>
          <rPr>
            <sz val="8"/>
            <color indexed="81"/>
            <rFont val="Tahoma"/>
            <family val="2"/>
          </rPr>
          <t xml:space="preserve">
Adjusted for tax impact of one-time items, $142m favorable tax item, and $392m favorable tax item</t>
        </r>
      </text>
    </comment>
    <comment ref="BI51" authorId="1">
      <text>
        <r>
          <rPr>
            <b/>
            <sz val="8"/>
            <color indexed="81"/>
            <rFont val="Tahoma"/>
            <family val="2"/>
          </rPr>
          <t>alelevy:</t>
        </r>
        <r>
          <rPr>
            <sz val="8"/>
            <color indexed="81"/>
            <rFont val="Tahoma"/>
            <family val="2"/>
          </rPr>
          <t xml:space="preserve">
Adjusted for tax impact of one-time items</t>
        </r>
      </text>
    </comment>
    <comment ref="BJ51" authorId="1">
      <text>
        <r>
          <rPr>
            <b/>
            <sz val="8"/>
            <color indexed="81"/>
            <rFont val="Tahoma"/>
            <family val="2"/>
          </rPr>
          <t>alelevy:</t>
        </r>
        <r>
          <rPr>
            <sz val="8"/>
            <color indexed="81"/>
            <rFont val="Tahoma"/>
            <family val="2"/>
          </rPr>
          <t xml:space="preserve">
Adjusted for tax impact of one-time items</t>
        </r>
      </text>
    </comment>
    <comment ref="BW51" authorId="2">
      <text>
        <r>
          <rPr>
            <b/>
            <sz val="9"/>
            <color indexed="81"/>
            <rFont val="Tahoma"/>
            <family val="2"/>
          </rPr>
          <t>E Kurtz:</t>
        </r>
        <r>
          <rPr>
            <sz val="9"/>
            <color indexed="81"/>
            <rFont val="Tahoma"/>
            <family val="2"/>
          </rPr>
          <t xml:space="preserve">
2Q16: guided to $30mn on $50mn NI</t>
        </r>
      </text>
    </comment>
    <comment ref="CF51" authorId="5">
      <text>
        <r>
          <rPr>
            <b/>
            <sz val="9"/>
            <color indexed="81"/>
            <rFont val="Tahoma"/>
            <family val="2"/>
          </rPr>
          <t>Sood, Piyush (Research):</t>
        </r>
        <r>
          <rPr>
            <sz val="9"/>
            <color indexed="81"/>
            <rFont val="Tahoma"/>
            <family val="2"/>
          </rPr>
          <t xml:space="preserve">
21% income tax rate for Slovakia</t>
        </r>
      </text>
    </comment>
    <comment ref="AR52" authorId="4">
      <text>
        <r>
          <rPr>
            <b/>
            <sz val="8"/>
            <color indexed="81"/>
            <rFont val="Tahoma"/>
            <family val="2"/>
          </rPr>
          <t>Evan L. Kurtz:</t>
        </r>
        <r>
          <rPr>
            <sz val="8"/>
            <color indexed="81"/>
            <rFont val="Tahoma"/>
            <family val="2"/>
          </rPr>
          <t xml:space="preserve">
Losses in Canada and Serbia
</t>
        </r>
      </text>
    </comment>
    <comment ref="AT52" authorId="4">
      <text>
        <r>
          <rPr>
            <b/>
            <sz val="8"/>
            <color indexed="81"/>
            <rFont val="Tahoma"/>
            <family val="2"/>
          </rPr>
          <t>Evan L. Kurtz:</t>
        </r>
        <r>
          <rPr>
            <sz val="8"/>
            <color indexed="81"/>
            <rFont val="Tahoma"/>
            <family val="2"/>
          </rPr>
          <t xml:space="preserve">
Losses in Canada and Serbia
</t>
        </r>
      </text>
    </comment>
    <comment ref="CA52" authorId="9">
      <text>
        <r>
          <rPr>
            <b/>
            <sz val="9"/>
            <color indexed="81"/>
            <rFont val="Tahoma"/>
            <family val="2"/>
          </rPr>
          <t>Piyush Sood:</t>
        </r>
        <r>
          <rPr>
            <sz val="9"/>
            <color indexed="81"/>
            <rFont val="Tahoma"/>
            <family val="2"/>
          </rPr>
          <t xml:space="preserve">
tax rate at 0%?</t>
        </r>
      </text>
    </comment>
    <comment ref="CQ52" authorId="5">
      <text>
        <r>
          <rPr>
            <b/>
            <sz val="9"/>
            <color indexed="81"/>
            <rFont val="Tahoma"/>
            <family val="2"/>
          </rPr>
          <t>Sood, Piyush (Research):</t>
        </r>
        <r>
          <rPr>
            <sz val="9"/>
            <color indexed="81"/>
            <rFont val="Tahoma"/>
            <family val="2"/>
          </rPr>
          <t xml:space="preserve">
original formula: =CQ33/CQ48*0.19+(CQ39-CQ33+CQ44)/CQ48*0.24</t>
        </r>
      </text>
    </comment>
    <comment ref="BW59" authorId="2">
      <text>
        <r>
          <rPr>
            <b/>
            <sz val="9"/>
            <color indexed="81"/>
            <rFont val="Tahoma"/>
            <family val="2"/>
          </rPr>
          <t>E Kurtz:</t>
        </r>
        <r>
          <rPr>
            <sz val="9"/>
            <color indexed="81"/>
            <rFont val="Tahoma"/>
            <family val="2"/>
          </rPr>
          <t xml:space="preserve">
2Q16: $50mn
3Q16: $(355)mn</t>
        </r>
      </text>
    </comment>
    <comment ref="BW64" authorId="2">
      <text>
        <r>
          <rPr>
            <b/>
            <sz val="9"/>
            <color indexed="81"/>
            <rFont val="Tahoma"/>
            <family val="2"/>
          </rPr>
          <t>E Kurtz:</t>
        </r>
        <r>
          <rPr>
            <sz val="9"/>
            <color indexed="81"/>
            <rFont val="Tahoma"/>
            <family val="2"/>
          </rPr>
          <t xml:space="preserve">
2Q16: $0.34
3Q16: $(2.26)</t>
        </r>
      </text>
    </comment>
    <comment ref="AO67" authorId="4">
      <text>
        <r>
          <rPr>
            <b/>
            <sz val="8"/>
            <color indexed="81"/>
            <rFont val="Tahoma"/>
            <family val="2"/>
          </rPr>
          <t>Evan L. Kurtz:</t>
        </r>
        <r>
          <rPr>
            <sz val="8"/>
            <color indexed="81"/>
            <rFont val="Tahoma"/>
            <family val="2"/>
          </rPr>
          <t xml:space="preserve">
Tiny adjustment to offset net income rounding error.</t>
        </r>
      </text>
    </comment>
    <comment ref="B74" authorId="4">
      <text>
        <r>
          <rPr>
            <b/>
            <sz val="8"/>
            <color indexed="81"/>
            <rFont val="Tahoma"/>
            <family val="2"/>
          </rPr>
          <t>Evan L. Kurtz:</t>
        </r>
        <r>
          <rPr>
            <sz val="8"/>
            <color indexed="81"/>
            <rFont val="Tahoma"/>
            <family val="2"/>
          </rPr>
          <t xml:space="preserve">
U.S. Statutory tax rate</t>
        </r>
      </text>
    </comment>
    <comment ref="BY82" authorId="8">
      <text>
        <r>
          <rPr>
            <b/>
            <sz val="9"/>
            <color indexed="81"/>
            <rFont val="Tahoma"/>
            <family val="2"/>
          </rPr>
          <t>Nandu, Ankit (Research):</t>
        </r>
        <r>
          <rPr>
            <sz val="9"/>
            <color indexed="81"/>
            <rFont val="Tahoma"/>
            <family val="2"/>
          </rPr>
          <t xml:space="preserve">
Gain associated with retained interest in U.S. Steel Canada</t>
        </r>
      </text>
    </comment>
    <comment ref="N83" authorId="4">
      <text>
        <r>
          <rPr>
            <b/>
            <sz val="8"/>
            <color indexed="81"/>
            <rFont val="Tahoma"/>
            <family val="2"/>
          </rPr>
          <t>Evan L. Kurtz:</t>
        </r>
        <r>
          <rPr>
            <sz val="8"/>
            <color indexed="81"/>
            <rFont val="Tahoma"/>
            <family val="2"/>
          </rPr>
          <t xml:space="preserve">
$17m pre-tax severence charge</t>
        </r>
      </text>
    </comment>
    <comment ref="Q83" authorId="4">
      <text>
        <r>
          <rPr>
            <b/>
            <sz val="8"/>
            <color indexed="81"/>
            <rFont val="Tahoma"/>
            <family val="2"/>
          </rPr>
          <t>Evan L. Kurtz:</t>
        </r>
        <r>
          <rPr>
            <sz val="8"/>
            <color indexed="81"/>
            <rFont val="Tahoma"/>
            <family val="2"/>
          </rPr>
          <t xml:space="preserve">
$6m pre-tax severence charge</t>
        </r>
      </text>
    </comment>
    <comment ref="R83" authorId="4">
      <text>
        <r>
          <rPr>
            <b/>
            <sz val="8"/>
            <color indexed="81"/>
            <rFont val="Tahoma"/>
            <family val="2"/>
          </rPr>
          <t>Evan L. Kurtz:</t>
        </r>
        <r>
          <rPr>
            <sz val="8"/>
            <color indexed="81"/>
            <rFont val="Tahoma"/>
            <family val="2"/>
          </rPr>
          <t xml:space="preserve">
$3m pre-tax severence charge</t>
        </r>
      </text>
    </comment>
    <comment ref="S83" authorId="4">
      <text>
        <r>
          <rPr>
            <b/>
            <sz val="8"/>
            <color indexed="81"/>
            <rFont val="Tahoma"/>
            <family val="2"/>
          </rPr>
          <t>Evan L. Kurtz:</t>
        </r>
        <r>
          <rPr>
            <sz val="8"/>
            <color indexed="81"/>
            <rFont val="Tahoma"/>
            <family val="2"/>
          </rPr>
          <t xml:space="preserve">
$11m pre-tax severence charge</t>
        </r>
      </text>
    </comment>
    <comment ref="W83" authorId="4">
      <text>
        <r>
          <rPr>
            <b/>
            <sz val="8"/>
            <color indexed="81"/>
            <rFont val="Tahoma"/>
            <family val="2"/>
          </rPr>
          <t>Evan L. Kurtz:</t>
        </r>
        <r>
          <rPr>
            <sz val="8"/>
            <color indexed="81"/>
            <rFont val="Tahoma"/>
            <family val="2"/>
          </rPr>
          <t xml:space="preserve">
$21m pre-tax severence charge</t>
        </r>
      </text>
    </comment>
    <comment ref="X83" authorId="4">
      <text>
        <r>
          <rPr>
            <b/>
            <sz val="8"/>
            <color indexed="81"/>
            <rFont val="Tahoma"/>
            <family val="2"/>
          </rPr>
          <t>Evan L. Kurtz:</t>
        </r>
        <r>
          <rPr>
            <sz val="8"/>
            <color indexed="81"/>
            <rFont val="Tahoma"/>
            <family val="2"/>
          </rPr>
          <t xml:space="preserve">
$20m pretax restructring charge</t>
        </r>
      </text>
    </comment>
    <comment ref="BG83" authorId="1">
      <text>
        <r>
          <rPr>
            <b/>
            <sz val="8"/>
            <color indexed="81"/>
            <rFont val="Tahoma"/>
            <family val="2"/>
          </rPr>
          <t>alelevy:</t>
        </r>
        <r>
          <rPr>
            <sz val="8"/>
            <color indexed="81"/>
            <rFont val="Tahoma"/>
            <family val="2"/>
          </rPr>
          <t xml:space="preserve">
After-tax charges</t>
        </r>
      </text>
    </comment>
    <comment ref="BK83" authorId="1">
      <text>
        <r>
          <rPr>
            <b/>
            <sz val="8"/>
            <color indexed="81"/>
            <rFont val="Arial"/>
            <family val="2"/>
          </rPr>
          <t>alelevy:</t>
        </r>
        <r>
          <rPr>
            <sz val="8"/>
            <color indexed="81"/>
            <rFont val="Arial"/>
            <family val="2"/>
          </rPr>
          <t xml:space="preserve">
Deconsolidation and restructuring charges</t>
        </r>
      </text>
    </comment>
    <comment ref="BN83" authorId="2">
      <text>
        <r>
          <rPr>
            <b/>
            <sz val="9"/>
            <color indexed="81"/>
            <rFont val="Tahoma"/>
            <family val="2"/>
          </rPr>
          <t>E Kurtz:</t>
        </r>
        <r>
          <rPr>
            <sz val="9"/>
            <color indexed="81"/>
            <rFont val="Tahoma"/>
            <family val="2"/>
          </rPr>
          <t xml:space="preserve">
Closure of coke plants</t>
        </r>
      </text>
    </comment>
    <comment ref="BO83" authorId="3">
      <text>
        <r>
          <rPr>
            <b/>
            <sz val="9"/>
            <color indexed="81"/>
            <rFont val="Tahoma"/>
            <family val="2"/>
          </rPr>
          <t>Hunter Alley:</t>
        </r>
        <r>
          <rPr>
            <sz val="9"/>
            <color indexed="81"/>
            <rFont val="Tahoma"/>
            <family val="2"/>
          </rPr>
          <t xml:space="preserve">
Loss on write-down of retained interest in USSC. Restructuring and other charges</t>
        </r>
      </text>
    </comment>
    <comment ref="BP83" authorId="3">
      <text>
        <r>
          <rPr>
            <b/>
            <sz val="9"/>
            <color indexed="81"/>
            <rFont val="Tahoma"/>
            <family val="2"/>
          </rPr>
          <t>Hunter Alley:</t>
        </r>
        <r>
          <rPr>
            <sz val="9"/>
            <color indexed="81"/>
            <rFont val="Tahoma"/>
            <family val="2"/>
          </rPr>
          <t xml:space="preserve">
US Steel Canada losses, restructuring charges, Loss on Fairfield Flatt-Rolled shutdown</t>
        </r>
      </text>
    </comment>
    <comment ref="BQ83" authorId="8">
      <text>
        <r>
          <rPr>
            <b/>
            <sz val="9"/>
            <color indexed="81"/>
            <rFont val="Tahoma"/>
            <family val="2"/>
          </rPr>
          <t>Nandu, Ankit (Research):</t>
        </r>
        <r>
          <rPr>
            <sz val="9"/>
            <color indexed="81"/>
            <rFont val="Tahoma"/>
            <family val="2"/>
          </rPr>
          <t xml:space="preserve">
Restructuring Charges</t>
        </r>
      </text>
    </comment>
    <comment ref="I84" authorId="4">
      <text>
        <r>
          <rPr>
            <b/>
            <sz val="8"/>
            <color indexed="81"/>
            <rFont val="Tahoma"/>
            <family val="2"/>
          </rPr>
          <t>Evan L. Kurtz:</t>
        </r>
        <r>
          <rPr>
            <sz val="8"/>
            <color indexed="81"/>
            <rFont val="Tahoma"/>
            <family val="2"/>
          </rPr>
          <t xml:space="preserve">
$16m pre-tax costs from Straightline closure</t>
        </r>
      </text>
    </comment>
    <comment ref="X84" authorId="4">
      <text>
        <r>
          <rPr>
            <b/>
            <sz val="8"/>
            <color indexed="81"/>
            <rFont val="Tahoma"/>
            <family val="2"/>
          </rPr>
          <t>Evan L. Kurtz:</t>
        </r>
        <r>
          <rPr>
            <sz val="8"/>
            <color indexed="81"/>
            <rFont val="Tahoma"/>
            <family val="2"/>
          </rPr>
          <t xml:space="preserve">
$32m pre-tax debt ret. fee</t>
        </r>
      </text>
    </comment>
    <comment ref="BD84" authorId="0">
      <text>
        <r>
          <rPr>
            <b/>
            <sz val="8"/>
            <color indexed="81"/>
            <rFont val="Tahoma"/>
            <family val="2"/>
          </rPr>
          <t>lindbmar:</t>
        </r>
        <r>
          <rPr>
            <sz val="8"/>
            <color indexed="81"/>
            <rFont val="Tahoma"/>
            <family val="2"/>
          </rPr>
          <t xml:space="preserve">
Adjusted for $22m after-tax charge related to repurchases of $542m senior convertible notes</t>
        </r>
      </text>
    </comment>
    <comment ref="BQ84" authorId="10">
      <text>
        <r>
          <rPr>
            <b/>
            <sz val="9"/>
            <color indexed="81"/>
            <rFont val="Tahoma"/>
            <family val="2"/>
          </rPr>
          <t>Alley, Hunter (Research):</t>
        </r>
        <r>
          <rPr>
            <sz val="9"/>
            <color indexed="81"/>
            <rFont val="Tahoma"/>
            <family val="2"/>
          </rPr>
          <t xml:space="preserve">
Loss on retierement of senior convertible notes
</t>
        </r>
      </text>
    </comment>
    <comment ref="G85" authorId="4">
      <text>
        <r>
          <rPr>
            <b/>
            <sz val="8"/>
            <color indexed="81"/>
            <rFont val="Tahoma"/>
            <family val="2"/>
          </rPr>
          <t>Evan L. Kurtz:</t>
        </r>
        <r>
          <rPr>
            <sz val="8"/>
            <color indexed="81"/>
            <rFont val="Tahoma"/>
            <family val="2"/>
          </rPr>
          <t xml:space="preserve">
$11m pre-tax asset impairment charge</t>
        </r>
      </text>
    </comment>
    <comment ref="H85" authorId="4">
      <text>
        <r>
          <rPr>
            <b/>
            <sz val="8"/>
            <color indexed="81"/>
            <rFont val="Tahoma"/>
            <family val="2"/>
          </rPr>
          <t>Evan L. Kurtz:</t>
        </r>
        <r>
          <rPr>
            <sz val="8"/>
            <color indexed="81"/>
            <rFont val="Tahoma"/>
            <family val="2"/>
          </rPr>
          <t xml:space="preserve">
$46 pre-tax asset impairment charge</t>
        </r>
      </text>
    </comment>
    <comment ref="U85" authorId="4">
      <text>
        <r>
          <rPr>
            <b/>
            <sz val="8"/>
            <color indexed="81"/>
            <rFont val="Tahoma"/>
            <family val="2"/>
          </rPr>
          <t>Evan L. Kurtz:</t>
        </r>
        <r>
          <rPr>
            <sz val="8"/>
            <color indexed="81"/>
            <rFont val="Tahoma"/>
            <family val="2"/>
          </rPr>
          <t xml:space="preserve">
$5m pre-tax asset impairment charge</t>
        </r>
      </text>
    </comment>
    <comment ref="BF85" authorId="1">
      <text>
        <r>
          <rPr>
            <b/>
            <sz val="8"/>
            <color indexed="81"/>
            <rFont val="Tahoma"/>
            <family val="2"/>
          </rPr>
          <t>alelevy:</t>
        </r>
        <r>
          <rPr>
            <sz val="8"/>
            <color indexed="81"/>
            <rFont val="Tahoma"/>
            <family val="2"/>
          </rPr>
          <t xml:space="preserve">
Goodwill impairment charge. No tax impact.</t>
        </r>
      </text>
    </comment>
    <comment ref="F86" authorId="4">
      <text>
        <r>
          <rPr>
            <b/>
            <sz val="8"/>
            <color indexed="81"/>
            <rFont val="Tahoma"/>
            <family val="2"/>
          </rPr>
          <t>Evan L. Kurtz:</t>
        </r>
        <r>
          <rPr>
            <sz val="8"/>
            <color indexed="81"/>
            <rFont val="Tahoma"/>
            <family val="2"/>
          </rPr>
          <t xml:space="preserve">
$25m pre-tax litigation charge</t>
        </r>
      </text>
    </comment>
    <comment ref="P86" authorId="4">
      <text>
        <r>
          <rPr>
            <b/>
            <sz val="8"/>
            <color indexed="81"/>
            <rFont val="Tahoma"/>
            <family val="2"/>
          </rPr>
          <t>Evan L. Kurtz:</t>
        </r>
        <r>
          <rPr>
            <sz val="8"/>
            <color indexed="81"/>
            <rFont val="Tahoma"/>
            <family val="2"/>
          </rPr>
          <t xml:space="preserve">
$70m pre-tax property settlement gain</t>
        </r>
      </text>
    </comment>
    <comment ref="AE86" authorId="4">
      <text>
        <r>
          <rPr>
            <b/>
            <sz val="8"/>
            <color indexed="81"/>
            <rFont val="Tahoma"/>
            <family val="2"/>
          </rPr>
          <t xml:space="preserve">Evan L. Kurtz:
</t>
        </r>
        <r>
          <rPr>
            <sz val="8"/>
            <color indexed="81"/>
            <rFont val="Tahoma"/>
            <family val="2"/>
          </rPr>
          <t>$45m pre-tax lit. reserve + $17m pre-tax inv. Effect from Stelco</t>
        </r>
      </text>
    </comment>
    <comment ref="G87" authorId="4">
      <text>
        <r>
          <rPr>
            <b/>
            <sz val="8"/>
            <color indexed="81"/>
            <rFont val="Tahoma"/>
            <family val="2"/>
          </rPr>
          <t>Evan L. Kurtz:</t>
        </r>
        <r>
          <rPr>
            <sz val="8"/>
            <color indexed="81"/>
            <rFont val="Tahoma"/>
            <family val="2"/>
          </rPr>
          <t xml:space="preserve">
$37m pre-tax gain/income on sales of coal seam gas interests and coal mining assets</t>
        </r>
      </text>
    </comment>
    <comment ref="K87" authorId="4">
      <text>
        <r>
          <rPr>
            <b/>
            <sz val="8"/>
            <color indexed="81"/>
            <rFont val="Tahoma"/>
            <family val="2"/>
          </rPr>
          <t>Evan L. Kurtz:</t>
        </r>
        <r>
          <rPr>
            <sz val="8"/>
            <color indexed="81"/>
            <rFont val="Tahoma"/>
            <family val="2"/>
          </rPr>
          <t xml:space="preserve">
$43m pre-tax gain from gain on sale of real estate</t>
        </r>
      </text>
    </comment>
    <comment ref="X87" authorId="4">
      <text>
        <r>
          <rPr>
            <b/>
            <sz val="8"/>
            <color indexed="81"/>
            <rFont val="Tahoma"/>
            <family val="2"/>
          </rPr>
          <t>Evan L. Kurtz:</t>
        </r>
        <r>
          <rPr>
            <sz val="8"/>
            <color indexed="81"/>
            <rFont val="Tahoma"/>
            <family val="2"/>
          </rPr>
          <t xml:space="preserve">
$25m pre-tax gain on RE sale</t>
        </r>
      </text>
    </comment>
    <comment ref="AR87" authorId="4">
      <text>
        <r>
          <rPr>
            <b/>
            <sz val="8"/>
            <color indexed="81"/>
            <rFont val="Tahoma"/>
            <family val="2"/>
          </rPr>
          <t>Evan L. Kurtz:</t>
        </r>
        <r>
          <rPr>
            <sz val="8"/>
            <color indexed="81"/>
            <rFont val="Tahoma"/>
            <family val="2"/>
          </rPr>
          <t xml:space="preserve">
Sale of Hamilton Bar bill and transportation assets</t>
        </r>
      </text>
    </comment>
    <comment ref="AY87" authorId="1">
      <text>
        <r>
          <rPr>
            <b/>
            <sz val="8"/>
            <color indexed="81"/>
            <rFont val="Tahoma"/>
            <family val="2"/>
          </rPr>
          <t>alelevy:</t>
        </r>
        <r>
          <rPr>
            <sz val="8"/>
            <color indexed="81"/>
            <rFont val="Tahoma"/>
            <family val="2"/>
          </rPr>
          <t xml:space="preserve">
$399m after-tax loss on Serbia sale. $58m after-tax gain on transport asset sale.</t>
        </r>
      </text>
    </comment>
    <comment ref="BI87" authorId="1">
      <text>
        <r>
          <rPr>
            <b/>
            <sz val="8"/>
            <color indexed="81"/>
            <rFont val="Tahoma"/>
            <family val="2"/>
          </rPr>
          <t>alelevy:</t>
        </r>
        <r>
          <rPr>
            <sz val="8"/>
            <color indexed="81"/>
            <rFont val="Tahoma"/>
            <family val="2"/>
          </rPr>
          <t xml:space="preserve">
$13m in after-tax gains on asset sales</t>
        </r>
      </text>
    </comment>
    <comment ref="BJ87" authorId="1">
      <text>
        <r>
          <rPr>
            <b/>
            <sz val="8"/>
            <color indexed="81"/>
            <rFont val="Arial"/>
            <family val="2"/>
          </rPr>
          <t>alelevy:</t>
        </r>
        <r>
          <rPr>
            <sz val="8"/>
            <color indexed="81"/>
            <rFont val="Arial"/>
            <family val="2"/>
          </rPr>
          <t xml:space="preserve">
$9m after-tax loss on assets held for sale</t>
        </r>
      </text>
    </comment>
    <comment ref="BK87" authorId="1">
      <text>
        <r>
          <rPr>
            <b/>
            <sz val="8"/>
            <color indexed="81"/>
            <rFont val="Arial"/>
            <family val="2"/>
          </rPr>
          <t>alelevy:</t>
        </r>
        <r>
          <rPr>
            <sz val="8"/>
            <color indexed="81"/>
            <rFont val="Arial"/>
            <family val="2"/>
          </rPr>
          <t xml:space="preserve">
Gain on asset sale</t>
        </r>
      </text>
    </comment>
    <comment ref="F88" authorId="4">
      <text>
        <r>
          <rPr>
            <b/>
            <sz val="8"/>
            <color indexed="81"/>
            <rFont val="Tahoma"/>
            <family val="2"/>
          </rPr>
          <t>Evan L. Kurtz:</t>
        </r>
        <r>
          <rPr>
            <sz val="8"/>
            <color indexed="81"/>
            <rFont val="Tahoma"/>
            <family val="2"/>
          </rPr>
          <t xml:space="preserve">
$5m after-tax effect from change in accounting</t>
        </r>
      </text>
    </comment>
    <comment ref="G88" authorId="4">
      <text>
        <r>
          <rPr>
            <b/>
            <sz val="8"/>
            <color indexed="81"/>
            <rFont val="Tahoma"/>
            <family val="2"/>
          </rPr>
          <t>Evan L. Kurtz:</t>
        </r>
        <r>
          <rPr>
            <sz val="8"/>
            <color indexed="81"/>
            <rFont val="Tahoma"/>
            <family val="2"/>
          </rPr>
          <t xml:space="preserve">
$85m pre-tax extrordinary loss from reliazation of OPEB obligations.</t>
        </r>
      </text>
    </comment>
    <comment ref="H88" authorId="4">
      <text>
        <r>
          <rPr>
            <b/>
            <sz val="8"/>
            <color indexed="81"/>
            <rFont val="Tahoma"/>
            <family val="2"/>
          </rPr>
          <t>Evan L. Kurtz:</t>
        </r>
        <r>
          <rPr>
            <sz val="8"/>
            <color indexed="81"/>
            <rFont val="Tahoma"/>
            <family val="2"/>
          </rPr>
          <t xml:space="preserve">
$618m pre-tax workforce reduction charge</t>
        </r>
      </text>
    </comment>
    <comment ref="I88" authorId="4">
      <text>
        <r>
          <rPr>
            <b/>
            <sz val="8"/>
            <color indexed="81"/>
            <rFont val="Tahoma"/>
            <family val="2"/>
          </rPr>
          <t>Evan L. Kurtz:</t>
        </r>
        <r>
          <rPr>
            <sz val="8"/>
            <color indexed="81"/>
            <rFont val="Tahoma"/>
            <family val="2"/>
          </rPr>
          <t xml:space="preserve">
$55m pre-tax gain from timber contribution to pension plan
$3m pre-tax charge for workforce reduction</t>
        </r>
      </text>
    </comment>
    <comment ref="K88" authorId="4">
      <text>
        <r>
          <rPr>
            <b/>
            <sz val="8"/>
            <color indexed="81"/>
            <rFont val="Tahoma"/>
            <family val="2"/>
          </rPr>
          <t>Evan L. Kurtz:</t>
        </r>
        <r>
          <rPr>
            <sz val="8"/>
            <color indexed="81"/>
            <rFont val="Tahoma"/>
            <family val="2"/>
          </rPr>
          <t xml:space="preserve">
$14m after-tax gain from accounting change</t>
        </r>
      </text>
    </comment>
    <comment ref="S88" authorId="4">
      <text>
        <r>
          <rPr>
            <b/>
            <sz val="8"/>
            <color indexed="81"/>
            <rFont val="Tahoma"/>
            <family val="2"/>
          </rPr>
          <t>Evan L. Kurtz:</t>
        </r>
        <r>
          <rPr>
            <sz val="8"/>
            <color indexed="81"/>
            <rFont val="Tahoma"/>
            <family val="2"/>
          </rPr>
          <t xml:space="preserve">
$20m pre-tax enviromental remediation charge</t>
        </r>
      </text>
    </comment>
    <comment ref="T88" authorId="11">
      <text>
        <r>
          <rPr>
            <b/>
            <sz val="8"/>
            <color indexed="81"/>
            <rFont val="Tahoma"/>
            <family val="2"/>
          </rPr>
          <t>vikashm:</t>
        </r>
        <r>
          <rPr>
            <sz val="8"/>
            <color indexed="81"/>
            <rFont val="Tahoma"/>
            <family val="2"/>
          </rPr>
          <t xml:space="preserve">
Environmental remediation at previously sold facility $-20
Workforce reduction charges, including pension settlement losses $-20
</t>
        </r>
      </text>
    </comment>
    <comment ref="X88" authorId="4">
      <text>
        <r>
          <rPr>
            <b/>
            <sz val="8"/>
            <color indexed="81"/>
            <rFont val="Tahoma"/>
            <family val="2"/>
          </rPr>
          <t>Evan L. Kurtz:</t>
        </r>
        <r>
          <rPr>
            <sz val="8"/>
            <color indexed="81"/>
            <rFont val="Tahoma"/>
            <family val="2"/>
          </rPr>
          <t xml:space="preserve">
$58m tax adjustment</t>
        </r>
      </text>
    </comment>
    <comment ref="AB88" authorId="4">
      <text>
        <r>
          <rPr>
            <b/>
            <sz val="8"/>
            <color indexed="81"/>
            <rFont val="Tahoma"/>
            <family val="2"/>
          </rPr>
          <t>Evan L. Kurtz:</t>
        </r>
        <r>
          <rPr>
            <sz val="8"/>
            <color indexed="81"/>
            <rFont val="Tahoma"/>
            <family val="2"/>
          </rPr>
          <t xml:space="preserve">
$28m pre-tax one-time charges</t>
        </r>
      </text>
    </comment>
    <comment ref="AC88" authorId="4">
      <text>
        <r>
          <rPr>
            <b/>
            <sz val="8"/>
            <color indexed="81"/>
            <rFont val="Tahoma"/>
            <family val="2"/>
          </rPr>
          <t>Evan L. Kurtz:</t>
        </r>
        <r>
          <rPr>
            <sz val="8"/>
            <color indexed="81"/>
            <rFont val="Tahoma"/>
            <family val="2"/>
          </rPr>
          <t xml:space="preserve">
Inventory charges from Stelco and LS + workforce reduction charges</t>
        </r>
      </text>
    </comment>
    <comment ref="AE88" authorId="4">
      <text>
        <r>
          <rPr>
            <b/>
            <sz val="8"/>
            <color indexed="81"/>
            <rFont val="Tahoma"/>
            <family val="2"/>
          </rPr>
          <t>Evan L. Kurtz:</t>
        </r>
        <r>
          <rPr>
            <sz val="8"/>
            <color indexed="81"/>
            <rFont val="Tahoma"/>
            <family val="2"/>
          </rPr>
          <t xml:space="preserve">
FX impact from USSE loan</t>
        </r>
      </text>
    </comment>
    <comment ref="AF88" authorId="4">
      <text>
        <r>
          <rPr>
            <b/>
            <sz val="8"/>
            <color indexed="81"/>
            <rFont val="Tahoma"/>
            <family val="2"/>
          </rPr>
          <t>Evan L. Kurtz:</t>
        </r>
        <r>
          <rPr>
            <sz val="8"/>
            <color indexed="81"/>
            <rFont val="Tahoma"/>
            <family val="2"/>
          </rPr>
          <t xml:space="preserve">
Inventory accounting charge</t>
        </r>
      </text>
    </comment>
    <comment ref="AG88" authorId="4">
      <text>
        <r>
          <rPr>
            <b/>
            <sz val="8"/>
            <color indexed="81"/>
            <rFont val="Tahoma"/>
            <family val="2"/>
          </rPr>
          <t>Evan L. Kurtz:</t>
        </r>
        <r>
          <rPr>
            <sz val="8"/>
            <color indexed="81"/>
            <rFont val="Tahoma"/>
            <family val="2"/>
          </rPr>
          <t xml:space="preserve">
$79m for one-time bonus and evironmental remediations
$39m currency charge</t>
        </r>
      </text>
    </comment>
    <comment ref="AH88" authorId="4">
      <text>
        <r>
          <rPr>
            <b/>
            <sz val="8"/>
            <color indexed="81"/>
            <rFont val="Tahoma"/>
            <family val="2"/>
          </rPr>
          <t>Evan L. Kurtz:</t>
        </r>
        <r>
          <rPr>
            <sz val="8"/>
            <color indexed="81"/>
            <rFont val="Tahoma"/>
            <family val="2"/>
          </rPr>
          <t xml:space="preserve">
write downs</t>
        </r>
      </text>
    </comment>
    <comment ref="AK88" authorId="4">
      <text>
        <r>
          <rPr>
            <b/>
            <sz val="8"/>
            <color indexed="81"/>
            <rFont val="Tahoma"/>
            <family val="2"/>
          </rPr>
          <t>Evan L. Kurtz:</t>
        </r>
        <r>
          <rPr>
            <sz val="8"/>
            <color indexed="81"/>
            <rFont val="Tahoma"/>
            <family val="2"/>
          </rPr>
          <t xml:space="preserve">
$45m reversal of litigation reserve and $34m in fed. Excise tax rebate</t>
        </r>
      </text>
    </comment>
    <comment ref="AO88" authorId="4">
      <text>
        <r>
          <rPr>
            <b/>
            <sz val="8"/>
            <color indexed="81"/>
            <rFont val="Tahoma"/>
            <family val="2"/>
          </rPr>
          <t>Evan L. Kurtz:</t>
        </r>
        <r>
          <rPr>
            <sz val="8"/>
            <color indexed="81"/>
            <rFont val="Tahoma"/>
            <family val="2"/>
          </rPr>
          <t xml:space="preserve">
one-time tax items
$56m fx remeasurement</t>
        </r>
      </text>
    </comment>
    <comment ref="AP88" authorId="4">
      <text>
        <r>
          <rPr>
            <b/>
            <sz val="8"/>
            <color indexed="81"/>
            <rFont val="Tahoma"/>
            <family val="2"/>
          </rPr>
          <t>Evan L. Kurtz:</t>
        </r>
        <r>
          <rPr>
            <sz val="8"/>
            <color indexed="81"/>
            <rFont val="Tahoma"/>
            <family val="2"/>
          </rPr>
          <t xml:space="preserve">
$96m fx remeasurement</t>
        </r>
      </text>
    </comment>
    <comment ref="AQ88" authorId="4">
      <text>
        <r>
          <rPr>
            <b/>
            <sz val="8"/>
            <color indexed="81"/>
            <rFont val="Tahoma"/>
            <family val="2"/>
          </rPr>
          <t>Evan L. Kurtz:</t>
        </r>
        <r>
          <rPr>
            <sz val="8"/>
            <color indexed="81"/>
            <rFont val="Tahoma"/>
            <family val="2"/>
          </rPr>
          <t xml:space="preserve">
$139m fx remeasurement (less 2 to match consensus -1.31)</t>
        </r>
      </text>
    </comment>
    <comment ref="AR88" authorId="4">
      <text>
        <r>
          <rPr>
            <b/>
            <sz val="8"/>
            <color indexed="81"/>
            <rFont val="Tahoma"/>
            <family val="2"/>
          </rPr>
          <t>Evan L. Kurtz:</t>
        </r>
        <r>
          <rPr>
            <sz val="8"/>
            <color indexed="81"/>
            <rFont val="Tahoma"/>
            <family val="2"/>
          </rPr>
          <t xml:space="preserve">
$33m FX remeasurement
$52m Tax Catch-up</t>
        </r>
      </text>
    </comment>
    <comment ref="AU88" authorId="4">
      <text>
        <r>
          <rPr>
            <b/>
            <sz val="8"/>
            <color indexed="81"/>
            <rFont val="Tahoma"/>
            <family val="2"/>
          </rPr>
          <t>Evan L. Kurtz:</t>
        </r>
        <r>
          <rPr>
            <sz val="8"/>
            <color indexed="81"/>
            <rFont val="Tahoma"/>
            <family val="2"/>
          </rPr>
          <t xml:space="preserve">
FX remeasurement gain</t>
        </r>
      </text>
    </comment>
    <comment ref="AV88" authorId="1">
      <text>
        <r>
          <rPr>
            <b/>
            <sz val="8"/>
            <color indexed="81"/>
            <rFont val="Tahoma"/>
            <family val="2"/>
          </rPr>
          <t>alelevy:</t>
        </r>
        <r>
          <rPr>
            <sz val="8"/>
            <color indexed="81"/>
            <rFont val="Tahoma"/>
            <family val="2"/>
          </rPr>
          <t xml:space="preserve">
FX loss on intercompany loan partially offset by hedges</t>
        </r>
      </text>
    </comment>
    <comment ref="AY88" authorId="1">
      <text>
        <r>
          <rPr>
            <b/>
            <sz val="8"/>
            <color indexed="81"/>
            <rFont val="Tahoma"/>
            <family val="2"/>
          </rPr>
          <t>alelevy:</t>
        </r>
        <r>
          <rPr>
            <sz val="8"/>
            <color indexed="81"/>
            <rFont val="Tahoma"/>
            <family val="2"/>
          </rPr>
          <t xml:space="preserve">
$12m after-tax gain on property tax settlement</t>
        </r>
      </text>
    </comment>
    <comment ref="AZ88" authorId="1">
      <text>
        <r>
          <rPr>
            <b/>
            <sz val="8"/>
            <color indexed="81"/>
            <rFont val="Tahoma"/>
            <family val="2"/>
          </rPr>
          <t>alelevy:</t>
        </r>
        <r>
          <rPr>
            <sz val="8"/>
            <color indexed="81"/>
            <rFont val="Tahoma"/>
            <family val="2"/>
          </rPr>
          <t xml:space="preserve">
$11m after-tax early redemption premium on retired senior notes</t>
        </r>
      </text>
    </comment>
    <comment ref="BA88" authorId="1">
      <text>
        <r>
          <rPr>
            <b/>
            <sz val="8"/>
            <color indexed="81"/>
            <rFont val="Tahoma"/>
            <family val="2"/>
          </rPr>
          <t>alelevy:</t>
        </r>
        <r>
          <rPr>
            <sz val="8"/>
            <color indexed="81"/>
            <rFont val="Tahoma"/>
            <family val="2"/>
          </rPr>
          <t xml:space="preserve">
Adjusted for $20m of tax benefit from settlement of 2011 tax audits, $26m of tax benefit to adjust estimated 2011 liability to actual, and $22m of after-tax impact from employee lump sum payments</t>
        </r>
      </text>
    </comment>
    <comment ref="BB88" authorId="0">
      <text>
        <r>
          <rPr>
            <b/>
            <sz val="8"/>
            <color indexed="81"/>
            <rFont val="Tahoma"/>
            <family val="2"/>
          </rPr>
          <t>lindbmar:</t>
        </r>
        <r>
          <rPr>
            <sz val="8"/>
            <color indexed="81"/>
            <rFont val="Tahoma"/>
            <family val="2"/>
          </rPr>
          <t xml:space="preserve">
Adjusted for $9m after-tax favorable settlement related to a supplier contract dispute ($15 pre-tax)</t>
        </r>
      </text>
    </comment>
    <comment ref="BF88" authorId="1">
      <text>
        <r>
          <rPr>
            <b/>
            <sz val="8"/>
            <color indexed="81"/>
            <rFont val="Tahoma"/>
            <family val="2"/>
          </rPr>
          <t>alelevy:</t>
        </r>
        <r>
          <rPr>
            <sz val="8"/>
            <color indexed="81"/>
            <rFont val="Tahoma"/>
            <family val="2"/>
          </rPr>
          <t xml:space="preserve">
After-tax charges related to dispute settlement benefit and guarentee expense</t>
        </r>
      </text>
    </comment>
    <comment ref="BG88" authorId="1">
      <text>
        <r>
          <rPr>
            <b/>
            <sz val="8"/>
            <color indexed="81"/>
            <rFont val="Tahoma"/>
            <family val="2"/>
          </rPr>
          <t>alelevy:</t>
        </r>
        <r>
          <rPr>
            <sz val="8"/>
            <color indexed="81"/>
            <rFont val="Tahoma"/>
            <family val="2"/>
          </rPr>
          <t xml:space="preserve">
Favorable tax items</t>
        </r>
      </text>
    </comment>
    <comment ref="BJ88" authorId="1">
      <text>
        <r>
          <rPr>
            <b/>
            <sz val="8"/>
            <color indexed="81"/>
            <rFont val="Arial"/>
            <family val="2"/>
          </rPr>
          <t>alelevy:</t>
        </r>
        <r>
          <rPr>
            <sz val="8"/>
            <color indexed="81"/>
            <rFont val="Arial"/>
            <family val="2"/>
          </rPr>
          <t xml:space="preserve">
$46m after-tax litigation reserve and $12m after-tax curtailment gain</t>
        </r>
      </text>
    </comment>
    <comment ref="BQ88" authorId="8">
      <text>
        <r>
          <rPr>
            <b/>
            <sz val="9"/>
            <color indexed="81"/>
            <rFont val="Tahoma"/>
            <family val="2"/>
          </rPr>
          <t>Nandu, Ankit (Research):</t>
        </r>
        <r>
          <rPr>
            <sz val="9"/>
            <color indexed="81"/>
            <rFont val="Tahoma"/>
            <family val="2"/>
          </rPr>
          <t xml:space="preserve">
Temp. Idling Charges - Granite City $99 mn and DTA valuation allowance $766 mn</t>
        </r>
      </text>
    </comment>
    <comment ref="BT88" authorId="8">
      <text>
        <r>
          <rPr>
            <b/>
            <sz val="9"/>
            <color indexed="81"/>
            <rFont val="Tahoma"/>
            <family val="2"/>
          </rPr>
          <t>Nandu, Ankit (Research):</t>
        </r>
        <r>
          <rPr>
            <sz val="9"/>
            <color indexed="81"/>
            <rFont val="Tahoma"/>
            <family val="2"/>
          </rPr>
          <t xml:space="preserve">
Supplemental unemployement and severene costs</t>
        </r>
      </text>
    </comment>
    <comment ref="BA94" authorId="0">
      <text>
        <r>
          <rPr>
            <b/>
            <sz val="8"/>
            <color indexed="81"/>
            <rFont val="Tahoma"/>
            <family val="2"/>
          </rPr>
          <t>lindbmar:</t>
        </r>
        <r>
          <rPr>
            <sz val="8"/>
            <color indexed="81"/>
            <rFont val="Tahoma"/>
            <family val="2"/>
          </rPr>
          <t xml:space="preserve">
$0.29 vs. $0.28 reported due to rounding</t>
        </r>
      </text>
    </comment>
    <comment ref="BG94" authorId="1">
      <text>
        <r>
          <rPr>
            <b/>
            <sz val="8"/>
            <color indexed="81"/>
            <rFont val="Tahoma"/>
            <family val="2"/>
          </rPr>
          <t>alelevy:</t>
        </r>
        <r>
          <rPr>
            <sz val="8"/>
            <color indexed="81"/>
            <rFont val="Tahoma"/>
            <family val="2"/>
          </rPr>
          <t xml:space="preserve">
Does not trigger conversion</t>
        </r>
      </text>
    </comment>
    <comment ref="BW101" authorId="10">
      <text>
        <r>
          <rPr>
            <b/>
            <sz val="9"/>
            <color indexed="81"/>
            <rFont val="Tahoma"/>
            <family val="2"/>
          </rPr>
          <t>Alley, Hunter (Research):</t>
        </r>
        <r>
          <rPr>
            <sz val="9"/>
            <color indexed="81"/>
            <rFont val="Tahoma"/>
            <family val="2"/>
          </rPr>
          <t xml:space="preserve">
1Q16: Mang. Expect's full year adjusted EBITDA to be at $400mn at current market.
2Q16: $850mn
3Q16: $475</t>
        </r>
      </text>
    </comment>
    <comment ref="A109" authorId="1">
      <text>
        <r>
          <rPr>
            <b/>
            <sz val="8"/>
            <color indexed="81"/>
            <rFont val="Tahoma"/>
            <family val="2"/>
          </rPr>
          <t>alelevy:</t>
        </r>
        <r>
          <rPr>
            <sz val="8"/>
            <color indexed="81"/>
            <rFont val="Tahoma"/>
            <family val="2"/>
          </rPr>
          <t xml:space="preserve">
$25.29/share conversion price</t>
        </r>
      </text>
    </comment>
    <comment ref="BW194" authorId="10">
      <text>
        <r>
          <rPr>
            <b/>
            <sz val="9"/>
            <color indexed="81"/>
            <rFont val="Tahoma"/>
            <family val="2"/>
          </rPr>
          <t>Alley, Hunter (Research):</t>
        </r>
        <r>
          <rPr>
            <sz val="9"/>
            <color indexed="81"/>
            <rFont val="Tahoma"/>
            <family val="2"/>
          </rPr>
          <t xml:space="preserve">
Expect $500 mn of cash benfits over 2015. </t>
        </r>
      </text>
    </comment>
    <comment ref="B200" authorId="4">
      <text>
        <r>
          <rPr>
            <b/>
            <sz val="8"/>
            <color indexed="81"/>
            <rFont val="Tahoma"/>
            <family val="2"/>
          </rPr>
          <t>Evan L. Kurtz:</t>
        </r>
        <r>
          <rPr>
            <sz val="8"/>
            <color indexed="81"/>
            <rFont val="Tahoma"/>
            <family val="2"/>
          </rPr>
          <t xml:space="preserve">
Must remain below 3.25x</t>
        </r>
      </text>
    </comment>
    <comment ref="B204" authorId="4">
      <text>
        <r>
          <rPr>
            <b/>
            <sz val="8"/>
            <color indexed="81"/>
            <rFont val="Tahoma"/>
            <family val="2"/>
          </rPr>
          <t>Evan L. Kurtz:</t>
        </r>
        <r>
          <rPr>
            <sz val="8"/>
            <color indexed="81"/>
            <rFont val="Tahoma"/>
            <family val="2"/>
          </rPr>
          <t xml:space="preserve">
Must remain above 2x per covenant</t>
        </r>
      </text>
    </comment>
    <comment ref="CG219" authorId="5">
      <text>
        <r>
          <rPr>
            <b/>
            <sz val="9"/>
            <color indexed="81"/>
            <rFont val="Tahoma"/>
            <family val="2"/>
          </rPr>
          <t>Sood, Piyush (Research):</t>
        </r>
        <r>
          <rPr>
            <sz val="9"/>
            <color indexed="81"/>
            <rFont val="Tahoma"/>
            <family val="2"/>
          </rPr>
          <t xml:space="preserve">
adjusting fo cash interest, which is $200 mn</t>
        </r>
      </text>
    </comment>
    <comment ref="BW228" authorId="2">
      <text>
        <r>
          <rPr>
            <b/>
            <sz val="9"/>
            <color indexed="81"/>
            <rFont val="Tahoma"/>
            <family val="2"/>
          </rPr>
          <t>E Kurtz:</t>
        </r>
        <r>
          <rPr>
            <sz val="9"/>
            <color indexed="81"/>
            <rFont val="Tahoma"/>
            <family val="2"/>
          </rPr>
          <t xml:space="preserve">
4Q15: Guided to $500mn in wc release
2Q16: $400mn</t>
        </r>
      </text>
    </comment>
    <comment ref="AA238" authorId="4">
      <text>
        <r>
          <rPr>
            <b/>
            <sz val="8"/>
            <color indexed="81"/>
            <rFont val="Tahoma"/>
            <family val="2"/>
          </rPr>
          <t>Evan L. Kurtz:</t>
        </r>
        <r>
          <rPr>
            <sz val="8"/>
            <color indexed="81"/>
            <rFont val="Tahoma"/>
            <family val="2"/>
          </rPr>
          <t xml:space="preserve">
Lone Star Acq.</t>
        </r>
      </text>
    </comment>
    <comment ref="AC238" authorId="4">
      <text>
        <r>
          <rPr>
            <b/>
            <sz val="8"/>
            <color indexed="81"/>
            <rFont val="Tahoma"/>
            <family val="2"/>
          </rPr>
          <t>Evan L. Kurtz:</t>
        </r>
        <r>
          <rPr>
            <sz val="8"/>
            <color indexed="81"/>
            <rFont val="Tahoma"/>
            <family val="2"/>
          </rPr>
          <t xml:space="preserve">
Stelco
-$1.1b stock
-$760m debt
-$31m pension</t>
        </r>
      </text>
    </comment>
    <comment ref="AC249" authorId="4">
      <text>
        <r>
          <rPr>
            <b/>
            <sz val="8"/>
            <color indexed="81"/>
            <rFont val="Tahoma"/>
            <family val="2"/>
          </rPr>
          <t>Evan L. Kurtz:</t>
        </r>
        <r>
          <rPr>
            <sz val="8"/>
            <color indexed="81"/>
            <rFont val="Tahoma"/>
            <family val="2"/>
          </rPr>
          <t xml:space="preserve">
Stelco</t>
        </r>
      </text>
    </comment>
    <comment ref="BO255" authorId="12">
      <text>
        <r>
          <rPr>
            <b/>
            <sz val="8"/>
            <color indexed="81"/>
            <rFont val="Tahoma"/>
            <family val="2"/>
          </rPr>
          <t xml:space="preserve">Alley, Hunter:
</t>
        </r>
        <r>
          <rPr>
            <sz val="8"/>
            <color indexed="81"/>
            <rFont val="Tahoma"/>
            <family val="2"/>
          </rPr>
          <t>Receipts from stock options</t>
        </r>
      </text>
    </comment>
    <comment ref="BP255" authorId="12">
      <text>
        <r>
          <rPr>
            <b/>
            <sz val="8"/>
            <color indexed="81"/>
            <rFont val="Tahoma"/>
            <family val="2"/>
          </rPr>
          <t xml:space="preserve">Alley, Hunter:
</t>
        </r>
        <r>
          <rPr>
            <sz val="8"/>
            <color indexed="81"/>
            <rFont val="Tahoma"/>
            <family val="2"/>
          </rPr>
          <t>Receipts from stock options</t>
        </r>
      </text>
    </comment>
    <comment ref="BQ255" authorId="12">
      <text>
        <r>
          <rPr>
            <b/>
            <sz val="8"/>
            <color indexed="81"/>
            <rFont val="Tahoma"/>
            <family val="2"/>
          </rPr>
          <t xml:space="preserve">Alley, Hunter:
</t>
        </r>
        <r>
          <rPr>
            <sz val="8"/>
            <color indexed="81"/>
            <rFont val="Tahoma"/>
            <family val="2"/>
          </rPr>
          <t>Receipts from stock options</t>
        </r>
      </text>
    </comment>
  </commentList>
</comments>
</file>

<file path=xl/comments3.xml><?xml version="1.0" encoding="utf-8"?>
<comments xmlns="http://schemas.openxmlformats.org/spreadsheetml/2006/main">
  <authors>
    <author>Evan L. Kurtz</author>
    <author>E Kurtz</author>
    <author>Hunter Alley</author>
  </authors>
  <commentList>
    <comment ref="H29" authorId="0">
      <text>
        <r>
          <rPr>
            <b/>
            <sz val="8"/>
            <color indexed="81"/>
            <rFont val="Tahoma"/>
            <family val="2"/>
          </rPr>
          <t>Evan L. Kurtz:</t>
        </r>
        <r>
          <rPr>
            <sz val="8"/>
            <color indexed="81"/>
            <rFont val="Tahoma"/>
            <family val="2"/>
          </rPr>
          <t xml:space="preserve">
Impact from galv. facility</t>
        </r>
      </text>
    </comment>
    <comment ref="D58" authorId="1">
      <text>
        <r>
          <rPr>
            <b/>
            <sz val="9"/>
            <color indexed="81"/>
            <rFont val="Tahoma"/>
            <family val="2"/>
          </rPr>
          <t>E Kurtz:</t>
        </r>
        <r>
          <rPr>
            <sz val="9"/>
            <color indexed="81"/>
            <rFont val="Tahoma"/>
            <family val="2"/>
          </rPr>
          <t xml:space="preserve">
Adding more lag impact</t>
        </r>
      </text>
    </comment>
    <comment ref="D61" authorId="1">
      <text>
        <r>
          <rPr>
            <b/>
            <sz val="9"/>
            <color indexed="81"/>
            <rFont val="Tahoma"/>
            <family val="2"/>
          </rPr>
          <t>E Kurtz:</t>
        </r>
        <r>
          <rPr>
            <sz val="9"/>
            <color indexed="81"/>
            <rFont val="Tahoma"/>
            <family val="2"/>
          </rPr>
          <t xml:space="preserve">
Major contract reset
</t>
        </r>
      </text>
    </comment>
    <comment ref="H62" authorId="1">
      <text>
        <r>
          <rPr>
            <b/>
            <sz val="9"/>
            <color indexed="81"/>
            <rFont val="Tahoma"/>
            <family val="2"/>
          </rPr>
          <t>E Kurtz:</t>
        </r>
        <r>
          <rPr>
            <sz val="9"/>
            <color indexed="81"/>
            <rFont val="Tahoma"/>
            <family val="2"/>
          </rPr>
          <t xml:space="preserve">
Normalizing spread</t>
        </r>
      </text>
    </comment>
    <comment ref="D65" authorId="1">
      <text>
        <r>
          <rPr>
            <b/>
            <sz val="9"/>
            <color indexed="81"/>
            <rFont val="Tahoma"/>
            <family val="2"/>
          </rPr>
          <t>E Kurtz:</t>
        </r>
        <r>
          <rPr>
            <sz val="9"/>
            <color indexed="81"/>
            <rFont val="Tahoma"/>
            <family val="2"/>
          </rPr>
          <t xml:space="preserve">
Formula adjusted to reflect $100 giveback to customers from 2015 deal</t>
        </r>
      </text>
    </comment>
    <comment ref="G65" authorId="1">
      <text>
        <r>
          <rPr>
            <b/>
            <sz val="9"/>
            <color indexed="81"/>
            <rFont val="Tahoma"/>
            <family val="2"/>
          </rPr>
          <t>E Kurtz:</t>
        </r>
        <r>
          <rPr>
            <sz val="9"/>
            <color indexed="81"/>
            <rFont val="Tahoma"/>
            <family val="2"/>
          </rPr>
          <t xml:space="preserve">
Formula adjusted to reflect $50 giveback to customers from 2015 deal</t>
        </r>
      </text>
    </comment>
    <comment ref="D69" authorId="2">
      <text>
        <r>
          <rPr>
            <b/>
            <sz val="9"/>
            <color indexed="81"/>
            <rFont val="Tahoma"/>
            <family val="2"/>
          </rPr>
          <t>Hunter Alley:</t>
        </r>
        <r>
          <rPr>
            <sz val="9"/>
            <color indexed="81"/>
            <rFont val="Tahoma"/>
            <family val="2"/>
          </rPr>
          <t xml:space="preserve">
1Q and 2Q use different formula to account for heavy contract resets at the beginning of the year</t>
        </r>
      </text>
    </comment>
  </commentList>
</comments>
</file>

<file path=xl/comments4.xml><?xml version="1.0" encoding="utf-8"?>
<comments xmlns="http://schemas.openxmlformats.org/spreadsheetml/2006/main">
  <authors>
    <author>alelevy</author>
    <author>Evan L. Kurtz</author>
  </authors>
  <commentList>
    <comment ref="BL114" authorId="0">
      <text>
        <r>
          <rPr>
            <b/>
            <sz val="8"/>
            <color indexed="81"/>
            <rFont val="Arial"/>
            <family val="2"/>
          </rPr>
          <t>alelevy:</t>
        </r>
        <r>
          <rPr>
            <sz val="8"/>
            <color indexed="81"/>
            <rFont val="Arial"/>
            <family val="2"/>
          </rPr>
          <t xml:space="preserve">
Deconsolidation of Canada segment</t>
        </r>
      </text>
    </comment>
    <comment ref="G129" authorId="1">
      <text>
        <r>
          <rPr>
            <b/>
            <sz val="8"/>
            <color indexed="81"/>
            <rFont val="Tahoma"/>
            <family val="2"/>
          </rPr>
          <t>Evan L. Kurtz:</t>
        </r>
        <r>
          <rPr>
            <sz val="8"/>
            <color indexed="81"/>
            <rFont val="Tahoma"/>
            <family val="2"/>
          </rPr>
          <t xml:space="preserve">
5.5% - 6.88%</t>
        </r>
      </text>
    </comment>
    <comment ref="H129" authorId="1">
      <text>
        <r>
          <rPr>
            <b/>
            <sz val="8"/>
            <color indexed="81"/>
            <rFont val="Tahoma"/>
            <family val="2"/>
          </rPr>
          <t>Evan L. Kurtz:</t>
        </r>
        <r>
          <rPr>
            <sz val="8"/>
            <color indexed="81"/>
            <rFont val="Tahoma"/>
            <family val="2"/>
          </rPr>
          <t xml:space="preserve">
$200mn need to be retired/refunded at the end of 2011</t>
        </r>
      </text>
    </comment>
    <comment ref="G137" authorId="1">
      <text>
        <r>
          <rPr>
            <b/>
            <sz val="8"/>
            <color indexed="81"/>
            <rFont val="Tahoma"/>
            <family val="2"/>
          </rPr>
          <t>Evan L. Kurtz:</t>
        </r>
        <r>
          <rPr>
            <sz val="8"/>
            <color indexed="81"/>
            <rFont val="Tahoma"/>
            <family val="2"/>
          </rPr>
          <t xml:space="preserve">
4.75% - 6.25%</t>
        </r>
      </text>
    </comment>
    <comment ref="G156" authorId="1">
      <text>
        <r>
          <rPr>
            <b/>
            <sz val="8"/>
            <color indexed="81"/>
            <rFont val="Tahoma"/>
            <family val="2"/>
          </rPr>
          <t>Evan L. Kurtz:</t>
        </r>
        <r>
          <rPr>
            <sz val="8"/>
            <color indexed="81"/>
            <rFont val="Tahoma"/>
            <family val="2"/>
          </rPr>
          <t xml:space="preserve">
Estimate
</t>
        </r>
      </text>
    </comment>
  </commentList>
</comments>
</file>

<file path=xl/comments5.xml><?xml version="1.0" encoding="utf-8"?>
<comments xmlns="http://schemas.openxmlformats.org/spreadsheetml/2006/main">
  <authors>
    <author>Evan L. Kurtz</author>
  </authors>
  <commentList>
    <comment ref="D7" authorId="0">
      <text>
        <r>
          <rPr>
            <b/>
            <sz val="8"/>
            <color indexed="81"/>
            <rFont val="Tahoma"/>
            <family val="2"/>
          </rPr>
          <t>Evan L. Kurtz:</t>
        </r>
        <r>
          <rPr>
            <sz val="8"/>
            <color indexed="81"/>
            <rFont val="Tahoma"/>
            <family val="2"/>
          </rPr>
          <t xml:space="preserve">
US Steel share for JVs</t>
        </r>
      </text>
    </comment>
    <comment ref="B18" authorId="0">
      <text>
        <r>
          <rPr>
            <b/>
            <sz val="8"/>
            <color indexed="81"/>
            <rFont val="Tahoma"/>
            <family val="2"/>
          </rPr>
          <t>Evan L. Kurtz:</t>
        </r>
        <r>
          <rPr>
            <sz val="8"/>
            <color indexed="81"/>
            <rFont val="Tahoma"/>
            <family val="2"/>
          </rPr>
          <t xml:space="preserve">
Consolidated partnership, used 79% of coke produced and received 45.75% of the profits.</t>
        </r>
      </text>
    </comment>
    <comment ref="D23" authorId="0">
      <text>
        <r>
          <rPr>
            <b/>
            <sz val="8"/>
            <color indexed="81"/>
            <rFont val="Tahoma"/>
            <family val="2"/>
          </rPr>
          <t>Evan L. Kurtz:</t>
        </r>
        <r>
          <rPr>
            <sz val="8"/>
            <color indexed="81"/>
            <rFont val="Tahoma"/>
            <family val="2"/>
          </rPr>
          <t xml:space="preserve">
Slits, Cuts to legnth and laser welds sheet for autos</t>
        </r>
      </text>
    </comment>
    <comment ref="B24" authorId="0">
      <text>
        <r>
          <rPr>
            <b/>
            <sz val="8"/>
            <color indexed="81"/>
            <rFont val="Tahoma"/>
            <family val="2"/>
          </rPr>
          <t>Evan L. Kurtz:</t>
        </r>
        <r>
          <rPr>
            <sz val="8"/>
            <color indexed="81"/>
            <rFont val="Tahoma"/>
            <family val="2"/>
          </rPr>
          <t xml:space="preserve">
USS owns 60% - Metal One owns 40%</t>
        </r>
      </text>
    </comment>
    <comment ref="B25" authorId="0">
      <text>
        <r>
          <rPr>
            <b/>
            <sz val="8"/>
            <color indexed="81"/>
            <rFont val="Tahoma"/>
            <family val="2"/>
          </rPr>
          <t>Evan L. Kurtz:</t>
        </r>
        <r>
          <rPr>
            <sz val="8"/>
            <color indexed="81"/>
            <rFont val="Tahoma"/>
            <family val="2"/>
          </rPr>
          <t xml:space="preserve">
50% Ownership in equity affiliate</t>
        </r>
      </text>
    </comment>
    <comment ref="D25" authorId="0">
      <text>
        <r>
          <rPr>
            <b/>
            <sz val="8"/>
            <color indexed="81"/>
            <rFont val="Tahoma"/>
            <family val="2"/>
          </rPr>
          <t>Evan L. Kurtz:</t>
        </r>
        <r>
          <rPr>
            <sz val="8"/>
            <color indexed="81"/>
            <rFont val="Tahoma"/>
            <family val="2"/>
          </rPr>
          <t xml:space="preserve">
50% of total 2006 shipments</t>
        </r>
      </text>
    </comment>
    <comment ref="B26" authorId="0">
      <text>
        <r>
          <rPr>
            <b/>
            <sz val="8"/>
            <color indexed="81"/>
            <rFont val="Tahoma"/>
            <family val="2"/>
          </rPr>
          <t>Evan L. Kurtz:</t>
        </r>
        <r>
          <rPr>
            <sz val="8"/>
            <color indexed="81"/>
            <rFont val="Tahoma"/>
            <family val="2"/>
          </rPr>
          <t xml:space="preserve">
50% Ownership in equity affiliate</t>
        </r>
      </text>
    </comment>
    <comment ref="B27" authorId="0">
      <text>
        <r>
          <rPr>
            <b/>
            <sz val="8"/>
            <color indexed="81"/>
            <rFont val="Tahoma"/>
            <family val="2"/>
          </rPr>
          <t>Evan L. Kurtz:</t>
        </r>
        <r>
          <rPr>
            <sz val="8"/>
            <color indexed="81"/>
            <rFont val="Tahoma"/>
            <family val="2"/>
          </rPr>
          <t xml:space="preserve">
50% Ownership in equity affiliate</t>
        </r>
      </text>
    </comment>
    <comment ref="B28" authorId="0">
      <text>
        <r>
          <rPr>
            <b/>
            <sz val="8"/>
            <color indexed="81"/>
            <rFont val="Tahoma"/>
            <family val="2"/>
          </rPr>
          <t>Evan L. Kurtz:</t>
        </r>
        <r>
          <rPr>
            <sz val="8"/>
            <color indexed="81"/>
            <rFont val="Tahoma"/>
            <family val="2"/>
          </rPr>
          <t xml:space="preserve">
50% Ownership in equity affiliate</t>
        </r>
      </text>
    </comment>
    <comment ref="D28" authorId="0">
      <text>
        <r>
          <rPr>
            <b/>
            <sz val="8"/>
            <color indexed="81"/>
            <rFont val="Tahoma"/>
            <family val="2"/>
          </rPr>
          <t>Evan L. Kurtz:</t>
        </r>
        <r>
          <rPr>
            <sz val="8"/>
            <color indexed="81"/>
            <rFont val="Tahoma"/>
            <family val="2"/>
          </rPr>
          <t xml:space="preserve">
50% of total 2006 shipments</t>
        </r>
      </text>
    </comment>
    <comment ref="B29" authorId="0">
      <text>
        <r>
          <rPr>
            <b/>
            <sz val="8"/>
            <color indexed="81"/>
            <rFont val="Tahoma"/>
            <family val="2"/>
          </rPr>
          <t>Evan L. Kurtz:</t>
        </r>
        <r>
          <rPr>
            <sz val="8"/>
            <color indexed="81"/>
            <rFont val="Tahoma"/>
            <family val="2"/>
          </rPr>
          <t xml:space="preserve">
50% Ownership in equity affiliate</t>
        </r>
      </text>
    </comment>
    <comment ref="D29" authorId="0">
      <text>
        <r>
          <rPr>
            <b/>
            <sz val="8"/>
            <color indexed="81"/>
            <rFont val="Tahoma"/>
            <family val="2"/>
          </rPr>
          <t>Evan L. Kurtz:</t>
        </r>
        <r>
          <rPr>
            <sz val="8"/>
            <color indexed="81"/>
            <rFont val="Tahoma"/>
            <family val="2"/>
          </rPr>
          <t xml:space="preserve">
50% of total 2006 shipments</t>
        </r>
      </text>
    </comment>
    <comment ref="B30" authorId="0">
      <text>
        <r>
          <rPr>
            <b/>
            <sz val="8"/>
            <color indexed="81"/>
            <rFont val="Tahoma"/>
            <family val="2"/>
          </rPr>
          <t>Evan L. Kurtz:</t>
        </r>
        <r>
          <rPr>
            <sz val="8"/>
            <color indexed="81"/>
            <rFont val="Tahoma"/>
            <family val="2"/>
          </rPr>
          <t xml:space="preserve">
50% JV with Arecelor Mittal</t>
        </r>
      </text>
    </comment>
    <comment ref="B31" authorId="0">
      <text>
        <r>
          <rPr>
            <b/>
            <sz val="8"/>
            <color indexed="81"/>
            <rFont val="Tahoma"/>
            <family val="2"/>
          </rPr>
          <t>Evan L. Kurtz:</t>
        </r>
        <r>
          <rPr>
            <sz val="8"/>
            <color indexed="81"/>
            <rFont val="Tahoma"/>
            <family val="2"/>
          </rPr>
          <t xml:space="preserve">
50% JV with Court Group Company</t>
        </r>
      </text>
    </comment>
    <comment ref="D31" authorId="0">
      <text>
        <r>
          <rPr>
            <b/>
            <sz val="8"/>
            <color indexed="81"/>
            <rFont val="Tahoma"/>
            <family val="2"/>
          </rPr>
          <t>Evan L. Kurtz:</t>
        </r>
        <r>
          <rPr>
            <sz val="8"/>
            <color indexed="81"/>
            <rFont val="Tahoma"/>
            <family val="2"/>
          </rPr>
          <t xml:space="preserve">
Conditions work rolls</t>
        </r>
      </text>
    </comment>
    <comment ref="B32" authorId="0">
      <text>
        <r>
          <rPr>
            <b/>
            <sz val="8"/>
            <color indexed="81"/>
            <rFont val="Tahoma"/>
            <family val="2"/>
          </rPr>
          <t>Evan L. Kurtz:</t>
        </r>
        <r>
          <rPr>
            <sz val="8"/>
            <color indexed="81"/>
            <rFont val="Tahoma"/>
            <family val="2"/>
          </rPr>
          <t xml:space="preserve">
50% JV with Court Group Company</t>
        </r>
      </text>
    </comment>
    <comment ref="D32" authorId="0">
      <text>
        <r>
          <rPr>
            <b/>
            <sz val="8"/>
            <color indexed="81"/>
            <rFont val="Tahoma"/>
            <family val="2"/>
          </rPr>
          <t>Evan L. Kurtz:</t>
        </r>
        <r>
          <rPr>
            <sz val="8"/>
            <color indexed="81"/>
            <rFont val="Tahoma"/>
            <family val="2"/>
          </rPr>
          <t xml:space="preserve">
Conditions work rolls</t>
        </r>
      </text>
    </comment>
    <comment ref="B33" authorId="0">
      <text>
        <r>
          <rPr>
            <b/>
            <sz val="8"/>
            <color indexed="81"/>
            <rFont val="Tahoma"/>
            <family val="2"/>
          </rPr>
          <t>Evan L. Kurtz:</t>
        </r>
        <r>
          <rPr>
            <sz val="8"/>
            <color indexed="81"/>
            <rFont val="Tahoma"/>
            <family val="2"/>
          </rPr>
          <t xml:space="preserve">
49&amp; JV with Feralloy Corp.</t>
        </r>
      </text>
    </comment>
    <comment ref="D33" authorId="0">
      <text>
        <r>
          <rPr>
            <b/>
            <sz val="8"/>
            <color indexed="81"/>
            <rFont val="Tahoma"/>
            <family val="2"/>
          </rPr>
          <t>Evan L. Kurtz:</t>
        </r>
        <r>
          <rPr>
            <sz val="8"/>
            <color indexed="81"/>
            <rFont val="Tahoma"/>
            <family val="2"/>
          </rPr>
          <t xml:space="preserve">
Plate temper mill</t>
        </r>
      </text>
    </comment>
    <comment ref="B34" authorId="0">
      <text>
        <r>
          <rPr>
            <b/>
            <sz val="8"/>
            <color indexed="81"/>
            <rFont val="Tahoma"/>
            <family val="2"/>
          </rPr>
          <t>Evan L. Kurtz:</t>
        </r>
        <r>
          <rPr>
            <sz val="8"/>
            <color indexed="81"/>
            <rFont val="Tahoma"/>
            <family val="2"/>
          </rPr>
          <t xml:space="preserve">
JV with Feralloy and Mitsui</t>
        </r>
      </text>
    </comment>
    <comment ref="D34" authorId="0">
      <text>
        <r>
          <rPr>
            <b/>
            <sz val="8"/>
            <color indexed="81"/>
            <rFont val="Tahoma"/>
            <family val="2"/>
          </rPr>
          <t>Evan L. Kurtz:</t>
        </r>
        <r>
          <rPr>
            <sz val="8"/>
            <color indexed="81"/>
            <rFont val="Tahoma"/>
            <family val="2"/>
          </rPr>
          <t xml:space="preserve">
Total slitting capacity (all shares)</t>
        </r>
      </text>
    </comment>
    <comment ref="B37" authorId="0">
      <text>
        <r>
          <rPr>
            <b/>
            <sz val="8"/>
            <color indexed="81"/>
            <rFont val="Tahoma"/>
            <family val="2"/>
          </rPr>
          <t>Evan L. Kurtz:</t>
        </r>
        <r>
          <rPr>
            <sz val="8"/>
            <color indexed="81"/>
            <rFont val="Tahoma"/>
            <family val="2"/>
          </rPr>
          <t xml:space="preserve">
50% interest</t>
        </r>
      </text>
    </comment>
    <comment ref="D41" authorId="0">
      <text>
        <r>
          <rPr>
            <b/>
            <sz val="8"/>
            <color indexed="81"/>
            <rFont val="Tahoma"/>
            <family val="2"/>
          </rPr>
          <t>Evan L. Kurtz:</t>
        </r>
        <r>
          <rPr>
            <sz val="8"/>
            <color indexed="81"/>
            <rFont val="Tahoma"/>
            <family val="2"/>
          </rPr>
          <t xml:space="preserve">
Plan to boost annual prod. by 3.6m ton in 2012</t>
        </r>
      </text>
    </comment>
    <comment ref="V41" authorId="0">
      <text>
        <r>
          <rPr>
            <b/>
            <sz val="8"/>
            <color indexed="81"/>
            <rFont val="Tahoma"/>
            <family val="2"/>
          </rPr>
          <t>Evan L. Kurtz:</t>
        </r>
        <r>
          <rPr>
            <sz val="8"/>
            <color indexed="81"/>
            <rFont val="Tahoma"/>
            <family val="2"/>
          </rPr>
          <t xml:space="preserve">
Combined reserves for Minntac and Keetac
</t>
        </r>
      </text>
    </comment>
    <comment ref="B42" authorId="0">
      <text>
        <r>
          <rPr>
            <b/>
            <sz val="8"/>
            <color indexed="81"/>
            <rFont val="Tahoma"/>
            <family val="2"/>
          </rPr>
          <t>Evan L. Kurtz:</t>
        </r>
        <r>
          <rPr>
            <sz val="8"/>
            <color indexed="81"/>
            <rFont val="Tahoma"/>
            <family val="2"/>
          </rPr>
          <t xml:space="preserve">
14.7% ownership</t>
        </r>
      </text>
    </comment>
    <comment ref="V42" authorId="0">
      <text>
        <r>
          <rPr>
            <b/>
            <sz val="8"/>
            <color indexed="81"/>
            <rFont val="Tahoma"/>
            <family val="2"/>
          </rPr>
          <t>Evan L. Kurtz:</t>
        </r>
        <r>
          <rPr>
            <sz val="8"/>
            <color indexed="81"/>
            <rFont val="Tahoma"/>
            <family val="2"/>
          </rPr>
          <t xml:space="preserve">
US Steel's share</t>
        </r>
      </text>
    </comment>
    <comment ref="V43" authorId="0">
      <text>
        <r>
          <rPr>
            <b/>
            <sz val="8"/>
            <color indexed="81"/>
            <rFont val="Tahoma"/>
            <family val="2"/>
          </rPr>
          <t>Evan L. Kurtz:</t>
        </r>
        <r>
          <rPr>
            <sz val="8"/>
            <color indexed="81"/>
            <rFont val="Tahoma"/>
            <family val="2"/>
          </rPr>
          <t xml:space="preserve">
US Steel's share</t>
        </r>
      </text>
    </comment>
    <comment ref="B44" authorId="0">
      <text>
        <r>
          <rPr>
            <b/>
            <sz val="8"/>
            <color indexed="81"/>
            <rFont val="Tahoma"/>
            <family val="2"/>
          </rPr>
          <t>Evan L. Kurtz:</t>
        </r>
        <r>
          <rPr>
            <sz val="8"/>
            <color indexed="81"/>
            <rFont val="Tahoma"/>
            <family val="2"/>
          </rPr>
          <t xml:space="preserve">
46% Interest with Arcelor Mittal and Cleveland Cliffs</t>
        </r>
      </text>
    </comment>
    <comment ref="V44" authorId="0">
      <text>
        <r>
          <rPr>
            <b/>
            <sz val="8"/>
            <color indexed="81"/>
            <rFont val="Tahoma"/>
            <family val="2"/>
          </rPr>
          <t>Evan L. Kurtz:</t>
        </r>
        <r>
          <rPr>
            <sz val="8"/>
            <color indexed="81"/>
            <rFont val="Tahoma"/>
            <family val="2"/>
          </rPr>
          <t xml:space="preserve">
US Steel's share</t>
        </r>
      </text>
    </comment>
  </commentList>
</comments>
</file>

<file path=xl/comments6.xml><?xml version="1.0" encoding="utf-8"?>
<comments xmlns="http://schemas.openxmlformats.org/spreadsheetml/2006/main">
  <authors>
    <author>mogres</author>
    <author>E Kurtz</author>
    <author>Rocha Calejon, Serena (Research)</author>
  </authors>
  <commentList>
    <comment ref="H1" authorId="0">
      <text>
        <r>
          <rPr>
            <sz val="8"/>
            <color indexed="81"/>
            <rFont val="Tahoma"/>
            <family val="2"/>
          </rPr>
          <t>Enter Sedol on row 3, if this is a non-covered company.</t>
        </r>
      </text>
    </comment>
    <comment ref="A8" authorId="0">
      <text>
        <r>
          <rPr>
            <sz val="8"/>
            <color indexed="81"/>
            <rFont val="Tahoma"/>
            <family val="2"/>
          </rPr>
          <t xml:space="preserve">
</t>
        </r>
        <r>
          <rPr>
            <b/>
            <sz val="8"/>
            <color indexed="81"/>
            <rFont val="Tahoma"/>
            <family val="2"/>
          </rPr>
          <t xml:space="preserve">Discount rate </t>
        </r>
        <r>
          <rPr>
            <sz val="8"/>
            <color indexed="81"/>
            <rFont val="Tahoma"/>
            <family val="2"/>
          </rPr>
          <t>is based on the Corporate AA bond rate and is used to calculate the present value of pension benefit obligations.
Because the companies have some discretion over how they estimate the rate and the duration of future benefit payments varies from company to company, rates will differ slightly from company to company. It is reset every year based on current market conditions.</t>
        </r>
        <r>
          <rPr>
            <b/>
            <sz val="8"/>
            <color indexed="81"/>
            <rFont val="Tahoma"/>
            <family val="2"/>
          </rPr>
          <t xml:space="preserve">
How to forecast this line item if Pension is material for my company?</t>
        </r>
        <r>
          <rPr>
            <sz val="8"/>
            <color indexed="81"/>
            <rFont val="Tahoma"/>
            <family val="2"/>
          </rPr>
          <t xml:space="preserve">
Assuming you wouldn't want to forecast the interest rates, set this equal to prior period's discount rate. If you are in the middle of FY1, you could make an attempt to use the latest available rate using the appropriate bond index yield. Contact AST if you wish to do so. However, from FY2 onwards, you should set it equal to prior period's discount rate.
</t>
        </r>
        <r>
          <rPr>
            <b/>
            <sz val="8"/>
            <color indexed="81"/>
            <rFont val="Tahoma"/>
            <family val="2"/>
          </rPr>
          <t xml:space="preserve">How does the template forecast it?
</t>
        </r>
        <r>
          <rPr>
            <sz val="8"/>
            <color indexed="81"/>
            <rFont val="Tahoma"/>
            <family val="2"/>
          </rPr>
          <t>The template does not make an attempt to forecast the interest rates and flat lines it.</t>
        </r>
      </text>
    </comment>
    <comment ref="A11" authorId="0">
      <text>
        <r>
          <rPr>
            <b/>
            <sz val="8"/>
            <color indexed="81"/>
            <rFont val="Tahoma"/>
            <family val="2"/>
          </rPr>
          <t xml:space="preserve">
EROA</t>
        </r>
        <r>
          <rPr>
            <sz val="8"/>
            <color indexed="81"/>
            <rFont val="Tahoma"/>
            <family val="2"/>
          </rPr>
          <t xml:space="preserve"> is management’s estimate of the long-term rate of return for plan assets and is used to calculate a component of pension expense. This will vary widely from company to company depending on asset mix and other assumptions. EROA generally does not change year-to-year.</t>
        </r>
        <r>
          <rPr>
            <b/>
            <sz val="8"/>
            <color indexed="81"/>
            <rFont val="Tahoma"/>
            <family val="2"/>
          </rPr>
          <t xml:space="preserve">
How to forecast this line item if Pension is material for my company?</t>
        </r>
        <r>
          <rPr>
            <sz val="8"/>
            <color indexed="81"/>
            <rFont val="Tahoma"/>
            <family val="2"/>
          </rPr>
          <t xml:space="preserve">
It should be flat lined unless the management provides guidance on changing it in future year/s OR changing the asset mix in future years/s (e.g. set it lower if the company plans to move their plan assets towards fixed income to better match the asset - liability duration)
</t>
        </r>
        <r>
          <rPr>
            <b/>
            <sz val="8"/>
            <color indexed="81"/>
            <rFont val="Tahoma"/>
            <family val="2"/>
          </rPr>
          <t xml:space="preserve">How does the template forecast it?
</t>
        </r>
        <r>
          <rPr>
            <sz val="8"/>
            <color indexed="81"/>
            <rFont val="Tahoma"/>
            <family val="2"/>
          </rPr>
          <t>The template flat lines the management disclosed estimate of the long-term rate of return on plan assets.</t>
        </r>
      </text>
    </comment>
    <comment ref="A12" authorId="0">
      <text>
        <r>
          <rPr>
            <b/>
            <sz val="8"/>
            <color indexed="81"/>
            <rFont val="Tahoma"/>
            <family val="2"/>
          </rPr>
          <t xml:space="preserve">
Actual Rate of Return </t>
        </r>
        <r>
          <rPr>
            <sz val="8"/>
            <color indexed="81"/>
            <rFont val="Tahoma"/>
            <family val="2"/>
          </rPr>
          <t>is the actual return generated on pension plan assets.</t>
        </r>
        <r>
          <rPr>
            <b/>
            <sz val="8"/>
            <color indexed="81"/>
            <rFont val="Tahoma"/>
            <family val="2"/>
          </rPr>
          <t xml:space="preserve">
How to forecast this line item if Pension is material for my company?</t>
        </r>
        <r>
          <rPr>
            <sz val="8"/>
            <color indexed="81"/>
            <rFont val="Tahoma"/>
            <family val="2"/>
          </rPr>
          <t xml:space="preserve">
You should set it equal to management's EROA assuming you wouldn't want to forecast the returns on underlying plan assets. If you are in the middle of FY1, you could attempt to use the actual return (YTD) using underlying asset index return. Contact AST if you wish to do so. However, from FY2 onwards, you should set it equal to management's EROA.
</t>
        </r>
        <r>
          <rPr>
            <b/>
            <sz val="8"/>
            <color indexed="81"/>
            <rFont val="Tahoma"/>
            <family val="2"/>
          </rPr>
          <t xml:space="preserve">How does the template forecast it?
</t>
        </r>
        <r>
          <rPr>
            <sz val="8"/>
            <color indexed="81"/>
            <rFont val="Tahoma"/>
            <family val="2"/>
          </rPr>
          <t xml:space="preserve">The template does not attempt to forecast the actual rate of return and sets it equal to management's EROA. </t>
        </r>
      </text>
    </comment>
    <comment ref="A13" authorId="0">
      <text>
        <r>
          <rPr>
            <sz val="8"/>
            <color indexed="81"/>
            <rFont val="Tahoma"/>
            <family val="2"/>
          </rPr>
          <t xml:space="preserve">
The pension obligation on the balance sheet is tax-deductible
when a company contributes to the plan. Companies report it gross of tax, and the corresponding tax benefit is recorded as a deferred tax asset on BS. </t>
        </r>
        <r>
          <rPr>
            <b/>
            <sz val="8"/>
            <color indexed="81"/>
            <rFont val="Tahoma"/>
            <family val="2"/>
          </rPr>
          <t>Statutory tax rate</t>
        </r>
        <r>
          <rPr>
            <sz val="8"/>
            <color indexed="81"/>
            <rFont val="Tahoma"/>
            <family val="2"/>
          </rPr>
          <t xml:space="preserve"> is thus used to compute the deferred tax benefits associated with pensions.</t>
        </r>
        <r>
          <rPr>
            <b/>
            <sz val="8"/>
            <color indexed="81"/>
            <rFont val="Tahoma"/>
            <family val="2"/>
          </rPr>
          <t xml:space="preserve">
How to forecast this line item if Pension is material for my company?</t>
        </r>
        <r>
          <rPr>
            <sz val="8"/>
            <color indexed="81"/>
            <rFont val="Tahoma"/>
            <family val="2"/>
          </rPr>
          <t xml:space="preserve">
You should set it equal to the corporate tax rate of 35% for the US plan or a blended rate if the company has pension plans in other countries as well.
</t>
        </r>
        <r>
          <rPr>
            <b/>
            <sz val="8"/>
            <color indexed="81"/>
            <rFont val="Tahoma"/>
            <family val="2"/>
          </rPr>
          <t xml:space="preserve">How does the template forecast it?
</t>
        </r>
        <r>
          <rPr>
            <sz val="8"/>
            <color indexed="81"/>
            <rFont val="Tahoma"/>
            <family val="2"/>
          </rPr>
          <t>The template sets it equal to the statutory tax rate tagged in your model, and for non covered companies it assumes it to be the US corporate tax rate of 35%.</t>
        </r>
      </text>
    </comment>
    <comment ref="A19" authorId="0">
      <text>
        <r>
          <rPr>
            <b/>
            <sz val="8"/>
            <color indexed="81"/>
            <rFont val="Tahoma"/>
            <family val="2"/>
          </rPr>
          <t xml:space="preserve">
Service cost</t>
        </r>
        <r>
          <rPr>
            <sz val="8"/>
            <color indexed="81"/>
            <rFont val="Tahoma"/>
            <family val="2"/>
          </rPr>
          <t xml:space="preserve"> is the 'present value' of new benefits earned during the period and represents the economic operating cost of the ongoing plan. When a company reduces benefits, future service costs decline. If they freeze the plans (i.e. stop the accrual of new benefits), service costs are zero.</t>
        </r>
        <r>
          <rPr>
            <b/>
            <sz val="8"/>
            <color indexed="81"/>
            <rFont val="Tahoma"/>
            <family val="2"/>
          </rPr>
          <t xml:space="preserve">
How to forecast this line item if Pension is material for my company?</t>
        </r>
        <r>
          <rPr>
            <sz val="8"/>
            <color indexed="81"/>
            <rFont val="Tahoma"/>
            <family val="2"/>
          </rPr>
          <t xml:space="preserve">
For an active plan, service cost </t>
        </r>
        <r>
          <rPr>
            <u/>
            <sz val="8"/>
            <color indexed="81"/>
            <rFont val="Tahoma"/>
            <family val="2"/>
          </rPr>
          <t>usually</t>
        </r>
        <r>
          <rPr>
            <sz val="8"/>
            <color indexed="81"/>
            <rFont val="Tahoma"/>
            <family val="2"/>
          </rPr>
          <t xml:space="preserve"> remains steady in</t>
        </r>
        <r>
          <rPr>
            <u/>
            <sz val="8"/>
            <color indexed="81"/>
            <rFont val="Tahoma"/>
            <family val="2"/>
          </rPr>
          <t xml:space="preserve"> real</t>
        </r>
        <r>
          <rPr>
            <sz val="8"/>
            <color indexed="81"/>
            <rFont val="Tahoma"/>
            <family val="2"/>
          </rPr>
          <t xml:space="preserve"> terms and thus changes only to the extent of changes in interest (discount) rates. It should thus be forecasted after considering the changes in interest rates (if forecasted) for the period and using a rule of thumb which states that -- every 100 bps change in discount rate results in about 10% change in service cost.
If the plan is frozen, set this equal to zero.
</t>
        </r>
        <r>
          <rPr>
            <b/>
            <sz val="8"/>
            <color indexed="81"/>
            <rFont val="Tahoma"/>
            <family val="2"/>
          </rPr>
          <t xml:space="preserve">How does the template forecast it?
</t>
        </r>
        <r>
          <rPr>
            <sz val="8"/>
            <color indexed="81"/>
            <rFont val="Tahoma"/>
            <family val="2"/>
          </rPr>
          <t xml:space="preserve">The template uses a rule of thumb and forecasts the service cost by considering the changes in discount rates (if forecasted - we think its unlikely) on row 8. </t>
        </r>
      </text>
    </comment>
    <comment ref="A20" authorId="0">
      <text>
        <r>
          <rPr>
            <b/>
            <sz val="8"/>
            <color indexed="81"/>
            <rFont val="Tahoma"/>
            <family val="2"/>
          </rPr>
          <t xml:space="preserve">
Prior service cost</t>
        </r>
        <r>
          <rPr>
            <sz val="8"/>
            <color indexed="81"/>
            <rFont val="Tahoma"/>
            <family val="2"/>
          </rPr>
          <t xml:space="preserve"> : When a plan is amended to change benefits, the PBO is re-measured to reflect the new benefit formula. These differences are smoothed into pension expense over the remaining service life of employees as prior service costs. </t>
        </r>
        <r>
          <rPr>
            <b/>
            <sz val="8"/>
            <color indexed="81"/>
            <rFont val="Tahoma"/>
            <family val="2"/>
          </rPr>
          <t xml:space="preserve">
How to forecast this line item if Pension is material for my company?</t>
        </r>
        <r>
          <rPr>
            <sz val="8"/>
            <color indexed="81"/>
            <rFont val="Tahoma"/>
            <family val="2"/>
          </rPr>
          <t xml:space="preserve">
Becasue these are the differences due to amendments in plan benefits, which are then smoothed over a period of time - they tend to be persistent. They should thus be flat lied in forecast years.
</t>
        </r>
        <r>
          <rPr>
            <b/>
            <sz val="8"/>
            <color indexed="81"/>
            <rFont val="Tahoma"/>
            <family val="2"/>
          </rPr>
          <t>How does the template forecast it?</t>
        </r>
        <r>
          <rPr>
            <sz val="8"/>
            <color indexed="81"/>
            <rFont val="Tahoma"/>
            <family val="2"/>
          </rPr>
          <t xml:space="preserve">
The template does not make an attempt to forecast this line item and flat lines it in forecast years.</t>
        </r>
      </text>
    </comment>
    <comment ref="A21" authorId="0">
      <text>
        <r>
          <rPr>
            <b/>
            <sz val="8"/>
            <color indexed="81"/>
            <rFont val="Tahoma"/>
            <family val="2"/>
          </rPr>
          <t xml:space="preserve">
Interest cost</t>
        </r>
        <r>
          <rPr>
            <sz val="8"/>
            <color indexed="81"/>
            <rFont val="Tahoma"/>
            <family val="2"/>
          </rPr>
          <t xml:space="preserve"> is the discount rate (see row 8) times the PBO. It represents the financing cost of the gross liability i.e. PBO.</t>
        </r>
        <r>
          <rPr>
            <b/>
            <sz val="8"/>
            <color indexed="81"/>
            <rFont val="Tahoma"/>
            <family val="2"/>
          </rPr>
          <t xml:space="preserve">
How to forecast this line item if Pension is material for my company?</t>
        </r>
        <r>
          <rPr>
            <sz val="8"/>
            <color indexed="81"/>
            <rFont val="Tahoma"/>
            <family val="2"/>
          </rPr>
          <t xml:space="preserve">
Interest cost should be calculated as discount rate (BOP) (row 8) times the projected benefit obligation (BOP).
</t>
        </r>
        <r>
          <rPr>
            <b/>
            <sz val="8"/>
            <color indexed="81"/>
            <rFont val="Tahoma"/>
            <family val="2"/>
          </rPr>
          <t xml:space="preserve">How does the template forecast it?
</t>
        </r>
        <r>
          <rPr>
            <sz val="8"/>
            <color indexed="81"/>
            <rFont val="Tahoma"/>
            <family val="2"/>
          </rPr>
          <t>Interest cost is calculated as discount rate (BOP) times the projected benefit obligation (BOP).</t>
        </r>
      </text>
    </comment>
    <comment ref="A22" authorId="0">
      <text>
        <r>
          <rPr>
            <b/>
            <sz val="8"/>
            <color indexed="81"/>
            <rFont val="Tahoma"/>
            <family val="2"/>
          </rPr>
          <t xml:space="preserve">
EROA</t>
        </r>
        <r>
          <rPr>
            <sz val="8"/>
            <color indexed="81"/>
            <rFont val="Tahoma"/>
            <family val="2"/>
          </rPr>
          <t xml:space="preserve"> is management’s estimate of the long-term rate of return for plan assets and is used to calculate a component of pension expense. This will vary widely from company to company depending on asset mix and other assumptions.</t>
        </r>
        <r>
          <rPr>
            <b/>
            <sz val="8"/>
            <color indexed="81"/>
            <rFont val="Tahoma"/>
            <family val="2"/>
          </rPr>
          <t xml:space="preserve">
How to forecast this line item if Pension is material for my company?</t>
        </r>
        <r>
          <rPr>
            <sz val="8"/>
            <color indexed="81"/>
            <rFont val="Tahoma"/>
            <family val="2"/>
          </rPr>
          <t xml:space="preserve">
EROA should be calculated as management’s assumption of the long-term return times the FV of plan assets (BOP).
</t>
        </r>
        <r>
          <rPr>
            <b/>
            <sz val="8"/>
            <color indexed="81"/>
            <rFont val="Tahoma"/>
            <family val="2"/>
          </rPr>
          <t xml:space="preserve">How does the template forecast it?
</t>
        </r>
        <r>
          <rPr>
            <sz val="8"/>
            <color indexed="81"/>
            <rFont val="Tahoma"/>
            <family val="2"/>
          </rPr>
          <t>EROA is calculated as  management’s assumption of the long-term return times the FV of plan assets (BOP).</t>
        </r>
      </text>
    </comment>
    <comment ref="A23" authorId="0">
      <text>
        <r>
          <rPr>
            <sz val="8"/>
            <color indexed="81"/>
            <rFont val="Tahoma"/>
            <family val="2"/>
          </rPr>
          <t xml:space="preserve">
Companies that have voluntarily changed their GAAP pension accounting recognize all actuarial gains/losses that occurred during the year in the 4th quarter, instead of amortizing them over time. </t>
        </r>
        <r>
          <rPr>
            <b/>
            <sz val="8"/>
            <color indexed="81"/>
            <rFont val="Tahoma"/>
            <family val="2"/>
          </rPr>
          <t xml:space="preserve">
How to forecast this line item if Pension is material for my company?</t>
        </r>
        <r>
          <rPr>
            <sz val="8"/>
            <color indexed="81"/>
            <rFont val="Tahoma"/>
            <family val="2"/>
          </rPr>
          <t xml:space="preserve">
This line item is not important from an economic standpoint and is also impossible to forecast. You should set this line item equal to zero for the forecast years.
</t>
        </r>
        <r>
          <rPr>
            <b/>
            <sz val="8"/>
            <color indexed="81"/>
            <rFont val="Tahoma"/>
            <family val="2"/>
          </rPr>
          <t xml:space="preserve">How does the template forecast it?
</t>
        </r>
        <r>
          <rPr>
            <sz val="8"/>
            <color indexed="81"/>
            <rFont val="Tahoma"/>
            <family val="2"/>
          </rPr>
          <t>The template computes the actuarial gains and losses for the year by considering changes in interest rates (row 8) and the difference in EROA and actual rate of return (Row 11 &amp;12) to recognize it immediately on the income statement.</t>
        </r>
      </text>
    </comment>
    <comment ref="A24" authorId="0">
      <text>
        <r>
          <rPr>
            <b/>
            <sz val="8"/>
            <color indexed="81"/>
            <rFont val="Tahoma"/>
            <family val="2"/>
          </rPr>
          <t xml:space="preserve">
In the template, this line item may include the total of:
</t>
        </r>
        <r>
          <rPr>
            <sz val="8"/>
            <color indexed="81"/>
            <rFont val="Tahoma"/>
            <family val="2"/>
          </rPr>
          <t>1</t>
        </r>
        <r>
          <rPr>
            <u/>
            <sz val="8"/>
            <color indexed="81"/>
            <rFont val="Tahoma"/>
            <family val="2"/>
          </rPr>
          <t xml:space="preserve">. Amortization of actuarial gains &amp; losses: </t>
        </r>
        <r>
          <rPr>
            <sz val="8"/>
            <color indexed="81"/>
            <rFont val="Tahoma"/>
            <family val="2"/>
          </rPr>
          <t>When the actual results of the plan (which are reported on the balance sheet) differ significantly from the actuarial estimates (which are reported on the income statement), these differences are smoothed into pension expense over time, usually over the average remaining working life of employees.</t>
        </r>
        <r>
          <rPr>
            <b/>
            <sz val="8"/>
            <color indexed="81"/>
            <rFont val="Tahoma"/>
            <family val="2"/>
          </rPr>
          <t xml:space="preserve">
</t>
        </r>
        <r>
          <rPr>
            <sz val="8"/>
            <color indexed="81"/>
            <rFont val="Tahoma"/>
            <family val="2"/>
          </rPr>
          <t>2</t>
        </r>
        <r>
          <rPr>
            <u/>
            <sz val="8"/>
            <color indexed="81"/>
            <rFont val="Tahoma"/>
            <family val="2"/>
          </rPr>
          <t>. Other adjustments</t>
        </r>
        <r>
          <rPr>
            <sz val="8"/>
            <color indexed="81"/>
            <rFont val="Tahoma"/>
            <family val="2"/>
          </rPr>
          <t xml:space="preserve"> such as settlements and curtailments. These tend to be one-time in nature, and related to plan changes.</t>
        </r>
        <r>
          <rPr>
            <b/>
            <sz val="8"/>
            <color indexed="81"/>
            <rFont val="Tahoma"/>
            <family val="2"/>
          </rPr>
          <t xml:space="preserve">
How to forecast this line item if Pension is material for my company?
</t>
        </r>
        <r>
          <rPr>
            <sz val="8"/>
            <color indexed="81"/>
            <rFont val="Tahoma"/>
            <family val="2"/>
          </rPr>
          <t>Pension footnote discloses amortization of actuarial gains/ losses for the next fiscal year. For the remaining forecast years, you should use the approach mentioned below. Also, contact AST to make sure that the numbers make sense.</t>
        </r>
        <r>
          <rPr>
            <sz val="8"/>
            <color indexed="81"/>
            <rFont val="Tahoma"/>
            <family val="2"/>
          </rPr>
          <t xml:space="preserve">
</t>
        </r>
        <r>
          <rPr>
            <b/>
            <sz val="8"/>
            <color indexed="81"/>
            <rFont val="Tahoma"/>
            <family val="2"/>
          </rPr>
          <t xml:space="preserve">How does the template forecast it?
</t>
        </r>
        <r>
          <rPr>
            <sz val="8"/>
            <color indexed="81"/>
            <rFont val="Tahoma"/>
            <family val="2"/>
          </rPr>
          <t>The template computes the actuarial gains and losses for the year by considering changes in interest rates (row 8) and the difference in EROA and actual rate of return (Row 11 &amp;12). It divides the actuarial loss for the year by avg. remaining working life of employees to compute the amortization for the year and then adds 
it to the amortization of accumulated gain / loss of previous year.</t>
        </r>
      </text>
    </comment>
    <comment ref="A25" authorId="0">
      <text>
        <r>
          <rPr>
            <b/>
            <sz val="8"/>
            <color indexed="81"/>
            <rFont val="Tahoma"/>
            <family val="2"/>
          </rPr>
          <t xml:space="preserve">
Pension expense</t>
        </r>
        <r>
          <rPr>
            <sz val="8"/>
            <color indexed="81"/>
            <rFont val="Tahoma"/>
            <family val="2"/>
          </rPr>
          <t xml:space="preserve"> is an accrued pension expense and is entirely non-cash. It is calculated as Service cost (+) Interest cost (-) EROA (+/-) Amortization of actuarial gains/ losses / prior service cost.</t>
        </r>
      </text>
    </comment>
    <comment ref="O25" authorId="1">
      <text>
        <r>
          <rPr>
            <b/>
            <sz val="9"/>
            <color indexed="81"/>
            <rFont val="Tahoma"/>
            <family val="2"/>
          </rPr>
          <t>E Kurtz:</t>
        </r>
        <r>
          <rPr>
            <sz val="9"/>
            <color indexed="81"/>
            <rFont val="Tahoma"/>
            <family val="2"/>
          </rPr>
          <t xml:space="preserve">
4Q16 slides: $106mn</t>
        </r>
      </text>
    </comment>
    <comment ref="P25" authorId="1">
      <text>
        <r>
          <rPr>
            <b/>
            <sz val="9"/>
            <color indexed="81"/>
            <rFont val="Tahoma"/>
            <family val="2"/>
          </rPr>
          <t>E Kurtz:</t>
        </r>
        <r>
          <rPr>
            <sz val="9"/>
            <color indexed="81"/>
            <rFont val="Tahoma"/>
            <family val="2"/>
          </rPr>
          <t xml:space="preserve">
4Q16 slides: $102mn
1Q17 slides: $104</t>
        </r>
      </text>
    </comment>
    <comment ref="Q25" authorId="2">
      <text>
        <r>
          <rPr>
            <b/>
            <sz val="9"/>
            <color indexed="81"/>
            <rFont val="Tahoma"/>
            <family val="2"/>
          </rPr>
          <t>Rocha Calejon, Serena (Research):</t>
        </r>
        <r>
          <rPr>
            <sz val="9"/>
            <color indexed="81"/>
            <rFont val="Tahoma"/>
            <family val="2"/>
          </rPr>
          <t xml:space="preserve">
4Q17 slides: $135 mn</t>
        </r>
      </text>
    </comment>
    <comment ref="A29" authorId="0">
      <text>
        <r>
          <rPr>
            <b/>
            <sz val="8"/>
            <color indexed="81"/>
            <rFont val="Tahoma"/>
            <family val="2"/>
          </rPr>
          <t xml:space="preserve">
PBO</t>
        </r>
        <r>
          <rPr>
            <sz val="8"/>
            <color indexed="81"/>
            <rFont val="Tahoma"/>
            <family val="2"/>
          </rPr>
          <t xml:space="preserve"> is the present value of the projected benefit obligations earned to date. Employees earn benefits as they accumulate years of service. The obligations are measured at present value using the corporate AA bond rate and are re-measured each year to account for interest rate changes, assumption changes, new benefits earned (represented by service cost), and passage of time (represented by interest cost) which increase the PBO. Also, benefits paid during the year decrease the PBO.</t>
        </r>
      </text>
    </comment>
    <comment ref="A30" authorId="0">
      <text>
        <r>
          <rPr>
            <b/>
            <sz val="8"/>
            <color indexed="81"/>
            <rFont val="Tahoma"/>
            <family val="2"/>
          </rPr>
          <t xml:space="preserve">
Service cost</t>
        </r>
        <r>
          <rPr>
            <sz val="8"/>
            <color indexed="81"/>
            <rFont val="Tahoma"/>
            <family val="2"/>
          </rPr>
          <t xml:space="preserve"> is incurred each period as employees earn new benefits for increased time of service and is thus added to PBO, which is the PV of the projected benefit obligations </t>
        </r>
        <r>
          <rPr>
            <u/>
            <sz val="8"/>
            <color indexed="81"/>
            <rFont val="Tahoma"/>
            <family val="2"/>
          </rPr>
          <t>earned to date.</t>
        </r>
        <r>
          <rPr>
            <b/>
            <sz val="8"/>
            <color indexed="81"/>
            <rFont val="Tahoma"/>
            <family val="2"/>
          </rPr>
          <t xml:space="preserve">
How to forecast this line item if Pension is material for my company?
</t>
        </r>
        <r>
          <rPr>
            <sz val="8"/>
            <color indexed="81"/>
            <rFont val="Tahoma"/>
            <family val="2"/>
          </rPr>
          <t>It should be linked to service cost for the year already forecasted on the income statement.</t>
        </r>
        <r>
          <rPr>
            <b/>
            <sz val="8"/>
            <color indexed="81"/>
            <rFont val="Tahoma"/>
            <family val="2"/>
          </rPr>
          <t xml:space="preserve">
How does the template forecast it?
</t>
        </r>
        <r>
          <rPr>
            <sz val="8"/>
            <color indexed="81"/>
            <rFont val="Tahoma"/>
            <family val="2"/>
          </rPr>
          <t>It is linked to service cost for the year already forecasted on the income statement.</t>
        </r>
      </text>
    </comment>
    <comment ref="A31" authorId="0">
      <text>
        <r>
          <rPr>
            <b/>
            <sz val="8"/>
            <color indexed="81"/>
            <rFont val="Tahoma"/>
            <family val="2"/>
          </rPr>
          <t xml:space="preserve">
Interest cost is</t>
        </r>
        <r>
          <rPr>
            <sz val="8"/>
            <color indexed="81"/>
            <rFont val="Tahoma"/>
            <family val="2"/>
          </rPr>
          <t xml:space="preserve"> the financing cost of the gross liability and is thus added to PBO.</t>
        </r>
        <r>
          <rPr>
            <b/>
            <sz val="8"/>
            <color indexed="81"/>
            <rFont val="Tahoma"/>
            <family val="2"/>
          </rPr>
          <t xml:space="preserve">
How to forecast this line item if Pension is material for my company?</t>
        </r>
        <r>
          <rPr>
            <sz val="8"/>
            <color indexed="81"/>
            <rFont val="Tahoma"/>
            <family val="2"/>
          </rPr>
          <t xml:space="preserve">
It should be linked to interest cost for the year already forecasted on the income statement.
</t>
        </r>
        <r>
          <rPr>
            <b/>
            <sz val="8"/>
            <color indexed="81"/>
            <rFont val="Tahoma"/>
            <family val="2"/>
          </rPr>
          <t>How does the template forecast it?</t>
        </r>
        <r>
          <rPr>
            <sz val="8"/>
            <color indexed="81"/>
            <rFont val="Tahoma"/>
            <family val="2"/>
          </rPr>
          <t xml:space="preserve">
It is linked to interest cost for the year already forecasted on the income statement.
</t>
        </r>
      </text>
    </comment>
    <comment ref="A32" authorId="0">
      <text>
        <r>
          <rPr>
            <b/>
            <sz val="8"/>
            <color indexed="81"/>
            <rFont val="Tahoma"/>
            <family val="2"/>
          </rPr>
          <t xml:space="preserve">
Actuarial loss (gain)</t>
        </r>
        <r>
          <rPr>
            <sz val="8"/>
            <color indexed="81"/>
            <rFont val="Tahoma"/>
            <family val="2"/>
          </rPr>
          <t xml:space="preserve"> is the magnitude of disconnect between actuarial estimates and actual experience in a company's pension plan. For example, if the interest (discount) rate used to compute the PV of benefit obligations declines, it results in increase in the obligations and the change in liability is accounted as an actuarial loss for the year.</t>
        </r>
        <r>
          <rPr>
            <b/>
            <sz val="8"/>
            <color indexed="81"/>
            <rFont val="Tahoma"/>
            <family val="2"/>
          </rPr>
          <t xml:space="preserve">
How to forecast this line item if Pension is material for my company?
</t>
        </r>
        <r>
          <rPr>
            <sz val="8"/>
            <color indexed="81"/>
            <rFont val="Tahoma"/>
            <family val="2"/>
          </rPr>
          <t>It should be forecasted by considering the changes in interest rates (if forecasted) for the period (row 8) and using a rule of thumb which states that -- every 100 bps change in discount rate results in about 10% change in PBO.</t>
        </r>
        <r>
          <rPr>
            <b/>
            <sz val="8"/>
            <color indexed="81"/>
            <rFont val="Tahoma"/>
            <family val="2"/>
          </rPr>
          <t xml:space="preserve">
How does the template forecast it?
</t>
        </r>
        <r>
          <rPr>
            <sz val="8"/>
            <color indexed="81"/>
            <rFont val="Tahoma"/>
            <family val="2"/>
          </rPr>
          <t>The template uses a rule of thumb and forecasts this number after considering the changes in discount rates on row 8.</t>
        </r>
      </text>
    </comment>
    <comment ref="A33" authorId="0">
      <text>
        <r>
          <rPr>
            <b/>
            <sz val="8"/>
            <color indexed="81"/>
            <rFont val="Tahoma"/>
            <family val="2"/>
          </rPr>
          <t xml:space="preserve">
Benefits payments </t>
        </r>
        <r>
          <rPr>
            <sz val="8"/>
            <color indexed="81"/>
            <rFont val="Tahoma"/>
            <family val="2"/>
          </rPr>
          <t>are the actual pension benefit payments made to the employees during the year. It reduces the pension liability by the amount of the benefits paid.</t>
        </r>
        <r>
          <rPr>
            <b/>
            <sz val="8"/>
            <color indexed="81"/>
            <rFont val="Tahoma"/>
            <family val="2"/>
          </rPr>
          <t xml:space="preserve">
How to forecast this line item if Pension is material for my company?</t>
        </r>
        <r>
          <rPr>
            <sz val="8"/>
            <color indexed="81"/>
            <rFont val="Tahoma"/>
            <family val="2"/>
          </rPr>
          <t xml:space="preserve">
The pension footnote discloses the expected benefit payments to retirees for the next 5 years, and the aggregate payment for the following 5 years which should be used in the template to forecast future benefit payments.
</t>
        </r>
        <r>
          <rPr>
            <b/>
            <sz val="8"/>
            <color indexed="81"/>
            <rFont val="Tahoma"/>
            <family val="2"/>
          </rPr>
          <t xml:space="preserve">How does the template forecast it?
</t>
        </r>
        <r>
          <rPr>
            <sz val="8"/>
            <color indexed="81"/>
            <rFont val="Tahoma"/>
            <family val="2"/>
          </rPr>
          <t>Because benefit payments are usually steady in nature, the template flat lines it.</t>
        </r>
      </text>
    </comment>
    <comment ref="Q33" authorId="2">
      <text>
        <r>
          <rPr>
            <b/>
            <sz val="9"/>
            <color indexed="81"/>
            <rFont val="Tahoma"/>
            <family val="2"/>
          </rPr>
          <t>Rocha Calejon, Serena (Research):</t>
        </r>
        <r>
          <rPr>
            <sz val="9"/>
            <color indexed="81"/>
            <rFont val="Tahoma"/>
            <family val="2"/>
          </rPr>
          <t xml:space="preserve">
per 2017 10-K</t>
        </r>
      </text>
    </comment>
    <comment ref="A34" authorId="0">
      <text>
        <r>
          <rPr>
            <b/>
            <sz val="8"/>
            <color indexed="81"/>
            <rFont val="Tahoma"/>
            <family val="2"/>
          </rPr>
          <t xml:space="preserve">
In the template, this line item may include the total of:</t>
        </r>
        <r>
          <rPr>
            <sz val="8"/>
            <color indexed="81"/>
            <rFont val="Tahoma"/>
            <family val="2"/>
          </rPr>
          <t xml:space="preserve">
1. Plan Amendments
2. Actuarial Adjustments
3. Exchange gains/losses
4. Settlements and curtailments
5. Acquisitions and Divestures
6. Other adjustments to PBO</t>
        </r>
        <r>
          <rPr>
            <b/>
            <sz val="8"/>
            <color indexed="81"/>
            <rFont val="Tahoma"/>
            <family val="2"/>
          </rPr>
          <t xml:space="preserve">
How to forecast this line item if Pension is material for my company?</t>
        </r>
        <r>
          <rPr>
            <sz val="8"/>
            <color indexed="81"/>
            <rFont val="Tahoma"/>
            <family val="2"/>
          </rPr>
          <t xml:space="preserve">
This line item includes a set of miscellaneous items that are not important from an economic standpoint, They are also impossible to forecast. You should set it equal to zero for the forecast years.
</t>
        </r>
        <r>
          <rPr>
            <b/>
            <sz val="8"/>
            <color indexed="81"/>
            <rFont val="Tahoma"/>
            <family val="2"/>
          </rPr>
          <t xml:space="preserve">How does the template forecast it?
</t>
        </r>
        <r>
          <rPr>
            <sz val="8"/>
            <color indexed="81"/>
            <rFont val="Tahoma"/>
            <family val="2"/>
          </rPr>
          <t>The template does not make an attempt to forecast this line item and sets it equal to zero for the forecast years.</t>
        </r>
      </text>
    </comment>
    <comment ref="A37" authorId="0">
      <text>
        <r>
          <rPr>
            <b/>
            <sz val="8"/>
            <color indexed="81"/>
            <rFont val="Tahoma"/>
            <family val="2"/>
          </rPr>
          <t xml:space="preserve">
Pension plan assets</t>
        </r>
        <r>
          <rPr>
            <sz val="8"/>
            <color indexed="81"/>
            <rFont val="Tahoma"/>
            <family val="2"/>
          </rPr>
          <t xml:space="preserve"> are measured at the current fair value. Similar to other assets and liabilities measured at fair value, the company provides details about how it measured the fair value of its pension assets in the disclosures.</t>
        </r>
      </text>
    </comment>
    <comment ref="A38" authorId="0">
      <text>
        <r>
          <rPr>
            <b/>
            <sz val="8"/>
            <color indexed="81"/>
            <rFont val="Tahoma"/>
            <family val="2"/>
          </rPr>
          <t xml:space="preserve">
Actual return </t>
        </r>
        <r>
          <rPr>
            <sz val="8"/>
            <color indexed="81"/>
            <rFont val="Tahoma"/>
            <family val="2"/>
          </rPr>
          <t xml:space="preserve">is the return generared on pension plan assets .
</t>
        </r>
        <r>
          <rPr>
            <b/>
            <sz val="8"/>
            <color indexed="81"/>
            <rFont val="Tahoma"/>
            <family val="2"/>
          </rPr>
          <t>How to forecast this line item if Pension is material for my company?</t>
        </r>
        <r>
          <rPr>
            <sz val="8"/>
            <color indexed="81"/>
            <rFont val="Tahoma"/>
            <family val="2"/>
          </rPr>
          <t xml:space="preserve">
Actual return could be calculated as actual rate of return (row12) times the FV of plan assets (BOP) + 0.5*contributions assuming that the contributions were made in the middle of the year. Contact AST if the company makes steady contributions throughout the year OR if you are unsure how to consider them when calculating actual return.
</t>
        </r>
        <r>
          <rPr>
            <b/>
            <sz val="8"/>
            <color indexed="81"/>
            <rFont val="Tahoma"/>
            <family val="2"/>
          </rPr>
          <t>How does the template forecast it?</t>
        </r>
        <r>
          <rPr>
            <sz val="8"/>
            <color indexed="81"/>
            <rFont val="Tahoma"/>
            <family val="2"/>
          </rPr>
          <t xml:space="preserve">
Actual return is calculated as actual rate of return (row12) times the FV of plan assets (BOP) + 0.5*contributions assuming that the contributions were made in the middle of the year.</t>
        </r>
      </text>
    </comment>
    <comment ref="A39" authorId="0">
      <text>
        <r>
          <rPr>
            <b/>
            <sz val="8"/>
            <color indexed="81"/>
            <rFont val="Tahoma"/>
            <family val="2"/>
          </rPr>
          <t xml:space="preserve">
Contributions</t>
        </r>
        <r>
          <rPr>
            <sz val="8"/>
            <color indexed="81"/>
            <rFont val="Tahoma"/>
            <family val="2"/>
          </rPr>
          <t xml:space="preserve"> are the payments that the company makes into the pension trust, for future benefit payments. These contributions may be the minimum required based on ERISA requirements, or may be discretionary. The companies are awarded credits whenever they make contributions in excess of minimum requirements. These credits, which are not
disclosed, can then be used to offset future required contributions. Therefore they tend to be very lumpy, and difficult to estimate.</t>
        </r>
        <r>
          <rPr>
            <b/>
            <sz val="8"/>
            <color indexed="81"/>
            <rFont val="Tahoma"/>
            <family val="2"/>
          </rPr>
          <t xml:space="preserve">
How to forecast this line item if Pension is material for my company?
</t>
        </r>
        <r>
          <rPr>
            <sz val="8"/>
            <color indexed="81"/>
            <rFont val="Tahoma"/>
            <family val="2"/>
          </rPr>
          <t>Companies disclose expected contributions for the 'next' fiscal year in their pension footnote which should be used in the template to forecast next year's contributions. Some companies also disclose it for 'future years' in their contractual obligations footnote, which could be used to forecast it for the rest of the years. If they don't, contact AST to better estimate this number for future years.</t>
        </r>
        <r>
          <rPr>
            <sz val="8"/>
            <color indexed="81"/>
            <rFont val="Tahoma"/>
            <family val="2"/>
          </rPr>
          <t xml:space="preserve">
</t>
        </r>
        <r>
          <rPr>
            <b/>
            <sz val="8"/>
            <color indexed="81"/>
            <rFont val="Tahoma"/>
            <family val="2"/>
          </rPr>
          <t xml:space="preserve">How does the template forecast it?
</t>
        </r>
        <r>
          <rPr>
            <sz val="8"/>
            <color indexed="81"/>
            <rFont val="Tahoma"/>
            <family val="2"/>
          </rPr>
          <t>The template uses the average contributions of last three actual years. You should use this approach if liquidity is not a major concern for the company.</t>
        </r>
      </text>
    </comment>
    <comment ref="A40" authorId="0">
      <text>
        <r>
          <rPr>
            <b/>
            <sz val="8"/>
            <color indexed="81"/>
            <rFont val="Tahoma"/>
            <family val="2"/>
          </rPr>
          <t xml:space="preserve">
Benefits payments </t>
        </r>
        <r>
          <rPr>
            <sz val="8"/>
            <color indexed="81"/>
            <rFont val="Tahoma"/>
            <family val="2"/>
          </rPr>
          <t>are the actual pension benefit payments made to the employees during the year. These payments are paid out of pension plan assets and are thus reduced from plan assets.</t>
        </r>
        <r>
          <rPr>
            <b/>
            <sz val="8"/>
            <color indexed="81"/>
            <rFont val="Tahoma"/>
            <family val="2"/>
          </rPr>
          <t xml:space="preserve">
How to forecast this line item if Pension is material for my company?</t>
        </r>
        <r>
          <rPr>
            <sz val="8"/>
            <color indexed="81"/>
            <rFont val="Tahoma"/>
            <family val="2"/>
          </rPr>
          <t xml:space="preserve">
The pension footnote discloses the schedule of expected benefit payments to retirees for the next 5 years, and the aggregate payment for the following 5 years, which should be used in the template to forecast future benefit payments. (i.e. you can just link this to row 33 of the template)
</t>
        </r>
        <r>
          <rPr>
            <b/>
            <sz val="8"/>
            <color indexed="81"/>
            <rFont val="Tahoma"/>
            <family val="2"/>
          </rPr>
          <t xml:space="preserve">How does the template forecast it?
</t>
        </r>
        <r>
          <rPr>
            <sz val="8"/>
            <color indexed="81"/>
            <rFont val="Tahoma"/>
            <family val="2"/>
          </rPr>
          <t>Since benefit payments are usually steady in nature, the template flat lines it. (i.e. links it to row 33 of the template)</t>
        </r>
      </text>
    </comment>
    <comment ref="A41" authorId="0">
      <text>
        <r>
          <rPr>
            <b/>
            <sz val="8"/>
            <color indexed="81"/>
            <rFont val="Tahoma"/>
            <family val="2"/>
          </rPr>
          <t xml:space="preserve">
In the template, this line item may include the total of:</t>
        </r>
        <r>
          <rPr>
            <sz val="8"/>
            <color indexed="81"/>
            <rFont val="Tahoma"/>
            <family val="2"/>
          </rPr>
          <t xml:space="preserve">
1. Acquisitions and Divestitures 
2. Settlements and curtailments
3. Exchange rate changes 
4. Other adjustments to plan assets
</t>
        </r>
        <r>
          <rPr>
            <b/>
            <sz val="8"/>
            <color indexed="81"/>
            <rFont val="Tahoma"/>
            <family val="2"/>
          </rPr>
          <t xml:space="preserve">How to forecast this line item if Pension is material for my company?
</t>
        </r>
        <r>
          <rPr>
            <sz val="8"/>
            <color indexed="81"/>
            <rFont val="Tahoma"/>
            <family val="2"/>
          </rPr>
          <t>This line item includes a set of miscellaneous items that are not important from an economic standpoint. They are also impossible to forecast. You should set this line item equal to zero for the forecast years.</t>
        </r>
        <r>
          <rPr>
            <b/>
            <sz val="8"/>
            <color indexed="81"/>
            <rFont val="Tahoma"/>
            <family val="2"/>
          </rPr>
          <t xml:space="preserve">
How does the template forecast it?
</t>
        </r>
        <r>
          <rPr>
            <sz val="8"/>
            <color indexed="81"/>
            <rFont val="Tahoma"/>
            <family val="2"/>
          </rPr>
          <t>The template does not make an attempt to forecast this line item and sets it equal to zero for the forecast years.</t>
        </r>
      </text>
    </comment>
    <comment ref="A44" authorId="0">
      <text>
        <r>
          <rPr>
            <b/>
            <sz val="8"/>
            <color indexed="81"/>
            <rFont val="Tahoma"/>
            <family val="2"/>
          </rPr>
          <t xml:space="preserve">
Funded status </t>
        </r>
        <r>
          <rPr>
            <sz val="8"/>
            <color indexed="81"/>
            <rFont val="Tahoma"/>
            <family val="2"/>
          </rPr>
          <t>of the plan is the difference between the PBO and the FV of plan assets. It is recorded on the balance sheet and may be split between the current and non-current portions. It fully measures the debt-like liability of the plan to date and incurs interest like any financial liability. 
The pension obligation on the balance sheet is tax-deductible when a company contributes to the plan. Companies report it gross of tax (i.e. funded status), and the corresponding tax benefit is recorded as a deferred tax asset on BS. The tax deductibility of pension debt is an important difference as compared to traditional debt. When a company takes on traditional debt, interest is deductible, but the debt principal payments are not.
When looking at metrics that include pension debt (such as net debt) analysts should subtract the corresponding DTA to capture the true liability.</t>
        </r>
      </text>
    </comment>
    <comment ref="A47" authorId="0">
      <text>
        <r>
          <rPr>
            <b/>
            <sz val="8"/>
            <color indexed="81"/>
            <rFont val="Tahoma"/>
            <family val="2"/>
          </rPr>
          <t xml:space="preserve">
DTAs: </t>
        </r>
        <r>
          <rPr>
            <sz val="8"/>
            <color indexed="81"/>
            <rFont val="Tahoma"/>
            <family val="2"/>
          </rPr>
          <t xml:space="preserve">The pension obligation on the balance sheet is tax-deductible when a company contributes to the plan. Companies report it gross of tax (i.e. funded status), and the corresponding tax benefit is recorded as a deferred tax asset on the BS. When looking at metrics that include pension debt (such as net debt) analysts should subtract the corresponding DTA to capture the true liability.
</t>
        </r>
        <r>
          <rPr>
            <b/>
            <sz val="8"/>
            <color indexed="81"/>
            <rFont val="Tahoma"/>
            <family val="2"/>
          </rPr>
          <t>How to forecast this line item if Pension is material for my company?</t>
        </r>
        <r>
          <rPr>
            <sz val="8"/>
            <color indexed="81"/>
            <rFont val="Tahoma"/>
            <family val="2"/>
          </rPr>
          <t xml:space="preserve">
DTA's should be = tax rate x forecasted funded status.
</t>
        </r>
        <r>
          <rPr>
            <b/>
            <sz val="8"/>
            <color indexed="81"/>
            <rFont val="Tahoma"/>
            <family val="2"/>
          </rPr>
          <t xml:space="preserve">How does the template forecast it?
</t>
        </r>
        <r>
          <rPr>
            <sz val="8"/>
            <color indexed="81"/>
            <rFont val="Tahoma"/>
            <family val="2"/>
          </rPr>
          <t>It is calculated as tax rate times forecasted funded status.</t>
        </r>
      </text>
    </comment>
    <comment ref="A51" authorId="0">
      <text>
        <r>
          <rPr>
            <b/>
            <sz val="8"/>
            <color indexed="81"/>
            <rFont val="Tahoma"/>
            <family val="2"/>
          </rPr>
          <t xml:space="preserve">
Pension expense</t>
        </r>
        <r>
          <rPr>
            <sz val="8"/>
            <color indexed="81"/>
            <rFont val="Tahoma"/>
            <family val="2"/>
          </rPr>
          <t xml:space="preserve"> is an accrued pension expense and is entirely non-cash. It is thus added back in cash flow from operations as a non-cash item.</t>
        </r>
      </text>
    </comment>
    <comment ref="A52" authorId="0">
      <text>
        <r>
          <rPr>
            <b/>
            <sz val="8"/>
            <color indexed="81"/>
            <rFont val="Tahoma"/>
            <family val="2"/>
          </rPr>
          <t xml:space="preserve">
Contributions</t>
        </r>
        <r>
          <rPr>
            <sz val="8"/>
            <color indexed="81"/>
            <rFont val="Tahoma"/>
            <family val="2"/>
          </rPr>
          <t xml:space="preserve"> are the companies’ payments to the pension trust. These are thus the cash flows on a companies cash flow
statement.</t>
        </r>
      </text>
    </comment>
    <comment ref="A59" authorId="0">
      <text>
        <r>
          <rPr>
            <b/>
            <sz val="8"/>
            <color indexed="81"/>
            <rFont val="Tahoma"/>
            <family val="2"/>
          </rPr>
          <t xml:space="preserve">
Why?
</t>
        </r>
        <r>
          <rPr>
            <sz val="8"/>
            <color indexed="81"/>
            <rFont val="Tahoma"/>
            <family val="2"/>
          </rPr>
          <t>Contributions are companies’ payments to the pension trust. They thus represent a reduction in operating cash flow of the company in the year in which they are made.</t>
        </r>
      </text>
    </comment>
    <comment ref="A60" authorId="0">
      <text>
        <r>
          <rPr>
            <b/>
            <sz val="8"/>
            <color indexed="81"/>
            <rFont val="Tahoma"/>
            <family val="2"/>
          </rPr>
          <t xml:space="preserve">
Why?</t>
        </r>
        <r>
          <rPr>
            <sz val="8"/>
            <color indexed="81"/>
            <rFont val="Tahoma"/>
            <family val="2"/>
          </rPr>
          <t xml:space="preserve">
Pension expense/ (income) is a non-cash number and thus needs to be added back on the cash flow statement. Contributions are the only cash flows related to pension on a company's cash flow statement.</t>
        </r>
      </text>
    </comment>
    <comment ref="A61" authorId="0">
      <text>
        <r>
          <rPr>
            <b/>
            <sz val="8"/>
            <color indexed="81"/>
            <rFont val="Tahoma"/>
            <family val="2"/>
          </rPr>
          <t xml:space="preserve">
Why?
</t>
        </r>
        <r>
          <rPr>
            <sz val="8"/>
            <color indexed="81"/>
            <rFont val="Tahoma"/>
            <family val="2"/>
          </rPr>
          <t>DB obligations on the balance sheet are tax-deductible when the company makes contributions. The obligation on the balance sheet is reported gross of tax, and the corresponding tax benefits are part of deferred tax assets (DTA).</t>
        </r>
      </text>
    </comment>
    <comment ref="A66" authorId="0">
      <text>
        <r>
          <rPr>
            <b/>
            <sz val="8"/>
            <color indexed="81"/>
            <rFont val="Tahoma"/>
            <family val="2"/>
          </rPr>
          <t xml:space="preserve">
Why?
</t>
        </r>
        <r>
          <rPr>
            <sz val="8"/>
            <color indexed="81"/>
            <rFont val="Tahoma"/>
            <family val="2"/>
          </rPr>
          <t>Improvement/deterioration in funded status during the year will decrease /increase the net pension liability for the year and thus needs to be captured in this line item.</t>
        </r>
        <r>
          <rPr>
            <b/>
            <sz val="8"/>
            <color indexed="81"/>
            <rFont val="Tahoma"/>
            <family val="2"/>
          </rPr>
          <t xml:space="preserve">
</t>
        </r>
      </text>
    </comment>
    <comment ref="A67" authorId="0">
      <text>
        <r>
          <rPr>
            <b/>
            <sz val="8"/>
            <color indexed="81"/>
            <rFont val="Tahoma"/>
            <family val="2"/>
          </rPr>
          <t xml:space="preserve">
Why?
</t>
        </r>
        <r>
          <rPr>
            <sz val="8"/>
            <color indexed="81"/>
            <rFont val="Tahoma"/>
            <family val="2"/>
          </rPr>
          <t xml:space="preserve">While the funded status on the balance sheet is based on actual results (i.e. actual return on assets, year-end discount rate, etc), the accounting for the pension/OPEB plan on the income statement is heavily influenced by management estimates and various smoothing features (i.e. EROA, amortization of prior service costs and actuarial G/L, etc.)
To keep the balance sheet in balance, the disconnect between estimated and actual results (known as unrecognized actuarial gains/losses) is captured in </t>
        </r>
        <r>
          <rPr>
            <b/>
            <sz val="8"/>
            <color indexed="81"/>
            <rFont val="Tahoma"/>
            <family val="2"/>
          </rPr>
          <t>Accumulated other comprehensive income (AOCI).</t>
        </r>
      </text>
    </comment>
  </commentList>
</comments>
</file>

<file path=xl/comments7.xml><?xml version="1.0" encoding="utf-8"?>
<comments xmlns="http://schemas.openxmlformats.org/spreadsheetml/2006/main">
  <authors>
    <author>mogres</author>
    <author>E Kurtz</author>
    <author>Rocha Calejon, Serena (Research)</author>
  </authors>
  <commentList>
    <comment ref="A8" authorId="0">
      <text>
        <r>
          <rPr>
            <sz val="8"/>
            <color indexed="81"/>
            <rFont val="Tahoma"/>
            <family val="2"/>
          </rPr>
          <t xml:space="preserve">
</t>
        </r>
        <r>
          <rPr>
            <b/>
            <sz val="8"/>
            <color indexed="81"/>
            <rFont val="Tahoma"/>
            <family val="2"/>
          </rPr>
          <t xml:space="preserve">Discount rate </t>
        </r>
        <r>
          <rPr>
            <sz val="8"/>
            <color indexed="81"/>
            <rFont val="Tahoma"/>
            <family val="2"/>
          </rPr>
          <t>is based on the Corporate AA bond rate and is used to calculate the present value of pension benefit obligations.
Because the companies have some discretion over how they estimate the rate and the duration of future benefit payments varies from company to company, rates will differ slightly from company to company. It is reset every year based on current market conditions.</t>
        </r>
        <r>
          <rPr>
            <b/>
            <sz val="8"/>
            <color indexed="81"/>
            <rFont val="Tahoma"/>
            <family val="2"/>
          </rPr>
          <t xml:space="preserve">
How to forecast this line item if Pension is material for my company?</t>
        </r>
        <r>
          <rPr>
            <sz val="8"/>
            <color indexed="81"/>
            <rFont val="Tahoma"/>
            <family val="2"/>
          </rPr>
          <t xml:space="preserve">
Assuming you wouldn't want to forecast the interest rates, set this equal to prior period's discount rate. If you are in the middle of FY1, you could make an attempt to use the latest available rate using the appropriate bond index yield. Contact AST if you wish to do so. However, from FY2 onwards, you should set it equal to prior period's discount rate.
</t>
        </r>
        <r>
          <rPr>
            <b/>
            <sz val="8"/>
            <color indexed="81"/>
            <rFont val="Tahoma"/>
            <family val="2"/>
          </rPr>
          <t xml:space="preserve">How does the template forecast it?
</t>
        </r>
        <r>
          <rPr>
            <sz val="8"/>
            <color indexed="81"/>
            <rFont val="Tahoma"/>
            <family val="2"/>
          </rPr>
          <t>The template does not make an attempt to forecast the interest rates and flat lines it.</t>
        </r>
      </text>
    </comment>
    <comment ref="A11" authorId="0">
      <text>
        <r>
          <rPr>
            <b/>
            <sz val="8"/>
            <color indexed="81"/>
            <rFont val="Tahoma"/>
            <family val="2"/>
          </rPr>
          <t xml:space="preserve">
EROA</t>
        </r>
        <r>
          <rPr>
            <sz val="8"/>
            <color indexed="81"/>
            <rFont val="Tahoma"/>
            <family val="2"/>
          </rPr>
          <t xml:space="preserve"> is management’s estimate of the long-term rate of return for plan assets* and is used to calculate a component of OPEB expense. This will vary widely from company to company depending on asset mix and other assumptions. EROA generally does not change year-to-year.
*OPEB plans are usually unfuded, meaning they are not set up in trusts. So they usually don't have plan assets set aside to meet the obligations; exception: VEBA trusts. Companies with VEBA trusts only typically fund between 10% and 30% of the OPEB obligation</t>
        </r>
        <r>
          <rPr>
            <b/>
            <sz val="8"/>
            <color indexed="81"/>
            <rFont val="Tahoma"/>
            <family val="2"/>
          </rPr>
          <t xml:space="preserve">
How to forecast this line item if OPEB is material for my company?</t>
        </r>
        <r>
          <rPr>
            <sz val="8"/>
            <color indexed="81"/>
            <rFont val="Tahoma"/>
            <family val="2"/>
          </rPr>
          <t xml:space="preserve">
It should be flat lined unless the management provides guidance around changing it in future year/s OR changing the asset mix in future years/s (e.g. set it lower if the company plans to move their plan assets towards fixed income to better match the asset - liability duration)
</t>
        </r>
        <r>
          <rPr>
            <b/>
            <sz val="8"/>
            <color indexed="81"/>
            <rFont val="Tahoma"/>
            <family val="2"/>
          </rPr>
          <t xml:space="preserve">How does the template forecast it?
</t>
        </r>
        <r>
          <rPr>
            <sz val="8"/>
            <color indexed="81"/>
            <rFont val="Tahoma"/>
            <family val="2"/>
          </rPr>
          <t>The template flat lines the management disclosed estimate of the long-term rate of return on plan assets.</t>
        </r>
      </text>
    </comment>
    <comment ref="A12" authorId="0">
      <text>
        <r>
          <rPr>
            <b/>
            <sz val="8"/>
            <color indexed="81"/>
            <rFont val="Tahoma"/>
            <family val="2"/>
          </rPr>
          <t xml:space="preserve">
Actual Rate of Return </t>
        </r>
        <r>
          <rPr>
            <sz val="8"/>
            <color indexed="81"/>
            <rFont val="Tahoma"/>
            <family val="2"/>
          </rPr>
          <t>is the actual return generated on OPEB plan assets in VEBA trust.</t>
        </r>
        <r>
          <rPr>
            <b/>
            <sz val="8"/>
            <color indexed="81"/>
            <rFont val="Tahoma"/>
            <family val="2"/>
          </rPr>
          <t xml:space="preserve">
How to forecast this line item if OPEB is material for my company?</t>
        </r>
        <r>
          <rPr>
            <sz val="8"/>
            <color indexed="81"/>
            <rFont val="Tahoma"/>
            <family val="2"/>
          </rPr>
          <t xml:space="preserve">
You should set it equal to management's EROA assuming you wouldn't want to forecast the returns on underlying plan assets. If you are in the middle of FY1, you could attempt to use the actual return (YTD) using underlying asset index return. Contact AST if you wish to do so. However, from FY2 onwards, you should set it equal to management's EROA.
</t>
        </r>
        <r>
          <rPr>
            <b/>
            <sz val="8"/>
            <color indexed="81"/>
            <rFont val="Tahoma"/>
            <family val="2"/>
          </rPr>
          <t xml:space="preserve">How does the template forecast it?
</t>
        </r>
        <r>
          <rPr>
            <sz val="8"/>
            <color indexed="81"/>
            <rFont val="Tahoma"/>
            <family val="2"/>
          </rPr>
          <t xml:space="preserve">The template does not make an attempt to forecast the actual rate of return and sets it equal to management's EROA. </t>
        </r>
      </text>
    </comment>
    <comment ref="A13" authorId="0">
      <text>
        <r>
          <rPr>
            <sz val="8"/>
            <color indexed="81"/>
            <rFont val="Tahoma"/>
            <family val="2"/>
          </rPr>
          <t xml:space="preserve">
The OPEB obligation on the balance sheet is tax-deductible as they are paid. Companies report it gross of tax, and the corresponding tax benefit is a deferred tax asset. </t>
        </r>
        <r>
          <rPr>
            <b/>
            <sz val="8"/>
            <color indexed="81"/>
            <rFont val="Tahoma"/>
            <family val="2"/>
          </rPr>
          <t>Statutory tax rate</t>
        </r>
        <r>
          <rPr>
            <sz val="8"/>
            <color indexed="81"/>
            <rFont val="Tahoma"/>
            <family val="2"/>
          </rPr>
          <t xml:space="preserve"> is thus used to compute the deferred tax benefits associated with OPEB obligatios.</t>
        </r>
        <r>
          <rPr>
            <b/>
            <sz val="8"/>
            <color indexed="81"/>
            <rFont val="Tahoma"/>
            <family val="2"/>
          </rPr>
          <t xml:space="preserve">
How to forecast this line item if OPEB is material for my company?</t>
        </r>
        <r>
          <rPr>
            <sz val="8"/>
            <color indexed="81"/>
            <rFont val="Tahoma"/>
            <family val="2"/>
          </rPr>
          <t xml:space="preserve">
You should set it equal to the corporate tax rate of 35%.
</t>
        </r>
        <r>
          <rPr>
            <b/>
            <sz val="8"/>
            <color indexed="81"/>
            <rFont val="Tahoma"/>
            <family val="2"/>
          </rPr>
          <t xml:space="preserve">How does the template forecast it?
</t>
        </r>
        <r>
          <rPr>
            <sz val="8"/>
            <color indexed="81"/>
            <rFont val="Tahoma"/>
            <family val="2"/>
          </rPr>
          <t>The template sets it equal to the statutory tax rate tagged in your model, and for non covered companies it assumes it to be the US corporate tax rate of 35%.</t>
        </r>
      </text>
    </comment>
    <comment ref="A19" authorId="0">
      <text>
        <r>
          <rPr>
            <b/>
            <sz val="8"/>
            <color indexed="81"/>
            <rFont val="Tahoma"/>
            <family val="2"/>
          </rPr>
          <t xml:space="preserve">
Service cost</t>
        </r>
        <r>
          <rPr>
            <sz val="8"/>
            <color indexed="81"/>
            <rFont val="Tahoma"/>
            <family val="2"/>
          </rPr>
          <t xml:space="preserve"> is the 'present value' of new benefits earned during the period and represents the economic operating cost of the ongoing plan. When a company reduces benefits, future service costs decline. If they freeze the plans (i.e. stop the accrual of new benefits), service costs are zero.</t>
        </r>
        <r>
          <rPr>
            <b/>
            <sz val="8"/>
            <color indexed="81"/>
            <rFont val="Tahoma"/>
            <family val="2"/>
          </rPr>
          <t xml:space="preserve">
How to forecast this line item if OPEB is material for my company?</t>
        </r>
        <r>
          <rPr>
            <sz val="8"/>
            <color indexed="81"/>
            <rFont val="Tahoma"/>
            <family val="2"/>
          </rPr>
          <t xml:space="preserve">
For an active plan, service cost </t>
        </r>
        <r>
          <rPr>
            <u/>
            <sz val="8"/>
            <color indexed="81"/>
            <rFont val="Tahoma"/>
            <family val="2"/>
          </rPr>
          <t>usually</t>
        </r>
        <r>
          <rPr>
            <sz val="8"/>
            <color indexed="81"/>
            <rFont val="Tahoma"/>
            <family val="2"/>
          </rPr>
          <t xml:space="preserve"> remains steady in</t>
        </r>
        <r>
          <rPr>
            <u/>
            <sz val="8"/>
            <color indexed="81"/>
            <rFont val="Tahoma"/>
            <family val="2"/>
          </rPr>
          <t xml:space="preserve"> real</t>
        </r>
        <r>
          <rPr>
            <sz val="8"/>
            <color indexed="81"/>
            <rFont val="Tahoma"/>
            <family val="2"/>
          </rPr>
          <t xml:space="preserve"> terms and thus changes only to the extent of changes in interest (discount) rates. It should thus be forecasted after considering the changes in interest rates (if forecasted) for the period and using a rule of thumb which states that -- every 100 bps change in discount rate results in about 10% change in service cost.
If the plan is frozen, set this equal to zero.
</t>
        </r>
        <r>
          <rPr>
            <b/>
            <sz val="8"/>
            <color indexed="81"/>
            <rFont val="Tahoma"/>
            <family val="2"/>
          </rPr>
          <t xml:space="preserve">How does the template forecast it?
</t>
        </r>
        <r>
          <rPr>
            <sz val="8"/>
            <color indexed="81"/>
            <rFont val="Tahoma"/>
            <family val="2"/>
          </rPr>
          <t xml:space="preserve">The template uses a rule of thumb and forecasts the service cost by considering the changes in discount rates (if forecasted - we think its unlikely) on row 8. </t>
        </r>
      </text>
    </comment>
    <comment ref="A20" authorId="0">
      <text>
        <r>
          <rPr>
            <b/>
            <sz val="8"/>
            <color indexed="81"/>
            <rFont val="Tahoma"/>
            <family val="2"/>
          </rPr>
          <t xml:space="preserve">
Prior service cost</t>
        </r>
        <r>
          <rPr>
            <sz val="8"/>
            <color indexed="81"/>
            <rFont val="Tahoma"/>
            <family val="2"/>
          </rPr>
          <t xml:space="preserve"> : When a plan is amended to change benefits, the PBO is re-measured to reflect the new benefit formula. These differences are smoothed into OPEB expense over the remaining service life of employees as prior service costs. </t>
        </r>
        <r>
          <rPr>
            <b/>
            <sz val="8"/>
            <color indexed="81"/>
            <rFont val="Tahoma"/>
            <family val="2"/>
          </rPr>
          <t xml:space="preserve">
How to forecast this line item if OPEB is material for my company?</t>
        </r>
        <r>
          <rPr>
            <sz val="8"/>
            <color indexed="81"/>
            <rFont val="Tahoma"/>
            <family val="2"/>
          </rPr>
          <t xml:space="preserve">
Becasue these are the differences due to amendments in plan benefits, that are then smoothed over a period of time - they tend to be persistent. They should thus be flat lied in forecast years.
</t>
        </r>
        <r>
          <rPr>
            <b/>
            <sz val="8"/>
            <color indexed="81"/>
            <rFont val="Tahoma"/>
            <family val="2"/>
          </rPr>
          <t>How does the template forecast it?</t>
        </r>
        <r>
          <rPr>
            <sz val="8"/>
            <color indexed="81"/>
            <rFont val="Tahoma"/>
            <family val="2"/>
          </rPr>
          <t xml:space="preserve">
The template does not make an attempt to forecast this line item and flat lines it in forecast years.</t>
        </r>
      </text>
    </comment>
    <comment ref="A21" authorId="0">
      <text>
        <r>
          <rPr>
            <b/>
            <sz val="8"/>
            <color indexed="81"/>
            <rFont val="Tahoma"/>
            <family val="2"/>
          </rPr>
          <t xml:space="preserve">
Interest cost</t>
        </r>
        <r>
          <rPr>
            <sz val="8"/>
            <color indexed="81"/>
            <rFont val="Tahoma"/>
            <family val="2"/>
          </rPr>
          <t xml:space="preserve"> is the discount rate (see row 8) times the PBO. It represents the financing cost of the gross liability i.e. PBO.</t>
        </r>
        <r>
          <rPr>
            <b/>
            <sz val="8"/>
            <color indexed="81"/>
            <rFont val="Tahoma"/>
            <family val="2"/>
          </rPr>
          <t xml:space="preserve">
How to forecast this line item if OPEB is material for my company?</t>
        </r>
        <r>
          <rPr>
            <sz val="8"/>
            <color indexed="81"/>
            <rFont val="Tahoma"/>
            <family val="2"/>
          </rPr>
          <t xml:space="preserve">
Interest cost should be calculated as discount rate (BOP) (row 8) times the projected benefit obligation (BOP).
</t>
        </r>
        <r>
          <rPr>
            <b/>
            <sz val="8"/>
            <color indexed="81"/>
            <rFont val="Tahoma"/>
            <family val="2"/>
          </rPr>
          <t xml:space="preserve">How does the template forecast it?
</t>
        </r>
        <r>
          <rPr>
            <sz val="8"/>
            <color indexed="81"/>
            <rFont val="Tahoma"/>
            <family val="2"/>
          </rPr>
          <t>Interest cost is calculated as discount rate (BOP) times the projected benefit obligation (BOP).</t>
        </r>
      </text>
    </comment>
    <comment ref="A22" authorId="0">
      <text>
        <r>
          <rPr>
            <b/>
            <sz val="8"/>
            <color indexed="81"/>
            <rFont val="Tahoma"/>
            <family val="2"/>
          </rPr>
          <t xml:space="preserve">
EROA</t>
        </r>
        <r>
          <rPr>
            <sz val="8"/>
            <color indexed="81"/>
            <rFont val="Tahoma"/>
            <family val="2"/>
          </rPr>
          <t xml:space="preserve"> is management’s estimate of the long-term rate of return for plan assets* and is used to calculate a component of OPEB expense. This will vary widely from company to company depending on asset mix and other assumptions.
*OPEB plans are usually unfuded, meaning they are not set up in trusts. So they usually don't have plan assets set aside to meet the obligations; exception: VEBA trusts. Companies with VEBA trusts only typically fund between 10% and 30% of the OPEB obligation</t>
        </r>
        <r>
          <rPr>
            <b/>
            <sz val="8"/>
            <color indexed="81"/>
            <rFont val="Tahoma"/>
            <family val="2"/>
          </rPr>
          <t xml:space="preserve">
How to forecast this line item if OPEB is material for my company?</t>
        </r>
        <r>
          <rPr>
            <sz val="8"/>
            <color indexed="81"/>
            <rFont val="Tahoma"/>
            <family val="2"/>
          </rPr>
          <t xml:space="preserve">
EROA should be calculated as management’s assumption of the long-term return times the FV of plan assets (BOP).
</t>
        </r>
        <r>
          <rPr>
            <b/>
            <sz val="8"/>
            <color indexed="81"/>
            <rFont val="Tahoma"/>
            <family val="2"/>
          </rPr>
          <t xml:space="preserve">How does the template forecast it?
</t>
        </r>
        <r>
          <rPr>
            <sz val="8"/>
            <color indexed="81"/>
            <rFont val="Tahoma"/>
            <family val="2"/>
          </rPr>
          <t>EROA is calculated as  management’s assumption of the long-term return times the FV of plan assets (BOP).</t>
        </r>
      </text>
    </comment>
    <comment ref="A23" authorId="0">
      <text>
        <r>
          <rPr>
            <sz val="8"/>
            <color indexed="81"/>
            <rFont val="Tahoma"/>
            <family val="2"/>
          </rPr>
          <t xml:space="preserve">
Companies that have voluntarily changed their GAAP pension accounting recognize all actuarial gains/losses that occurred during the year in the 4th quarter, instead of amortizing them over time. </t>
        </r>
        <r>
          <rPr>
            <b/>
            <sz val="8"/>
            <color indexed="81"/>
            <rFont val="Tahoma"/>
            <family val="2"/>
          </rPr>
          <t xml:space="preserve">
How to forecast this line item if Pension is material for my company?</t>
        </r>
        <r>
          <rPr>
            <sz val="8"/>
            <color indexed="81"/>
            <rFont val="Tahoma"/>
            <family val="2"/>
          </rPr>
          <t xml:space="preserve">
This line item is not important from an economic standpoint and is also impossible to forecast. You should set this line item equal to zero for the forecast years.
</t>
        </r>
        <r>
          <rPr>
            <b/>
            <sz val="8"/>
            <color indexed="81"/>
            <rFont val="Tahoma"/>
            <family val="2"/>
          </rPr>
          <t xml:space="preserve">How does the template forecast it?
</t>
        </r>
        <r>
          <rPr>
            <sz val="8"/>
            <color indexed="81"/>
            <rFont val="Tahoma"/>
            <family val="2"/>
          </rPr>
          <t>The template computes the actuarial gains and losses for the year by considering changes in interest rates (row 8) and the difference in EROA and actual rate of return (Row 11 &amp;12) to recognize it immediately on the income statement.</t>
        </r>
      </text>
    </comment>
    <comment ref="A24" authorId="0">
      <text>
        <r>
          <rPr>
            <b/>
            <sz val="8"/>
            <color indexed="81"/>
            <rFont val="Tahoma"/>
            <family val="2"/>
          </rPr>
          <t xml:space="preserve">
In the template, this line item may include the total of:
</t>
        </r>
        <r>
          <rPr>
            <sz val="8"/>
            <color indexed="81"/>
            <rFont val="Tahoma"/>
            <family val="2"/>
          </rPr>
          <t>1</t>
        </r>
        <r>
          <rPr>
            <u/>
            <sz val="8"/>
            <color indexed="81"/>
            <rFont val="Tahoma"/>
            <family val="2"/>
          </rPr>
          <t xml:space="preserve">. Amortization of actuarial gains &amp; losses: </t>
        </r>
        <r>
          <rPr>
            <sz val="8"/>
            <color indexed="81"/>
            <rFont val="Tahoma"/>
            <family val="2"/>
          </rPr>
          <t>When the actual results of the plan (which are reported on the balance sheet) differ significantly from the actuarial estimates (which are reported on the income statement), these differences are smoothed into OPEB expense over time, usually over the average remaining working life of employees.</t>
        </r>
        <r>
          <rPr>
            <b/>
            <sz val="8"/>
            <color indexed="81"/>
            <rFont val="Tahoma"/>
            <family val="2"/>
          </rPr>
          <t xml:space="preserve">
</t>
        </r>
        <r>
          <rPr>
            <sz val="8"/>
            <color indexed="81"/>
            <rFont val="Tahoma"/>
            <family val="2"/>
          </rPr>
          <t>2</t>
        </r>
        <r>
          <rPr>
            <u/>
            <sz val="8"/>
            <color indexed="81"/>
            <rFont val="Tahoma"/>
            <family val="2"/>
          </rPr>
          <t>. Other adjustments</t>
        </r>
        <r>
          <rPr>
            <sz val="8"/>
            <color indexed="81"/>
            <rFont val="Tahoma"/>
            <family val="2"/>
          </rPr>
          <t xml:space="preserve"> such as settlements and curtailments. These tend to be one-time in nature, and related to plan changes.</t>
        </r>
        <r>
          <rPr>
            <b/>
            <sz val="8"/>
            <color indexed="81"/>
            <rFont val="Tahoma"/>
            <family val="2"/>
          </rPr>
          <t xml:space="preserve">
How to forecast this line item if OPEB is material for my company?
</t>
        </r>
        <r>
          <rPr>
            <sz val="8"/>
            <color indexed="81"/>
            <rFont val="Tahoma"/>
            <family val="2"/>
          </rPr>
          <t>Pension footnote discloses amortization of actuarial gains/ losses for the next fiscal year. For the remaining forecast years, you should use the approach mentioned below. Also, contact AST to make sure that the numbers make sense.</t>
        </r>
        <r>
          <rPr>
            <sz val="8"/>
            <color indexed="81"/>
            <rFont val="Tahoma"/>
            <family val="2"/>
          </rPr>
          <t xml:space="preserve">
</t>
        </r>
        <r>
          <rPr>
            <b/>
            <sz val="8"/>
            <color indexed="81"/>
            <rFont val="Tahoma"/>
            <family val="2"/>
          </rPr>
          <t xml:space="preserve">How does the template forecast it?
</t>
        </r>
        <r>
          <rPr>
            <sz val="8"/>
            <color indexed="81"/>
            <rFont val="Tahoma"/>
            <family val="2"/>
          </rPr>
          <t>The template computes the actuarial gains and losses for the year by considering changes in interest rates (row 8) and the difference in EROA and actual rate of return (Row 11 &amp;12). It divides the actuarial loss for the year by avg. remaining working life of employees to compute the amortization for the year and then adds 
it to the amortization of accumulated gain / loss of previous year.</t>
        </r>
      </text>
    </comment>
    <comment ref="A25" authorId="0">
      <text>
        <r>
          <rPr>
            <b/>
            <sz val="8"/>
            <color indexed="81"/>
            <rFont val="Tahoma"/>
            <family val="2"/>
          </rPr>
          <t xml:space="preserve">
OPEB expense</t>
        </r>
        <r>
          <rPr>
            <sz val="8"/>
            <color indexed="81"/>
            <rFont val="Tahoma"/>
            <family val="2"/>
          </rPr>
          <t xml:space="preserve"> is an accrued OPEB expense and is entirely non-cash. It is calculated as Service cost (+) Interest cost (-) EROA (+/-) Amortization of actuarial gains/ losses / prior service cost.</t>
        </r>
      </text>
    </comment>
    <comment ref="O25" authorId="1">
      <text>
        <r>
          <rPr>
            <b/>
            <sz val="9"/>
            <color indexed="81"/>
            <rFont val="Tahoma"/>
            <family val="2"/>
          </rPr>
          <t>E Kurtz:</t>
        </r>
        <r>
          <rPr>
            <sz val="9"/>
            <color indexed="81"/>
            <rFont val="Tahoma"/>
            <family val="2"/>
          </rPr>
          <t xml:space="preserve">
4Q16 slides: -$4mn</t>
        </r>
      </text>
    </comment>
    <comment ref="P25" authorId="1">
      <text>
        <r>
          <rPr>
            <b/>
            <sz val="9"/>
            <color indexed="81"/>
            <rFont val="Tahoma"/>
            <family val="2"/>
          </rPr>
          <t>E Kurtz:</t>
        </r>
        <r>
          <rPr>
            <sz val="9"/>
            <color indexed="81"/>
            <rFont val="Tahoma"/>
            <family val="2"/>
          </rPr>
          <t xml:space="preserve">
4Q16 slides: -$4mn</t>
        </r>
      </text>
    </comment>
    <comment ref="A29" authorId="0">
      <text>
        <r>
          <rPr>
            <b/>
            <sz val="8"/>
            <color indexed="81"/>
            <rFont val="Tahoma"/>
            <family val="2"/>
          </rPr>
          <t xml:space="preserve">
PBO</t>
        </r>
        <r>
          <rPr>
            <sz val="8"/>
            <color indexed="81"/>
            <rFont val="Tahoma"/>
            <family val="2"/>
          </rPr>
          <t xml:space="preserve"> is the present value of the projected benefit obligations earned to date. Employees earn benefits as they accumulate years of service. The obligations are measured at present value using the corporate AA bond rate and are re-measured each year to account for interest rate changes, assumption changes, new benefits earned (represented by service cost), and passage of time (represented by interest cost) which increase the PBO. Also, benefits paid during the year decrease the PBO.</t>
        </r>
      </text>
    </comment>
    <comment ref="A30" authorId="0">
      <text>
        <r>
          <rPr>
            <b/>
            <sz val="8"/>
            <color indexed="81"/>
            <rFont val="Tahoma"/>
            <family val="2"/>
          </rPr>
          <t xml:space="preserve">
Service cost</t>
        </r>
        <r>
          <rPr>
            <sz val="8"/>
            <color indexed="81"/>
            <rFont val="Tahoma"/>
            <family val="2"/>
          </rPr>
          <t xml:space="preserve"> is incurred each period as employees earn new benefits for increased time of service and is thus added to PBO, which is the PV of the projected benefit obligations </t>
        </r>
        <r>
          <rPr>
            <u/>
            <sz val="8"/>
            <color indexed="81"/>
            <rFont val="Tahoma"/>
            <family val="2"/>
          </rPr>
          <t>earned to date.</t>
        </r>
        <r>
          <rPr>
            <b/>
            <sz val="8"/>
            <color indexed="81"/>
            <rFont val="Tahoma"/>
            <family val="2"/>
          </rPr>
          <t xml:space="preserve">
How to forecast this line item if OPEB is material for my company?
</t>
        </r>
        <r>
          <rPr>
            <sz val="8"/>
            <color indexed="81"/>
            <rFont val="Tahoma"/>
            <family val="2"/>
          </rPr>
          <t>It should be linked to service cost for the year already forecasted on the income statement.</t>
        </r>
        <r>
          <rPr>
            <b/>
            <sz val="8"/>
            <color indexed="81"/>
            <rFont val="Tahoma"/>
            <family val="2"/>
          </rPr>
          <t xml:space="preserve">
How does the template forecast it?
</t>
        </r>
        <r>
          <rPr>
            <sz val="8"/>
            <color indexed="81"/>
            <rFont val="Tahoma"/>
            <family val="2"/>
          </rPr>
          <t>It is linked to service cost for the year already forecasted on the income statement.</t>
        </r>
      </text>
    </comment>
    <comment ref="A31" authorId="0">
      <text>
        <r>
          <rPr>
            <b/>
            <sz val="8"/>
            <color indexed="81"/>
            <rFont val="Tahoma"/>
            <family val="2"/>
          </rPr>
          <t xml:space="preserve">
Interest cost is</t>
        </r>
        <r>
          <rPr>
            <sz val="8"/>
            <color indexed="81"/>
            <rFont val="Tahoma"/>
            <family val="2"/>
          </rPr>
          <t xml:space="preserve"> the financing cost of the gross liability and is thus added to PBO.</t>
        </r>
        <r>
          <rPr>
            <b/>
            <sz val="8"/>
            <color indexed="81"/>
            <rFont val="Tahoma"/>
            <family val="2"/>
          </rPr>
          <t xml:space="preserve">
How to forecast this line item if OPEB is material for my company?</t>
        </r>
        <r>
          <rPr>
            <sz val="8"/>
            <color indexed="81"/>
            <rFont val="Tahoma"/>
            <family val="2"/>
          </rPr>
          <t xml:space="preserve">
It should be linked to interest cost for the year already forecasted on the income statement.
</t>
        </r>
        <r>
          <rPr>
            <b/>
            <sz val="8"/>
            <color indexed="81"/>
            <rFont val="Tahoma"/>
            <family val="2"/>
          </rPr>
          <t>How does the template forecast it?</t>
        </r>
        <r>
          <rPr>
            <sz val="8"/>
            <color indexed="81"/>
            <rFont val="Tahoma"/>
            <family val="2"/>
          </rPr>
          <t xml:space="preserve">
It is linked to interest cost for the year already forecasted on the income statement.
</t>
        </r>
      </text>
    </comment>
    <comment ref="A32" authorId="0">
      <text>
        <r>
          <rPr>
            <b/>
            <sz val="8"/>
            <color indexed="81"/>
            <rFont val="Tahoma"/>
            <family val="2"/>
          </rPr>
          <t xml:space="preserve">
Actuarial loss (gain)</t>
        </r>
        <r>
          <rPr>
            <sz val="8"/>
            <color indexed="81"/>
            <rFont val="Tahoma"/>
            <family val="2"/>
          </rPr>
          <t xml:space="preserve"> is the magnitude of disconnect between actuarial estimates and actual experience in a company's OPEB plan. For example, if the interest (discount) rate used to compute the PV of benefit obligations declines, it results in increase in the obligations and the change in liability is accounted as an actuarial loss for the year.</t>
        </r>
        <r>
          <rPr>
            <b/>
            <sz val="8"/>
            <color indexed="81"/>
            <rFont val="Tahoma"/>
            <family val="2"/>
          </rPr>
          <t xml:space="preserve">
How to forecast this line item if OPEB is material for my company?
</t>
        </r>
        <r>
          <rPr>
            <sz val="8"/>
            <color indexed="81"/>
            <rFont val="Tahoma"/>
            <family val="2"/>
          </rPr>
          <t>It should be forecasted by considering the changes in interest rates (if forecasted) for the period (row 8) and using a rule of thumb which states that -- every 100 bps change in discount rate results in about 10% change in PBO.</t>
        </r>
        <r>
          <rPr>
            <b/>
            <sz val="8"/>
            <color indexed="81"/>
            <rFont val="Tahoma"/>
            <family val="2"/>
          </rPr>
          <t xml:space="preserve">
How does the template forecast it?
</t>
        </r>
        <r>
          <rPr>
            <sz val="8"/>
            <color indexed="81"/>
            <rFont val="Tahoma"/>
            <family val="2"/>
          </rPr>
          <t>The template uses a rule of thumb and forecasts this number after considering the changes in discount rates on row 8.</t>
        </r>
      </text>
    </comment>
    <comment ref="A33" authorId="0">
      <text>
        <r>
          <rPr>
            <b/>
            <sz val="8"/>
            <color indexed="81"/>
            <rFont val="Tahoma"/>
            <family val="2"/>
          </rPr>
          <t xml:space="preserve">
Benefits payments </t>
        </r>
        <r>
          <rPr>
            <sz val="8"/>
            <color indexed="81"/>
            <rFont val="Tahoma"/>
            <family val="2"/>
          </rPr>
          <t>are the actual OPEB benefit payments made to the employees during the year. It reduces the OPEB liability by the amount of the benefits paid.</t>
        </r>
        <r>
          <rPr>
            <b/>
            <sz val="8"/>
            <color indexed="81"/>
            <rFont val="Tahoma"/>
            <family val="2"/>
          </rPr>
          <t xml:space="preserve">
How to forecast this line item if OPEB is material for my company?</t>
        </r>
        <r>
          <rPr>
            <sz val="8"/>
            <color indexed="81"/>
            <rFont val="Tahoma"/>
            <family val="2"/>
          </rPr>
          <t xml:space="preserve">
The pension footnote discloses the expected benefit payments to retirees for the next 5 years, and the aggregate payment for the following 5 years which should be used in the template to forecast future benefit payments.
</t>
        </r>
        <r>
          <rPr>
            <b/>
            <sz val="8"/>
            <color indexed="81"/>
            <rFont val="Tahoma"/>
            <family val="2"/>
          </rPr>
          <t xml:space="preserve">How does the template forecast it?
</t>
        </r>
        <r>
          <rPr>
            <sz val="8"/>
            <color indexed="81"/>
            <rFont val="Tahoma"/>
            <family val="2"/>
          </rPr>
          <t>Because benefit payments are usually steady in nature, the template flat lines it.</t>
        </r>
      </text>
    </comment>
    <comment ref="Q33" authorId="2">
      <text>
        <r>
          <rPr>
            <b/>
            <sz val="9"/>
            <color indexed="81"/>
            <rFont val="Tahoma"/>
            <family val="2"/>
          </rPr>
          <t>Rocha Calejon, Serena (Research):</t>
        </r>
        <r>
          <rPr>
            <sz val="9"/>
            <color indexed="81"/>
            <rFont val="Tahoma"/>
            <family val="2"/>
          </rPr>
          <t xml:space="preserve">
per 2017 10-K</t>
        </r>
      </text>
    </comment>
    <comment ref="A34" authorId="0">
      <text>
        <r>
          <rPr>
            <b/>
            <sz val="8"/>
            <color indexed="81"/>
            <rFont val="Tahoma"/>
            <family val="2"/>
          </rPr>
          <t xml:space="preserve">
In the template, this line item may include the total of:</t>
        </r>
        <r>
          <rPr>
            <sz val="8"/>
            <color indexed="81"/>
            <rFont val="Tahoma"/>
            <family val="2"/>
          </rPr>
          <t xml:space="preserve">
1. Plan Amendments
2. Actuarial Adjustments
3. Exchange gains/losses
4. Settlements and curtailments
5. Acquisitions and Divestures
6. Other adjustments to PBO</t>
        </r>
        <r>
          <rPr>
            <b/>
            <sz val="8"/>
            <color indexed="81"/>
            <rFont val="Tahoma"/>
            <family val="2"/>
          </rPr>
          <t xml:space="preserve">
How to forecast this line item if OPEB is material for my company?</t>
        </r>
        <r>
          <rPr>
            <sz val="8"/>
            <color indexed="81"/>
            <rFont val="Tahoma"/>
            <family val="2"/>
          </rPr>
          <t xml:space="preserve">
This line item includes a set of miscellaneous items that are not important from an economic standpoint. They are also impossible to forecast. You should set it equal to zero for the forecast years.
</t>
        </r>
        <r>
          <rPr>
            <b/>
            <sz val="8"/>
            <color indexed="81"/>
            <rFont val="Tahoma"/>
            <family val="2"/>
          </rPr>
          <t xml:space="preserve">How does the template forecast it?
</t>
        </r>
        <r>
          <rPr>
            <sz val="8"/>
            <color indexed="81"/>
            <rFont val="Tahoma"/>
            <family val="2"/>
          </rPr>
          <t>The template does not make an attempt to forecast this line item and sets it equal to zero for the forecast years.</t>
        </r>
      </text>
    </comment>
    <comment ref="A37" authorId="0">
      <text>
        <r>
          <rPr>
            <b/>
            <sz val="8"/>
            <color indexed="81"/>
            <rFont val="Tahoma"/>
            <family val="2"/>
          </rPr>
          <t xml:space="preserve">
OPEB plan assets*</t>
        </r>
        <r>
          <rPr>
            <sz val="8"/>
            <color indexed="81"/>
            <rFont val="Tahoma"/>
            <family val="2"/>
          </rPr>
          <t xml:space="preserve"> are measured at the current fair value. Similar to other assets and liabilities measured at fair value, the company provides details about how it measured the fair value of its OPEB assets (in the VEBA truest) in the disclosures.
*OPEB plans are usually unfuded, meaning they are not set up in trusts. So they usually don't have plan assets set aside to meet the obligations; exception: VEBA trusts. Companies with VEBA trusts only typically fund between 10% and 30% of the OPEB obligation</t>
        </r>
      </text>
    </comment>
    <comment ref="A38" authorId="0">
      <text>
        <r>
          <rPr>
            <b/>
            <sz val="8"/>
            <color indexed="81"/>
            <rFont val="Tahoma"/>
            <family val="2"/>
          </rPr>
          <t xml:space="preserve">
Actual return </t>
        </r>
        <r>
          <rPr>
            <sz val="8"/>
            <color indexed="81"/>
            <rFont val="Tahoma"/>
            <family val="2"/>
          </rPr>
          <t xml:space="preserve">is the return generared on plan assets in VEBA trust.
</t>
        </r>
        <r>
          <rPr>
            <b/>
            <sz val="8"/>
            <color indexed="81"/>
            <rFont val="Tahoma"/>
            <family val="2"/>
          </rPr>
          <t>How to forecast this line item if OPEB is material for my company?</t>
        </r>
        <r>
          <rPr>
            <sz val="8"/>
            <color indexed="81"/>
            <rFont val="Tahoma"/>
            <family val="2"/>
          </rPr>
          <t xml:space="preserve">
Actual return could be calculated as actual rate of return (row12) times the FV of plan assets (BOP) + 0.5*contributions assuming that the contributions were made in the middle of the year. Contact AST if the company makes steady contributions throughout the year OR if you are unsure how to consider them when calculating actual return.
</t>
        </r>
        <r>
          <rPr>
            <b/>
            <sz val="8"/>
            <color indexed="81"/>
            <rFont val="Tahoma"/>
            <family val="2"/>
          </rPr>
          <t>How does the template forecast it?</t>
        </r>
        <r>
          <rPr>
            <sz val="8"/>
            <color indexed="81"/>
            <rFont val="Tahoma"/>
            <family val="2"/>
          </rPr>
          <t xml:space="preserve">
Actual return is calculated as actual rate of return (row12) times the FV of plan assets (BOP) + 0.5*contributions assuming that the contributions were made in the middle of the year.</t>
        </r>
      </text>
    </comment>
    <comment ref="A39" authorId="0">
      <text>
        <r>
          <rPr>
            <b/>
            <sz val="8"/>
            <color indexed="81"/>
            <rFont val="Tahoma"/>
            <family val="2"/>
          </rPr>
          <t xml:space="preserve">
Contributions</t>
        </r>
        <r>
          <rPr>
            <sz val="8"/>
            <color indexed="81"/>
            <rFont val="Tahoma"/>
            <family val="2"/>
          </rPr>
          <t xml:space="preserve"> are the payments that the company makes</t>
        </r>
        <r>
          <rPr>
            <u/>
            <sz val="8"/>
            <color indexed="81"/>
            <rFont val="Tahoma"/>
            <family val="2"/>
          </rPr>
          <t xml:space="preserve"> into the VEBA trust</t>
        </r>
        <r>
          <rPr>
            <sz val="8"/>
            <color indexed="81"/>
            <rFont val="Tahoma"/>
            <family val="2"/>
          </rPr>
          <t xml:space="preserve">, for future benefit payments. </t>
        </r>
        <r>
          <rPr>
            <b/>
            <sz val="8"/>
            <color indexed="81"/>
            <rFont val="Tahoma"/>
            <family val="2"/>
          </rPr>
          <t xml:space="preserve">
How to forecast this line item if OPEB is material for my company?
</t>
        </r>
        <r>
          <rPr>
            <sz val="8"/>
            <color indexed="81"/>
            <rFont val="Tahoma"/>
            <family val="2"/>
          </rPr>
          <t>Companies disclose expected contributions for the 'next' fiscal year in their pension footnote which should be used in the template to forecast next year's contributions. Some companies also disclose it for 'future years' in their contractual obligations footnote, which could be used to forecast it for the rest of the years. 
If the company does not have a VEBA trust, then they most likely make the benefit payments on 'pay as you go' basis. The cash outflow in that case is going to be 'benefits paid' for the period.</t>
        </r>
        <r>
          <rPr>
            <sz val="8"/>
            <color indexed="81"/>
            <rFont val="Tahoma"/>
            <family val="2"/>
          </rPr>
          <t xml:space="preserve">
</t>
        </r>
        <r>
          <rPr>
            <b/>
            <sz val="8"/>
            <color indexed="81"/>
            <rFont val="Tahoma"/>
            <family val="2"/>
          </rPr>
          <t xml:space="preserve">How does the template forecast it?
</t>
        </r>
        <r>
          <rPr>
            <sz val="8"/>
            <color indexed="81"/>
            <rFont val="Tahoma"/>
            <family val="2"/>
          </rPr>
          <t>The template does not forecast the contributions and leaves it to the analyst team to investigate whether the company has a separate VEBA trust to maintain the plan assets. If they do, then enter the numbers that the company discloses in the footnote.. if they don't then enter this number same as benefits paid forecasted on row 40 (opposite sign), that way plan assets will remain zero but the correct cash outflow will get captured on row 52.</t>
        </r>
      </text>
    </comment>
    <comment ref="A40" authorId="0">
      <text>
        <r>
          <rPr>
            <b/>
            <sz val="8"/>
            <color indexed="81"/>
            <rFont val="Tahoma"/>
            <family val="2"/>
          </rPr>
          <t xml:space="preserve">
Benefits payments </t>
        </r>
        <r>
          <rPr>
            <sz val="8"/>
            <color indexed="81"/>
            <rFont val="Tahoma"/>
            <family val="2"/>
          </rPr>
          <t>are the actual OPEB benefit payments made to the employees during the year. These payments are usually paid out of VEBA trust i.e. OPEB plan assets</t>
        </r>
        <r>
          <rPr>
            <u/>
            <sz val="8"/>
            <color indexed="81"/>
            <rFont val="Tahoma"/>
            <family val="2"/>
          </rPr>
          <t xml:space="preserve"> if the company has set up the VEBA trust</t>
        </r>
        <r>
          <rPr>
            <sz val="8"/>
            <color indexed="81"/>
            <rFont val="Tahoma"/>
            <family val="2"/>
          </rPr>
          <t xml:space="preserve"> </t>
        </r>
        <r>
          <rPr>
            <b/>
            <sz val="8"/>
            <color indexed="81"/>
            <rFont val="Tahoma"/>
            <family val="2"/>
          </rPr>
          <t>OR</t>
        </r>
        <r>
          <rPr>
            <sz val="8"/>
            <color indexed="81"/>
            <rFont val="Tahoma"/>
            <family val="2"/>
          </rPr>
          <t xml:space="preserve"> partly out of the VEBA trust &amp; partly out of the company cash flow </t>
        </r>
        <r>
          <rPr>
            <b/>
            <sz val="8"/>
            <color indexed="81"/>
            <rFont val="Tahoma"/>
            <family val="2"/>
          </rPr>
          <t>OR</t>
        </r>
        <r>
          <rPr>
            <sz val="8"/>
            <color indexed="81"/>
            <rFont val="Tahoma"/>
            <family val="2"/>
          </rPr>
          <t xml:space="preserve"> entirely out of the company cash flow if the company doesn't have the VEBA trust. </t>
        </r>
        <r>
          <rPr>
            <b/>
            <sz val="8"/>
            <color indexed="81"/>
            <rFont val="Tahoma"/>
            <family val="2"/>
          </rPr>
          <t xml:space="preserve">
How to forecast this line item if OPEB is material for my company?</t>
        </r>
        <r>
          <rPr>
            <sz val="8"/>
            <color indexed="81"/>
            <rFont val="Tahoma"/>
            <family val="2"/>
          </rPr>
          <t xml:space="preserve">
The pension footnote discloses the schedule of expected benefit payments to retirees for the next 5 years, and the aggregate payment for the following 5 years, which should be used in the template to forecast future benefit payments. (i.e. you can just link this to row 33 of the template) depending on whether the company has set up the VEBA trust. If they don't you need to assume that the company pays it entirely out of the cash flow as and when due.
</t>
        </r>
        <r>
          <rPr>
            <b/>
            <sz val="8"/>
            <color indexed="81"/>
            <rFont val="Tahoma"/>
            <family val="2"/>
          </rPr>
          <t xml:space="preserve">How does the template forecast it?
</t>
        </r>
        <r>
          <rPr>
            <sz val="8"/>
            <color indexed="81"/>
            <rFont val="Tahoma"/>
            <family val="2"/>
          </rPr>
          <t>The template does not forecast this number because different companies have different facts as mentioned above. You need to fill out the numbers based on these facts. Please get in touch with AST if unsure how to handle this.</t>
        </r>
      </text>
    </comment>
    <comment ref="A41" authorId="0">
      <text>
        <r>
          <rPr>
            <b/>
            <sz val="8"/>
            <color indexed="81"/>
            <rFont val="Tahoma"/>
            <family val="2"/>
          </rPr>
          <t xml:space="preserve">
In the template, this line item may include the total of:</t>
        </r>
        <r>
          <rPr>
            <sz val="8"/>
            <color indexed="81"/>
            <rFont val="Tahoma"/>
            <family val="2"/>
          </rPr>
          <t xml:space="preserve">
1. Acquisitions and Divestitures 
2. Settlements and curtailments
3. Exchange rate changes 
4. Other adjustments to plan assets
</t>
        </r>
        <r>
          <rPr>
            <b/>
            <sz val="8"/>
            <color indexed="81"/>
            <rFont val="Tahoma"/>
            <family val="2"/>
          </rPr>
          <t xml:space="preserve">How to forecast this line item if OPEB is material for my company?
</t>
        </r>
        <r>
          <rPr>
            <sz val="8"/>
            <color indexed="81"/>
            <rFont val="Tahoma"/>
            <family val="2"/>
          </rPr>
          <t>This line item includes a set of miscellaneous items that are not important from an economic standpoint. They are also impossible to forecast. You should set this line item equal to zero for the forecast years.</t>
        </r>
        <r>
          <rPr>
            <b/>
            <sz val="8"/>
            <color indexed="81"/>
            <rFont val="Tahoma"/>
            <family val="2"/>
          </rPr>
          <t xml:space="preserve">
How does the template forecast it?
</t>
        </r>
        <r>
          <rPr>
            <sz val="8"/>
            <color indexed="81"/>
            <rFont val="Tahoma"/>
            <family val="2"/>
          </rPr>
          <t>The template does not make an attempt to forecast this line item and sets it equal to zero for the forecast years.</t>
        </r>
      </text>
    </comment>
    <comment ref="A44" authorId="0">
      <text>
        <r>
          <rPr>
            <b/>
            <sz val="8"/>
            <color indexed="81"/>
            <rFont val="Tahoma"/>
            <family val="2"/>
          </rPr>
          <t xml:space="preserve">
Funded status </t>
        </r>
        <r>
          <rPr>
            <sz val="8"/>
            <color indexed="81"/>
            <rFont val="Tahoma"/>
            <family val="2"/>
          </rPr>
          <t>of the plan is the difference between the PBO and the FV of plan assets. It is recorded on the balance sheet and may be split between the current and non-current portions. It fully measures the debt-like liability of the plan to date and incurs interest like any financial liability. 
The pension obligation on the balance sheet is tax-deductible when a company contributes to the plan. Companies report it gross of tax (i.e. funded status), and the corresponding tax benefit is recorded as a deferred tax asset on the BS. The tax deductibility of pension debt is an important difference as compared to traditional debt. When a company takes on traditional debt, interest is deductible, but the debt principal payments are not.
When looking at metrics that include pension debt (such as net debt) analysts should subtract the corresponding DTA to capture the true liability.</t>
        </r>
      </text>
    </comment>
    <comment ref="A47" authorId="0">
      <text>
        <r>
          <rPr>
            <b/>
            <sz val="8"/>
            <color indexed="81"/>
            <rFont val="Tahoma"/>
            <family val="2"/>
          </rPr>
          <t xml:space="preserve">
DTAs: </t>
        </r>
        <r>
          <rPr>
            <sz val="8"/>
            <color indexed="81"/>
            <rFont val="Tahoma"/>
            <family val="2"/>
          </rPr>
          <t>The OPEB obligation on the balance sheet is tax-deductible as they are paid. The obligation on the balance sheet is reported gross of tax, and the corresponding tax benefits are part of deferred tax assets (DTA).
Unlike pensions, companies do not have the same incentives to pre-fund OPEB obligations, and as a result, most companies do not set up a separate trust for the OPEB plan*. Since the plan is unfunded, there are no plan assets, and there are no contributions to the plan. Instead, the company pays the costs of benefits directly to retirees.
*Some companies set up what is known as a Variable Employees’ Beneficiary Association (VEBA) Trust. From a tax perspective, these trusts function similarly to a pension plan, allowing some tax-deductible contributions. The allowable contributions are usually a relatively low percentage of the total obligation, so companies with VEBA trusts only typically fund between 10% and 30% of the OPEB obligation.</t>
        </r>
        <r>
          <rPr>
            <sz val="8"/>
            <color indexed="81"/>
            <rFont val="Tahoma"/>
            <family val="2"/>
          </rPr>
          <t xml:space="preserve">
</t>
        </r>
        <r>
          <rPr>
            <b/>
            <sz val="8"/>
            <color indexed="81"/>
            <rFont val="Tahoma"/>
            <family val="2"/>
          </rPr>
          <t>How to forecast this line item if Pension is material for my company?</t>
        </r>
        <r>
          <rPr>
            <sz val="8"/>
            <color indexed="81"/>
            <rFont val="Tahoma"/>
            <family val="2"/>
          </rPr>
          <t xml:space="preserve">
DTA's thus should be = tax rate x forecasted funded status.
</t>
        </r>
        <r>
          <rPr>
            <b/>
            <sz val="8"/>
            <color indexed="81"/>
            <rFont val="Tahoma"/>
            <family val="2"/>
          </rPr>
          <t xml:space="preserve">How does the template forecast it?
</t>
        </r>
        <r>
          <rPr>
            <sz val="8"/>
            <color indexed="81"/>
            <rFont val="Tahoma"/>
            <family val="2"/>
          </rPr>
          <t>It is calculated as tax rate times forecasted funded status.</t>
        </r>
      </text>
    </comment>
    <comment ref="A51" authorId="0">
      <text>
        <r>
          <rPr>
            <b/>
            <sz val="8"/>
            <color indexed="81"/>
            <rFont val="Tahoma"/>
            <family val="2"/>
          </rPr>
          <t xml:space="preserve">
OPEB expense</t>
        </r>
        <r>
          <rPr>
            <sz val="8"/>
            <color indexed="81"/>
            <rFont val="Tahoma"/>
            <family val="2"/>
          </rPr>
          <t xml:space="preserve"> is an accrued OPEB expense and is entirely non-cash. It is thus added back in cash flow from operations as a non-cash item.</t>
        </r>
      </text>
    </comment>
    <comment ref="A52" authorId="0">
      <text>
        <r>
          <rPr>
            <b/>
            <sz val="8"/>
            <color indexed="81"/>
            <rFont val="Tahoma"/>
            <family val="2"/>
          </rPr>
          <t xml:space="preserve">
Contributions</t>
        </r>
        <r>
          <rPr>
            <sz val="8"/>
            <color indexed="81"/>
            <rFont val="Tahoma"/>
            <family val="2"/>
          </rPr>
          <t xml:space="preserve"> are the companies’ payments to the VEBA trust. These are thus the cash flows on a companies cash flow
statement.</t>
        </r>
      </text>
    </comment>
    <comment ref="A59" authorId="0">
      <text>
        <r>
          <rPr>
            <b/>
            <sz val="8"/>
            <color indexed="81"/>
            <rFont val="Tahoma"/>
            <family val="2"/>
          </rPr>
          <t xml:space="preserve">
Why?
</t>
        </r>
        <r>
          <rPr>
            <sz val="8"/>
            <color indexed="81"/>
            <rFont val="Tahoma"/>
            <family val="2"/>
          </rPr>
          <t>Contributions are companies’ payments to the VEBA trust. They thus represent a reduction in operating cash flow of the company in the year in which they are made.
If the compay does not have the trust, this number should reflect the benefit payments made to the employees.</t>
        </r>
      </text>
    </comment>
    <comment ref="A60" authorId="0">
      <text>
        <r>
          <rPr>
            <b/>
            <sz val="8"/>
            <color indexed="81"/>
            <rFont val="Tahoma"/>
            <family val="2"/>
          </rPr>
          <t xml:space="preserve">
Why?</t>
        </r>
        <r>
          <rPr>
            <sz val="8"/>
            <color indexed="81"/>
            <rFont val="Tahoma"/>
            <family val="2"/>
          </rPr>
          <t xml:space="preserve">
OPEB expense/ (income) is a non-cash number and thus needs to be added back on the cash flow statement.</t>
        </r>
      </text>
    </comment>
    <comment ref="A61" authorId="0">
      <text>
        <r>
          <rPr>
            <b/>
            <sz val="8"/>
            <color indexed="81"/>
            <rFont val="Tahoma"/>
            <family val="2"/>
          </rPr>
          <t xml:space="preserve">
Why?
</t>
        </r>
        <r>
          <rPr>
            <sz val="8"/>
            <color indexed="81"/>
            <rFont val="Tahoma"/>
            <family val="2"/>
          </rPr>
          <t>The OPEB obligation on the balance sheet is tax-deductible as they are paid. The obligation on the balance sheet is reported gross of tax, and the corresponding tax benefits are part of deferred tax assets (DTA).</t>
        </r>
      </text>
    </comment>
    <comment ref="A66" authorId="0">
      <text>
        <r>
          <rPr>
            <b/>
            <sz val="8"/>
            <color indexed="81"/>
            <rFont val="Tahoma"/>
            <family val="2"/>
          </rPr>
          <t xml:space="preserve">
Why?
</t>
        </r>
        <r>
          <rPr>
            <sz val="8"/>
            <color indexed="81"/>
            <rFont val="Tahoma"/>
            <family val="2"/>
          </rPr>
          <t>Improvement/deterioration in funded status during the year will decrease /increase the net OPEB liability for the year and thus needs to be captured in this line item.</t>
        </r>
        <r>
          <rPr>
            <b/>
            <sz val="8"/>
            <color indexed="81"/>
            <rFont val="Tahoma"/>
            <family val="2"/>
          </rPr>
          <t xml:space="preserve">
</t>
        </r>
      </text>
    </comment>
    <comment ref="A67" authorId="0">
      <text>
        <r>
          <rPr>
            <b/>
            <sz val="8"/>
            <color indexed="81"/>
            <rFont val="Tahoma"/>
            <family val="2"/>
          </rPr>
          <t xml:space="preserve">
Why?
</t>
        </r>
        <r>
          <rPr>
            <sz val="8"/>
            <color indexed="81"/>
            <rFont val="Tahoma"/>
            <family val="2"/>
          </rPr>
          <t xml:space="preserve">While the funded status on the balance sheet is based on actual results (i.e. actual return on assets, year-end discount rate, etc), the accounting for the pension/OPEB plan on the income statement is heavily influenced by management estimates and various smoothing features (i.e. EROA, amortization of prior service costs and actuarial G/L, etc.)
To keep the balance sheet in balance, the disconnect between estimated and actual results (known as unrecognized actuarial gains/losses) is captured in </t>
        </r>
        <r>
          <rPr>
            <b/>
            <sz val="8"/>
            <color indexed="81"/>
            <rFont val="Tahoma"/>
            <family val="2"/>
          </rPr>
          <t>Accumulated other comprehensive income (AOCI).</t>
        </r>
      </text>
    </comment>
  </commentList>
</comments>
</file>

<file path=xl/sharedStrings.xml><?xml version="1.0" encoding="utf-8"?>
<sst xmlns="http://schemas.openxmlformats.org/spreadsheetml/2006/main" count="2074" uniqueCount="1391">
  <si>
    <t>Volume Mix</t>
  </si>
  <si>
    <t>Total USSE</t>
  </si>
  <si>
    <t>Revenue Per Ton</t>
  </si>
  <si>
    <t>Serbian Financials</t>
  </si>
  <si>
    <t>1Q-3Q</t>
  </si>
  <si>
    <t>Revenue</t>
  </si>
  <si>
    <t>Pro-forma USSE</t>
  </si>
  <si>
    <t>($ millions)</t>
  </si>
  <si>
    <t>REVENUE</t>
  </si>
  <si>
    <t xml:space="preserve">  Total</t>
  </si>
  <si>
    <t>REVENUE MIX</t>
  </si>
  <si>
    <t>Other Businesses &amp; Corp.</t>
  </si>
  <si>
    <t>EBITDA MIX</t>
  </si>
  <si>
    <t>CAPEX</t>
  </si>
  <si>
    <t xml:space="preserve">   Total</t>
  </si>
  <si>
    <t>EBITDA - CAPEX</t>
  </si>
  <si>
    <t>EBIT MARGIN</t>
  </si>
  <si>
    <t>EBITDA MARGIN</t>
  </si>
  <si>
    <t>FREE CASH FLOW (After-tax EBIT plus D&amp;A less Capex)</t>
  </si>
  <si>
    <t>FCF Margin</t>
  </si>
  <si>
    <t>5-Year Average</t>
  </si>
  <si>
    <t>CapEx / D&amp;A</t>
  </si>
  <si>
    <t>Iron Ore Pellet Prod.</t>
  </si>
  <si>
    <t>Sales Realizations</t>
  </si>
  <si>
    <t>Spot Price</t>
  </si>
  <si>
    <t>US Flat</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</si>
  <si>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</si>
  <si>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</si>
  <si>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</si>
  <si>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</si>
  <si>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</si>
  <si>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</si>
  <si>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</si>
  <si>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</si>
  <si>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</si>
  <si>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</si>
  <si>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</si>
  <si>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</si>
  <si>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</si>
  <si>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</si>
  <si>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</si>
  <si>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</si>
  <si>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</si>
  <si>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</si>
  <si>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</si>
  <si>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</si>
  <si>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</si>
  <si>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</si>
  <si>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</si>
  <si>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</si>
  <si>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</si>
  <si>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</si>
  <si>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</si>
  <si>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</si>
  <si>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</si>
  <si>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</si>
  <si>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</si>
  <si>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</si>
  <si>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</si>
  <si>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</si>
  <si>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</si>
  <si>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</si>
  <si>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</si>
  <si>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4Q12</t>
  </si>
  <si>
    <t>1Q13</t>
  </si>
  <si>
    <t>2Q13</t>
  </si>
  <si>
    <t>3Q13</t>
  </si>
  <si>
    <t>4Q13</t>
  </si>
  <si>
    <t>1Q14</t>
  </si>
  <si>
    <t>2Q14</t>
  </si>
  <si>
    <t>3Q14</t>
  </si>
  <si>
    <t>4Q14</t>
  </si>
  <si>
    <t>1Q15</t>
  </si>
  <si>
    <t>2Q15</t>
  </si>
  <si>
    <t>3Q15</t>
  </si>
  <si>
    <t>4Q15</t>
  </si>
  <si>
    <t>Debt Schedule ($MM)</t>
  </si>
  <si>
    <t>Interest</t>
  </si>
  <si>
    <t>Maturity</t>
  </si>
  <si>
    <t>LIBOR Swap curve</t>
  </si>
  <si>
    <t>Quarter End Currency Forecast</t>
  </si>
  <si>
    <t>USDCAD</t>
  </si>
  <si>
    <t>S90224</t>
  </si>
  <si>
    <t>EURUSD</t>
  </si>
  <si>
    <t>S00057</t>
  </si>
  <si>
    <t>Revolver</t>
  </si>
  <si>
    <t>US revolver/term loan rate</t>
  </si>
  <si>
    <t>Beginning balance</t>
  </si>
  <si>
    <t xml:space="preserve">Issuance </t>
  </si>
  <si>
    <t>(Paydown)</t>
  </si>
  <si>
    <t>Ending balance</t>
  </si>
  <si>
    <t>Average balance</t>
  </si>
  <si>
    <t>Interest expense</t>
  </si>
  <si>
    <t>Cash Interest</t>
  </si>
  <si>
    <t>Total Revolver Size</t>
  </si>
  <si>
    <t>Max Capacity:</t>
  </si>
  <si>
    <t>3-Yr Term Loan</t>
  </si>
  <si>
    <t>5-Yr Term Loan</t>
  </si>
  <si>
    <t>2037 Senior Notes</t>
  </si>
  <si>
    <t>2022 Senior Notes</t>
  </si>
  <si>
    <t>2020 Senior Notes</t>
  </si>
  <si>
    <t>2018 Senior Notes</t>
  </si>
  <si>
    <t>2017 Senior Notes</t>
  </si>
  <si>
    <t>2013 Senior Notes</t>
  </si>
  <si>
    <t>Province Note</t>
  </si>
  <si>
    <t>Beginning balance (C$)</t>
  </si>
  <si>
    <t>Fair value adjustment (FAS141)</t>
  </si>
  <si>
    <t>Beginning balance (US$)</t>
  </si>
  <si>
    <t>FX Effect on CFS</t>
  </si>
  <si>
    <t>Env. Rec Bonds, Caster Lease and Other</t>
  </si>
  <si>
    <t>2011-2030</t>
  </si>
  <si>
    <t>Convertible Notes</t>
  </si>
  <si>
    <t>USSK Revolver</t>
  </si>
  <si>
    <t>USSK Revolver Rate</t>
  </si>
  <si>
    <t>Beginning balance (Euro)</t>
  </si>
  <si>
    <t>Unutilized Portion</t>
  </si>
  <si>
    <t>Commitment fee</t>
  </si>
  <si>
    <t>Commitment Fee</t>
  </si>
  <si>
    <t>Total Interest Expense</t>
  </si>
  <si>
    <t>Cash Interest Expense (incl. fees)</t>
  </si>
  <si>
    <t>Madatory Paydown</t>
  </si>
  <si>
    <t>Cash and equivalents</t>
  </si>
  <si>
    <t>Cash Rate</t>
  </si>
  <si>
    <t>Cash Flow Statement</t>
  </si>
  <si>
    <t>Credit Issuance Issuance</t>
  </si>
  <si>
    <t>Debt Issuance</t>
  </si>
  <si>
    <t>Credit Paydown</t>
  </si>
  <si>
    <t>Amortization</t>
  </si>
  <si>
    <t>Delta to last actuals</t>
  </si>
  <si>
    <t>Province Note Fair Value Adjustment</t>
  </si>
  <si>
    <t>Unamortized Discount</t>
  </si>
  <si>
    <t>Short Term Debt and LT Due within 1-Yr.</t>
  </si>
  <si>
    <t>Long Term Debt</t>
  </si>
  <si>
    <t>Income Statement</t>
  </si>
  <si>
    <t>Free Cash Flow (inc. ALL investing CF)</t>
  </si>
  <si>
    <t>Cash &amp; equivalents at BOP</t>
  </si>
  <si>
    <t>Minimum cash balance (estimate)</t>
  </si>
  <si>
    <t>Total FCF available for financing acitivites</t>
  </si>
  <si>
    <t>Cash flows from financing activities</t>
  </si>
  <si>
    <t>Dividends paid</t>
  </si>
  <si>
    <t>Purchase of treasury shares</t>
  </si>
  <si>
    <t>Net cash used in financing activites</t>
  </si>
  <si>
    <t>Cash available to repay debt</t>
  </si>
  <si>
    <t>Surplus (Shorfall)</t>
  </si>
  <si>
    <t>Actual</t>
  </si>
  <si>
    <t>Adj. Diluted EPS</t>
  </si>
  <si>
    <t>NA</t>
  </si>
  <si>
    <t>Estimate</t>
  </si>
  <si>
    <t>X.N</t>
  </si>
  <si>
    <t>Gross Pension &amp; OPEB</t>
  </si>
  <si>
    <t xml:space="preserve">Other </t>
  </si>
  <si>
    <t>Funding Level (%)</t>
  </si>
  <si>
    <t>Pension Contributions, Net of Tax</t>
  </si>
  <si>
    <t xml:space="preserve">   Equity</t>
  </si>
  <si>
    <t xml:space="preserve">   Fixed Income</t>
  </si>
  <si>
    <t xml:space="preserve">   Real Estate</t>
  </si>
  <si>
    <t xml:space="preserve">   Other</t>
  </si>
  <si>
    <t>Cost ($/t)</t>
  </si>
  <si>
    <t>USD</t>
  </si>
  <si>
    <t>AED UAE Dirham</t>
  </si>
  <si>
    <t>AED</t>
  </si>
  <si>
    <t>ARS Argentinian Pesos</t>
  </si>
  <si>
    <t>Ar$</t>
  </si>
  <si>
    <t>ARS</t>
  </si>
  <si>
    <t>Current Estimates</t>
  </si>
  <si>
    <t>Changes to Estimates</t>
  </si>
  <si>
    <t>Operations</t>
  </si>
  <si>
    <t>Financials</t>
  </si>
  <si>
    <t>Income Tax Expense</t>
  </si>
  <si>
    <t>QoQ Comparison</t>
  </si>
  <si>
    <t>YoY Comparison</t>
  </si>
  <si>
    <t>Published</t>
  </si>
  <si>
    <t>Quarterly Links</t>
  </si>
  <si>
    <t>Earnings Variance</t>
  </si>
  <si>
    <t>Volume (kt)</t>
  </si>
  <si>
    <t>Price ($/t)</t>
  </si>
  <si>
    <t>Flat-Rolled Profit</t>
  </si>
  <si>
    <t>USSE Profit</t>
  </si>
  <si>
    <t>Tubular Profit</t>
  </si>
  <si>
    <t>AUD Australian Dollar</t>
  </si>
  <si>
    <t>A$</t>
  </si>
  <si>
    <t>AUD</t>
  </si>
  <si>
    <t>BGL Bulgarian levs</t>
  </si>
  <si>
    <t>BGL</t>
  </si>
  <si>
    <t>BMD Bermudan Dollars</t>
  </si>
  <si>
    <t>BMD</t>
  </si>
  <si>
    <t>BRL Brazilian Real</t>
  </si>
  <si>
    <t>R$</t>
  </si>
  <si>
    <t>BRL</t>
  </si>
  <si>
    <t>CAD Canadian Dollars</t>
  </si>
  <si>
    <t>C$</t>
  </si>
  <si>
    <t>CAD</t>
  </si>
  <si>
    <t>CHF Swiss Francs</t>
  </si>
  <si>
    <t>SFr</t>
  </si>
  <si>
    <t>CHF</t>
  </si>
  <si>
    <t>CLP Chilean Pesos</t>
  </si>
  <si>
    <t>CLP</t>
  </si>
  <si>
    <t>CNY Chinese Renminbi Yuan</t>
  </si>
  <si>
    <t>Rmb</t>
  </si>
  <si>
    <t>CNY</t>
  </si>
  <si>
    <t>COP Colombian Peso</t>
  </si>
  <si>
    <t>COP</t>
  </si>
  <si>
    <t>CZK Czech Krona</t>
  </si>
  <si>
    <t>Kcs</t>
  </si>
  <si>
    <t>CZK</t>
  </si>
  <si>
    <t>DKK Danish Krone</t>
  </si>
  <si>
    <t>DKr</t>
  </si>
  <si>
    <t>DKK</t>
  </si>
  <si>
    <t>DZD Algerian Dinar</t>
  </si>
  <si>
    <t>DZD</t>
  </si>
  <si>
    <t>EGP Egyptian Pound</t>
  </si>
  <si>
    <t>EGP</t>
  </si>
  <si>
    <t>EUR Euro</t>
  </si>
  <si>
    <t>€</t>
  </si>
  <si>
    <t>EUR</t>
  </si>
  <si>
    <t>GBp British Pence</t>
  </si>
  <si>
    <t>p</t>
  </si>
  <si>
    <t>GBP British Pound</t>
  </si>
  <si>
    <t>₤</t>
  </si>
  <si>
    <t>GBP</t>
  </si>
  <si>
    <t>HKD Hong Kong Dollar</t>
  </si>
  <si>
    <t>HK$</t>
  </si>
  <si>
    <t>HKD</t>
  </si>
  <si>
    <t>HUF Hungarian forint</t>
  </si>
  <si>
    <t>Ft</t>
  </si>
  <si>
    <t>HUF</t>
  </si>
  <si>
    <t>IDR Indonesian Rupiah</t>
  </si>
  <si>
    <t>Rp</t>
  </si>
  <si>
    <t>IDR</t>
  </si>
  <si>
    <t>ILS Israeli shekel</t>
  </si>
  <si>
    <t>ILS</t>
  </si>
  <si>
    <t>INR Indian Rupee</t>
  </si>
  <si>
    <t>Rs.</t>
  </si>
  <si>
    <t>INR</t>
  </si>
  <si>
    <t>IQD Iraqi Dinar</t>
  </si>
  <si>
    <t>IQD</t>
  </si>
  <si>
    <t>IRR Iranian Rial</t>
  </si>
  <si>
    <t>IRR</t>
  </si>
  <si>
    <t>ISK Iceland Krona</t>
  </si>
  <si>
    <t>kr</t>
  </si>
  <si>
    <t>ISK</t>
  </si>
  <si>
    <t>JMD Jamaican Dollars</t>
  </si>
  <si>
    <t>JMD</t>
  </si>
  <si>
    <t>JPY Japanese Yen</t>
  </si>
  <si>
    <t>¥</t>
  </si>
  <si>
    <t>JPY</t>
  </si>
  <si>
    <t>KES Kenyan Shilling</t>
  </si>
  <si>
    <t>KES</t>
  </si>
  <si>
    <t>KRW South Korean Won</t>
  </si>
  <si>
    <t>₩</t>
  </si>
  <si>
    <t>KRW</t>
  </si>
  <si>
    <t>KWD Kuwaiti Dinar</t>
  </si>
  <si>
    <t>KWD</t>
  </si>
  <si>
    <t>KYD Cayman Dollars</t>
  </si>
  <si>
    <t>KYD</t>
  </si>
  <si>
    <t>LKR Sri Lankan Rupee</t>
  </si>
  <si>
    <t>LKR</t>
  </si>
  <si>
    <t>MAD Moroccan Dirham</t>
  </si>
  <si>
    <t>MAD</t>
  </si>
  <si>
    <t>MXN Mexican Pesos (new)</t>
  </si>
  <si>
    <t>M$</t>
  </si>
  <si>
    <t>MXN</t>
  </si>
  <si>
    <t>MYR Malaysian Ringgit</t>
  </si>
  <si>
    <t>RM</t>
  </si>
  <si>
    <t>MYR</t>
  </si>
  <si>
    <t>NOK Norwegian Krone</t>
  </si>
  <si>
    <t>NKr</t>
  </si>
  <si>
    <t>NOK</t>
  </si>
  <si>
    <t>NZD New Zealand Dollars</t>
  </si>
  <si>
    <t>NZ$</t>
  </si>
  <si>
    <t>NZD</t>
  </si>
  <si>
    <t>OMR Rial Omani</t>
  </si>
  <si>
    <t>OMR</t>
  </si>
  <si>
    <t>PAB Panamanian Balboa</t>
  </si>
  <si>
    <t>PAB</t>
  </si>
  <si>
    <t>PEN Peruvian PEN</t>
  </si>
  <si>
    <t>PEN</t>
  </si>
  <si>
    <t>PHP Philippino Peso</t>
  </si>
  <si>
    <t>PP</t>
  </si>
  <si>
    <t>PHP</t>
  </si>
  <si>
    <t>PKR Pakistani Rupee</t>
  </si>
  <si>
    <t>PKR</t>
  </si>
  <si>
    <t>PLN Polish Zloty</t>
  </si>
  <si>
    <t>zł</t>
  </si>
  <si>
    <t>PLN</t>
  </si>
  <si>
    <t>RUB Russian Rouble</t>
  </si>
  <si>
    <t>RUB</t>
  </si>
  <si>
    <t>SAR Saudi Riyal</t>
  </si>
  <si>
    <t>SAR</t>
  </si>
  <si>
    <t>SEK Swedish Krona</t>
  </si>
  <si>
    <t>SKr</t>
  </si>
  <si>
    <t>SEK</t>
  </si>
  <si>
    <t>SGD Singapore Dollar</t>
  </si>
  <si>
    <t>S$</t>
  </si>
  <si>
    <t>SGD</t>
  </si>
  <si>
    <t>THB Thailand Baht</t>
  </si>
  <si>
    <t>Bt</t>
  </si>
  <si>
    <t>THB</t>
  </si>
  <si>
    <t>TND Tunisian Dinar</t>
  </si>
  <si>
    <t>TND</t>
  </si>
  <si>
    <t>TRY Turkish Lira</t>
  </si>
  <si>
    <t>YTL</t>
  </si>
  <si>
    <t>TRY</t>
  </si>
  <si>
    <t>TWD New Taiwan Dollar</t>
  </si>
  <si>
    <t>NT$</t>
  </si>
  <si>
    <t>TWD</t>
  </si>
  <si>
    <t>UAH Ukrainian Hryvnia</t>
  </si>
  <si>
    <t>UAH</t>
  </si>
  <si>
    <t>USD American Dollar</t>
  </si>
  <si>
    <t>$</t>
  </si>
  <si>
    <t>VEB Venezuelan Bolivar</t>
  </si>
  <si>
    <t>VEB</t>
  </si>
  <si>
    <t>ZAR South African rand</t>
  </si>
  <si>
    <t>ZAR</t>
  </si>
  <si>
    <t>US GAAP</t>
  </si>
  <si>
    <t>Service Cost</t>
  </si>
  <si>
    <t>Prior Service Costs</t>
  </si>
  <si>
    <t>Interest Cost</t>
  </si>
  <si>
    <t>Expected Return on Plan Assets</t>
  </si>
  <si>
    <t>mstag:netActuarialGainLossRecognizedOpeb</t>
  </si>
  <si>
    <t>Discount Rate (Liability Rate)</t>
  </si>
  <si>
    <t>Benefits Paid</t>
  </si>
  <si>
    <t>Actual Return on Plan Assets</t>
  </si>
  <si>
    <t>OPEB Contributions, Net of Tax</t>
  </si>
  <si>
    <t>Discount Rate</t>
  </si>
  <si>
    <t>FY16</t>
  </si>
  <si>
    <t>Shares Outstanding</t>
  </si>
  <si>
    <t>Value Per Share</t>
  </si>
  <si>
    <t>Current Stock Price</t>
  </si>
  <si>
    <t>Less Net Debt</t>
  </si>
  <si>
    <t xml:space="preserve">Mill Capacity Details </t>
  </si>
  <si>
    <t>(000s short tons)</t>
  </si>
  <si>
    <t>US Steel Mills and Capacity</t>
  </si>
  <si>
    <t>Finished</t>
  </si>
  <si>
    <t>Semi-Finished</t>
  </si>
  <si>
    <t>Raw Material</t>
  </si>
  <si>
    <t>North American Properties</t>
  </si>
  <si>
    <t>Location</t>
  </si>
  <si>
    <t>Total 
Capacity (000s tons)</t>
  </si>
  <si>
    <t>Blast Furnace Count</t>
  </si>
  <si>
    <t>Sheets</t>
  </si>
  <si>
    <t>Tin Mill</t>
  </si>
  <si>
    <t>Strip Mill Plate</t>
  </si>
  <si>
    <t>Galvanized Sheets</t>
  </si>
  <si>
    <t>Galvalume Sheets</t>
  </si>
  <si>
    <t>Painted Sheets</t>
  </si>
  <si>
    <t>Slabs</t>
  </si>
  <si>
    <t>Blooms</t>
  </si>
  <si>
    <t>Iron Ore Pellets</t>
  </si>
  <si>
    <t>Limestone</t>
  </si>
  <si>
    <t>comments</t>
  </si>
  <si>
    <t>Gary Works</t>
  </si>
  <si>
    <t>Gary, IN</t>
  </si>
  <si>
    <t>x</t>
  </si>
  <si>
    <t>Midwest Plant</t>
  </si>
  <si>
    <t>Portage, IN</t>
  </si>
  <si>
    <t>East Chigago Tin</t>
  </si>
  <si>
    <t>East Chicago, IN</t>
  </si>
  <si>
    <t>Great Lakes Works</t>
  </si>
  <si>
    <t>Ecorse and River Rouge, MI</t>
  </si>
  <si>
    <t>12/1/09 Operations down "several weeks"</t>
  </si>
  <si>
    <t>Mon Valley Works</t>
  </si>
  <si>
    <t>Irvin Plant</t>
  </si>
  <si>
    <t>West Mifflin, PA</t>
  </si>
  <si>
    <t>Edgar Thomson Plant</t>
  </si>
  <si>
    <t>Braddock, PA</t>
  </si>
  <si>
    <t>Fairless Plant</t>
  </si>
  <si>
    <t>Fairless Hills, PA</t>
  </si>
  <si>
    <t>Clairton Works</t>
  </si>
  <si>
    <t>Clairton, PA</t>
  </si>
  <si>
    <t>Clairton 1314B Partnership</t>
  </si>
  <si>
    <t>2/27/09 Idling 25% of capacity</t>
  </si>
  <si>
    <t>Granite City Works</t>
  </si>
  <si>
    <t>Granite City, IL</t>
  </si>
  <si>
    <t>Fairfield Works</t>
  </si>
  <si>
    <t>Fairfield, AL</t>
  </si>
  <si>
    <t>Lake Erie Works</t>
  </si>
  <si>
    <t>Nanticoke, ONT</t>
  </si>
  <si>
    <t>3/3/09 Finisishing and Steelmaking  Operations down "several weeks"</t>
  </si>
  <si>
    <t>Hamilton Works</t>
  </si>
  <si>
    <t>Hamilton, ONT</t>
  </si>
  <si>
    <t>10//30/09 Hamilton down "6-8 weeks" 3/3/09 - Finisishing and Coking Operations down "several weeks"</t>
  </si>
  <si>
    <t>ProCoil Company</t>
  </si>
  <si>
    <t>Canton, MI</t>
  </si>
  <si>
    <t>Z-line Company</t>
  </si>
  <si>
    <t>USS-POSCO Industries</t>
  </si>
  <si>
    <t>Pittsburg, CA</t>
  </si>
  <si>
    <t>PRO-TEC Coating Company</t>
  </si>
  <si>
    <t>Leipsic, OH</t>
  </si>
  <si>
    <t>Double Eagle Steel Coating Co.</t>
  </si>
  <si>
    <t>Dearborn, MI</t>
  </si>
  <si>
    <t>MW Ticker (with .N, .O extension)</t>
  </si>
  <si>
    <t>Company Name</t>
  </si>
  <si>
    <t>United States Steel Corp</t>
  </si>
  <si>
    <t>Sedol</t>
  </si>
  <si>
    <t>Step 1</t>
  </si>
  <si>
    <t>: Thinking about Assumptions</t>
  </si>
  <si>
    <t>ZAV(TF.FN.PensionPlanDiscountRateWtdAvg(period=FY0,sdate=#1,edate=#2,frq=FY))/100</t>
  </si>
  <si>
    <t>% Change in PBO for each 100 bps change in Interest Rate</t>
  </si>
  <si>
    <t xml:space="preserve">Average Remaining Working Life </t>
  </si>
  <si>
    <t>Control tool for last reported year</t>
  </si>
  <si>
    <t>Expected Return on Plan Assets (EROA)</t>
  </si>
  <si>
    <t>ZAV(TF.FN.PensionPlanExpectedLTRateReturnOnAssets(period=FY0,sdate=#1,edate=#2,frq=FY))/100</t>
  </si>
  <si>
    <t>BoP Start Yr</t>
  </si>
  <si>
    <t>TimeSrs Start Yr</t>
  </si>
  <si>
    <t>TimSrs End Yr</t>
  </si>
  <si>
    <t>Step 2</t>
  </si>
  <si>
    <t>: Forecasting Financial Statements</t>
  </si>
  <si>
    <t>Yr diff. MW vs TR</t>
  </si>
  <si>
    <t>Last historical Yr</t>
  </si>
  <si>
    <t xml:space="preserve">a </t>
  </si>
  <si>
    <t>MW FYE Month</t>
  </si>
  <si>
    <t>MW FYE</t>
  </si>
  <si>
    <t>ZAV(TF.FN.PensionPlanServiceCosts(period=FY0,sdate=#1,edate=#2,frq=FY,curn=#3,scale=6))</t>
  </si>
  <si>
    <t>TR FYE</t>
  </si>
  <si>
    <t>12/31/2012</t>
  </si>
  <si>
    <t>ZAV(TF.FN.PensionPlanServiceAmmortizationOfPriorServiceCosts(period=FY0,sdate=#1,edate=#2,frq=FY,curn=#3,scale=6))</t>
  </si>
  <si>
    <t>ZAV(TF.FN.PensionPlanInterestCost(period=FY0,sdate=#1,edate=#2,frq=FY,curn=#3,scale=6))</t>
  </si>
  <si>
    <t>ZAV(TF.FN.PensionPlanExpectedReturnOnPlanAssets(period=FY0,sdate=#1,edate=#2,frq=FY,curn=#3,scale=6))</t>
  </si>
  <si>
    <t>US GAAP: Voluntary Pension Accounting</t>
  </si>
  <si>
    <t>Recognized Actuarial (Gains) / Loss</t>
  </si>
  <si>
    <t>Donot Delete this tag</t>
  </si>
  <si>
    <t>Amortization of Actuarial (Gain) / Loss</t>
  </si>
  <si>
    <t>mstag:netActuarialGainLossRecognizedPensions</t>
  </si>
  <si>
    <t>GAAP Pension Expense / (Benefit)</t>
  </si>
  <si>
    <t>ZAV(TF.FN.PensionPlanNetPeriodicIncExp(period=FY0,sdate=#1,edate=#2,frq=FY,curn=#3,scale=6))</t>
  </si>
  <si>
    <t>Plan Asset Allocation (%)</t>
  </si>
  <si>
    <t xml:space="preserve">b </t>
  </si>
  <si>
    <t>ZAV(TF.FN.PensionPlanPctEquities(period=FY0,sdate=#1,edate=#2,frq=FY))/100</t>
  </si>
  <si>
    <t>ZAV(TF.FN.PensionPlanPctBonds(period=FY0,sdate=#1,edate=#2,frq=FY))/100</t>
  </si>
  <si>
    <t>Projected Benefit Obligations (PBO) - BOP</t>
  </si>
  <si>
    <t>ZAV(TF.FN.PensionPlanProjectedBenefitObligation(period=FY0,sdate=#1,frq=FY,curn=#2,scale=6))</t>
  </si>
  <si>
    <t>ZAV(TF.FN.PensionPlanPctProperty(period=FY0,sdate=#1,edate=#2,frq=FY))/100</t>
  </si>
  <si>
    <t>ZAV(TF.FN.PensionPlanPctOther(period=FY0,sdate=#1,edate=#2,frq=FY))/100</t>
  </si>
  <si>
    <t>Actuarial Losses / (Gains)</t>
  </si>
  <si>
    <t>Projected Benefit Obligations (PBO) - EOP</t>
  </si>
  <si>
    <t>ZAV(TF.FN.PensionPlanProjectedBenefitObligation(period=FY0,sdate=#1,edate=#2,frq=FY,curn=#3,scale=6))</t>
  </si>
  <si>
    <t>Plan Assets - BOP</t>
  </si>
  <si>
    <t>ZAV(TF.FN.PensionPlanFairValueOfPlanAssets(period=FY0,sdate=#1,frq=FY,curn=#2,scale=6))</t>
  </si>
  <si>
    <t>Actual Return</t>
  </si>
  <si>
    <t>ZAV(TF.FN.PensionPlanActualReturnOnPlanAssets(period=FY0,sdate=#1,edate=#2,frq=FY,curn=#3,scale=6))</t>
  </si>
  <si>
    <t>Pension Fund Status</t>
  </si>
  <si>
    <t>Company Contributions</t>
  </si>
  <si>
    <t>Market cap</t>
  </si>
  <si>
    <t>Funded Status</t>
  </si>
  <si>
    <t>Fair Value of Plan Assets - EOP</t>
  </si>
  <si>
    <t>ZAV(TF.FN.PensionPlanFairValueOfPlanAssets(period=FY0,sdate=#1,edate=#2,frq=FY,curn=#3,scale=6))</t>
  </si>
  <si>
    <t>% of Market cap</t>
  </si>
  <si>
    <t>Funding level</t>
  </si>
  <si>
    <t>Deferred Tax Asset/(Liability) on Pensions</t>
  </si>
  <si>
    <t xml:space="preserve">c </t>
  </si>
  <si>
    <t>Reversal of non-cash pension expense(benefit)</t>
  </si>
  <si>
    <t>Step 3</t>
  </si>
  <si>
    <t>: Integration in Main Model</t>
  </si>
  <si>
    <t xml:space="preserve">NOTE:  Each model is structured differently, so the location to integrate the changes below (into either the BS or CFS) will depend on the model. Guidance for the typical model is described in column A.  </t>
  </si>
  <si>
    <t>Change in Assets</t>
  </si>
  <si>
    <t>(Decrease) in cash from contributions</t>
  </si>
  <si>
    <t>Increase (decrease) in cash from reversal of non-cash pension expense (benefit)</t>
  </si>
  <si>
    <t>Increase (decrease) in DTA from higher/lower funded status</t>
  </si>
  <si>
    <t>Total change in Assets</t>
  </si>
  <si>
    <t>Change in Liabilities &amp; Equity</t>
  </si>
  <si>
    <t>Increase / (Decrease) in Pension Obligation</t>
  </si>
  <si>
    <t>Increase / (Decrease) in AOCI from actuarial gains/losses</t>
  </si>
  <si>
    <t>Total Change in Liabilities &amp; Equity</t>
  </si>
  <si>
    <t>Step 4</t>
  </si>
  <si>
    <t>: Thinking about Pensions in Valuation</t>
  </si>
  <si>
    <t xml:space="preserve">    Metric</t>
  </si>
  <si>
    <t>Calculating Economic Pension Cost</t>
  </si>
  <si>
    <t>Interest on Net Underfunding</t>
  </si>
  <si>
    <t>Total Economic Pension Cost</t>
  </si>
  <si>
    <t>Difference</t>
  </si>
  <si>
    <t>Avg. Diluted Shares Outstanding</t>
  </si>
  <si>
    <t>Impact on EPS</t>
  </si>
  <si>
    <t>MW Ccy</t>
  </si>
  <si>
    <t>TR ISO Ccy</t>
  </si>
  <si>
    <t>Not Available</t>
  </si>
  <si>
    <t>ZAV(TF.RF.DiscountRatePostRetir(period=FY0,sdate=#1,edate=#2,frq=FY))</t>
  </si>
  <si>
    <t>ZAV(TF.FN.HealthcarePlanExpectedLTRateReturnOnAssets(period=FY0,sdate=#1,edate=#2,frq=FY))/100</t>
  </si>
  <si>
    <t>ZAV(TF.FN.HealthcarePlanServiceCosts(period=FY0,sdate=#1,edate=#2,frq=FY,curn=#3,scale=6))</t>
  </si>
  <si>
    <t>ZAV(TF.FN.HealthcarePlanServiceAmmortizationOfPriorServiceCosts(period=FY0,sdate=#1,edate=#2,frq=FY,curn=#3,scale=6))</t>
  </si>
  <si>
    <t>ZAV(TF.FN.HealthcarePlanInterestCost(period=FY0,sdate=#1,edate=#2,frq=FY,curn=#3,scale=6))</t>
  </si>
  <si>
    <t>drop down link</t>
  </si>
  <si>
    <t>ZAV(TF.FN.HealthcarePlanExpectedReturnOnPlanAssets(period=FY0,sdate=#1,edate=#2,frq=FY,curn=#3,scale=6))</t>
  </si>
  <si>
    <t>GAAP OPEB Expense / (Benefit)</t>
  </si>
  <si>
    <t>ZAV(TF.FN.HealthcarePlanNetPeriodicIncExp(period=FY0,sdate=#1,edate=#2,frq=FY,curn=#3,scale=6))</t>
  </si>
  <si>
    <t>ZAV(TF.FN.HealthcarePlanProjectedBenefitObligation(period=FY0,sdate=#1,frq=FY,curn=#2,scale=6))</t>
  </si>
  <si>
    <t>ZAV(TF.FN.HealthcarePlanProjectedBenefitObligation(period=FY0,sdate=#1,edate=#2,frq=FY,curn=#3,scale=6))</t>
  </si>
  <si>
    <t>ZAV(TF.FN.HealthcarePlanFairValueOfPlanAssets(period=FY0,sdate=#1,frq=FY,curn=#2,scale=6))</t>
  </si>
  <si>
    <t>ZAV(TF.FN.HealthcarePlanActualReturnOnPlanAssets(period=FY0,sdate=#1,edate=#2,frq=FY,curn=#3,scale=6))</t>
  </si>
  <si>
    <t>PBO</t>
  </si>
  <si>
    <t>ZAV(TF.FN.HealthcarePlanFairValueOfPlanAssets(period=FY0,sdate=#1,edate=#2,frq=FY,curn=#3,scale=6))</t>
  </si>
  <si>
    <t>OPEB</t>
  </si>
  <si>
    <t>Deferred Tax Asset/(Liability)</t>
  </si>
  <si>
    <t>Reversal of non-cash OPEB expense(benefit)</t>
  </si>
  <si>
    <t>(Decrease) in cash from contributions / benefit payments</t>
  </si>
  <si>
    <t>Increase (decrease) in cash from reversal of non-cash OPEB expense (benefit)</t>
  </si>
  <si>
    <t>Increase / (Decrease) in OPEB Obligation</t>
  </si>
  <si>
    <t>Double G Coatings</t>
  </si>
  <si>
    <t>Jackson, MS</t>
  </si>
  <si>
    <t>Worthington Specialty Processing</t>
  </si>
  <si>
    <t>Jackson, MI</t>
  </si>
  <si>
    <t>Baycoat</t>
  </si>
  <si>
    <t>D.C. Chrome</t>
  </si>
  <si>
    <t>Chrome Deposit Corp.</t>
  </si>
  <si>
    <t>Various</t>
  </si>
  <si>
    <t>Feralloy Processing Co.</t>
  </si>
  <si>
    <t>Acero Prime</t>
  </si>
  <si>
    <t>Mexico</t>
  </si>
  <si>
    <t>Lorain Tubular Operations</t>
  </si>
  <si>
    <t>Lorain, OH</t>
  </si>
  <si>
    <t>3/5/09 Idled for at least 60 days</t>
  </si>
  <si>
    <t>Texas and Bellville Operations</t>
  </si>
  <si>
    <t>Apolo Tubulars S.A.</t>
  </si>
  <si>
    <t>Brazil</t>
  </si>
  <si>
    <t>Mines</t>
  </si>
  <si>
    <t>Minntac Iron Ore Operations</t>
  </si>
  <si>
    <t>Mt. Iron, MN</t>
  </si>
  <si>
    <t>Keetac Iron Ore Operations</t>
  </si>
  <si>
    <t>Keewatin, MN</t>
  </si>
  <si>
    <t>12/1/09 Operations down "several weeks", 764m tons of reserves</t>
  </si>
  <si>
    <t>Hibbing Taconite Co.</t>
  </si>
  <si>
    <t>Hibbing, MN</t>
  </si>
  <si>
    <t>22.3m tons of reserves</t>
  </si>
  <si>
    <t>Tilden Mining Co.</t>
  </si>
  <si>
    <t>Ishpeming, MI</t>
  </si>
  <si>
    <t>38.9m tons of reserves</t>
  </si>
  <si>
    <t>Wabush Mines</t>
  </si>
  <si>
    <t>Canada</t>
  </si>
  <si>
    <t>14.4m tons of resrves (7 years)</t>
  </si>
  <si>
    <t>Total North America (raw production)</t>
  </si>
  <si>
    <t>Idled Production</t>
  </si>
  <si>
    <t>European Mills</t>
  </si>
  <si>
    <t>US Steel Kosice</t>
  </si>
  <si>
    <t>US Steel Balkan</t>
  </si>
  <si>
    <t>US Steel Replacement Cost Analysis</t>
  </si>
  <si>
    <t>Crude Replacement Cost Per Ton</t>
  </si>
  <si>
    <t>Finished Replacement Cost Per Ton</t>
  </si>
  <si>
    <t>Finished Replacement Cost</t>
  </si>
  <si>
    <t>Raw Material Replacement Cost Per Ton</t>
  </si>
  <si>
    <t>Raw Material Replacement Costs</t>
  </si>
  <si>
    <t>Total Replacement Value</t>
  </si>
  <si>
    <t>Less Pension &amp; OPEB</t>
  </si>
  <si>
    <t>Implied Market Value</t>
  </si>
  <si>
    <t>Current Price as a % of Repl. Value</t>
  </si>
  <si>
    <t>X.N,mstag:statutoryTaxRate,2010FY,,FYR</t>
  </si>
  <si>
    <t>0.35</t>
  </si>
  <si>
    <t>X.N,mstag:statutoryTaxRate,2011FY,,FYR</t>
  </si>
  <si>
    <t>X.N,mstag:statutoryTaxRate,2012FY,,FYR</t>
  </si>
  <si>
    <t>X.N,mstag:statutoryTaxRate,2013FY,,FYR</t>
  </si>
  <si>
    <t>X.N,mstag:statutoryTaxRate,2014FY,,FYR</t>
  </si>
  <si>
    <t>X.N,mstag:statutoryTaxRate,2015FY,,FYR</t>
  </si>
  <si>
    <t>X.N,mstag:statutoryTaxRate,2009FY,,FYR</t>
  </si>
  <si>
    <t>X.N,mstag:statutoryTaxRate,2008FY,,FYR</t>
  </si>
  <si>
    <t>X.N,mstag:statutoryTaxRate,2006FY,,FYR</t>
  </si>
  <si>
    <t>X.N,mstag:statutoryTaxRate,2007FY,,FYR</t>
  </si>
  <si>
    <t>X.N,mstag:statutoryTaxRate,2005FY,,FYR</t>
  </si>
  <si>
    <t>X.N,mstag:statutoryTaxRate,2004FY,,FYR</t>
  </si>
  <si>
    <t>X.N,mstag:revenueNet,2010FY,,FYR,,,IN-PROGRESS</t>
  </si>
  <si>
    <t>X.N,mscalc:factsetIdCalc</t>
  </si>
  <si>
    <t>Adj. Financials</t>
  </si>
  <si>
    <t>Pre-tax Income</t>
  </si>
  <si>
    <t>Income Tax Rate</t>
  </si>
  <si>
    <t>Diluted EPS</t>
  </si>
  <si>
    <t>Stock Price</t>
  </si>
  <si>
    <t>2016e</t>
  </si>
  <si>
    <t>Consensus</t>
  </si>
  <si>
    <t>Currency</t>
  </si>
  <si>
    <t>Total Reportable Segment &amp; Other Income</t>
  </si>
  <si>
    <t>Count</t>
  </si>
  <si>
    <t>BPN</t>
  </si>
  <si>
    <t>Steel Production, Ex-Tubular (k metric tonnes)</t>
  </si>
  <si>
    <t>Steel Capacity, Ex-Tubular (k metric tonnes)</t>
  </si>
  <si>
    <t>Steel Shipments (k metric tonnes)</t>
  </si>
  <si>
    <t>US Steel Corp.</t>
  </si>
  <si>
    <t>Summary Information</t>
  </si>
  <si>
    <t>Key Assumptions</t>
  </si>
  <si>
    <t xml:space="preserve">Income Statement </t>
  </si>
  <si>
    <t>Year End December</t>
  </si>
  <si>
    <t>Year End December (US$M)</t>
  </si>
  <si>
    <t>Realizations, $/t</t>
  </si>
  <si>
    <t>Sales</t>
  </si>
  <si>
    <t>Flat Rolled</t>
  </si>
  <si>
    <t>COGS</t>
  </si>
  <si>
    <t>Tubular</t>
  </si>
  <si>
    <t>D&amp;A</t>
  </si>
  <si>
    <t>USSE</t>
  </si>
  <si>
    <t>SG&amp;A</t>
  </si>
  <si>
    <t>Blended</t>
  </si>
  <si>
    <t>EBITDA</t>
  </si>
  <si>
    <t>EBIT</t>
  </si>
  <si>
    <t>Shipments, kt</t>
  </si>
  <si>
    <t>Pre-Tax Income</t>
  </si>
  <si>
    <t>Tax</t>
  </si>
  <si>
    <t>Minority Interest and Others</t>
  </si>
  <si>
    <t>Adj. Net Income</t>
  </si>
  <si>
    <t>Total</t>
  </si>
  <si>
    <t>Adj. EPS</t>
  </si>
  <si>
    <t>NA Capacity Utilization</t>
  </si>
  <si>
    <t>Reported EPS</t>
  </si>
  <si>
    <t>Segment EBIT</t>
  </si>
  <si>
    <t>Balance Sheet</t>
  </si>
  <si>
    <t>Flat rolled Segment- Steel</t>
  </si>
  <si>
    <t>Cash and Equivalents</t>
  </si>
  <si>
    <t>Receivables</t>
  </si>
  <si>
    <t>Inventories</t>
  </si>
  <si>
    <t>Others</t>
  </si>
  <si>
    <t>Goodwill and Intangibles</t>
  </si>
  <si>
    <t>Net PP&amp;E</t>
  </si>
  <si>
    <t>Quarterly Data</t>
  </si>
  <si>
    <t>Deferred Tax Asset</t>
  </si>
  <si>
    <t>1Q12</t>
  </si>
  <si>
    <t>2Q12</t>
  </si>
  <si>
    <t>3Q12</t>
  </si>
  <si>
    <t>Other Assets</t>
  </si>
  <si>
    <t>Quarterly Operating Data</t>
  </si>
  <si>
    <t>Total Assets</t>
  </si>
  <si>
    <t>Blended Realization</t>
  </si>
  <si>
    <t>Total Shipments</t>
  </si>
  <si>
    <t>Short Term debt</t>
  </si>
  <si>
    <t>Long Term debt</t>
  </si>
  <si>
    <t>Quarterly Financial Data</t>
  </si>
  <si>
    <t>Payables</t>
  </si>
  <si>
    <t>Deferred Tax Liability</t>
  </si>
  <si>
    <t>Other Liabilities</t>
  </si>
  <si>
    <t>Other Business Profit</t>
  </si>
  <si>
    <t>Shareholders' Equity</t>
  </si>
  <si>
    <t>Liabilities &amp; Equity</t>
  </si>
  <si>
    <t>Cashflow Statement</t>
  </si>
  <si>
    <t>Important Ratios</t>
  </si>
  <si>
    <t>Net Income</t>
  </si>
  <si>
    <t>Diluted Shares Out (m)</t>
  </si>
  <si>
    <t>EPS Growth YoY</t>
  </si>
  <si>
    <t>NM</t>
  </si>
  <si>
    <t>(Increase) in Working Capital</t>
  </si>
  <si>
    <t>P/E</t>
  </si>
  <si>
    <t>Net Cash from Operations</t>
  </si>
  <si>
    <t>P/B</t>
  </si>
  <si>
    <t>EV</t>
  </si>
  <si>
    <t>Acquisitions</t>
  </si>
  <si>
    <t>EV/EBITDA</t>
  </si>
  <si>
    <t>Capex</t>
  </si>
  <si>
    <t>Dividend Per Share</t>
  </si>
  <si>
    <t>Payout ratio</t>
  </si>
  <si>
    <t>Net Cash used in Investing</t>
  </si>
  <si>
    <t>Div Yield</t>
  </si>
  <si>
    <t>ROE</t>
  </si>
  <si>
    <t>Proceeds from Equity</t>
  </si>
  <si>
    <t>ROIC</t>
  </si>
  <si>
    <t>Proceeds from Debt</t>
  </si>
  <si>
    <t>Net Debt</t>
  </si>
  <si>
    <t>Leverage (Net Debt/Captital)</t>
  </si>
  <si>
    <t>Net Cash used in Financing</t>
  </si>
  <si>
    <t>Leverage (Net Debt/EBITDA)</t>
  </si>
  <si>
    <t>FCF Per Share</t>
  </si>
  <si>
    <t>Net Cash Inflow</t>
  </si>
  <si>
    <t>FCF Yield</t>
  </si>
  <si>
    <t>Closing Cash Balance</t>
  </si>
  <si>
    <t>Key Model Drivers</t>
  </si>
  <si>
    <t>1Q</t>
  </si>
  <si>
    <t>2Q</t>
  </si>
  <si>
    <t>3Q</t>
  </si>
  <si>
    <t>4Q</t>
  </si>
  <si>
    <t>FY8</t>
  </si>
  <si>
    <t>FY9</t>
  </si>
  <si>
    <t>FY10</t>
  </si>
  <si>
    <t>FY11</t>
  </si>
  <si>
    <t>FY12</t>
  </si>
  <si>
    <t>FY13</t>
  </si>
  <si>
    <t>FY14</t>
  </si>
  <si>
    <t>FY15</t>
  </si>
  <si>
    <t>Price Assumptions</t>
  </si>
  <si>
    <t>Flat-Rolled Segment ($ per ton)</t>
  </si>
  <si>
    <t>Hot-rolled Sheets</t>
  </si>
  <si>
    <t>Cold-rolled Sheets</t>
  </si>
  <si>
    <t>Coated Sheets</t>
  </si>
  <si>
    <t>Tin Mill Products</t>
  </si>
  <si>
    <t>Semi-finished and Plates</t>
  </si>
  <si>
    <t>Seamless</t>
  </si>
  <si>
    <t>Welded</t>
  </si>
  <si>
    <t>USSE Segment ($ per ton)</t>
  </si>
  <si>
    <t>LME Tin ($k/t)</t>
  </si>
  <si>
    <t>Coking Coal ($ per ton)</t>
  </si>
  <si>
    <t>Coke ($ per ton)</t>
  </si>
  <si>
    <t>Scrap ($ per gross ton)</t>
  </si>
  <si>
    <t>Nat Gas ($ per mcf)</t>
  </si>
  <si>
    <t>Iron Ore (del. $/metric tonne)</t>
  </si>
  <si>
    <t>Coking Coal ($/metric tonne)</t>
  </si>
  <si>
    <t>Coke ($/metric tonne)</t>
  </si>
  <si>
    <t>Scrap ($/gross ton)</t>
  </si>
  <si>
    <t>Tubular Segment ($ per ton)</t>
  </si>
  <si>
    <t>Substrate Costs</t>
  </si>
  <si>
    <t>Round Costs</t>
  </si>
  <si>
    <t>Flat rolled Segment</t>
  </si>
  <si>
    <t>Domestic Capacity</t>
  </si>
  <si>
    <t>Raw Steel Production</t>
  </si>
  <si>
    <t>Capacity utilization</t>
  </si>
  <si>
    <t>Capacity</t>
  </si>
  <si>
    <t>Rolling Capacity</t>
  </si>
  <si>
    <t>Shipments / Capacity</t>
  </si>
  <si>
    <t>Other</t>
  </si>
  <si>
    <t>Capital Expenditures</t>
  </si>
  <si>
    <t>Depreciation</t>
  </si>
  <si>
    <t>Share Repurchase Price</t>
  </si>
  <si>
    <t>Results</t>
  </si>
  <si>
    <t>Revenues</t>
  </si>
  <si>
    <t>Operating Profit</t>
  </si>
  <si>
    <t>EPS</t>
  </si>
  <si>
    <t>CFO</t>
  </si>
  <si>
    <t>FCF (CFO-Capex)</t>
  </si>
  <si>
    <t>US Steel Corporation</t>
  </si>
  <si>
    <t>Quarterly Income Statement</t>
  </si>
  <si>
    <t>($ Millions Except Per Share Data)</t>
  </si>
  <si>
    <t>USSE Segment</t>
  </si>
  <si>
    <t>Tubular Segment</t>
  </si>
  <si>
    <t>Other Businesses</t>
  </si>
  <si>
    <t>Total Net Sales</t>
  </si>
  <si>
    <t>Annual Growth %</t>
  </si>
  <si>
    <t>Seq. Growth %</t>
  </si>
  <si>
    <t>Total Cost of Goods Sold</t>
  </si>
  <si>
    <t>Gross Profit</t>
  </si>
  <si>
    <t>% of Revenue</t>
  </si>
  <si>
    <t>Selling, General &amp; Admin.</t>
  </si>
  <si>
    <t>Depreciation and Amortization</t>
  </si>
  <si>
    <t>Other Income (Loss)</t>
  </si>
  <si>
    <t>Total Segment Operating Profit</t>
  </si>
  <si>
    <t>Postretirement Benefit Expense</t>
  </si>
  <si>
    <t>Stock-Based Compensation</t>
  </si>
  <si>
    <t>Total Operating Profit</t>
  </si>
  <si>
    <t>Interest Income</t>
  </si>
  <si>
    <t>Interest Expense</t>
  </si>
  <si>
    <t>Net Interest Expense</t>
  </si>
  <si>
    <t>Other Financial Income (Expense)</t>
  </si>
  <si>
    <t>Pretax Income</t>
  </si>
  <si>
    <t>Pretax Margin</t>
  </si>
  <si>
    <t>Income Taxes</t>
  </si>
  <si>
    <t>Tax Rate</t>
  </si>
  <si>
    <t>Minority Interest, Pref, Other</t>
  </si>
  <si>
    <t>Minority Interest</t>
  </si>
  <si>
    <t>Preferred Stock</t>
  </si>
  <si>
    <t>Net Income Margin</t>
  </si>
  <si>
    <t>Impact of Coversion of Converitble Bonds</t>
  </si>
  <si>
    <t xml:space="preserve">Diluted EPS Before Gains/(Charges)   </t>
  </si>
  <si>
    <t>Change Before Gains/(Charges)</t>
  </si>
  <si>
    <t>Diluted Shares Outstanding</t>
  </si>
  <si>
    <t>Dividend per Share</t>
  </si>
  <si>
    <t>Payout Ratio</t>
  </si>
  <si>
    <t>Tax Details</t>
  </si>
  <si>
    <t>Reported Taxes</t>
  </si>
  <si>
    <t>Statutory Tax Rate</t>
  </si>
  <si>
    <t>Shares Outstanding Details</t>
  </si>
  <si>
    <t>Average Basic Shares Outstanding</t>
  </si>
  <si>
    <t>Change</t>
  </si>
  <si>
    <t>Period-End Basic Shares Outstanding</t>
  </si>
  <si>
    <t>Details of Charges/(Gains)</t>
  </si>
  <si>
    <t>Income from Discontinued Operations</t>
  </si>
  <si>
    <t>Restructuring Charges, Closures</t>
  </si>
  <si>
    <t>Debt Retirement Charges</t>
  </si>
  <si>
    <t>Asset Impairments</t>
  </si>
  <si>
    <t>Litigation Charges</t>
  </si>
  <si>
    <t>Sale of Assets (Gain)/Loss</t>
  </si>
  <si>
    <t>Total (Charges)/Gains Excluded</t>
  </si>
  <si>
    <t>Net Income (Reported)</t>
  </si>
  <si>
    <t>EPS as Reported</t>
  </si>
  <si>
    <t>EPS (Adjusted for Consensus)</t>
  </si>
  <si>
    <t>Net Income (Adjusted for Consensus)</t>
  </si>
  <si>
    <t>DA</t>
  </si>
  <si>
    <t>EBIT/Ton</t>
  </si>
  <si>
    <t>X.N,mscalc:closePriceCurrencyCalc</t>
  </si>
  <si>
    <t>X.N,mscalc:sedolCodeCalc</t>
  </si>
  <si>
    <t>X.N,mscalc:targetPrice,,,,USD</t>
  </si>
  <si>
    <t>$AH$2</t>
  </si>
  <si>
    <t>2824770</t>
  </si>
  <si>
    <t>EBITDA/Ton</t>
  </si>
  <si>
    <t>Quarterly Balance Sheet</t>
  </si>
  <si>
    <t>($ in Millions)</t>
  </si>
  <si>
    <t>1QA</t>
  </si>
  <si>
    <t>2QA</t>
  </si>
  <si>
    <t>3QA</t>
  </si>
  <si>
    <t>4QA</t>
  </si>
  <si>
    <t>2003A</t>
  </si>
  <si>
    <t>2004A</t>
  </si>
  <si>
    <t>2005A</t>
  </si>
  <si>
    <t>Assets</t>
  </si>
  <si>
    <t>Cash and Cash Equivalents</t>
  </si>
  <si>
    <t>Accounts Receivable</t>
  </si>
  <si>
    <t>Receivables from related parties</t>
  </si>
  <si>
    <t>Deferred income tax</t>
  </si>
  <si>
    <t>Other Current Assets</t>
  </si>
  <si>
    <t>Current Assets</t>
  </si>
  <si>
    <t>Investments and long term receivables</t>
  </si>
  <si>
    <t>Long term receivables from related parties</t>
  </si>
  <si>
    <t>Pension Assets</t>
  </si>
  <si>
    <t>Goodwill</t>
  </si>
  <si>
    <t>Other Intangible Assets</t>
  </si>
  <si>
    <t>Deferred income tax benefits</t>
  </si>
  <si>
    <t xml:space="preserve">  Total Assets</t>
  </si>
  <si>
    <t>Liabilities and Shareholders' Equity</t>
  </si>
  <si>
    <t>Accounts Payable</t>
  </si>
  <si>
    <t>Accounts payable to related parties</t>
  </si>
  <si>
    <t>Banks checks outstanding</t>
  </si>
  <si>
    <t>Payroll and benefits payable</t>
  </si>
  <si>
    <t xml:space="preserve">Accrued taxes </t>
  </si>
  <si>
    <t>Deferred income tax liabilities</t>
  </si>
  <si>
    <t>Accured interest</t>
  </si>
  <si>
    <t>ST Debt and current maturities of long term debt</t>
  </si>
  <si>
    <t>Accrued and Other liabilities</t>
  </si>
  <si>
    <t>Current Liabilities</t>
  </si>
  <si>
    <t>Long-Term Debt</t>
  </si>
  <si>
    <t>Deferred Pension</t>
  </si>
  <si>
    <t>Employee benefit</t>
  </si>
  <si>
    <t xml:space="preserve">Convertible preferred shares  </t>
  </si>
  <si>
    <t>Common Stock</t>
  </si>
  <si>
    <t>Paid-in Capital</t>
  </si>
  <si>
    <t>Retained Earnings</t>
  </si>
  <si>
    <t>Unearned Compensation</t>
  </si>
  <si>
    <t>Accumulated Comprehensive Income(loss)</t>
  </si>
  <si>
    <t>Common Stock Held in Treasury</t>
  </si>
  <si>
    <t>Check</t>
  </si>
  <si>
    <t>Opening Balance</t>
  </si>
  <si>
    <t>Issuance of stock</t>
  </si>
  <si>
    <t>Common Dividend</t>
  </si>
  <si>
    <t>Other change in SE</t>
  </si>
  <si>
    <t>Reported Earnings</t>
  </si>
  <si>
    <t>Changes in Reserves</t>
  </si>
  <si>
    <t>Repurchase of Stock</t>
  </si>
  <si>
    <t>Closing Balance</t>
  </si>
  <si>
    <t>Cost of Debt</t>
  </si>
  <si>
    <t>Total Debt</t>
  </si>
  <si>
    <t>Net Debt (Adjusted for Pension &amp; OPEB)</t>
  </si>
  <si>
    <t>Net Working Capital</t>
  </si>
  <si>
    <t>Working Capital / Sales</t>
  </si>
  <si>
    <t>Leverage Ratios</t>
  </si>
  <si>
    <t xml:space="preserve"> Net Debt/(Net Debt + Equity)</t>
  </si>
  <si>
    <t xml:space="preserve"> Adjusted Net Debt/(Net Debt + Equity)</t>
  </si>
  <si>
    <t xml:space="preserve"> Net Debt/EBITDA</t>
  </si>
  <si>
    <t>Adjusted  Net Debt/EBITDA</t>
  </si>
  <si>
    <t>EBIT / Interest Expense</t>
  </si>
  <si>
    <t>EBITDA / Interest Expense</t>
  </si>
  <si>
    <t>Book Value</t>
  </si>
  <si>
    <t>Book Value Per Share</t>
  </si>
  <si>
    <t>Tangible Book Value Per Share</t>
  </si>
  <si>
    <t>US Steel</t>
  </si>
  <si>
    <t>Quarterly Cash Flow Statement</t>
  </si>
  <si>
    <t>Operating Activities</t>
  </si>
  <si>
    <t>Net income</t>
  </si>
  <si>
    <t xml:space="preserve">Depreciation </t>
  </si>
  <si>
    <t>Deferred income taxes</t>
  </si>
  <si>
    <t>Working Capital</t>
  </si>
  <si>
    <t>Change in Receivables</t>
  </si>
  <si>
    <t>Change in Inventories</t>
  </si>
  <si>
    <t>Change in Payables</t>
  </si>
  <si>
    <t>Other changes in assets and liabilities</t>
  </si>
  <si>
    <t>Total changes in working capital</t>
  </si>
  <si>
    <t>Pension &amp; OPEB</t>
  </si>
  <si>
    <t>Change in Cash flow from restatements</t>
  </si>
  <si>
    <t>Cash From Operations</t>
  </si>
  <si>
    <t>Investing Activities</t>
  </si>
  <si>
    <t>Capital expenditures</t>
  </si>
  <si>
    <t>Capital expenditures - Var. Int. Ent.</t>
  </si>
  <si>
    <t>Acquisitions, net of cash acquired</t>
  </si>
  <si>
    <t>Sale/disposal of assets</t>
  </si>
  <si>
    <t>Short term investment decrease/increase</t>
  </si>
  <si>
    <t>All other - net</t>
  </si>
  <si>
    <t>Cash From Investing Activities</t>
  </si>
  <si>
    <t>Financing Activities</t>
  </si>
  <si>
    <t>Proceeds from issuance of common stock</t>
  </si>
  <si>
    <t>Share Repurchases</t>
  </si>
  <si>
    <t>Preferred stock issued</t>
  </si>
  <si>
    <t>Issuance of debt</t>
  </si>
  <si>
    <t>Reduction of debt</t>
  </si>
  <si>
    <t>Change in bank overdrafts</t>
  </si>
  <si>
    <t>Change in bank checks outstanding</t>
  </si>
  <si>
    <t>Cash dividends paid</t>
  </si>
  <si>
    <t xml:space="preserve">Distribution to Minority </t>
  </si>
  <si>
    <t>Cash From Financing Activities</t>
  </si>
  <si>
    <t>Exchange Rate Effect on Cash</t>
  </si>
  <si>
    <t>Total Cash Flows</t>
  </si>
  <si>
    <t>Cash At Beginning of Period</t>
  </si>
  <si>
    <t>Cash at End of Period</t>
  </si>
  <si>
    <t>Change in cash</t>
  </si>
  <si>
    <t>Free Cash Flow</t>
  </si>
  <si>
    <t>Free Cash Flow / Share</t>
  </si>
  <si>
    <t>Working Capital Analysis</t>
  </si>
  <si>
    <t>Average Days Receivables</t>
  </si>
  <si>
    <t>1Q16</t>
  </si>
  <si>
    <t>2Q16</t>
  </si>
  <si>
    <t>3Q16</t>
  </si>
  <si>
    <t>4Q16</t>
  </si>
  <si>
    <t>Inventory Turnover (COGS/Avg.Inv.)</t>
  </si>
  <si>
    <t>Avg. Days Payables Out</t>
  </si>
  <si>
    <t>Cash Cycle</t>
  </si>
  <si>
    <t>Other LT Assets</t>
  </si>
  <si>
    <t>Other ST Liabilities</t>
  </si>
  <si>
    <t>SHIPMENTS Segment data</t>
  </si>
  <si>
    <t>In 000's Ton</t>
  </si>
  <si>
    <t>ASSET LIFE ANALYSIS</t>
  </si>
  <si>
    <t>Gross Fixed Assets</t>
  </si>
  <si>
    <t>Retirements</t>
  </si>
  <si>
    <t>% of Gross PP&amp;E</t>
  </si>
  <si>
    <t>Net Additions</t>
  </si>
  <si>
    <t>Accumulated Depreciation</t>
  </si>
  <si>
    <t>Depreciation Expense</t>
  </si>
  <si>
    <t>2021 Senior Notes</t>
  </si>
  <si>
    <t>Earnings Add-Back for 2019 Convertible</t>
  </si>
  <si>
    <t>Share Add-Back for 2019 Convertible</t>
  </si>
  <si>
    <t>Earnings Add-Back for 2014 Convertible</t>
  </si>
  <si>
    <t>Share Add-Back for 2014 Convertible</t>
  </si>
  <si>
    <t>Dilution Calculations</t>
  </si>
  <si>
    <t>Avg. Depreciation Period</t>
  </si>
  <si>
    <r>
      <t xml:space="preserve">SHIPMENTS </t>
    </r>
    <r>
      <rPr>
        <b/>
        <i/>
        <sz val="8"/>
        <rFont val="Arial"/>
        <family val="2"/>
      </rPr>
      <t>(in '000 tons)</t>
    </r>
  </si>
  <si>
    <t>3Q11</t>
  </si>
  <si>
    <t>Coking Coal</t>
  </si>
  <si>
    <t>Coke</t>
  </si>
  <si>
    <t>Scrap</t>
  </si>
  <si>
    <t>4Q11</t>
  </si>
  <si>
    <t>Total Flat Steel</t>
  </si>
  <si>
    <r>
      <t xml:space="preserve">Raw Steel Production </t>
    </r>
    <r>
      <rPr>
        <b/>
        <i/>
        <sz val="8"/>
        <rFont val="Arial"/>
        <family val="2"/>
      </rPr>
      <t>(in '000 tons)</t>
    </r>
  </si>
  <si>
    <t>% Capacity Utilization</t>
  </si>
  <si>
    <t>SEGMENT PROFIT (EBIT)</t>
  </si>
  <si>
    <t>EBITDA per Ton</t>
  </si>
  <si>
    <t>STEEL REVENUE</t>
  </si>
  <si>
    <t>Revenue Per Ton ( Steel only) $ per ton</t>
  </si>
  <si>
    <t>Other revenue ( $ in millions)</t>
  </si>
  <si>
    <t>Iron Ore (delivered)</t>
  </si>
  <si>
    <t>Natural Gas ($/mcf)</t>
  </si>
  <si>
    <t>Costs Per ton of Finished Steel</t>
  </si>
  <si>
    <t>Iron Ore</t>
  </si>
  <si>
    <t>Spot Prices</t>
  </si>
  <si>
    <t>Blended Average</t>
  </si>
  <si>
    <t>Pension and OPEB Expense</t>
  </si>
  <si>
    <t>Segment Analysis</t>
  </si>
  <si>
    <t>Capex per ton</t>
  </si>
  <si>
    <t>Total Liabilities &amp; Equity</t>
  </si>
  <si>
    <t>Total Liabilities</t>
  </si>
  <si>
    <t>Total Equity</t>
  </si>
  <si>
    <t>FY17</t>
  </si>
  <si>
    <t>1Q17</t>
  </si>
  <si>
    <t>2Q17</t>
  </si>
  <si>
    <t>3Q17</t>
  </si>
  <si>
    <t>4Q17</t>
  </si>
  <si>
    <t>Statement of Shareholders Equity (ex-mniority interest)</t>
  </si>
  <si>
    <t>(Input Fields in Blue)</t>
  </si>
  <si>
    <t>4Q16e</t>
  </si>
  <si>
    <t>2017e</t>
  </si>
  <si>
    <t>1Q18</t>
  </si>
  <si>
    <t>2Q18</t>
  </si>
  <si>
    <t>3Q18</t>
  </si>
  <si>
    <t>4Q18</t>
  </si>
  <si>
    <t>FY18</t>
  </si>
  <si>
    <t>2018e</t>
  </si>
  <si>
    <t>Income Tax Expense (Benefit)</t>
  </si>
  <si>
    <t>For Lookups</t>
  </si>
  <si>
    <t>FY19</t>
  </si>
  <si>
    <t>1Q19</t>
  </si>
  <si>
    <t>2Q19</t>
  </si>
  <si>
    <t>3Q19</t>
  </si>
  <si>
    <t>4Q19</t>
  </si>
  <si>
    <t>2Q17e</t>
  </si>
  <si>
    <t>3Q17e</t>
  </si>
  <si>
    <t>4Q17e</t>
  </si>
  <si>
    <t>1Q17e</t>
  </si>
  <si>
    <t>3QE</t>
  </si>
  <si>
    <t>4QE</t>
  </si>
  <si>
    <t>1QE</t>
  </si>
  <si>
    <t>2QE</t>
  </si>
  <si>
    <t>2018E</t>
  </si>
  <si>
    <t>2019E</t>
  </si>
  <si>
    <t>FY20</t>
  </si>
  <si>
    <t>1Q20</t>
  </si>
  <si>
    <t>2Q20</t>
  </si>
  <si>
    <t>3Q20</t>
  </si>
  <si>
    <t>4Q20</t>
  </si>
  <si>
    <t>2020E</t>
  </si>
  <si>
    <t>2019e</t>
  </si>
  <si>
    <t>Flat Rolled Steel</t>
  </si>
  <si>
    <t>Volume Growth</t>
  </si>
  <si>
    <t>Average Spot Price, $/st</t>
  </si>
  <si>
    <t>Flat rolled Segment Revenue</t>
  </si>
  <si>
    <t>Total Revenue per ton</t>
  </si>
  <si>
    <t>Other Revenue/ton</t>
  </si>
  <si>
    <t>Average realized steel price per ton</t>
  </si>
  <si>
    <t>Realized Cost per ton</t>
  </si>
  <si>
    <t>Other Costs</t>
  </si>
  <si>
    <t>Calculated Costs per ton</t>
  </si>
  <si>
    <t>Maintenance, $mn</t>
  </si>
  <si>
    <t>Maintenance, $/t</t>
  </si>
  <si>
    <t>Accounting Change, $mn</t>
  </si>
  <si>
    <t>Calculated Costs per ton, Alternative</t>
  </si>
  <si>
    <t>Sustainable Changes in Cost, $/t</t>
  </si>
  <si>
    <t>Additional Maintenance, $mn</t>
  </si>
  <si>
    <t>Costs</t>
  </si>
  <si>
    <t>Tubular Segment revenue</t>
  </si>
  <si>
    <t>Tubular Shipments</t>
  </si>
  <si>
    <t>Price Blended for Mix</t>
  </si>
  <si>
    <t>Costs in steelmaking</t>
  </si>
  <si>
    <t>Input Costs</t>
  </si>
  <si>
    <t>Old Data</t>
  </si>
  <si>
    <t>Blended ASP</t>
  </si>
  <si>
    <t>Modelware tag1</t>
  </si>
  <si>
    <t>Modelware tag 2</t>
  </si>
  <si>
    <t>1Q2018</t>
  </si>
  <si>
    <t>2Q2018</t>
  </si>
  <si>
    <t>3Q2018</t>
  </si>
  <si>
    <t>4Q2018</t>
  </si>
  <si>
    <t>1Q18e</t>
  </si>
  <si>
    <t>2Q18e</t>
  </si>
  <si>
    <t>3Q18e</t>
  </si>
  <si>
    <t>4Q18e</t>
  </si>
  <si>
    <t>4Q2017 Analysis</t>
  </si>
  <si>
    <t>Variance</t>
  </si>
  <si>
    <t>2025 Senior Notes</t>
  </si>
  <si>
    <t>Pension expense in Interest &amp; other financing costs</t>
  </si>
  <si>
    <t>42</t>
  </si>
  <si>
    <t>2020e</t>
  </si>
  <si>
    <t>Last Updated: 04/12/18</t>
  </si>
  <si>
    <t>Manual Calculation</t>
  </si>
  <si>
    <t xml:space="preserve">                                                          #NAME?                                                          </t>
  </si>
  <si>
    <t>Research</t>
  </si>
  <si>
    <t>#Refresh#</t>
  </si>
  <si>
    <t>e = Morgan Stanley Research estimates unless otherwise noted</t>
  </si>
  <si>
    <t>Source: Morgan Stanley Research unless otherwise noted</t>
  </si>
  <si>
    <t>Stocks ratings are relative to the analyst's industry coverage universe.</t>
  </si>
  <si>
    <t>1585 Broadway</t>
  </si>
  <si>
    <t>New York, NY  10036-8293</t>
  </si>
  <si>
    <t>United States</t>
  </si>
  <si>
    <t>Tel: +1 (1)212 761 4000</t>
  </si>
  <si>
    <t>Authors: Piyush Sood, Lynn Bernabei, Serena Rocha Calejon</t>
  </si>
  <si>
    <t>Date: 17 Apr 2018</t>
  </si>
  <si>
    <t>Ticker: X.N</t>
  </si>
  <si>
    <t>Stock Rating: Overweight</t>
  </si>
  <si>
    <t>Industry: Steel</t>
  </si>
  <si>
    <t>Industry View: In-Line</t>
  </si>
  <si>
    <t>Price as of 17 Apr 2018: 35.75</t>
  </si>
  <si>
    <t>Target Price: 44</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</si>
  <si>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</si>
  <si>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</si>
  <si>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</si>
  <si>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</si>
  <si>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US Steel Corporation.</t>
  </si>
  <si>
    <t>STOCK RATINGS</t>
  </si>
  <si>
    <t>Global Stock Ratings Distribution</t>
  </si>
  <si>
    <t>(as of March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</si>
  <si>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</si>
  <si>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</si>
  <si>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</si>
  <si>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</si>
  <si>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</si>
  <si>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</si>
  <si>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</si>
  <si>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</si>
  <si>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</si>
  <si>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</si>
  <si>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</si>
  <si>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</si>
  <si>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</si>
  <si>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</si>
  <si>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</si>
  <si>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</si>
  <si>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</si>
  <si>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</si>
  <si>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</si>
  <si>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</si>
  <si>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</si>
  <si>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</si>
  <si>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</si>
  <si>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</si>
  <si>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</si>
  <si>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</si>
  <si>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</si>
  <si>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</si>
  <si>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</si>
  <si>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</si>
  <si>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</si>
  <si>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</si>
  <si>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</si>
  <si>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</si>
  <si>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</si>
  <si>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</si>
  <si>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</si>
  <si>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</si>
  <si>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</si>
  <si>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</si>
  <si>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</si>
  <si>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</si>
  <si>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</si>
  <si>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</si>
  <si>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</si>
  <si>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</si>
  <si>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</si>
  <si>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</si>
  <si>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</si>
  <si>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</si>
  <si>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</si>
  <si>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</si>
  <si>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</si>
  <si>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</si>
  <si>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</si>
  <si>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</si>
  <si>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</si>
  <si>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</si>
  <si>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</si>
  <si>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</si>
  <si>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</si>
  <si>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</si>
  <si>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</si>
  <si>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</si>
  <si>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</si>
  <si>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</si>
  <si>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</si>
  <si>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</si>
  <si>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</si>
  <si>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</si>
  <si>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</si>
  <si>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</si>
  <si>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</si>
  <si>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</si>
  <si>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</si>
  <si>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</si>
  <si>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</si>
  <si>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</si>
  <si>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</si>
  <si>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</si>
  <si>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</si>
  <si>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</si>
  <si>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</si>
  <si>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</si>
  <si>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</si>
  <si>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</si>
  <si>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</si>
  <si>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</si>
  <si>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</si>
  <si>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</si>
  <si>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</si>
  <si>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</si>
  <si>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</si>
  <si>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</si>
  <si>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</si>
  <si>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</si>
  <si>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</si>
  <si>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</si>
  <si>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</si>
  <si>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</si>
  <si>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</si>
  <si>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</si>
  <si>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</si>
  <si>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</si>
  <si>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</si>
  <si>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</si>
  <si>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</si>
  <si>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</si>
  <si>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</si>
  <si>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</si>
  <si>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</si>
  <si>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</si>
  <si>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</si>
  <si>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</si>
  <si>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</si>
  <si>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</si>
  <si>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</si>
  <si>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</si>
  <si>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</si>
  <si>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</si>
  <si>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</si>
  <si>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</si>
  <si>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</si>
  <si>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</si>
  <si>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</si>
  <si>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</si>
  <si>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</si>
  <si>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</si>
  <si>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</si>
  <si>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</si>
  <si>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</si>
  <si>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</si>
  <si>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</si>
  <si>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</si>
  <si>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</si>
  <si>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</si>
  <si>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</si>
  <si>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</si>
  <si>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</si>
  <si>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</si>
  <si>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</si>
  <si>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</si>
  <si>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</si>
  <si>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</si>
  <si>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</si>
  <si>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</si>
  <si>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</si>
  <si>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</si>
  <si>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</si>
  <si>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</si>
  <si>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</si>
  <si>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</si>
  <si>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</si>
  <si>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</si>
  <si>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</si>
  <si>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</si>
  <si>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</si>
  <si>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</si>
  <si>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</si>
  <si>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</si>
  <si>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</si>
  <si>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</si>
  <si>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</si>
  <si>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</si>
  <si>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</si>
  <si>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</si>
  <si>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</si>
  <si>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</si>
  <si>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</si>
  <si>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</si>
  <si>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</si>
  <si>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</si>
  <si>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</si>
  <si>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US Steel Corporation.</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</si>
  <si>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</si>
  <si>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</si>
  <si>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</si>
  <si>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</si>
  <si>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</si>
  <si>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</si>
  <si>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</si>
  <si>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</si>
  <si>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</si>
  <si>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</si>
  <si>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</si>
  <si>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</si>
  <si>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</si>
  <si>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</si>
  <si>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</si>
  <si>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</si>
  <si>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</si>
  <si>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</si>
  <si>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</si>
  <si>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</si>
  <si>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</si>
  <si>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</si>
  <si>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</si>
  <si>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</si>
  <si>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</si>
  <si>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</si>
  <si>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</si>
  <si>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</si>
  <si>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</si>
  <si>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</si>
  <si>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</si>
  <si>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</si>
  <si>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</si>
  <si>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</si>
  <si>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</si>
  <si>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</si>
  <si>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</si>
  <si>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</si>
  <si>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</si>
  <si>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</si>
  <si>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</si>
  <si>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</si>
  <si>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</si>
  <si>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</si>
  <si>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</si>
  <si>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</si>
  <si>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</si>
  <si>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</si>
  <si>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</si>
  <si>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</si>
  <si>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</si>
  <si>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</si>
  <si>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</si>
  <si>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</si>
  <si>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</si>
  <si>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</si>
  <si>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</si>
  <si>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</si>
  <si>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</si>
  <si>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</si>
  <si>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</si>
  <si>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</si>
  <si>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</si>
  <si>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</si>
  <si>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</si>
  <si>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</si>
  <si>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</si>
  <si>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</si>
  <si>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US Steel Corporation.</t>
  </si>
  <si>
    <t>Within the last 12 months, Morgan Stanley has provided or is providing investment banking services to,</t>
  </si>
  <si>
    <t>or has an investment banking client relationship with, the following company: US Steel Corporation.</t>
  </si>
  <si>
    <t>Within the last 12 months, Morgan Stanley has received compensation for products and services other than</t>
  </si>
  <si>
    <t>investment banking services from US Steel Corporation.</t>
  </si>
  <si>
    <t>In the next 3 months, Morgan Stanley expects to receive or intends to seek compensation for investment</t>
  </si>
  <si>
    <t>banking services from US Steel Corporation.</t>
  </si>
  <si>
    <t>Within the last 12 months, Morgan Stanley has received compensation for investment banking services from</t>
  </si>
  <si>
    <t>US Steel Corporation.</t>
  </si>
  <si>
    <t>Within the last 12 months, Morgan Stanley managed or co-managed a public offering (or 144A offering) of</t>
  </si>
  <si>
    <t>securities of US Steel Corporation.</t>
  </si>
  <si>
    <t>As of March 29, 2018, Morgan Stanley beneficially owned 1% or more of a class of common equity</t>
  </si>
  <si>
    <t>securities of the following companies covered in Morgan Stanley Research: US Steel Corporation.</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</si>
  <si>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</si>
  <si>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</si>
  <si>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</si>
  <si>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</si>
  <si>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</si>
  <si>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Piyush Sood.</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</si>
  <si>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</si>
  <si>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</si>
  <si>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</si>
  <si>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</si>
  <si>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</si>
  <si>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</si>
  <si>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</si>
  <si>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</si>
  <si>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</si>
  <si>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</si>
  <si>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</si>
  <si>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</si>
  <si>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</si>
  <si>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</si>
  <si>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</si>
  <si>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</si>
  <si>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</si>
  <si>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</si>
  <si>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</si>
  <si>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</si>
  <si>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</si>
  <si>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</si>
  <si>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</si>
  <si>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</si>
  <si>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Company</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</si>
  <si>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</si>
  <si>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</si>
  <si>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</si>
  <si>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</si>
  <si>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</si>
  <si>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</si>
  <si>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</si>
  <si>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</si>
  <si>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</si>
  <si>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</si>
  <si>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</si>
  <si>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</si>
  <si>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</si>
  <si>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</si>
  <si>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</si>
  <si>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</si>
  <si>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</si>
  <si>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</si>
  <si>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</si>
  <si>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</si>
  <si>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 xml:space="preserve"> </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</si>
  <si>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</si>
  <si>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</si>
  <si>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</si>
  <si>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</si>
  <si>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</si>
  <si>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</si>
  <si>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</si>
  <si>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</si>
  <si>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</si>
  <si>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</si>
  <si>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</si>
  <si>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</si>
  <si>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</si>
  <si>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</si>
  <si>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</si>
  <si>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</si>
  <si>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</si>
  <si>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</si>
  <si>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</si>
  <si>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</si>
  <si>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</si>
  <si>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</si>
  <si>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</si>
  <si>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Overweight / In-Line</t>
  </si>
  <si>
    <t>Regular Update</t>
  </si>
  <si>
    <t>NorthAmerica</t>
  </si>
  <si>
    <t>nanduank</t>
  </si>
  <si>
    <t>MSA904MN, MSA42HCW, MSA54PPW</t>
  </si>
  <si>
    <t>L:\METALS\1Models\Updating Models\To Publish\X_Current_Updating.xlsx</t>
  </si>
  <si>
    <t>[BRO MSA]</t>
  </si>
  <si>
    <t>[PRODUCT MODEL]</t>
  </si>
  <si>
    <t>[EMAIL_ALERT YES]</t>
  </si>
  <si>
    <t>[DISCIPLINE Company]</t>
  </si>
  <si>
    <t>[SUPPRESSED NO]</t>
  </si>
  <si>
    <t>[DOCDAT 2018-04-17]</t>
  </si>
  <si>
    <t>[DOCTIME 02:31]</t>
  </si>
  <si>
    <t>[PSYM X.N(S&amp;P) (None)]</t>
  </si>
  <si>
    <t>[COU 1]</t>
  </si>
  <si>
    <t>[ANA MSA42HCW MSA54PPW]</t>
  </si>
  <si>
    <t>[HL X.N Model]</t>
  </si>
  <si>
    <t>[IND IRNSTL]</t>
  </si>
  <si>
    <t>[PANA MSA904MN]</t>
  </si>
</sst>
</file>

<file path=xl/styles.xml><?xml version="1.0" encoding="utf-8"?>
<styleSheet xmlns="http://schemas.openxmlformats.org/spreadsheetml/2006/main" xmlns:mc="http://schemas.openxmlformats.org/markup-compatibility/2006" xmlns:x14ac="http://schemas.microsoft.com/office/spreadsheetml/2009/9/ac" mc:Ignorable="x14ac">
  <numFmts count="39">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_-* #,##0.00_-;\-* #,##0.00_-;_-* &quot;-&quot;??_-;_-@_-"/>
    <numFmt numFmtId="165" formatCode="0.0000"/>
    <numFmt numFmtId="166" formatCode="0.0"/>
    <numFmt numFmtId="167" formatCode="_(* #,##0_);_(* \(#,##0\);_(* &quot;-&quot;??_);_(@_)"/>
    <numFmt numFmtId="168" formatCode="0.0%"/>
    <numFmt numFmtId="169" formatCode="#,##0.0_);\(#,##0.0\)"/>
    <numFmt numFmtId="170" formatCode="0_);\(0\)"/>
    <numFmt numFmtId="171" formatCode="0.0_)"/>
    <numFmt numFmtId="172" formatCode="General_)"/>
    <numFmt numFmtId="176" formatCode="0.0\x"/>
    <numFmt numFmtId="177" formatCode="m/d/yy;@"/>
    <numFmt numFmtId="178" formatCode="_(* #,##0.000_);_(* \(#,##0.000\);_(* &quot;-&quot;??_);_(@_)"/>
    <numFmt numFmtId="181" formatCode="#,##0;\(#,##0\)"/>
    <numFmt numFmtId="183" formatCode="#,##0.0000_);\(#,##0.0000\)"/>
    <numFmt numFmtId="184" formatCode="&quot;$&quot;#,##0.0_);\(&quot;$&quot;#,##0.0\)"/>
    <numFmt numFmtId="194" formatCode="_(* #,##0.0_);_(* \(#,##0.0\);_(* &quot;-&quot;?_);_(@_)"/>
    <numFmt numFmtId="195" formatCode="_-* #,##0_-;\-* #,##0_-;_-* &quot;-&quot;??_-;_-@_-"/>
    <numFmt numFmtId="196" formatCode="0.000%"/>
    <numFmt numFmtId="197" formatCode="\L\ \+\ 0"/>
    <numFmt numFmtId="198" formatCode="_(* #,##0.0_);_(* \(#,##0.0\);_(* &quot;-&quot;_);_(@_)"/>
    <numFmt numFmtId="199" formatCode="#0.00%_);\(#0.00%\)"/>
    <numFmt numFmtId="200" formatCode="_(* #,##0.00_);_(* \(#,##0.00\);_(* &quot;-&quot;?_);_(@_)"/>
    <numFmt numFmtId="201" formatCode="#,##0.00\ ;\(#,##0.00\)"/>
    <numFmt numFmtId="202" formatCode="mmm\-yy&quot;e&quot;"/>
    <numFmt numFmtId="203" formatCode="mm/dd/yy"/>
    <numFmt numFmtId="204" formatCode="0%;\ \(0%\)"/>
    <numFmt numFmtId="205" formatCode="0.0\x;\ \(0.0\x\)"/>
    <numFmt numFmtId="206" formatCode="#,##0&quot;&quot;;\(#,##0\)&quot;&quot;"/>
    <numFmt numFmtId="207" formatCode="mm/dd/yy;@"/>
    <numFmt numFmtId="208" formatCode="0%;0%"/>
    <numFmt numFmtId="209" formatCode="0%;\(0%\)"/>
    <numFmt numFmtId="215" formatCode="mm/dd/yy\ hh:mm"/>
  </numFmts>
  <fonts count="159">
    <font>
      <sz val="10"/>
      <name val="Arial"/>
    </font>
    <font>
      <sz val="10"/>
      <name val="Arial"/>
      <family val="2"/>
    </font>
    <font>
      <sz val="10"/>
      <name val="Arial"/>
      <family val="2"/>
    </font>
    <font>
      <sz val="10"/>
      <name val="MS Sans Serif"/>
      <family val="2"/>
    </font>
    <font>
      <sz val="10"/>
      <name val="MS Sans Serif"/>
      <family val="2"/>
    </font>
    <font>
      <sz val="11"/>
      <color indexed="8"/>
      <name val="Calibri"/>
      <family val="2"/>
    </font>
    <font>
      <sz val="11"/>
      <color indexed="9"/>
      <name val="Calibri"/>
      <family val="2"/>
    </font>
    <font>
      <sz val="11"/>
      <color indexed="20"/>
      <name val="Calibri"/>
      <family val="2"/>
    </font>
    <font>
      <b/>
      <sz val="10"/>
      <color indexed="8"/>
      <name val="Times New Roman"/>
      <family val="1"/>
    </font>
    <font>
      <b/>
      <sz val="11"/>
      <color indexed="52"/>
      <name val="Calibri"/>
      <family val="2"/>
    </font>
    <font>
      <b/>
      <sz val="11"/>
      <color indexed="9"/>
      <name val="Calibri"/>
      <family val="2"/>
    </font>
    <font>
      <b/>
      <sz val="10"/>
      <name val="Arial"/>
      <family val="2"/>
    </font>
    <font>
      <sz val="10"/>
      <name val="Helv"/>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b/>
      <sz val="11"/>
      <name val="Times New Roman"/>
      <family val="1"/>
    </font>
    <font>
      <u/>
      <sz val="10"/>
      <color indexed="12"/>
      <name val="Arial"/>
      <family val="2"/>
    </font>
    <font>
      <sz val="11"/>
      <color indexed="62"/>
      <name val="Calibri"/>
      <family val="2"/>
    </font>
    <font>
      <i/>
      <sz val="8"/>
      <name val="Times New Roman"/>
      <family val="1"/>
    </font>
    <font>
      <sz val="11"/>
      <color indexed="52"/>
      <name val="Calibri"/>
      <family val="2"/>
    </font>
    <font>
      <sz val="11"/>
      <color indexed="60"/>
      <name val="Calibri"/>
      <family val="2"/>
    </font>
    <font>
      <sz val="8"/>
      <name val="Times New Roman"/>
      <family val="1"/>
    </font>
    <font>
      <sz val="9"/>
      <name val="Arial"/>
      <family val="2"/>
    </font>
    <font>
      <sz val="8"/>
      <name val="Helv"/>
    </font>
    <font>
      <sz val="8"/>
      <name val="Arial"/>
      <family val="2"/>
    </font>
    <font>
      <sz val="8"/>
      <color indexed="22"/>
      <name val="Arial"/>
      <family val="2"/>
    </font>
    <font>
      <b/>
      <sz val="11"/>
      <color indexed="63"/>
      <name val="Calibri"/>
      <family val="2"/>
    </font>
    <font>
      <sz val="9"/>
      <name val="Times New Roman"/>
      <family val="1"/>
    </font>
    <font>
      <sz val="10"/>
      <color indexed="8"/>
      <name val="Times New Roman"/>
      <family val="1"/>
    </font>
    <font>
      <b/>
      <sz val="18"/>
      <color indexed="62"/>
      <name val="Cambria"/>
      <family val="2"/>
    </font>
    <font>
      <b/>
      <sz val="11"/>
      <color indexed="8"/>
      <name val="Calibri"/>
      <family val="2"/>
    </font>
    <font>
      <sz val="11"/>
      <color indexed="10"/>
      <name val="Calibri"/>
      <family val="2"/>
    </font>
    <font>
      <sz val="10"/>
      <color indexed="10"/>
      <name val="Arial"/>
      <family val="2"/>
    </font>
    <font>
      <b/>
      <sz val="10"/>
      <color indexed="10"/>
      <name val="Arial"/>
      <family val="2"/>
    </font>
    <font>
      <b/>
      <sz val="12"/>
      <name val="Arial"/>
      <family val="2"/>
    </font>
    <font>
      <b/>
      <sz val="10"/>
      <color indexed="9"/>
      <name val="Arial"/>
      <family val="2"/>
    </font>
    <font>
      <sz val="10"/>
      <color indexed="9"/>
      <name val="Arial"/>
      <family val="2"/>
    </font>
    <font>
      <b/>
      <sz val="11"/>
      <name val="Arial"/>
      <family val="2"/>
    </font>
    <font>
      <b/>
      <sz val="10"/>
      <color indexed="12"/>
      <name val="Arial"/>
      <family val="2"/>
    </font>
    <font>
      <b/>
      <sz val="9"/>
      <name val="Arial"/>
      <family val="2"/>
    </font>
    <font>
      <b/>
      <sz val="9"/>
      <color indexed="12"/>
      <name val="Arial"/>
      <family val="2"/>
    </font>
    <font>
      <b/>
      <sz val="8"/>
      <color indexed="9"/>
      <name val="Arial"/>
      <family val="2"/>
    </font>
    <font>
      <b/>
      <sz val="8"/>
      <name val="Arial"/>
      <family val="2"/>
    </font>
    <font>
      <sz val="6"/>
      <name val="Arial"/>
      <family val="2"/>
    </font>
    <font>
      <sz val="8"/>
      <color indexed="9"/>
      <name val="Arial"/>
      <family val="2"/>
    </font>
    <font>
      <sz val="6"/>
      <color indexed="9"/>
      <name val="Arial"/>
      <family val="2"/>
    </font>
    <font>
      <u/>
      <sz val="8"/>
      <color indexed="12"/>
      <name val="Arial"/>
      <family val="2"/>
    </font>
    <font>
      <sz val="8"/>
      <color indexed="8"/>
      <name val="Arial"/>
      <family val="2"/>
    </font>
    <font>
      <b/>
      <sz val="8"/>
      <color indexed="19"/>
      <name val="Arial"/>
      <family val="2"/>
    </font>
    <font>
      <sz val="8"/>
      <color indexed="12"/>
      <name val="Arial"/>
      <family val="2"/>
    </font>
    <font>
      <b/>
      <sz val="8"/>
      <color indexed="12"/>
      <name val="Arial"/>
      <family val="2"/>
    </font>
    <font>
      <i/>
      <sz val="8"/>
      <name val="Arial"/>
      <family val="2"/>
    </font>
    <font>
      <i/>
      <sz val="8"/>
      <color indexed="8"/>
      <name val="Arial"/>
      <family val="2"/>
    </font>
    <font>
      <sz val="7"/>
      <color indexed="9"/>
      <name val="Arial"/>
      <family val="2"/>
    </font>
    <font>
      <sz val="11"/>
      <name val="Arial"/>
      <family val="2"/>
    </font>
    <font>
      <sz val="12"/>
      <name val="Arial"/>
      <family val="2"/>
    </font>
    <font>
      <i/>
      <sz val="8"/>
      <color indexed="9"/>
      <name val="Arial"/>
      <family val="2"/>
    </font>
    <font>
      <b/>
      <sz val="8"/>
      <color indexed="8"/>
      <name val="Arial"/>
      <family val="2"/>
    </font>
    <font>
      <sz val="8"/>
      <color indexed="18"/>
      <name val="Arial"/>
      <family val="2"/>
    </font>
    <font>
      <i/>
      <sz val="8"/>
      <color indexed="12"/>
      <name val="Arial"/>
      <family val="2"/>
    </font>
    <font>
      <i/>
      <sz val="10"/>
      <name val="Arial"/>
      <family val="2"/>
    </font>
    <font>
      <sz val="8"/>
      <color indexed="60"/>
      <name val="Arial"/>
      <family val="2"/>
    </font>
    <font>
      <sz val="8"/>
      <color indexed="10"/>
      <name val="Arial"/>
      <family val="2"/>
    </font>
    <font>
      <i/>
      <sz val="8"/>
      <color indexed="10"/>
      <name val="Arial"/>
      <family val="2"/>
    </font>
    <font>
      <b/>
      <i/>
      <sz val="8"/>
      <name val="Arial"/>
      <family val="2"/>
    </font>
    <font>
      <sz val="10"/>
      <color indexed="12"/>
      <name val="Arial"/>
      <family val="2"/>
    </font>
    <font>
      <i/>
      <sz val="10"/>
      <color indexed="8"/>
      <name val="Arial"/>
      <family val="2"/>
    </font>
    <font>
      <b/>
      <sz val="14"/>
      <name val="Arial"/>
      <family val="2"/>
    </font>
    <font>
      <sz val="16"/>
      <color indexed="17"/>
      <name val="Arial"/>
      <family val="2"/>
    </font>
    <font>
      <b/>
      <sz val="8.5"/>
      <color indexed="9"/>
      <name val="Arial"/>
      <family val="2"/>
    </font>
    <font>
      <sz val="8.5"/>
      <color indexed="9"/>
      <name val="Arial"/>
      <family val="2"/>
    </font>
    <font>
      <sz val="8.5"/>
      <name val="Arial"/>
      <family val="2"/>
    </font>
    <font>
      <sz val="8.5"/>
      <color indexed="12"/>
      <name val="Arial"/>
      <family val="2"/>
    </font>
    <font>
      <i/>
      <sz val="8.5"/>
      <name val="Arial"/>
      <family val="2"/>
    </font>
    <font>
      <i/>
      <sz val="8.5"/>
      <color indexed="8"/>
      <name val="Arial"/>
      <family val="2"/>
    </font>
    <font>
      <i/>
      <sz val="8.5"/>
      <color indexed="12"/>
      <name val="Arial"/>
      <family val="2"/>
    </font>
    <font>
      <b/>
      <sz val="8.5"/>
      <name val="Arial"/>
      <family val="2"/>
    </font>
    <font>
      <sz val="8.5"/>
      <color indexed="17"/>
      <name val="Arial"/>
      <family val="2"/>
    </font>
    <font>
      <sz val="8.5"/>
      <color indexed="46"/>
      <name val="Arial"/>
      <family val="2"/>
    </font>
    <font>
      <b/>
      <i/>
      <sz val="8.5"/>
      <name val="Arial"/>
      <family val="2"/>
    </font>
    <font>
      <i/>
      <sz val="8.5"/>
      <color indexed="17"/>
      <name val="Arial"/>
      <family val="2"/>
    </font>
    <font>
      <sz val="8.5"/>
      <color indexed="8"/>
      <name val="Arial"/>
      <family val="2"/>
    </font>
    <font>
      <u/>
      <sz val="8"/>
      <name val="Arial"/>
      <family val="2"/>
    </font>
    <font>
      <sz val="8"/>
      <name val="Arial"/>
      <family val="2"/>
    </font>
    <font>
      <b/>
      <sz val="8"/>
      <color indexed="81"/>
      <name val="Tahoma"/>
      <family val="2"/>
    </font>
    <font>
      <sz val="8"/>
      <color indexed="81"/>
      <name val="Tahoma"/>
      <family val="2"/>
    </font>
    <font>
      <sz val="8"/>
      <color indexed="61"/>
      <name val="Arial"/>
      <family val="2"/>
    </font>
    <font>
      <sz val="12"/>
      <name val="바탕체"/>
      <family val="3"/>
      <charset val="129"/>
    </font>
    <font>
      <sz val="12"/>
      <name val="바탕체"/>
      <family val="3"/>
    </font>
    <font>
      <sz val="8"/>
      <color indexed="61"/>
      <name val="Arial"/>
      <family val="2"/>
    </font>
    <font>
      <sz val="8"/>
      <color indexed="9"/>
      <name val="Arial"/>
      <family val="2"/>
    </font>
    <font>
      <b/>
      <u/>
      <sz val="8"/>
      <color indexed="9"/>
      <name val="Arial"/>
      <family val="2"/>
    </font>
    <font>
      <b/>
      <sz val="8"/>
      <color indexed="9"/>
      <name val="Arial"/>
      <family val="2"/>
    </font>
    <font>
      <b/>
      <sz val="8"/>
      <name val="Arial"/>
      <family val="2"/>
    </font>
    <font>
      <b/>
      <sz val="8"/>
      <color indexed="61"/>
      <name val="Arial"/>
      <family val="2"/>
    </font>
    <font>
      <b/>
      <sz val="6.25"/>
      <name val="Verdana"/>
      <family val="2"/>
    </font>
    <font>
      <sz val="9"/>
      <color indexed="9"/>
      <name val="Verdana"/>
      <family val="2"/>
    </font>
    <font>
      <b/>
      <sz val="9"/>
      <color indexed="9"/>
      <name val="Verdana"/>
      <family val="2"/>
    </font>
    <font>
      <b/>
      <sz val="8"/>
      <color indexed="16"/>
      <name val="Verdana"/>
      <family val="2"/>
    </font>
    <font>
      <sz val="8"/>
      <name val="Verdana"/>
      <family val="2"/>
    </font>
    <font>
      <sz val="8"/>
      <color indexed="22"/>
      <name val="Verdana"/>
      <family val="2"/>
    </font>
    <font>
      <sz val="8"/>
      <color indexed="9"/>
      <name val="Verdana"/>
      <family val="2"/>
    </font>
    <font>
      <b/>
      <sz val="7"/>
      <name val="Verdana"/>
      <family val="2"/>
    </font>
    <font>
      <sz val="10"/>
      <name val="Verdana"/>
      <family val="2"/>
    </font>
    <font>
      <b/>
      <sz val="10"/>
      <name val="Verdana"/>
      <family val="2"/>
    </font>
    <font>
      <sz val="8"/>
      <color indexed="60"/>
      <name val="Verdana"/>
      <family val="2"/>
    </font>
    <font>
      <b/>
      <sz val="8"/>
      <color indexed="9"/>
      <name val="Verdana"/>
      <family val="2"/>
    </font>
    <font>
      <sz val="8"/>
      <color indexed="16"/>
      <name val="Verdana"/>
      <family val="2"/>
    </font>
    <font>
      <b/>
      <i/>
      <sz val="9"/>
      <color indexed="16"/>
      <name val="Verdana"/>
      <family val="2"/>
    </font>
    <font>
      <b/>
      <i/>
      <sz val="9"/>
      <color indexed="56"/>
      <name val="Verdana"/>
      <family val="2"/>
    </font>
    <font>
      <b/>
      <sz val="9"/>
      <name val="Verdana"/>
      <family val="2"/>
    </font>
    <font>
      <b/>
      <sz val="8"/>
      <name val="Verdana"/>
      <family val="2"/>
    </font>
    <font>
      <sz val="10"/>
      <color indexed="9"/>
      <name val="Verdana"/>
      <family val="2"/>
    </font>
    <font>
      <b/>
      <i/>
      <sz val="8"/>
      <color indexed="13"/>
      <name val="Verdana"/>
      <family val="2"/>
    </font>
    <font>
      <sz val="10"/>
      <color indexed="22"/>
      <name val="Arial"/>
      <family val="2"/>
    </font>
    <font>
      <b/>
      <i/>
      <sz val="8"/>
      <color indexed="16"/>
      <name val="Verdana"/>
      <family val="2"/>
    </font>
    <font>
      <sz val="10"/>
      <color indexed="10"/>
      <name val="Verdana"/>
      <family val="2"/>
    </font>
    <font>
      <i/>
      <sz val="8"/>
      <color indexed="60"/>
      <name val="Verdana"/>
      <family val="2"/>
    </font>
    <font>
      <i/>
      <sz val="8"/>
      <color indexed="10"/>
      <name val="Verdana"/>
      <family val="2"/>
    </font>
    <font>
      <sz val="10"/>
      <color indexed="60"/>
      <name val="Arial"/>
      <family val="2"/>
    </font>
    <font>
      <sz val="8"/>
      <color indexed="10"/>
      <name val="Verdana"/>
      <family val="2"/>
    </font>
    <font>
      <b/>
      <sz val="9"/>
      <color indexed="16"/>
      <name val="Verdana"/>
      <family val="2"/>
    </font>
    <font>
      <b/>
      <sz val="9"/>
      <color indexed="56"/>
      <name val="Verdana"/>
      <family val="2"/>
    </font>
    <font>
      <u/>
      <sz val="8"/>
      <color indexed="81"/>
      <name val="Tahoma"/>
      <family val="2"/>
    </font>
    <font>
      <i/>
      <sz val="8"/>
      <color indexed="53"/>
      <name val="Verdana"/>
      <family val="2"/>
    </font>
    <font>
      <sz val="8"/>
      <color indexed="53"/>
      <name val="Verdana"/>
      <family val="2"/>
    </font>
    <font>
      <b/>
      <sz val="10"/>
      <color indexed="56"/>
      <name val="Verdana"/>
      <family val="2"/>
    </font>
    <font>
      <b/>
      <sz val="8"/>
      <color indexed="61"/>
      <name val="Arial"/>
      <family val="2"/>
    </font>
    <font>
      <b/>
      <sz val="8"/>
      <color indexed="81"/>
      <name val="Arial"/>
      <family val="2"/>
    </font>
    <font>
      <sz val="8"/>
      <color indexed="81"/>
      <name val="Arial"/>
      <family val="2"/>
    </font>
    <font>
      <sz val="9"/>
      <color indexed="81"/>
      <name val="Tahoma"/>
      <family val="2"/>
    </font>
    <font>
      <b/>
      <sz val="9"/>
      <color indexed="81"/>
      <name val="Tahoma"/>
      <family val="2"/>
    </font>
    <font>
      <sz val="10"/>
      <name val="Arial"/>
      <family val="2"/>
    </font>
    <font>
      <sz val="8"/>
      <color rgb="FF0000FF"/>
      <name val="Arial"/>
      <family val="2"/>
    </font>
    <font>
      <b/>
      <sz val="8"/>
      <color rgb="FF0000FF"/>
      <name val="Arial"/>
      <family val="2"/>
    </font>
    <font>
      <i/>
      <sz val="8"/>
      <color rgb="FF0000FF"/>
      <name val="Arial"/>
      <family val="2"/>
    </font>
    <font>
      <sz val="6"/>
      <color rgb="FF0000FF"/>
      <name val="Arial"/>
      <family val="2"/>
    </font>
    <font>
      <b/>
      <sz val="8"/>
      <color theme="0"/>
      <name val="Arial"/>
      <family val="2"/>
    </font>
    <font>
      <sz val="8"/>
      <color theme="0"/>
      <name val="Arial"/>
      <family val="2"/>
    </font>
    <font>
      <i/>
      <sz val="8.5"/>
      <color rgb="FF0000FF"/>
      <name val="Arial"/>
      <family val="2"/>
    </font>
    <font>
      <sz val="8.5"/>
      <color rgb="FF0000FF"/>
      <name val="Arial"/>
      <family val="2"/>
    </font>
    <font>
      <sz val="10"/>
      <color rgb="FF0000FF"/>
      <name val="Arial"/>
      <family val="2"/>
    </font>
    <font>
      <sz val="8"/>
      <color rgb="FF000000"/>
      <name val="Arial"/>
      <family val="2"/>
    </font>
    <font>
      <b/>
      <sz val="8"/>
      <color rgb="FF000000"/>
      <name val="Arial"/>
      <family val="2"/>
    </font>
    <font>
      <sz val="8"/>
      <color rgb="FFFF0000"/>
      <name val="Arial"/>
      <family val="2"/>
    </font>
    <font>
      <sz val="8"/>
      <color rgb="FF0000FF"/>
      <name val="Verdana"/>
      <family val="2"/>
    </font>
    <font>
      <b/>
      <sz val="8"/>
      <color rgb="FF0000FF"/>
      <name val="Verdana"/>
      <family val="2"/>
    </font>
    <font>
      <sz val="8.5"/>
      <color rgb="FF000000"/>
      <name val="Arial"/>
      <family val="2"/>
    </font>
    <font>
      <sz val="8"/>
      <color rgb="FF000000"/>
      <name val="Verdana"/>
      <family val="2"/>
    </font>
    <font>
      <sz val="10"/>
      <color rgb="FF000000"/>
      <name val="Arial"/>
      <family val="2"/>
    </font>
    <font>
      <sz val="8"/>
      <color rgb="FF0033CC"/>
      <name val="Arial"/>
      <family val="2"/>
    </font>
    <font>
      <b/>
      <sz val="8"/>
      <color rgb="FF0033CC"/>
      <name val="Arial"/>
      <family val="2"/>
    </font>
    <font>
      <sz val="8"/>
      <color rgb="FF0000FA"/>
      <name val="Arial"/>
      <family val="2"/>
    </font>
    <font>
      <sz val="10"/>
      <name val="Arial"/>
      <family val="2"/>
    </font>
    <font>
      <sz val="10"/>
      <name val="Courier"/>
      <family val="3"/>
    </font>
    <font>
      <b/>
      <sz val="12"/>
      <color rgb="FF000080"/>
      <name val="Arial"/>
      <family val="2"/>
    </font>
  </fonts>
  <fills count="31">
    <fill>
      <patternFill patternType="none"/>
    </fill>
    <fill>
      <patternFill patternType="gray125"/>
    </fill>
    <fill>
      <patternFill patternType="solid">
        <fgColor indexed="47"/>
      </patternFill>
    </fill>
    <fill>
      <patternFill patternType="solid">
        <fgColor indexed="29"/>
      </patternFill>
    </fill>
    <fill>
      <patternFill patternType="solid">
        <fgColor indexed="43"/>
      </patternFill>
    </fill>
    <fill>
      <patternFill patternType="solid">
        <fgColor indexed="27"/>
      </patternFill>
    </fill>
    <fill>
      <patternFill patternType="solid">
        <fgColor indexed="22"/>
      </patternFill>
    </fill>
    <fill>
      <patternFill patternType="solid">
        <fgColor indexed="44"/>
      </patternFill>
    </fill>
    <fill>
      <patternFill patternType="solid">
        <fgColor indexed="49"/>
      </patternFill>
    </fill>
    <fill>
      <patternFill patternType="solid">
        <fgColor indexed="26"/>
      </patternFill>
    </fill>
    <fill>
      <patternFill patternType="solid">
        <fgColor indexed="54"/>
      </patternFill>
    </fill>
    <fill>
      <patternFill patternType="solid">
        <fgColor indexed="45"/>
      </patternFill>
    </fill>
    <fill>
      <patternFill patternType="solid">
        <fgColor indexed="9"/>
      </patternFill>
    </fill>
    <fill>
      <patternFill patternType="solid">
        <fgColor indexed="55"/>
      </patternFill>
    </fill>
    <fill>
      <patternFill patternType="solid">
        <fgColor indexed="42"/>
      </patternFill>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indexed="16"/>
        <bgColor indexed="64"/>
      </patternFill>
    </fill>
    <fill>
      <patternFill patternType="solid">
        <fgColor indexed="12"/>
        <bgColor indexed="64"/>
      </patternFill>
    </fill>
    <fill>
      <patternFill patternType="solid">
        <fgColor indexed="42"/>
        <bgColor indexed="64"/>
      </patternFill>
    </fill>
    <fill>
      <patternFill patternType="solid">
        <fgColor indexed="56"/>
        <bgColor indexed="64"/>
      </patternFill>
    </fill>
    <fill>
      <patternFill patternType="solid">
        <fgColor indexed="1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9D9D9"/>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theme="0"/>
        <bgColor indexed="64"/>
      </patternFill>
    </fill>
    <fill>
      <patternFill patternType="solid">
        <fgColor theme="3" tint="0.79998168889431442"/>
        <bgColor indexed="64"/>
      </patternFill>
    </fill>
    <fill>
      <patternFill patternType="solid">
        <fgColor indexed="65"/>
        <bgColor indexed="64"/>
      </patternFill>
    </fill>
  </fills>
  <borders count="5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8"/>
      </bottom>
      <diagonal/>
    </border>
    <border>
      <left/>
      <right/>
      <top style="thin">
        <color indexed="49"/>
      </top>
      <bottom style="double">
        <color indexed="49"/>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9"/>
      </bottom>
      <diagonal/>
    </border>
    <border>
      <left/>
      <right style="thin">
        <color indexed="64"/>
      </right>
      <top/>
      <bottom/>
      <diagonal/>
    </border>
    <border>
      <left style="thin">
        <color indexed="64"/>
      </left>
      <right/>
      <top style="thin">
        <color indexed="64"/>
      </top>
      <bottom style="thin">
        <color indexed="64"/>
      </bottom>
      <diagonal/>
    </border>
    <border>
      <left/>
      <right/>
      <top/>
      <bottom style="hair">
        <color indexed="64"/>
      </bottom>
      <diagonal/>
    </border>
    <border>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16"/>
      </left>
      <right/>
      <top/>
      <bottom/>
      <diagonal/>
    </border>
    <border>
      <left/>
      <right style="thin">
        <color indexed="1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bottom/>
      <diagonal/>
    </border>
    <border>
      <left style="thin">
        <color auto="1"/>
      </left>
      <right/>
      <top style="thin">
        <color indexed="9"/>
      </top>
      <bottom/>
      <diagonal/>
    </border>
    <border>
      <left/>
      <right/>
      <top style="thin">
        <color indexed="9"/>
      </top>
      <bottom/>
      <diagonal/>
    </border>
    <border>
      <left/>
      <right style="thin">
        <color auto="1"/>
      </right>
      <top style="thin">
        <color indexed="9"/>
      </top>
      <bottom/>
      <diagonal/>
    </border>
    <border>
      <left style="thin">
        <color auto="1"/>
      </left>
      <right/>
      <top/>
      <bottom style="hair">
        <color indexed="64"/>
      </bottom>
      <diagonal/>
    </border>
    <border>
      <left/>
      <right style="thin">
        <color auto="1"/>
      </right>
      <top/>
      <bottom style="hair">
        <color indexed="64"/>
      </bottom>
      <diagonal/>
    </border>
    <border>
      <left style="thin">
        <color auto="1"/>
      </left>
      <right/>
      <top/>
      <bottom style="thin">
        <color indexed="9"/>
      </bottom>
      <diagonal/>
    </border>
    <border>
      <left/>
      <right style="thin">
        <color auto="1"/>
      </right>
      <top/>
      <bottom style="thin">
        <color indexed="9"/>
      </bottom>
      <diagonal/>
    </border>
    <border>
      <left style="thin">
        <color auto="1"/>
      </left>
      <right/>
      <top style="hair">
        <color indexed="64"/>
      </top>
      <bottom/>
      <diagonal/>
    </border>
    <border>
      <left/>
      <right style="thin">
        <color auto="1"/>
      </right>
      <top style="hair">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19">
    <xf numFmtId="0" fontId="0" fillId="0" borderId="0" applyNumberFormat="0" applyFill="0" applyBorder="0" applyAlignment="0" applyProtection="0"/>
    <xf numFmtId="0" fontId="2" fillId="0" borderId="0" applyNumberFormat="0" applyFont="0" applyFill="0" applyBorder="0" applyAlignment="0" applyProtection="0"/>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protection locked="0"/>
    </xf>
    <xf numFmtId="0" fontId="2" fillId="0" borderId="0" applyNumberFormat="0" applyFill="0" applyBorder="0" applyAlignment="0" applyProtection="0"/>
    <xf numFmtId="0" fontId="12" fillId="0" borderId="0"/>
    <xf numFmtId="0" fontId="1" fillId="0" borderId="0"/>
    <xf numFmtId="0" fontId="1" fillId="0" borderId="0"/>
    <xf numFmtId="0" fontId="3" fillId="0" borderId="0"/>
    <xf numFmtId="0" fontId="4" fillId="0" borderId="0"/>
    <xf numFmtId="0" fontId="3"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2" borderId="0" applyNumberFormat="0" applyBorder="0" applyAlignment="0" applyProtection="0"/>
    <xf numFmtId="0" fontId="5" fillId="5"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4"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7" fillId="11" borderId="0" applyNumberFormat="0" applyBorder="0" applyAlignment="0" applyProtection="0"/>
    <xf numFmtId="0" fontId="8" fillId="0" borderId="0"/>
    <xf numFmtId="0" fontId="2" fillId="0" borderId="0"/>
    <xf numFmtId="0" fontId="2" fillId="0" borderId="0"/>
    <xf numFmtId="0" fontId="9" fillId="12" borderId="1" applyNumberFormat="0" applyAlignment="0" applyProtection="0"/>
    <xf numFmtId="0" fontId="10" fillId="13" borderId="2" applyNumberFormat="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4" fontId="135" fillId="0" borderId="0" applyFont="0" applyFill="0" applyBorder="0" applyAlignment="0" applyProtection="0"/>
    <xf numFmtId="44" fontId="1" fillId="0" borderId="0" applyFont="0" applyFill="0" applyBorder="0" applyAlignment="0" applyProtection="0"/>
    <xf numFmtId="0" fontId="13" fillId="0" borderId="0" applyNumberFormat="0" applyFill="0" applyBorder="0" applyAlignment="0" applyProtection="0"/>
    <xf numFmtId="0" fontId="14" fillId="1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171"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4" borderId="1" applyNumberFormat="0" applyAlignment="0" applyProtection="0"/>
    <xf numFmtId="171" fontId="21" fillId="0" borderId="0"/>
    <xf numFmtId="0" fontId="22" fillId="0" borderId="6" applyNumberFormat="0" applyFill="0" applyAlignment="0" applyProtection="0"/>
    <xf numFmtId="0" fontId="23" fillId="4" borderId="0" applyNumberFormat="0" applyBorder="0" applyAlignment="0" applyProtection="0"/>
    <xf numFmtId="0" fontId="135" fillId="0" borderId="0"/>
    <xf numFmtId="0" fontId="1" fillId="0" borderId="0"/>
    <xf numFmtId="172" fontId="24" fillId="0" borderId="0"/>
    <xf numFmtId="0" fontId="25" fillId="0" borderId="0"/>
    <xf numFmtId="0" fontId="1" fillId="0" borderId="0"/>
    <xf numFmtId="0" fontId="1" fillId="0" borderId="0"/>
    <xf numFmtId="0" fontId="24" fillId="0" borderId="0"/>
    <xf numFmtId="0" fontId="1" fillId="0" borderId="0"/>
    <xf numFmtId="39" fontId="27" fillId="0" borderId="0"/>
    <xf numFmtId="0" fontId="1" fillId="0" borderId="0"/>
    <xf numFmtId="0" fontId="1" fillId="0" borderId="0"/>
    <xf numFmtId="0" fontId="1" fillId="0" borderId="0"/>
    <xf numFmtId="0" fontId="28" fillId="0" borderId="0"/>
    <xf numFmtId="0" fontId="2" fillId="0" borderId="0" applyFill="0" applyAlignment="0">
      <protection locked="0"/>
    </xf>
    <xf numFmtId="0" fontId="1" fillId="0" borderId="0" applyNumberFormat="0" applyFill="0" applyBorder="0" applyAlignment="0" applyProtection="0"/>
    <xf numFmtId="0" fontId="1" fillId="4" borderId="7" applyNumberFormat="0" applyFont="0" applyAlignment="0" applyProtection="0"/>
    <xf numFmtId="0" fontId="29" fillId="12" borderId="8" applyNumberFormat="0" applyAlignment="0" applyProtection="0"/>
    <xf numFmtId="0" fontId="30" fillId="0" borderId="0">
      <alignment vertical="center"/>
    </xf>
    <xf numFmtId="9" fontId="1" fillId="0" borderId="0" applyFont="0" applyFill="0" applyBorder="0" applyAlignment="0" applyProtection="0"/>
    <xf numFmtId="9" fontId="2" fillId="0" borderId="0" applyFont="0" applyFill="0" applyBorder="0" applyAlignment="0" applyProtection="0"/>
    <xf numFmtId="0" fontId="2" fillId="15" borderId="0" applyNumberFormat="0" applyFont="0" applyBorder="0" applyAlignment="0" applyProtection="0"/>
    <xf numFmtId="0" fontId="31" fillId="0" borderId="0"/>
    <xf numFmtId="0" fontId="31" fillId="0" borderId="9">
      <alignment horizontal="centerContinuous"/>
    </xf>
    <xf numFmtId="0" fontId="21" fillId="0" borderId="9"/>
    <xf numFmtId="0" fontId="1" fillId="0" borderId="0">
      <alignment vertical="top"/>
    </xf>
    <xf numFmtId="0" fontId="32" fillId="0" borderId="0" applyNumberFormat="0" applyFill="0" applyBorder="0" applyAlignment="0" applyProtection="0"/>
    <xf numFmtId="0" fontId="33" fillId="0" borderId="10" applyNumberFormat="0" applyFill="0" applyAlignment="0" applyProtection="0"/>
    <xf numFmtId="0" fontId="34" fillId="0" borderId="0" applyNumberFormat="0" applyFill="0" applyBorder="0" applyAlignment="0" applyProtection="0"/>
    <xf numFmtId="0" fontId="2" fillId="0" borderId="0" applyFont="0" applyFill="0" applyBorder="0" applyAlignment="0" applyProtection="0"/>
    <xf numFmtId="0" fontId="90" fillId="0" borderId="0" applyFont="0" applyFill="0" applyBorder="0" applyAlignment="0" applyProtection="0"/>
    <xf numFmtId="0" fontId="91" fillId="0" borderId="0"/>
    <xf numFmtId="0" fontId="156" fillId="0" borderId="0"/>
    <xf numFmtId="0" fontId="1" fillId="15" borderId="0" applyNumberFormat="0" applyFont="0" applyBorder="0" applyAlignment="0" applyProtection="0"/>
    <xf numFmtId="44" fontId="156" fillId="0" borderId="0" applyFont="0" applyFill="0" applyBorder="0" applyAlignment="0" applyProtection="0"/>
    <xf numFmtId="0" fontId="157" fillId="0" borderId="0"/>
    <xf numFmtId="0" fontId="1" fillId="0" borderId="0"/>
  </cellStyleXfs>
  <cellXfs count="1605">
    <xf numFmtId="0" fontId="0" fillId="0" borderId="0" xfId="0"/>
    <xf numFmtId="0" fontId="35" fillId="0" borderId="0" xfId="96" applyFont="1" applyFill="1" applyProtection="1"/>
    <xf numFmtId="0" fontId="35" fillId="0" borderId="11" xfId="96" applyFont="1" applyBorder="1" applyProtection="1"/>
    <xf numFmtId="0" fontId="36" fillId="0" borderId="11" xfId="96" applyFont="1" applyFill="1" applyBorder="1" applyAlignment="1" applyProtection="1">
      <alignment horizontal="left"/>
    </xf>
    <xf numFmtId="39" fontId="36" fillId="0" borderId="11" xfId="96" applyNumberFormat="1" applyFont="1" applyFill="1" applyBorder="1" applyAlignment="1" applyProtection="1">
      <alignment horizontal="right"/>
    </xf>
    <xf numFmtId="0" fontId="1" fillId="0" borderId="0" xfId="97"/>
    <xf numFmtId="0" fontId="37" fillId="0" borderId="0" xfId="96" applyFont="1" applyFill="1" applyProtection="1"/>
    <xf numFmtId="0" fontId="35" fillId="0" borderId="0" xfId="96" applyFont="1" applyAlignment="1" applyProtection="1"/>
    <xf numFmtId="0" fontId="35" fillId="0" borderId="0" xfId="96" applyFont="1" applyProtection="1"/>
    <xf numFmtId="0" fontId="37" fillId="0" borderId="11" xfId="96" applyFont="1" applyFill="1" applyBorder="1" applyAlignment="1" applyProtection="1">
      <alignment horizontal="left"/>
    </xf>
    <xf numFmtId="0" fontId="35" fillId="0" borderId="11" xfId="96" applyFont="1" applyBorder="1" applyAlignment="1" applyProtection="1"/>
    <xf numFmtId="0" fontId="11" fillId="0" borderId="0" xfId="96" applyFont="1" applyFill="1" applyBorder="1" applyAlignment="1" applyProtection="1">
      <alignment horizontal="left"/>
    </xf>
    <xf numFmtId="0" fontId="35" fillId="0" borderId="0" xfId="96" applyFont="1" applyBorder="1" applyAlignment="1" applyProtection="1"/>
    <xf numFmtId="0" fontId="35" fillId="0" borderId="0" xfId="96" applyFont="1" applyBorder="1" applyProtection="1"/>
    <xf numFmtId="0" fontId="35" fillId="0" borderId="12" xfId="96" applyFont="1" applyBorder="1" applyProtection="1"/>
    <xf numFmtId="0" fontId="11" fillId="0" borderId="11" xfId="96" applyFont="1" applyFill="1" applyBorder="1" applyAlignment="1" applyProtection="1">
      <alignment horizontal="left"/>
    </xf>
    <xf numFmtId="1" fontId="11" fillId="0" borderId="11" xfId="96" applyNumberFormat="1" applyFont="1" applyFill="1" applyBorder="1" applyAlignment="1" applyProtection="1">
      <alignment horizontal="center"/>
    </xf>
    <xf numFmtId="37" fontId="35" fillId="0" borderId="0" xfId="70" applyNumberFormat="1" applyFont="1" applyFill="1" applyBorder="1" applyAlignment="1">
      <alignment horizontal="center"/>
    </xf>
    <xf numFmtId="37" fontId="11" fillId="0" borderId="0" xfId="68" applyNumberFormat="1" applyFont="1" applyFill="1" applyBorder="1" applyAlignment="1">
      <alignment horizontal="center"/>
    </xf>
    <xf numFmtId="0" fontId="35" fillId="0" borderId="0" xfId="96" applyFont="1" applyFill="1" applyBorder="1" applyAlignment="1" applyProtection="1">
      <alignment horizontal="left"/>
    </xf>
    <xf numFmtId="0" fontId="2" fillId="16" borderId="0" xfId="86" applyFont="1" applyFill="1" applyBorder="1"/>
    <xf numFmtId="37" fontId="2" fillId="0" borderId="0" xfId="68" applyNumberFormat="1" applyFont="1" applyFill="1" applyBorder="1" applyAlignment="1">
      <alignment horizontal="center"/>
    </xf>
    <xf numFmtId="0" fontId="35" fillId="0" borderId="0" xfId="96" applyFont="1" applyFill="1" applyBorder="1" applyProtection="1"/>
    <xf numFmtId="0" fontId="2" fillId="0" borderId="0" xfId="96" applyFont="1" applyFill="1" applyBorder="1" applyAlignment="1" applyProtection="1">
      <alignment horizontal="left"/>
    </xf>
    <xf numFmtId="3" fontId="35" fillId="0" borderId="0" xfId="96" applyNumberFormat="1" applyFont="1" applyFill="1" applyBorder="1" applyAlignment="1" applyProtection="1">
      <alignment horizontal="left"/>
    </xf>
    <xf numFmtId="0" fontId="2" fillId="0" borderId="0" xfId="96" applyFont="1" applyProtection="1"/>
    <xf numFmtId="37" fontId="2" fillId="0" borderId="0" xfId="68" applyNumberFormat="1" applyFont="1" applyAlignment="1">
      <alignment horizontal="center"/>
    </xf>
    <xf numFmtId="0" fontId="1" fillId="0" borderId="0" xfId="97" applyFont="1"/>
    <xf numFmtId="37" fontId="1" fillId="0" borderId="0" xfId="97" applyNumberFormat="1" applyFont="1" applyAlignment="1">
      <alignment horizontal="center"/>
    </xf>
    <xf numFmtId="0" fontId="11" fillId="0" borderId="0" xfId="96" applyFont="1" applyBorder="1" applyProtection="1"/>
    <xf numFmtId="0" fontId="11" fillId="0" borderId="0" xfId="96" applyFont="1" applyProtection="1"/>
    <xf numFmtId="7" fontId="11" fillId="0" borderId="0" xfId="96" applyNumberFormat="1" applyFont="1" applyBorder="1" applyAlignment="1" applyProtection="1">
      <alignment horizontal="center"/>
    </xf>
    <xf numFmtId="0" fontId="11" fillId="16" borderId="11" xfId="86" applyFont="1" applyFill="1" applyBorder="1"/>
    <xf numFmtId="9" fontId="11" fillId="0" borderId="11" xfId="101" applyFont="1" applyFill="1" applyBorder="1" applyAlignment="1">
      <alignment horizontal="center"/>
    </xf>
    <xf numFmtId="0" fontId="2" fillId="0" borderId="11" xfId="96" applyFont="1" applyFill="1" applyBorder="1" applyAlignment="1" applyProtection="1">
      <alignment horizontal="left"/>
    </xf>
    <xf numFmtId="7" fontId="2" fillId="0" borderId="11" xfId="96" applyNumberFormat="1" applyFont="1" applyBorder="1" applyAlignment="1" applyProtection="1">
      <alignment horizontal="center"/>
    </xf>
    <xf numFmtId="166" fontId="35" fillId="0" borderId="0" xfId="96" applyNumberFormat="1" applyFont="1" applyFill="1" applyBorder="1" applyAlignment="1" applyProtection="1">
      <alignment horizontal="center"/>
    </xf>
    <xf numFmtId="201" fontId="35" fillId="0" borderId="0" xfId="96" applyNumberFormat="1" applyFont="1" applyFill="1" applyBorder="1" applyAlignment="1" applyProtection="1">
      <alignment horizontal="center"/>
    </xf>
    <xf numFmtId="3" fontId="2" fillId="0" borderId="0" xfId="96" applyNumberFormat="1" applyFont="1" applyFill="1" applyBorder="1" applyAlignment="1" applyProtection="1"/>
    <xf numFmtId="37" fontId="2" fillId="0" borderId="0" xfId="96" applyNumberFormat="1" applyFont="1" applyFill="1" applyBorder="1" applyAlignment="1" applyProtection="1">
      <alignment horizontal="center"/>
    </xf>
    <xf numFmtId="0" fontId="2" fillId="16" borderId="11" xfId="86" applyFont="1" applyFill="1" applyBorder="1"/>
    <xf numFmtId="37" fontId="2" fillId="0" borderId="11" xfId="68" applyNumberFormat="1" applyFont="1" applyFill="1" applyBorder="1" applyAlignment="1">
      <alignment horizontal="center"/>
    </xf>
    <xf numFmtId="2" fontId="35" fillId="0" borderId="0" xfId="96" applyNumberFormat="1" applyFont="1" applyFill="1" applyBorder="1" applyAlignment="1" applyProtection="1">
      <alignment horizontal="center"/>
    </xf>
    <xf numFmtId="0" fontId="11" fillId="0" borderId="0" xfId="97" applyFont="1"/>
    <xf numFmtId="203" fontId="39" fillId="0" borderId="0" xfId="96" applyNumberFormat="1" applyFont="1" applyAlignment="1" applyProtection="1">
      <alignment horizontal="center"/>
    </xf>
    <xf numFmtId="3" fontId="11" fillId="0" borderId="0" xfId="96" applyNumberFormat="1" applyFont="1" applyFill="1" applyBorder="1" applyAlignment="1" applyProtection="1"/>
    <xf numFmtId="37" fontId="11" fillId="0" borderId="0" xfId="96" applyNumberFormat="1" applyFont="1" applyFill="1" applyBorder="1" applyAlignment="1" applyProtection="1">
      <alignment horizontal="center"/>
    </xf>
    <xf numFmtId="0" fontId="2" fillId="0" borderId="0" xfId="96" applyFont="1" applyFill="1" applyBorder="1" applyAlignment="1">
      <alignment horizontal="left"/>
      <protection locked="0"/>
    </xf>
    <xf numFmtId="37" fontId="2" fillId="0" borderId="0" xfId="96" applyNumberFormat="1" applyFont="1" applyBorder="1" applyAlignment="1" applyProtection="1">
      <alignment horizontal="center"/>
    </xf>
    <xf numFmtId="9" fontId="2" fillId="0" borderId="0" xfId="96" applyNumberFormat="1" applyFont="1" applyFill="1" applyBorder="1" applyAlignment="1" applyProtection="1">
      <alignment horizontal="center"/>
    </xf>
    <xf numFmtId="0" fontId="1" fillId="0" borderId="0" xfId="97" applyFont="1" applyAlignment="1">
      <alignment horizontal="center"/>
    </xf>
    <xf numFmtId="0" fontId="2" fillId="0" borderId="0" xfId="96" applyFont="1" applyFill="1" applyBorder="1" applyAlignment="1">
      <protection locked="0"/>
    </xf>
    <xf numFmtId="0" fontId="2" fillId="0" borderId="0" xfId="90" applyFont="1"/>
    <xf numFmtId="7" fontId="2" fillId="0" borderId="0" xfId="96" applyNumberFormat="1" applyFont="1" applyBorder="1" applyAlignment="1" applyProtection="1">
      <alignment horizontal="center"/>
    </xf>
    <xf numFmtId="3" fontId="11" fillId="0" borderId="11" xfId="96" applyNumberFormat="1" applyFont="1" applyFill="1" applyBorder="1" applyAlignment="1" applyProtection="1"/>
    <xf numFmtId="37" fontId="11" fillId="0" borderId="11" xfId="96" applyNumberFormat="1" applyFont="1" applyFill="1" applyBorder="1" applyAlignment="1" applyProtection="1">
      <alignment horizontal="center"/>
    </xf>
    <xf numFmtId="0" fontId="2" fillId="0" borderId="11" xfId="96" applyFont="1" applyFill="1" applyBorder="1" applyAlignment="1">
      <alignment horizontal="left"/>
      <protection locked="0"/>
    </xf>
    <xf numFmtId="3" fontId="35" fillId="0" borderId="0" xfId="96" applyNumberFormat="1" applyFont="1" applyFill="1" applyBorder="1" applyAlignment="1" applyProtection="1"/>
    <xf numFmtId="3" fontId="35" fillId="0" borderId="0" xfId="96" applyNumberFormat="1" applyFont="1" applyFill="1" applyBorder="1" applyAlignment="1" applyProtection="1">
      <alignment horizontal="center"/>
    </xf>
    <xf numFmtId="0" fontId="35" fillId="0" borderId="0" xfId="96" applyFont="1" applyAlignment="1" applyProtection="1">
      <alignment horizontal="center"/>
    </xf>
    <xf numFmtId="7" fontId="2" fillId="0" borderId="0" xfId="96" applyNumberFormat="1" applyFont="1" applyFill="1" applyAlignment="1">
      <alignment horizontal="center"/>
      <protection locked="0"/>
    </xf>
    <xf numFmtId="204" fontId="2" fillId="0" borderId="0" xfId="101" applyNumberFormat="1" applyFont="1" applyFill="1" applyBorder="1" applyAlignment="1">
      <alignment horizontal="center"/>
    </xf>
    <xf numFmtId="205" fontId="2" fillId="0" borderId="0" xfId="96" applyNumberFormat="1" applyFont="1" applyFill="1" applyBorder="1" applyAlignment="1" applyProtection="1">
      <alignment horizontal="center"/>
    </xf>
    <xf numFmtId="0" fontId="11" fillId="0" borderId="0" xfId="96" applyFont="1" applyBorder="1">
      <protection locked="0"/>
    </xf>
    <xf numFmtId="2" fontId="2" fillId="0" borderId="0" xfId="96" applyNumberFormat="1" applyFont="1" applyFill="1" applyBorder="1" applyAlignment="1" applyProtection="1">
      <alignment horizontal="right"/>
    </xf>
    <xf numFmtId="0" fontId="2" fillId="0" borderId="0" xfId="96" applyFont="1" applyBorder="1" applyProtection="1"/>
    <xf numFmtId="176" fontId="2" fillId="0" borderId="0" xfId="96" applyNumberFormat="1" applyFont="1" applyFill="1" applyBorder="1" applyAlignment="1" applyProtection="1">
      <alignment horizontal="center"/>
    </xf>
    <xf numFmtId="37" fontId="2" fillId="0" borderId="0" xfId="65" applyNumberFormat="1" applyFont="1" applyFill="1" applyBorder="1" applyAlignment="1">
      <alignment horizontal="center"/>
    </xf>
    <xf numFmtId="0" fontId="35" fillId="0" borderId="0" xfId="90" applyFont="1"/>
    <xf numFmtId="7" fontId="2" fillId="0" borderId="0" xfId="96" applyNumberFormat="1" applyFont="1" applyFill="1" applyBorder="1" applyAlignment="1" applyProtection="1">
      <alignment horizontal="center"/>
    </xf>
    <xf numFmtId="204" fontId="2" fillId="0" borderId="11" xfId="101" applyNumberFormat="1" applyFont="1" applyFill="1" applyBorder="1" applyAlignment="1">
      <alignment horizontal="center"/>
    </xf>
    <xf numFmtId="3" fontId="11" fillId="0" borderId="13" xfId="96" applyNumberFormat="1" applyFont="1" applyFill="1" applyBorder="1" applyAlignment="1" applyProtection="1"/>
    <xf numFmtId="37" fontId="11" fillId="0" borderId="13" xfId="68" applyNumberFormat="1" applyFont="1" applyFill="1" applyBorder="1" applyAlignment="1">
      <alignment horizontal="center"/>
    </xf>
    <xf numFmtId="0" fontId="1" fillId="0" borderId="0" xfId="97" applyAlignment="1">
      <alignment horizontal="center"/>
    </xf>
    <xf numFmtId="171" fontId="40" fillId="16" borderId="0" xfId="77" applyFont="1" applyFill="1" applyAlignment="1">
      <alignment horizontal="left"/>
    </xf>
    <xf numFmtId="0" fontId="27" fillId="16" borderId="0" xfId="97" applyFont="1" applyFill="1"/>
    <xf numFmtId="0" fontId="2" fillId="16" borderId="0" xfId="97" applyFont="1" applyFill="1"/>
    <xf numFmtId="0" fontId="41" fillId="16" borderId="0" xfId="97" applyFont="1" applyFill="1" applyBorder="1" applyAlignment="1">
      <alignment horizontal="centerContinuous"/>
    </xf>
    <xf numFmtId="171" fontId="42" fillId="16" borderId="0" xfId="77" applyFont="1" applyFill="1" applyAlignment="1">
      <alignment horizontal="left"/>
    </xf>
    <xf numFmtId="0" fontId="25" fillId="16" borderId="0" xfId="97" applyFont="1" applyFill="1"/>
    <xf numFmtId="0" fontId="43" fillId="16" borderId="0" xfId="97" applyFont="1" applyFill="1" applyBorder="1" applyAlignment="1">
      <alignment horizontal="centerContinuous"/>
    </xf>
    <xf numFmtId="0" fontId="27" fillId="16" borderId="0" xfId="97" applyFont="1" applyFill="1" applyBorder="1"/>
    <xf numFmtId="0" fontId="2" fillId="16" borderId="0" xfId="97" applyFont="1" applyFill="1" applyBorder="1"/>
    <xf numFmtId="0" fontId="45" fillId="16" borderId="0" xfId="97" applyFont="1" applyFill="1" applyBorder="1"/>
    <xf numFmtId="0" fontId="27" fillId="16" borderId="0" xfId="86" applyFont="1" applyFill="1" applyBorder="1" applyAlignment="1">
      <alignment horizontal="center"/>
    </xf>
    <xf numFmtId="0" fontId="27" fillId="16" borderId="0" xfId="97" applyFont="1" applyFill="1" applyBorder="1" applyAlignment="1">
      <alignment horizontal="right"/>
    </xf>
    <xf numFmtId="177" fontId="46" fillId="16" borderId="0" xfId="97" applyNumberFormat="1" applyFont="1" applyFill="1" applyBorder="1" applyAlignment="1">
      <alignment horizontal="right"/>
    </xf>
    <xf numFmtId="0" fontId="45" fillId="16" borderId="0" xfId="86" applyFont="1" applyFill="1"/>
    <xf numFmtId="37" fontId="50" fillId="16" borderId="0" xfId="86" applyNumberFormat="1" applyFont="1" applyFill="1"/>
    <xf numFmtId="37" fontId="27" fillId="16" borderId="0" xfId="86" applyNumberFormat="1" applyFont="1" applyFill="1"/>
    <xf numFmtId="37" fontId="52" fillId="16" borderId="0" xfId="86" applyNumberFormat="1" applyFont="1" applyFill="1"/>
    <xf numFmtId="1" fontId="27" fillId="16" borderId="0" xfId="97" applyNumberFormat="1" applyFont="1" applyFill="1"/>
    <xf numFmtId="37" fontId="27" fillId="0" borderId="0" xfId="86" applyNumberFormat="1" applyFont="1" applyFill="1"/>
    <xf numFmtId="0" fontId="45" fillId="16" borderId="0" xfId="97" applyFont="1" applyFill="1"/>
    <xf numFmtId="37" fontId="45" fillId="16" borderId="0" xfId="86" applyNumberFormat="1" applyFont="1" applyFill="1"/>
    <xf numFmtId="0" fontId="53" fillId="16" borderId="0" xfId="97" applyFont="1" applyFill="1"/>
    <xf numFmtId="0" fontId="27" fillId="16" borderId="0" xfId="86" applyFont="1" applyFill="1"/>
    <xf numFmtId="37" fontId="27" fillId="16" borderId="0" xfId="97" applyNumberFormat="1" applyFont="1" applyFill="1"/>
    <xf numFmtId="9" fontId="27" fillId="16" borderId="0" xfId="101" applyFont="1" applyFill="1"/>
    <xf numFmtId="9" fontId="52" fillId="16" borderId="0" xfId="101" applyFont="1" applyFill="1"/>
    <xf numFmtId="9" fontId="52" fillId="16" borderId="0" xfId="97" applyNumberFormat="1" applyFont="1" applyFill="1"/>
    <xf numFmtId="0" fontId="27" fillId="0" borderId="0" xfId="97" applyFont="1" applyFill="1"/>
    <xf numFmtId="169" fontId="27" fillId="16" borderId="0" xfId="86" applyNumberFormat="1" applyFont="1" applyFill="1"/>
    <xf numFmtId="169" fontId="27" fillId="0" borderId="0" xfId="86" applyNumberFormat="1" applyFont="1" applyFill="1"/>
    <xf numFmtId="167" fontId="27" fillId="16" borderId="0" xfId="68" applyNumberFormat="1" applyFont="1" applyFill="1"/>
    <xf numFmtId="0" fontId="2" fillId="0" borderId="0" xfId="97" applyFont="1" applyFill="1"/>
    <xf numFmtId="168" fontId="27" fillId="16" borderId="0" xfId="97" applyNumberFormat="1" applyFont="1" applyFill="1"/>
    <xf numFmtId="168" fontId="50" fillId="16" borderId="0" xfId="97" applyNumberFormat="1" applyFont="1" applyFill="1"/>
    <xf numFmtId="167" fontId="50" fillId="16" borderId="0" xfId="97" applyNumberFormat="1" applyFont="1" applyFill="1"/>
    <xf numFmtId="167" fontId="27" fillId="16" borderId="0" xfId="97" applyNumberFormat="1" applyFont="1" applyFill="1"/>
    <xf numFmtId="0" fontId="27" fillId="16" borderId="0" xfId="86" applyFont="1" applyFill="1" applyBorder="1"/>
    <xf numFmtId="0" fontId="45" fillId="16" borderId="0" xfId="86" applyFont="1" applyFill="1" applyBorder="1"/>
    <xf numFmtId="167" fontId="45" fillId="16" borderId="0" xfId="97" applyNumberFormat="1" applyFont="1" applyFill="1" applyBorder="1"/>
    <xf numFmtId="167" fontId="50" fillId="0" borderId="0" xfId="97" applyNumberFormat="1" applyFont="1" applyFill="1"/>
    <xf numFmtId="5" fontId="27" fillId="16" borderId="0" xfId="97" applyNumberFormat="1" applyFont="1" applyFill="1"/>
    <xf numFmtId="0" fontId="54" fillId="16" borderId="0" xfId="97" applyFont="1" applyFill="1"/>
    <xf numFmtId="9" fontId="55" fillId="16" borderId="0" xfId="101" applyFont="1" applyFill="1"/>
    <xf numFmtId="167" fontId="50" fillId="16" borderId="0" xfId="101" applyNumberFormat="1" applyFont="1" applyFill="1"/>
    <xf numFmtId="9" fontId="50" fillId="16" borderId="0" xfId="101" applyFont="1" applyFill="1"/>
    <xf numFmtId="9" fontId="54" fillId="16" borderId="0" xfId="97" applyNumberFormat="1" applyFont="1" applyFill="1"/>
    <xf numFmtId="168" fontId="52" fillId="16" borderId="0" xfId="97" applyNumberFormat="1" applyFont="1" applyFill="1"/>
    <xf numFmtId="167" fontId="52" fillId="16" borderId="0" xfId="68" applyNumberFormat="1" applyFont="1" applyFill="1"/>
    <xf numFmtId="7" fontId="45" fillId="16" borderId="0" xfId="97" applyNumberFormat="1" applyFont="1" applyFill="1"/>
    <xf numFmtId="37" fontId="45" fillId="16" borderId="0" xfId="97" applyNumberFormat="1" applyFont="1" applyFill="1"/>
    <xf numFmtId="7" fontId="27" fillId="16" borderId="0" xfId="97" applyNumberFormat="1" applyFont="1" applyFill="1"/>
    <xf numFmtId="0" fontId="27" fillId="16" borderId="0" xfId="97" applyFont="1" applyFill="1" applyAlignment="1">
      <alignment horizontal="left"/>
    </xf>
    <xf numFmtId="167" fontId="27" fillId="16" borderId="0" xfId="68" applyNumberFormat="1" applyFont="1" applyFill="1" applyBorder="1"/>
    <xf numFmtId="168" fontId="27" fillId="16" borderId="0" xfId="101" applyNumberFormat="1" applyFont="1" applyFill="1" applyBorder="1"/>
    <xf numFmtId="167" fontId="27" fillId="0" borderId="0" xfId="68" applyNumberFormat="1" applyFont="1" applyFill="1" applyBorder="1"/>
    <xf numFmtId="0" fontId="25" fillId="16" borderId="0" xfId="97" applyFont="1" applyFill="1" applyAlignment="1">
      <alignment horizontal="right"/>
    </xf>
    <xf numFmtId="167" fontId="25" fillId="16" borderId="0" xfId="97" applyNumberFormat="1" applyFont="1" applyFill="1" applyAlignment="1">
      <alignment horizontal="right"/>
    </xf>
    <xf numFmtId="164" fontId="25" fillId="16" borderId="0" xfId="65" applyFont="1" applyFill="1" applyAlignment="1">
      <alignment horizontal="right"/>
    </xf>
    <xf numFmtId="0" fontId="40" fillId="16" borderId="0" xfId="97" applyFont="1" applyFill="1" applyBorder="1"/>
    <xf numFmtId="0" fontId="57" fillId="16" borderId="0" xfId="97" applyFont="1" applyFill="1" applyBorder="1"/>
    <xf numFmtId="0" fontId="58" fillId="16" borderId="0" xfId="97" applyFont="1" applyFill="1" applyBorder="1"/>
    <xf numFmtId="0" fontId="25" fillId="16" borderId="0" xfId="97" applyFont="1" applyFill="1" applyBorder="1" applyAlignment="1">
      <alignment horizontal="right"/>
    </xf>
    <xf numFmtId="0" fontId="37" fillId="16" borderId="0" xfId="97" applyFont="1" applyFill="1" applyBorder="1"/>
    <xf numFmtId="0" fontId="25" fillId="16" borderId="0" xfId="97" applyFont="1" applyFill="1" applyBorder="1"/>
    <xf numFmtId="5" fontId="25" fillId="16" borderId="0" xfId="97" applyNumberFormat="1" applyFont="1" applyFill="1" applyBorder="1" applyAlignment="1">
      <alignment horizontal="right"/>
    </xf>
    <xf numFmtId="167" fontId="25" fillId="16" borderId="0" xfId="97" applyNumberFormat="1" applyFont="1" applyFill="1" applyBorder="1" applyAlignment="1">
      <alignment horizontal="right"/>
    </xf>
    <xf numFmtId="0" fontId="37" fillId="16" borderId="0" xfId="97" applyFont="1" applyFill="1"/>
    <xf numFmtId="0" fontId="58" fillId="16" borderId="0" xfId="97" applyFont="1" applyFill="1"/>
    <xf numFmtId="0" fontId="27" fillId="16" borderId="0" xfId="97" applyFont="1" applyFill="1" applyAlignment="1">
      <alignment horizontal="right"/>
    </xf>
    <xf numFmtId="5" fontId="27" fillId="16" borderId="0" xfId="97" applyNumberFormat="1" applyFont="1" applyFill="1" applyAlignment="1">
      <alignment horizontal="right"/>
    </xf>
    <xf numFmtId="203" fontId="39" fillId="0" borderId="0" xfId="96" applyNumberFormat="1" applyFont="1" applyProtection="1"/>
    <xf numFmtId="37" fontId="27" fillId="16" borderId="0" xfId="68" applyNumberFormat="1" applyFont="1" applyFill="1" applyBorder="1" applyAlignment="1">
      <alignment horizontal="right"/>
    </xf>
    <xf numFmtId="37" fontId="50" fillId="16" borderId="0" xfId="68" applyNumberFormat="1" applyFont="1" applyFill="1" applyBorder="1" applyAlignment="1">
      <alignment horizontal="right"/>
    </xf>
    <xf numFmtId="37" fontId="52" fillId="16" borderId="0" xfId="68" applyNumberFormat="1" applyFont="1" applyFill="1" applyBorder="1" applyAlignment="1">
      <alignment horizontal="right"/>
    </xf>
    <xf numFmtId="5" fontId="27" fillId="16" borderId="0" xfId="68" applyNumberFormat="1" applyFont="1" applyFill="1" applyBorder="1" applyAlignment="1">
      <alignment horizontal="right"/>
    </xf>
    <xf numFmtId="37" fontId="45" fillId="16" borderId="0" xfId="68" applyNumberFormat="1" applyFont="1" applyFill="1" applyBorder="1" applyAlignment="1">
      <alignment horizontal="right"/>
    </xf>
    <xf numFmtId="37" fontId="45" fillId="0" borderId="0" xfId="68" applyNumberFormat="1" applyFont="1" applyFill="1" applyBorder="1" applyAlignment="1">
      <alignment horizontal="right"/>
    </xf>
    <xf numFmtId="9" fontId="54" fillId="16" borderId="0" xfId="101" applyFont="1" applyFill="1" applyBorder="1" applyAlignment="1">
      <alignment horizontal="right"/>
    </xf>
    <xf numFmtId="9" fontId="55" fillId="16" borderId="0" xfId="101" applyFont="1" applyFill="1" applyBorder="1" applyAlignment="1">
      <alignment horizontal="right"/>
    </xf>
    <xf numFmtId="167" fontId="27" fillId="16" borderId="0" xfId="68" applyNumberFormat="1" applyFont="1" applyFill="1" applyBorder="1" applyAlignment="1">
      <alignment horizontal="right"/>
    </xf>
    <xf numFmtId="9" fontId="27" fillId="16" borderId="0" xfId="101" applyFont="1" applyFill="1" applyBorder="1" applyAlignment="1">
      <alignment horizontal="right"/>
    </xf>
    <xf numFmtId="167" fontId="50" fillId="16" borderId="0" xfId="68" applyNumberFormat="1" applyFont="1" applyFill="1" applyBorder="1" applyAlignment="1">
      <alignment horizontal="right"/>
    </xf>
    <xf numFmtId="37" fontId="27" fillId="0" borderId="0" xfId="68" applyNumberFormat="1" applyFont="1" applyFill="1" applyBorder="1" applyAlignment="1">
      <alignment horizontal="right"/>
    </xf>
    <xf numFmtId="9" fontId="54" fillId="16" borderId="0" xfId="68" applyNumberFormat="1" applyFont="1" applyFill="1" applyBorder="1" applyAlignment="1">
      <alignment horizontal="right"/>
    </xf>
    <xf numFmtId="9" fontId="54" fillId="16" borderId="0" xfId="97" applyNumberFormat="1" applyFont="1" applyFill="1" applyBorder="1" applyAlignment="1">
      <alignment horizontal="right"/>
    </xf>
    <xf numFmtId="0" fontId="54" fillId="16" borderId="0" xfId="97" applyFont="1" applyFill="1" applyBorder="1"/>
    <xf numFmtId="37" fontId="45" fillId="16" borderId="0" xfId="101" applyNumberFormat="1" applyFont="1" applyFill="1" applyBorder="1" applyAlignment="1">
      <alignment horizontal="right"/>
    </xf>
    <xf numFmtId="37" fontId="60" fillId="16" borderId="0" xfId="101" applyNumberFormat="1" applyFont="1" applyFill="1" applyBorder="1" applyAlignment="1">
      <alignment horizontal="right"/>
    </xf>
    <xf numFmtId="0" fontId="45" fillId="16" borderId="12" xfId="97" applyFont="1" applyFill="1" applyBorder="1"/>
    <xf numFmtId="0" fontId="27" fillId="16" borderId="12" xfId="97" applyFont="1" applyFill="1" applyBorder="1"/>
    <xf numFmtId="0" fontId="54" fillId="16" borderId="12" xfId="97" applyFont="1" applyFill="1" applyBorder="1"/>
    <xf numFmtId="170" fontId="45" fillId="16" borderId="12" xfId="101" applyNumberFormat="1" applyFont="1" applyFill="1" applyBorder="1" applyAlignment="1">
      <alignment horizontal="right"/>
    </xf>
    <xf numFmtId="9" fontId="60" fillId="16" borderId="12" xfId="101" applyFont="1" applyFill="1" applyBorder="1" applyAlignment="1">
      <alignment horizontal="right"/>
    </xf>
    <xf numFmtId="9" fontId="45" fillId="16" borderId="12" xfId="101" applyFont="1" applyFill="1" applyBorder="1" applyAlignment="1">
      <alignment horizontal="right"/>
    </xf>
    <xf numFmtId="167" fontId="45" fillId="16" borderId="12" xfId="101" applyNumberFormat="1" applyFont="1" applyFill="1" applyBorder="1" applyAlignment="1">
      <alignment horizontal="right"/>
    </xf>
    <xf numFmtId="170" fontId="27" fillId="16" borderId="0" xfId="101" applyNumberFormat="1" applyFont="1" applyFill="1" applyBorder="1" applyAlignment="1">
      <alignment horizontal="right"/>
    </xf>
    <xf numFmtId="167" fontId="27" fillId="0" borderId="0" xfId="68" applyNumberFormat="1" applyFont="1" applyFill="1" applyBorder="1" applyAlignment="1">
      <alignment horizontal="right"/>
    </xf>
    <xf numFmtId="0" fontId="27" fillId="16" borderId="11" xfId="97" applyFont="1" applyFill="1" applyBorder="1"/>
    <xf numFmtId="170" fontId="27" fillId="16" borderId="11" xfId="68" applyNumberFormat="1" applyFont="1" applyFill="1" applyBorder="1" applyAlignment="1">
      <alignment horizontal="right"/>
    </xf>
    <xf numFmtId="37" fontId="27" fillId="16" borderId="11" xfId="68" applyNumberFormat="1" applyFont="1" applyFill="1" applyBorder="1" applyAlignment="1">
      <alignment horizontal="right"/>
    </xf>
    <xf numFmtId="167" fontId="27" fillId="16" borderId="11" xfId="68" applyNumberFormat="1" applyFont="1" applyFill="1" applyBorder="1" applyAlignment="1">
      <alignment horizontal="right"/>
    </xf>
    <xf numFmtId="37" fontId="27" fillId="16" borderId="0" xfId="101" applyNumberFormat="1" applyFont="1" applyFill="1" applyBorder="1" applyAlignment="1">
      <alignment horizontal="right"/>
    </xf>
    <xf numFmtId="37" fontId="52" fillId="16" borderId="0" xfId="101" applyNumberFormat="1" applyFont="1" applyFill="1" applyBorder="1" applyAlignment="1">
      <alignment horizontal="right"/>
    </xf>
    <xf numFmtId="167" fontId="45" fillId="16" borderId="0" xfId="97" applyNumberFormat="1" applyFont="1" applyFill="1" applyBorder="1" applyAlignment="1">
      <alignment horizontal="right"/>
    </xf>
    <xf numFmtId="167" fontId="45" fillId="0" borderId="0" xfId="97" applyNumberFormat="1" applyFont="1" applyFill="1" applyBorder="1" applyAlignment="1">
      <alignment horizontal="right"/>
    </xf>
    <xf numFmtId="167" fontId="52" fillId="16" borderId="0" xfId="68" applyNumberFormat="1" applyFont="1" applyFill="1" applyBorder="1" applyAlignment="1">
      <alignment horizontal="right"/>
    </xf>
    <xf numFmtId="167" fontId="27" fillId="16" borderId="0" xfId="97" applyNumberFormat="1" applyFont="1" applyFill="1" applyAlignment="1">
      <alignment horizontal="right"/>
    </xf>
    <xf numFmtId="167" fontId="27" fillId="0" borderId="0" xfId="97" applyNumberFormat="1" applyFont="1" applyFill="1" applyAlignment="1">
      <alignment horizontal="right"/>
    </xf>
    <xf numFmtId="168" fontId="27" fillId="16" borderId="0" xfId="101" applyNumberFormat="1" applyFont="1" applyFill="1" applyAlignment="1">
      <alignment horizontal="right"/>
    </xf>
    <xf numFmtId="0" fontId="61" fillId="16" borderId="0" xfId="97" applyFont="1" applyFill="1" applyBorder="1"/>
    <xf numFmtId="0" fontId="27" fillId="16" borderId="15" xfId="97" applyFont="1" applyFill="1" applyBorder="1" applyAlignment="1" applyProtection="1">
      <alignment horizontal="left"/>
    </xf>
    <xf numFmtId="0" fontId="61" fillId="16" borderId="0" xfId="97" applyFont="1" applyFill="1"/>
    <xf numFmtId="0" fontId="27" fillId="16" borderId="0" xfId="97" applyFont="1" applyFill="1" applyBorder="1" applyAlignment="1" applyProtection="1">
      <alignment horizontal="left"/>
    </xf>
    <xf numFmtId="167" fontId="52" fillId="16" borderId="0" xfId="97" applyNumberFormat="1" applyFont="1" applyFill="1" applyAlignment="1">
      <alignment horizontal="right"/>
    </xf>
    <xf numFmtId="167" fontId="50" fillId="16" borderId="0" xfId="97" applyNumberFormat="1" applyFont="1" applyFill="1" applyAlignment="1">
      <alignment horizontal="right"/>
    </xf>
    <xf numFmtId="167" fontId="45" fillId="16" borderId="0" xfId="97" applyNumberFormat="1" applyFont="1" applyFill="1"/>
    <xf numFmtId="9" fontId="50" fillId="16" borderId="0" xfId="101" applyFont="1" applyFill="1" applyBorder="1" applyAlignment="1">
      <alignment horizontal="right"/>
    </xf>
    <xf numFmtId="9" fontId="54" fillId="16" borderId="0" xfId="101" applyNumberFormat="1" applyFont="1" applyFill="1" applyBorder="1" applyAlignment="1">
      <alignment horizontal="right"/>
    </xf>
    <xf numFmtId="9" fontId="62" fillId="16" borderId="0" xfId="97" applyNumberFormat="1" applyFont="1" applyFill="1" applyAlignment="1">
      <alignment horizontal="right"/>
    </xf>
    <xf numFmtId="9" fontId="54" fillId="16" borderId="0" xfId="97" applyNumberFormat="1" applyFont="1" applyFill="1" applyAlignment="1">
      <alignment horizontal="right"/>
    </xf>
    <xf numFmtId="37" fontId="27" fillId="16" borderId="0" xfId="97" applyNumberFormat="1" applyFont="1" applyFill="1" applyAlignment="1">
      <alignment horizontal="right"/>
    </xf>
    <xf numFmtId="170" fontId="27" fillId="16" borderId="0" xfId="97" applyNumberFormat="1" applyFont="1" applyFill="1" applyAlignment="1">
      <alignment horizontal="right"/>
    </xf>
    <xf numFmtId="167" fontId="45" fillId="16" borderId="0" xfId="97" applyNumberFormat="1" applyFont="1" applyFill="1" applyAlignment="1">
      <alignment horizontal="left"/>
    </xf>
    <xf numFmtId="168" fontId="45" fillId="16" borderId="0" xfId="97" applyNumberFormat="1" applyFont="1" applyFill="1" applyAlignment="1">
      <alignment horizontal="right"/>
    </xf>
    <xf numFmtId="10" fontId="45" fillId="16" borderId="0" xfId="97" applyNumberFormat="1" applyFont="1" applyFill="1" applyAlignment="1">
      <alignment horizontal="right"/>
    </xf>
    <xf numFmtId="167" fontId="27" fillId="16" borderId="0" xfId="97" applyNumberFormat="1" applyFont="1" applyFill="1" applyAlignment="1">
      <alignment horizontal="left"/>
    </xf>
    <xf numFmtId="0" fontId="27" fillId="16" borderId="13" xfId="97" applyFont="1" applyFill="1" applyBorder="1"/>
    <xf numFmtId="0" fontId="45" fillId="16" borderId="13" xfId="97" applyFont="1" applyFill="1" applyBorder="1" applyAlignment="1">
      <alignment horizontal="left"/>
    </xf>
    <xf numFmtId="0" fontId="45" fillId="16" borderId="13" xfId="97" applyFont="1" applyFill="1" applyBorder="1"/>
    <xf numFmtId="7" fontId="45" fillId="16" borderId="16" xfId="97" applyNumberFormat="1" applyFont="1" applyFill="1" applyBorder="1"/>
    <xf numFmtId="7" fontId="45" fillId="16" borderId="13" xfId="97" applyNumberFormat="1" applyFont="1" applyFill="1" applyBorder="1"/>
    <xf numFmtId="7" fontId="45" fillId="0" borderId="13" xfId="97" applyNumberFormat="1" applyFont="1" applyFill="1" applyBorder="1"/>
    <xf numFmtId="9" fontId="27" fillId="0" borderId="0" xfId="101" applyFont="1" applyFill="1" applyBorder="1" applyAlignment="1">
      <alignment horizontal="right"/>
    </xf>
    <xf numFmtId="169" fontId="27" fillId="16" borderId="0" xfId="68" applyNumberFormat="1" applyFont="1" applyFill="1" applyBorder="1" applyAlignment="1">
      <alignment horizontal="right"/>
    </xf>
    <xf numFmtId="7" fontId="45" fillId="16" borderId="0" xfId="97" applyNumberFormat="1" applyFont="1" applyFill="1" applyAlignment="1">
      <alignment horizontal="right"/>
    </xf>
    <xf numFmtId="7" fontId="27" fillId="16" borderId="0" xfId="97" applyNumberFormat="1" applyFont="1" applyFill="1" applyAlignment="1">
      <alignment horizontal="right"/>
    </xf>
    <xf numFmtId="168" fontId="54" fillId="16" borderId="0" xfId="101" applyNumberFormat="1" applyFont="1" applyFill="1" applyAlignment="1">
      <alignment horizontal="right"/>
    </xf>
    <xf numFmtId="7" fontId="27" fillId="16" borderId="0" xfId="97" applyNumberFormat="1" applyFont="1" applyFill="1" applyBorder="1" applyAlignment="1">
      <alignment horizontal="right"/>
    </xf>
    <xf numFmtId="167" fontId="27" fillId="16" borderId="0" xfId="97" applyNumberFormat="1" applyFont="1" applyFill="1" applyBorder="1" applyAlignment="1">
      <alignment horizontal="right"/>
    </xf>
    <xf numFmtId="168" fontId="27" fillId="16" borderId="0" xfId="97" applyNumberFormat="1" applyFont="1" applyFill="1" applyBorder="1" applyAlignment="1">
      <alignment horizontal="right"/>
    </xf>
    <xf numFmtId="7" fontId="50" fillId="16" borderId="0" xfId="97" applyNumberFormat="1" applyFont="1" applyFill="1" applyBorder="1" applyAlignment="1">
      <alignment horizontal="right"/>
    </xf>
    <xf numFmtId="0" fontId="54" fillId="16" borderId="0" xfId="97" applyFont="1" applyFill="1" applyBorder="1" applyAlignment="1">
      <alignment horizontal="left"/>
    </xf>
    <xf numFmtId="167" fontId="27" fillId="16" borderId="0" xfId="97" applyNumberFormat="1" applyFont="1" applyFill="1" applyBorder="1"/>
    <xf numFmtId="0" fontId="27" fillId="16" borderId="17" xfId="97" applyFont="1" applyFill="1" applyBorder="1"/>
    <xf numFmtId="167" fontId="27" fillId="16" borderId="17" xfId="97" applyNumberFormat="1" applyFont="1" applyFill="1" applyBorder="1" applyAlignment="1">
      <alignment horizontal="right"/>
    </xf>
    <xf numFmtId="167" fontId="27" fillId="16" borderId="17" xfId="97" applyNumberFormat="1" applyFont="1" applyFill="1" applyBorder="1"/>
    <xf numFmtId="167" fontId="27" fillId="16" borderId="0" xfId="68" applyNumberFormat="1" applyFont="1" applyFill="1" applyBorder="1" applyAlignment="1">
      <alignment horizontal="right" vertical="justify"/>
    </xf>
    <xf numFmtId="0" fontId="52" fillId="16" borderId="0" xfId="97" applyFont="1" applyFill="1" applyAlignment="1">
      <alignment horizontal="right"/>
    </xf>
    <xf numFmtId="44" fontId="52" fillId="16" borderId="0" xfId="70" applyFont="1" applyFill="1" applyAlignment="1">
      <alignment horizontal="right"/>
    </xf>
    <xf numFmtId="44" fontId="27" fillId="16" borderId="0" xfId="70" applyFont="1" applyFill="1" applyAlignment="1">
      <alignment horizontal="right"/>
    </xf>
    <xf numFmtId="7" fontId="54" fillId="16" borderId="0" xfId="97" applyNumberFormat="1" applyFont="1" applyFill="1" applyAlignment="1">
      <alignment horizontal="right"/>
    </xf>
    <xf numFmtId="0" fontId="63" fillId="16" borderId="0" xfId="97" applyFont="1" applyFill="1"/>
    <xf numFmtId="5" fontId="54" fillId="16" borderId="0" xfId="97" applyNumberFormat="1" applyFont="1" applyFill="1" applyAlignment="1">
      <alignment horizontal="right"/>
    </xf>
    <xf numFmtId="167" fontId="27" fillId="16" borderId="17" xfId="68" applyNumberFormat="1" applyFont="1" applyFill="1" applyBorder="1" applyAlignment="1">
      <alignment horizontal="center"/>
    </xf>
    <xf numFmtId="167" fontId="45" fillId="16" borderId="0" xfId="68" applyNumberFormat="1" applyFont="1" applyFill="1" applyBorder="1" applyAlignment="1">
      <alignment horizontal="right"/>
    </xf>
    <xf numFmtId="171" fontId="45" fillId="16" borderId="0" xfId="77" applyFont="1" applyFill="1" applyBorder="1" applyAlignment="1">
      <alignment horizontal="left"/>
    </xf>
    <xf numFmtId="0" fontId="27" fillId="0" borderId="0" xfId="97" applyFont="1" applyFill="1" applyAlignment="1">
      <alignment horizontal="right"/>
    </xf>
    <xf numFmtId="167" fontId="27" fillId="0" borderId="0" xfId="97" applyNumberFormat="1" applyFont="1" applyFill="1"/>
    <xf numFmtId="172" fontId="27" fillId="16" borderId="0" xfId="85" applyFont="1" applyFill="1"/>
    <xf numFmtId="167" fontId="27" fillId="17" borderId="0" xfId="97" applyNumberFormat="1" applyFont="1" applyFill="1"/>
    <xf numFmtId="167" fontId="27" fillId="16" borderId="18" xfId="68" applyNumberFormat="1" applyFont="1" applyFill="1" applyBorder="1" applyAlignment="1">
      <alignment horizontal="right" vertical="justify"/>
    </xf>
    <xf numFmtId="167" fontId="27" fillId="0" borderId="18" xfId="68" applyNumberFormat="1" applyFont="1" applyFill="1" applyBorder="1" applyAlignment="1">
      <alignment horizontal="right" vertical="justify"/>
    </xf>
    <xf numFmtId="172" fontId="45" fillId="16" borderId="0" xfId="85" quotePrefix="1" applyFont="1" applyFill="1" applyAlignment="1">
      <alignment horizontal="left"/>
    </xf>
    <xf numFmtId="172" fontId="45" fillId="16" borderId="0" xfId="85" applyFont="1" applyFill="1" applyAlignment="1">
      <alignment horizontal="left"/>
    </xf>
    <xf numFmtId="37" fontId="45" fillId="16" borderId="0" xfId="97" applyNumberFormat="1" applyFont="1" applyFill="1" applyAlignment="1">
      <alignment horizontal="right"/>
    </xf>
    <xf numFmtId="167" fontId="50" fillId="16" borderId="18" xfId="101" applyNumberFormat="1" applyFont="1" applyFill="1" applyBorder="1" applyAlignment="1">
      <alignment horizontal="right"/>
    </xf>
    <xf numFmtId="167" fontId="27" fillId="16" borderId="18" xfId="101" applyNumberFormat="1" applyFont="1" applyFill="1" applyBorder="1" applyAlignment="1">
      <alignment horizontal="right"/>
    </xf>
    <xf numFmtId="167" fontId="60" fillId="16" borderId="0" xfId="68" applyNumberFormat="1" applyFont="1" applyFill="1" applyBorder="1" applyAlignment="1">
      <alignment horizontal="right"/>
    </xf>
    <xf numFmtId="0" fontId="45" fillId="16" borderId="0" xfId="97" applyFont="1" applyFill="1" applyAlignment="1">
      <alignment horizontal="left"/>
    </xf>
    <xf numFmtId="167" fontId="45" fillId="16" borderId="0" xfId="68" applyNumberFormat="1" applyFont="1" applyFill="1" applyAlignment="1">
      <alignment horizontal="right"/>
    </xf>
    <xf numFmtId="0" fontId="64" fillId="16" borderId="0" xfId="97" applyFont="1" applyFill="1"/>
    <xf numFmtId="0" fontId="65" fillId="16" borderId="0" xfId="97" applyFont="1" applyFill="1"/>
    <xf numFmtId="39" fontId="65" fillId="16" borderId="0" xfId="68" applyNumberFormat="1" applyFont="1" applyFill="1" applyAlignment="1">
      <alignment horizontal="right"/>
    </xf>
    <xf numFmtId="39" fontId="27" fillId="16" borderId="0" xfId="68" applyNumberFormat="1" applyFont="1" applyFill="1" applyAlignment="1">
      <alignment horizontal="right"/>
    </xf>
    <xf numFmtId="39" fontId="45" fillId="16" borderId="0" xfId="68" applyNumberFormat="1" applyFont="1" applyFill="1" applyAlignment="1">
      <alignment horizontal="right"/>
    </xf>
    <xf numFmtId="37" fontId="27" fillId="16" borderId="0" xfId="68" applyNumberFormat="1" applyFont="1" applyFill="1"/>
    <xf numFmtId="167" fontId="66" fillId="16" borderId="0" xfId="68" applyNumberFormat="1" applyFont="1" applyFill="1"/>
    <xf numFmtId="43" fontId="66" fillId="16" borderId="0" xfId="68" applyNumberFormat="1" applyFont="1" applyFill="1"/>
    <xf numFmtId="43" fontId="54" fillId="16" borderId="0" xfId="68" applyNumberFormat="1" applyFont="1" applyFill="1"/>
    <xf numFmtId="43" fontId="27" fillId="16" borderId="0" xfId="68" applyFont="1" applyFill="1" applyAlignment="1">
      <alignment horizontal="right"/>
    </xf>
    <xf numFmtId="167" fontId="50" fillId="16" borderId="0" xfId="101" applyNumberFormat="1" applyFont="1" applyFill="1" applyBorder="1" applyAlignment="1">
      <alignment horizontal="right"/>
    </xf>
    <xf numFmtId="0" fontId="27" fillId="16" borderId="0" xfId="94" applyFont="1" applyFill="1"/>
    <xf numFmtId="176" fontId="50" fillId="16" borderId="0" xfId="101" applyNumberFormat="1" applyFont="1" applyFill="1" applyBorder="1" applyAlignment="1">
      <alignment horizontal="right"/>
    </xf>
    <xf numFmtId="183" fontId="27" fillId="16" borderId="0" xfId="97" applyNumberFormat="1" applyFont="1" applyFill="1"/>
    <xf numFmtId="167" fontId="27" fillId="16" borderId="17" xfId="68" applyNumberFormat="1" applyFont="1" applyFill="1" applyBorder="1" applyAlignment="1">
      <alignment horizontal="right"/>
    </xf>
    <xf numFmtId="0" fontId="67" fillId="16" borderId="0" xfId="97" applyFont="1" applyFill="1"/>
    <xf numFmtId="167" fontId="45" fillId="0" borderId="0" xfId="68" applyNumberFormat="1" applyFont="1" applyFill="1" applyBorder="1" applyAlignment="1">
      <alignment horizontal="right"/>
    </xf>
    <xf numFmtId="0" fontId="11" fillId="16" borderId="0" xfId="97" applyFont="1" applyFill="1"/>
    <xf numFmtId="39" fontId="65" fillId="16" borderId="0" xfId="97" applyNumberFormat="1" applyFont="1" applyFill="1"/>
    <xf numFmtId="39" fontId="27" fillId="16" borderId="0" xfId="97" applyNumberFormat="1" applyFont="1" applyFill="1"/>
    <xf numFmtId="37" fontId="27" fillId="16" borderId="0" xfId="68" applyNumberFormat="1" applyFont="1" applyFill="1" applyBorder="1" applyAlignment="1"/>
    <xf numFmtId="167" fontId="54" fillId="16" borderId="0" xfId="68" applyNumberFormat="1" applyFont="1" applyFill="1"/>
    <xf numFmtId="39" fontId="27" fillId="16" borderId="0" xfId="68" applyNumberFormat="1" applyFont="1" applyFill="1" applyBorder="1" applyAlignment="1"/>
    <xf numFmtId="9" fontId="50" fillId="0" borderId="0" xfId="101" applyFont="1" applyFill="1" applyBorder="1" applyAlignment="1">
      <alignment horizontal="right"/>
    </xf>
    <xf numFmtId="39" fontId="45" fillId="16" borderId="0" xfId="97" applyNumberFormat="1" applyFont="1" applyFill="1"/>
    <xf numFmtId="39" fontId="64" fillId="16" borderId="0" xfId="97" applyNumberFormat="1" applyFont="1" applyFill="1"/>
    <xf numFmtId="178" fontId="45" fillId="16" borderId="0" xfId="68" applyNumberFormat="1" applyFont="1" applyFill="1" applyAlignment="1">
      <alignment horizontal="right"/>
    </xf>
    <xf numFmtId="7" fontId="27" fillId="16" borderId="0" xfId="68" applyNumberFormat="1" applyFont="1" applyFill="1" applyBorder="1" applyAlignment="1">
      <alignment horizontal="right"/>
    </xf>
    <xf numFmtId="37" fontId="27" fillId="16" borderId="0" xfId="97" applyNumberFormat="1" applyFont="1" applyFill="1" applyBorder="1" applyAlignment="1">
      <alignment horizontal="right"/>
    </xf>
    <xf numFmtId="169" fontId="27" fillId="16" borderId="0" xfId="97" applyNumberFormat="1" applyFont="1" applyFill="1" applyBorder="1" applyAlignment="1">
      <alignment horizontal="right"/>
    </xf>
    <xf numFmtId="168" fontId="27" fillId="16" borderId="0" xfId="97" applyNumberFormat="1" applyFont="1" applyFill="1" applyAlignment="1">
      <alignment horizontal="right"/>
    </xf>
    <xf numFmtId="0" fontId="52" fillId="16" borderId="0" xfId="97" applyFont="1" applyFill="1"/>
    <xf numFmtId="167" fontId="50" fillId="0" borderId="0" xfId="68" applyNumberFormat="1" applyFont="1" applyFill="1" applyBorder="1"/>
    <xf numFmtId="9" fontId="50" fillId="0" borderId="0" xfId="101" applyFont="1" applyFill="1" applyBorder="1"/>
    <xf numFmtId="9" fontId="27" fillId="16" borderId="0" xfId="101" applyFont="1" applyFill="1" applyBorder="1"/>
    <xf numFmtId="0" fontId="27" fillId="0" borderId="0" xfId="97" applyFont="1" applyFill="1" applyBorder="1"/>
    <xf numFmtId="169" fontId="27" fillId="0" borderId="0" xfId="68" applyNumberFormat="1" applyFont="1" applyFill="1" applyBorder="1" applyAlignment="1">
      <alignment horizontal="right"/>
    </xf>
    <xf numFmtId="7" fontId="45" fillId="0" borderId="0" xfId="97" applyNumberFormat="1" applyFont="1" applyFill="1" applyAlignment="1">
      <alignment horizontal="right"/>
    </xf>
    <xf numFmtId="37" fontId="45" fillId="16" borderId="0" xfId="97" applyNumberFormat="1" applyFont="1" applyFill="1" applyBorder="1"/>
    <xf numFmtId="167" fontId="45" fillId="16" borderId="0" xfId="68" applyNumberFormat="1" applyFont="1" applyFill="1"/>
    <xf numFmtId="168" fontId="27" fillId="16" borderId="0" xfId="101" applyNumberFormat="1" applyFont="1" applyFill="1"/>
    <xf numFmtId="37" fontId="27" fillId="16" borderId="0" xfId="65" applyNumberFormat="1" applyFont="1" applyFill="1"/>
    <xf numFmtId="43" fontId="27" fillId="16" borderId="0" xfId="97" applyNumberFormat="1" applyFont="1" applyFill="1"/>
    <xf numFmtId="9" fontId="27" fillId="16" borderId="0" xfId="101" applyNumberFormat="1" applyFont="1" applyFill="1" applyBorder="1" applyAlignment="1">
      <alignment horizontal="right"/>
    </xf>
    <xf numFmtId="168" fontId="27" fillId="16" borderId="0" xfId="101" applyNumberFormat="1" applyFont="1" applyFill="1" applyBorder="1" applyAlignment="1">
      <alignment horizontal="right"/>
    </xf>
    <xf numFmtId="0" fontId="45" fillId="16" borderId="0" xfId="97" applyFont="1" applyFill="1" applyBorder="1" applyAlignment="1">
      <alignment horizontal="right"/>
    </xf>
    <xf numFmtId="37" fontId="27" fillId="16" borderId="0" xfId="97" applyNumberFormat="1" applyFont="1" applyFill="1" applyBorder="1"/>
    <xf numFmtId="0" fontId="45" fillId="16" borderId="0" xfId="97" applyFont="1" applyFill="1" applyAlignment="1">
      <alignment horizontal="left" vertical="center" indent="1"/>
    </xf>
    <xf numFmtId="37" fontId="2" fillId="16" borderId="0" xfId="97" applyNumberFormat="1" applyFont="1" applyFill="1"/>
    <xf numFmtId="37" fontId="68" fillId="16" borderId="0" xfId="97" applyNumberFormat="1" applyFont="1" applyFill="1"/>
    <xf numFmtId="0" fontId="69" fillId="16" borderId="0" xfId="97" applyFont="1" applyFill="1"/>
    <xf numFmtId="37" fontId="69" fillId="16" borderId="0" xfId="97" applyNumberFormat="1" applyFont="1" applyFill="1"/>
    <xf numFmtId="37" fontId="63" fillId="16" borderId="0" xfId="97" applyNumberFormat="1" applyFont="1" applyFill="1"/>
    <xf numFmtId="9" fontId="67" fillId="16" borderId="0" xfId="97" applyNumberFormat="1" applyFont="1" applyFill="1"/>
    <xf numFmtId="0" fontId="68" fillId="16" borderId="0" xfId="97" applyFont="1" applyFill="1"/>
    <xf numFmtId="5" fontId="27" fillId="16" borderId="0" xfId="68" applyNumberFormat="1" applyFont="1" applyFill="1" applyBorder="1"/>
    <xf numFmtId="184" fontId="27" fillId="16" borderId="0" xfId="68" applyNumberFormat="1" applyFont="1" applyFill="1" applyBorder="1"/>
    <xf numFmtId="7" fontId="27" fillId="16" borderId="0" xfId="68" applyNumberFormat="1" applyFont="1" applyFill="1" applyBorder="1"/>
    <xf numFmtId="5" fontId="2" fillId="16" borderId="0" xfId="97" applyNumberFormat="1" applyFont="1" applyFill="1"/>
    <xf numFmtId="0" fontId="45" fillId="16" borderId="0" xfId="97" applyFont="1" applyFill="1" applyBorder="1" applyAlignment="1">
      <alignment horizontal="left"/>
    </xf>
    <xf numFmtId="37" fontId="27" fillId="16" borderId="0" xfId="68" applyNumberFormat="1" applyFont="1" applyFill="1" applyBorder="1"/>
    <xf numFmtId="0" fontId="39" fillId="16" borderId="0" xfId="97" applyFont="1" applyFill="1"/>
    <xf numFmtId="37" fontId="45" fillId="16" borderId="0" xfId="101" applyNumberFormat="1" applyFont="1" applyFill="1"/>
    <xf numFmtId="170" fontId="27" fillId="16" borderId="0" xfId="97" applyNumberFormat="1" applyFont="1" applyFill="1"/>
    <xf numFmtId="9" fontId="27" fillId="0" borderId="0" xfId="101" applyFont="1" applyFill="1"/>
    <xf numFmtId="167" fontId="27" fillId="0" borderId="0" xfId="68" applyNumberFormat="1" applyFont="1" applyFill="1"/>
    <xf numFmtId="0" fontId="27" fillId="16" borderId="0" xfId="97" applyNumberFormat="1" applyFont="1" applyFill="1" applyBorder="1" applyAlignment="1">
      <alignment horizontal="right"/>
    </xf>
    <xf numFmtId="14" fontId="27" fillId="16" borderId="0" xfId="97" applyNumberFormat="1" applyFont="1" applyFill="1" applyBorder="1" applyAlignment="1">
      <alignment horizontal="right"/>
    </xf>
    <xf numFmtId="0" fontId="27" fillId="0" borderId="0" xfId="97" applyNumberFormat="1" applyFont="1" applyFill="1" applyBorder="1" applyAlignment="1">
      <alignment horizontal="right"/>
    </xf>
    <xf numFmtId="17" fontId="27" fillId="16" borderId="0" xfId="97" applyNumberFormat="1" applyFont="1" applyFill="1" applyBorder="1"/>
    <xf numFmtId="43" fontId="27" fillId="16" borderId="0" xfId="68" applyNumberFormat="1" applyFont="1" applyFill="1" applyBorder="1"/>
    <xf numFmtId="39" fontId="70" fillId="16" borderId="0" xfId="95" applyNumberFormat="1" applyFont="1" applyFill="1" applyBorder="1"/>
    <xf numFmtId="39" fontId="71" fillId="16" borderId="0" xfId="91" applyFont="1" applyFill="1" applyBorder="1" applyAlignment="1">
      <alignment horizontal="left"/>
    </xf>
    <xf numFmtId="0" fontId="74" fillId="16" borderId="0" xfId="88" applyNumberFormat="1" applyFont="1" applyFill="1"/>
    <xf numFmtId="41" fontId="74" fillId="16" borderId="0" xfId="88" applyNumberFormat="1" applyFont="1" applyFill="1"/>
    <xf numFmtId="41" fontId="74" fillId="16" borderId="0" xfId="88" applyNumberFormat="1" applyFont="1" applyFill="1" applyBorder="1"/>
    <xf numFmtId="194" fontId="75" fillId="16" borderId="0" xfId="88" applyNumberFormat="1" applyFont="1" applyFill="1" applyBorder="1"/>
    <xf numFmtId="10" fontId="76" fillId="16" borderId="0" xfId="68" applyNumberFormat="1" applyFont="1" applyFill="1" applyBorder="1"/>
    <xf numFmtId="10" fontId="76" fillId="16" borderId="0" xfId="88" applyNumberFormat="1" applyFont="1" applyFill="1" applyBorder="1"/>
    <xf numFmtId="0" fontId="1" fillId="16" borderId="0" xfId="88" applyFont="1" applyFill="1"/>
    <xf numFmtId="10" fontId="74" fillId="16" borderId="0" xfId="88" applyNumberFormat="1" applyFont="1" applyFill="1"/>
    <xf numFmtId="10" fontId="75" fillId="16" borderId="0" xfId="88" applyNumberFormat="1" applyFont="1" applyFill="1" applyBorder="1"/>
    <xf numFmtId="10" fontId="77" fillId="16" borderId="0" xfId="88" applyNumberFormat="1" applyFont="1" applyFill="1" applyBorder="1"/>
    <xf numFmtId="0" fontId="76" fillId="16" borderId="0" xfId="88" applyNumberFormat="1" applyFont="1" applyFill="1"/>
    <xf numFmtId="0" fontId="76" fillId="16" borderId="0" xfId="88" quotePrefix="1" applyNumberFormat="1" applyFont="1" applyFill="1"/>
    <xf numFmtId="41" fontId="76" fillId="16" borderId="0" xfId="88" applyNumberFormat="1" applyFont="1" applyFill="1"/>
    <xf numFmtId="10" fontId="76" fillId="16" borderId="0" xfId="88" applyNumberFormat="1" applyFont="1" applyFill="1"/>
    <xf numFmtId="10" fontId="78" fillId="16" borderId="0" xfId="88" applyNumberFormat="1" applyFont="1" applyFill="1" applyBorder="1"/>
    <xf numFmtId="200" fontId="76" fillId="16" borderId="0" xfId="88" applyNumberFormat="1" applyFont="1" applyFill="1" applyBorder="1"/>
    <xf numFmtId="200" fontId="77" fillId="16" borderId="0" xfId="88" applyNumberFormat="1" applyFont="1" applyFill="1" applyBorder="1"/>
    <xf numFmtId="0" fontId="79" fillId="16" borderId="0" xfId="88" applyNumberFormat="1" applyFont="1" applyFill="1"/>
    <xf numFmtId="194" fontId="74" fillId="16" borderId="0" xfId="88" applyNumberFormat="1" applyFont="1" applyFill="1"/>
    <xf numFmtId="194" fontId="74" fillId="16" borderId="0" xfId="88" applyNumberFormat="1" applyFont="1" applyFill="1" applyBorder="1"/>
    <xf numFmtId="0" fontId="63" fillId="16" borderId="0" xfId="88" applyFont="1" applyFill="1"/>
    <xf numFmtId="197" fontId="80" fillId="16" borderId="19" xfId="27" applyNumberFormat="1" applyFont="1" applyFill="1" applyBorder="1"/>
    <xf numFmtId="177" fontId="80" fillId="16" borderId="19" xfId="88" applyNumberFormat="1" applyFont="1" applyFill="1" applyBorder="1"/>
    <xf numFmtId="0" fontId="1" fillId="16" borderId="0" xfId="88" applyFill="1" applyAlignment="1">
      <alignment horizontal="centerContinuous"/>
    </xf>
    <xf numFmtId="199" fontId="74" fillId="16" borderId="0" xfId="88" applyNumberFormat="1" applyFont="1" applyFill="1"/>
    <xf numFmtId="194" fontId="80" fillId="16" borderId="0" xfId="88" applyNumberFormat="1" applyFont="1" applyFill="1"/>
    <xf numFmtId="194" fontId="81" fillId="16" borderId="0" xfId="88" applyNumberFormat="1" applyFont="1" applyFill="1" applyBorder="1"/>
    <xf numFmtId="41" fontId="79" fillId="16" borderId="0" xfId="88" applyNumberFormat="1" applyFont="1" applyFill="1" applyAlignment="1">
      <alignment horizontal="right"/>
    </xf>
    <xf numFmtId="169" fontId="75" fillId="16" borderId="0" xfId="88" applyNumberFormat="1" applyFont="1" applyFill="1"/>
    <xf numFmtId="194" fontId="74" fillId="16" borderId="19" xfId="88" applyNumberFormat="1" applyFont="1" applyFill="1" applyBorder="1"/>
    <xf numFmtId="196" fontId="80" fillId="16" borderId="19" xfId="88" applyNumberFormat="1" applyFont="1" applyFill="1" applyBorder="1"/>
    <xf numFmtId="194" fontId="75" fillId="16" borderId="0" xfId="88" applyNumberFormat="1" applyFont="1" applyFill="1"/>
    <xf numFmtId="0" fontId="82" fillId="16" borderId="0" xfId="88" applyNumberFormat="1" applyFont="1" applyFill="1"/>
    <xf numFmtId="196" fontId="83" fillId="16" borderId="0" xfId="88" applyNumberFormat="1" applyFont="1" applyFill="1" applyBorder="1"/>
    <xf numFmtId="177" fontId="83" fillId="16" borderId="0" xfId="88" applyNumberFormat="1" applyFont="1" applyFill="1" applyBorder="1"/>
    <xf numFmtId="41" fontId="76" fillId="16" borderId="0" xfId="88" applyNumberFormat="1" applyFont="1" applyFill="1" applyBorder="1"/>
    <xf numFmtId="198" fontId="74" fillId="16" borderId="0" xfId="88" applyNumberFormat="1" applyFont="1" applyFill="1" applyBorder="1"/>
    <xf numFmtId="196" fontId="75" fillId="16" borderId="19" xfId="88" applyNumberFormat="1" applyFont="1" applyFill="1" applyBorder="1"/>
    <xf numFmtId="194" fontId="84" fillId="16" borderId="0" xfId="88" applyNumberFormat="1" applyFont="1" applyFill="1" applyBorder="1"/>
    <xf numFmtId="196" fontId="75" fillId="16" borderId="0" xfId="88" applyNumberFormat="1" applyFont="1" applyFill="1" applyBorder="1"/>
    <xf numFmtId="0" fontId="79" fillId="16" borderId="13" xfId="88" applyNumberFormat="1" applyFont="1" applyFill="1" applyBorder="1"/>
    <xf numFmtId="0" fontId="74" fillId="16" borderId="13" xfId="88" applyNumberFormat="1" applyFont="1" applyFill="1" applyBorder="1"/>
    <xf numFmtId="41" fontId="74" fillId="16" borderId="13" xfId="88" applyNumberFormat="1" applyFont="1" applyFill="1" applyBorder="1"/>
    <xf numFmtId="194" fontId="79" fillId="16" borderId="13" xfId="88" applyNumberFormat="1" applyFont="1" applyFill="1" applyBorder="1"/>
    <xf numFmtId="41" fontId="79" fillId="16" borderId="13" xfId="88" applyNumberFormat="1" applyFont="1" applyFill="1" applyBorder="1"/>
    <xf numFmtId="0" fontId="74" fillId="16" borderId="0" xfId="88" applyFont="1" applyFill="1" applyBorder="1"/>
    <xf numFmtId="0" fontId="74" fillId="16" borderId="11" xfId="88" applyNumberFormat="1" applyFont="1" applyFill="1" applyBorder="1"/>
    <xf numFmtId="41" fontId="74" fillId="16" borderId="11" xfId="88" applyNumberFormat="1" applyFont="1" applyFill="1" applyBorder="1"/>
    <xf numFmtId="0" fontId="74" fillId="16" borderId="11" xfId="88" applyFont="1" applyFill="1" applyBorder="1"/>
    <xf numFmtId="0" fontId="79" fillId="16" borderId="0" xfId="88" applyFont="1" applyFill="1" applyBorder="1"/>
    <xf numFmtId="41" fontId="79" fillId="16" borderId="0" xfId="88" applyNumberFormat="1" applyFont="1" applyFill="1" applyBorder="1"/>
    <xf numFmtId="194" fontId="79" fillId="16" borderId="0" xfId="88" applyNumberFormat="1" applyFont="1" applyFill="1" applyBorder="1"/>
    <xf numFmtId="0" fontId="25" fillId="16" borderId="0" xfId="88" applyFont="1" applyFill="1"/>
    <xf numFmtId="41" fontId="25" fillId="16" borderId="0" xfId="88" applyNumberFormat="1" applyFont="1" applyFill="1"/>
    <xf numFmtId="194" fontId="74" fillId="16" borderId="11" xfId="88" applyNumberFormat="1" applyFont="1" applyFill="1" applyBorder="1"/>
    <xf numFmtId="0" fontId="45" fillId="16" borderId="0" xfId="97" applyFont="1" applyFill="1" applyBorder="1" applyAlignment="1"/>
    <xf numFmtId="169" fontId="45" fillId="16" borderId="0" xfId="97" applyNumberFormat="1" applyFont="1" applyFill="1" applyBorder="1" applyAlignment="1"/>
    <xf numFmtId="0" fontId="27" fillId="16" borderId="0" xfId="97" applyFont="1" applyFill="1" applyBorder="1" applyAlignment="1">
      <alignment horizontal="left" indent="1"/>
    </xf>
    <xf numFmtId="169" fontId="27" fillId="16" borderId="0" xfId="97" applyNumberFormat="1" applyFont="1" applyFill="1" applyBorder="1" applyAlignment="1"/>
    <xf numFmtId="169" fontId="27" fillId="16" borderId="0" xfId="89" applyNumberFormat="1" applyFont="1" applyFill="1" applyBorder="1"/>
    <xf numFmtId="169" fontId="45" fillId="16" borderId="0" xfId="97" applyNumberFormat="1" applyFont="1" applyFill="1" applyBorder="1" applyAlignment="1">
      <alignment horizontal="right"/>
    </xf>
    <xf numFmtId="0" fontId="27" fillId="16" borderId="0" xfId="97" applyFont="1" applyFill="1" applyBorder="1" applyAlignment="1"/>
    <xf numFmtId="0" fontId="27" fillId="16" borderId="0" xfId="89" applyFont="1" applyFill="1" applyBorder="1"/>
    <xf numFmtId="0" fontId="27" fillId="16" borderId="0" xfId="89" applyFont="1" applyFill="1"/>
    <xf numFmtId="10" fontId="52" fillId="16" borderId="0" xfId="101" applyNumberFormat="1" applyFont="1" applyFill="1" applyAlignment="1">
      <alignment horizontal="center"/>
    </xf>
    <xf numFmtId="0" fontId="52" fillId="16" borderId="0" xfId="89" applyFont="1" applyFill="1" applyAlignment="1">
      <alignment horizontal="center"/>
    </xf>
    <xf numFmtId="38" fontId="45" fillId="16" borderId="0" xfId="89" applyNumberFormat="1" applyFont="1" applyFill="1"/>
    <xf numFmtId="0" fontId="25" fillId="16" borderId="0" xfId="97" applyFont="1" applyFill="1" applyBorder="1" applyAlignment="1">
      <alignment horizontal="center"/>
    </xf>
    <xf numFmtId="37" fontId="25" fillId="16" borderId="0" xfId="97" applyNumberFormat="1" applyFont="1" applyFill="1" applyAlignment="1">
      <alignment horizontal="right"/>
    </xf>
    <xf numFmtId="49" fontId="0" fillId="0" borderId="0" xfId="0" applyNumberFormat="1"/>
    <xf numFmtId="167" fontId="60" fillId="16" borderId="12" xfId="101" applyNumberFormat="1" applyFont="1" applyFill="1" applyBorder="1" applyAlignment="1">
      <alignment horizontal="right"/>
    </xf>
    <xf numFmtId="0" fontId="45" fillId="0" borderId="0" xfId="0" applyFont="1"/>
    <xf numFmtId="0" fontId="27" fillId="0" borderId="0" xfId="0" applyFont="1"/>
    <xf numFmtId="37" fontId="50" fillId="16" borderId="0" xfId="65" applyNumberFormat="1" applyFont="1" applyFill="1" applyAlignment="1">
      <alignment horizontal="center"/>
    </xf>
    <xf numFmtId="167" fontId="27" fillId="0" borderId="0" xfId="97" applyNumberFormat="1" applyFont="1" applyFill="1" applyAlignment="1">
      <alignment horizontal="left"/>
    </xf>
    <xf numFmtId="0" fontId="86" fillId="0" borderId="0" xfId="87" applyFont="1"/>
    <xf numFmtId="0" fontId="86" fillId="0" borderId="0" xfId="87" applyFont="1" applyBorder="1"/>
    <xf numFmtId="0" fontId="96" fillId="0" borderId="0" xfId="87" applyFont="1" applyFill="1" applyBorder="1" applyAlignment="1">
      <alignment horizontal="right"/>
    </xf>
    <xf numFmtId="0" fontId="96" fillId="0" borderId="0" xfId="87" applyFont="1" applyBorder="1" applyAlignment="1">
      <alignment horizontal="right"/>
    </xf>
    <xf numFmtId="0" fontId="86" fillId="0" borderId="0" xfId="87" applyFont="1" applyBorder="1" applyAlignment="1">
      <alignment horizontal="center"/>
    </xf>
    <xf numFmtId="5" fontId="27" fillId="0" borderId="0" xfId="87" applyNumberFormat="1" applyFont="1" applyFill="1" applyAlignment="1">
      <alignment horizontal="center"/>
    </xf>
    <xf numFmtId="0" fontId="96" fillId="0" borderId="0" xfId="87" applyFont="1" applyAlignment="1">
      <alignment horizontal="right"/>
    </xf>
    <xf numFmtId="0" fontId="86" fillId="0" borderId="0" xfId="87" applyFont="1" applyAlignment="1">
      <alignment horizontal="center"/>
    </xf>
    <xf numFmtId="0" fontId="86" fillId="0" borderId="0" xfId="87" applyFont="1" applyAlignment="1">
      <alignment horizontal="left"/>
    </xf>
    <xf numFmtId="0" fontId="45" fillId="0" borderId="0" xfId="87" applyFont="1" applyAlignment="1">
      <alignment horizontal="left"/>
    </xf>
    <xf numFmtId="37" fontId="45" fillId="0" borderId="0" xfId="87" applyNumberFormat="1" applyFont="1" applyAlignment="1">
      <alignment horizontal="center"/>
    </xf>
    <xf numFmtId="0" fontId="27" fillId="0" borderId="0" xfId="87" applyFont="1" applyFill="1" applyBorder="1"/>
    <xf numFmtId="37" fontId="96" fillId="0" borderId="0" xfId="87" applyNumberFormat="1" applyFont="1" applyAlignment="1">
      <alignment horizontal="center"/>
    </xf>
    <xf numFmtId="0" fontId="86" fillId="0" borderId="0" xfId="87" applyFont="1" applyFill="1"/>
    <xf numFmtId="5" fontId="89" fillId="0" borderId="0" xfId="87" applyNumberFormat="1" applyFont="1" applyFill="1" applyAlignment="1">
      <alignment horizontal="center"/>
    </xf>
    <xf numFmtId="169" fontId="86" fillId="0" borderId="0" xfId="87" applyNumberFormat="1" applyFont="1" applyAlignment="1">
      <alignment horizontal="center"/>
    </xf>
    <xf numFmtId="0" fontId="96" fillId="0" borderId="0" xfId="87" applyFont="1"/>
    <xf numFmtId="37" fontId="86" fillId="0" borderId="0" xfId="87" applyNumberFormat="1" applyFont="1" applyAlignment="1">
      <alignment horizontal="center"/>
    </xf>
    <xf numFmtId="0" fontId="96" fillId="0" borderId="0" xfId="87" applyFont="1" applyAlignment="1">
      <alignment horizontal="left"/>
    </xf>
    <xf numFmtId="7" fontId="96" fillId="0" borderId="0" xfId="87" applyNumberFormat="1" applyFont="1" applyAlignment="1">
      <alignment horizontal="center"/>
    </xf>
    <xf numFmtId="0" fontId="45" fillId="0" borderId="0" xfId="87" applyFont="1" applyFill="1" applyBorder="1"/>
    <xf numFmtId="0" fontId="27" fillId="0" borderId="0" xfId="87" applyFont="1" applyFill="1" applyBorder="1" applyAlignment="1">
      <alignment horizontal="left" indent="1"/>
    </xf>
    <xf numFmtId="5" fontId="86" fillId="0" borderId="0" xfId="87" applyNumberFormat="1" applyFont="1" applyAlignment="1">
      <alignment horizontal="center"/>
    </xf>
    <xf numFmtId="37" fontId="97" fillId="0" borderId="0" xfId="87" applyNumberFormat="1" applyFont="1" applyAlignment="1">
      <alignment horizontal="center"/>
    </xf>
    <xf numFmtId="37" fontId="89" fillId="0" borderId="0" xfId="87" applyNumberFormat="1" applyFont="1" applyAlignment="1">
      <alignment horizontal="center"/>
    </xf>
    <xf numFmtId="5" fontId="89" fillId="0" borderId="0" xfId="87" applyNumberFormat="1" applyFont="1" applyAlignment="1">
      <alignment horizontal="center"/>
    </xf>
    <xf numFmtId="0" fontId="89" fillId="0" borderId="0" xfId="87" applyFont="1"/>
    <xf numFmtId="7" fontId="97" fillId="0" borderId="0" xfId="87" applyNumberFormat="1" applyFont="1" applyAlignment="1">
      <alignment horizontal="center"/>
    </xf>
    <xf numFmtId="167" fontId="50" fillId="16" borderId="0" xfId="97" applyNumberFormat="1" applyFont="1" applyFill="1" applyAlignment="1">
      <alignment horizontal="center"/>
    </xf>
    <xf numFmtId="0" fontId="99" fillId="18" borderId="0" xfId="93" applyFont="1" applyFill="1" applyBorder="1"/>
    <xf numFmtId="0" fontId="100" fillId="18" borderId="0" xfId="93" applyFont="1" applyFill="1" applyBorder="1"/>
    <xf numFmtId="0" fontId="101" fillId="19" borderId="29" xfId="93" applyFont="1" applyFill="1" applyBorder="1" applyAlignment="1">
      <alignment horizontal="center"/>
    </xf>
    <xf numFmtId="0" fontId="102" fillId="0" borderId="0" xfId="93" applyFont="1" applyBorder="1"/>
    <xf numFmtId="0" fontId="102" fillId="0" borderId="0" xfId="93" applyFont="1"/>
    <xf numFmtId="0" fontId="102" fillId="0" borderId="0" xfId="93" applyFont="1" applyFill="1"/>
    <xf numFmtId="0" fontId="102" fillId="0" borderId="0" xfId="93" applyFont="1" applyFill="1" applyAlignment="1">
      <alignment horizontal="center"/>
    </xf>
    <xf numFmtId="0" fontId="103" fillId="0" borderId="0" xfId="93" applyFont="1"/>
    <xf numFmtId="0" fontId="101" fillId="0" borderId="0" xfId="93" applyFont="1" applyBorder="1"/>
    <xf numFmtId="0" fontId="104" fillId="0" borderId="0" xfId="93" applyFont="1" applyBorder="1"/>
    <xf numFmtId="0" fontId="102" fillId="0" borderId="0" xfId="93" applyFont="1" applyFill="1" applyBorder="1"/>
    <xf numFmtId="0" fontId="105" fillId="19" borderId="30" xfId="93" applyFont="1" applyFill="1" applyBorder="1" applyAlignment="1">
      <alignment wrapText="1"/>
    </xf>
    <xf numFmtId="0" fontId="104" fillId="16" borderId="0" xfId="93" applyFont="1" applyFill="1"/>
    <xf numFmtId="0" fontId="102" fillId="19" borderId="30" xfId="93" applyFont="1" applyFill="1" applyBorder="1" applyAlignment="1"/>
    <xf numFmtId="0" fontId="106" fillId="0" borderId="0" xfId="93" applyFont="1" applyFill="1" applyBorder="1"/>
    <xf numFmtId="0" fontId="107" fillId="0" borderId="0" xfId="93" applyFont="1" applyFill="1" applyBorder="1"/>
    <xf numFmtId="0" fontId="103" fillId="0" borderId="0" xfId="93" applyFont="1" applyFill="1"/>
    <xf numFmtId="0" fontId="108" fillId="0" borderId="0" xfId="93" applyFont="1" applyFill="1"/>
    <xf numFmtId="0" fontId="109" fillId="18" borderId="0" xfId="93" applyNumberFormat="1" applyFont="1" applyFill="1" applyBorder="1" applyAlignment="1">
      <alignment horizontal="center"/>
    </xf>
    <xf numFmtId="0" fontId="109" fillId="18" borderId="0" xfId="93" applyFont="1" applyFill="1" applyBorder="1" applyAlignment="1">
      <alignment horizontal="center"/>
    </xf>
    <xf numFmtId="0" fontId="108" fillId="0" borderId="0" xfId="93" applyFont="1"/>
    <xf numFmtId="0" fontId="106" fillId="0" borderId="0" xfId="93" applyFont="1" applyBorder="1"/>
    <xf numFmtId="0" fontId="107" fillId="0" borderId="0" xfId="93" applyFont="1" applyBorder="1"/>
    <xf numFmtId="37" fontId="102" fillId="0" borderId="0" xfId="66" applyNumberFormat="1" applyFont="1" applyFill="1" applyBorder="1" applyAlignment="1">
      <alignment horizontal="center"/>
    </xf>
    <xf numFmtId="37" fontId="102" fillId="0" borderId="0" xfId="66" applyNumberFormat="1" applyFont="1" applyBorder="1" applyAlignment="1">
      <alignment horizontal="center"/>
    </xf>
    <xf numFmtId="168" fontId="102" fillId="0" borderId="0" xfId="101" applyNumberFormat="1" applyFont="1" applyFill="1" applyBorder="1" applyAlignment="1">
      <alignment horizontal="center"/>
    </xf>
    <xf numFmtId="168" fontId="103" fillId="0" borderId="0" xfId="101" applyNumberFormat="1" applyFont="1" applyFill="1"/>
    <xf numFmtId="0" fontId="108" fillId="0" borderId="0" xfId="93" applyFont="1" applyBorder="1"/>
    <xf numFmtId="168" fontId="102" fillId="0" borderId="0" xfId="101" applyNumberFormat="1" applyFont="1" applyFill="1" applyAlignment="1">
      <alignment horizontal="center"/>
    </xf>
    <xf numFmtId="168" fontId="102" fillId="0" borderId="0" xfId="93" applyNumberFormat="1" applyFont="1"/>
    <xf numFmtId="168" fontId="102" fillId="0" borderId="0" xfId="93" applyNumberFormat="1" applyFont="1" applyFill="1" applyBorder="1" applyAlignment="1">
      <alignment horizontal="center"/>
    </xf>
    <xf numFmtId="0" fontId="103" fillId="0" borderId="0" xfId="93" applyFont="1" applyBorder="1"/>
    <xf numFmtId="168" fontId="102" fillId="0" borderId="0" xfId="93" applyNumberFormat="1" applyFont="1" applyFill="1" applyAlignment="1">
      <alignment horizontal="center"/>
    </xf>
    <xf numFmtId="166" fontId="102" fillId="0" borderId="0" xfId="93" applyNumberFormat="1" applyFont="1" applyFill="1" applyBorder="1" applyAlignment="1">
      <alignment horizontal="center"/>
    </xf>
    <xf numFmtId="0" fontId="103" fillId="0" borderId="16" xfId="93" applyFont="1" applyBorder="1"/>
    <xf numFmtId="0" fontId="103" fillId="0" borderId="31" xfId="93" applyFont="1" applyBorder="1"/>
    <xf numFmtId="0" fontId="103" fillId="0" borderId="32" xfId="93" applyFont="1" applyBorder="1"/>
    <xf numFmtId="0" fontId="103" fillId="0" borderId="20" xfId="93" applyFont="1" applyBorder="1"/>
    <xf numFmtId="0" fontId="103" fillId="0" borderId="21" xfId="93" quotePrefix="1" applyFont="1" applyFill="1" applyBorder="1" applyAlignment="1">
      <alignment horizontal="right"/>
    </xf>
    <xf numFmtId="0" fontId="103" fillId="0" borderId="33" xfId="93" applyFont="1" applyBorder="1"/>
    <xf numFmtId="181" fontId="103" fillId="16" borderId="0" xfId="93" applyNumberFormat="1" applyFont="1" applyFill="1" applyBorder="1" applyAlignment="1">
      <alignment vertical="center"/>
    </xf>
    <xf numFmtId="0" fontId="103" fillId="0" borderId="22" xfId="93" applyFont="1" applyBorder="1"/>
    <xf numFmtId="0" fontId="103" fillId="0" borderId="15" xfId="93" quotePrefix="1" applyFont="1" applyFill="1" applyBorder="1" applyAlignment="1">
      <alignment horizontal="right"/>
    </xf>
    <xf numFmtId="0" fontId="103" fillId="0" borderId="33" xfId="93" quotePrefix="1" applyFont="1" applyFill="1" applyBorder="1" applyAlignment="1">
      <alignment horizontal="right"/>
    </xf>
    <xf numFmtId="0" fontId="103" fillId="0" borderId="0" xfId="93" applyFont="1" applyFill="1" applyBorder="1"/>
    <xf numFmtId="0" fontId="103" fillId="0" borderId="15" xfId="93" applyFont="1" applyBorder="1" applyAlignment="1">
      <alignment horizontal="right"/>
    </xf>
    <xf numFmtId="0" fontId="102" fillId="0" borderId="22" xfId="93" applyFont="1" applyBorder="1"/>
    <xf numFmtId="0" fontId="102" fillId="0" borderId="15" xfId="93" applyFont="1" applyBorder="1"/>
    <xf numFmtId="0" fontId="102" fillId="0" borderId="33" xfId="93" applyFont="1" applyBorder="1"/>
    <xf numFmtId="0" fontId="107" fillId="0" borderId="0" xfId="93" applyFont="1" applyFill="1"/>
    <xf numFmtId="0" fontId="109" fillId="0" borderId="0" xfId="93" applyFont="1" applyFill="1" applyAlignment="1">
      <alignment horizontal="center"/>
    </xf>
    <xf numFmtId="0" fontId="102" fillId="0" borderId="0" xfId="93" applyFont="1" applyFill="1" applyBorder="1" applyAlignment="1">
      <alignment horizontal="center"/>
    </xf>
    <xf numFmtId="0" fontId="102" fillId="0" borderId="0" xfId="93" applyFont="1" applyBorder="1" applyAlignment="1">
      <alignment horizontal="center"/>
    </xf>
    <xf numFmtId="0" fontId="103" fillId="0" borderId="15" xfId="93" applyNumberFormat="1" applyFont="1" applyBorder="1" applyAlignment="1">
      <alignment horizontal="right"/>
    </xf>
    <xf numFmtId="0" fontId="111" fillId="0" borderId="0" xfId="93" applyFont="1" applyFill="1" applyBorder="1" applyAlignment="1">
      <alignment horizontal="right"/>
    </xf>
    <xf numFmtId="0" fontId="111" fillId="0" borderId="0" xfId="93" applyFont="1" applyFill="1" applyBorder="1"/>
    <xf numFmtId="0" fontId="112" fillId="0" borderId="0" xfId="93" applyFont="1" applyFill="1" applyBorder="1"/>
    <xf numFmtId="206" fontId="103" fillId="0" borderId="15" xfId="93" applyNumberFormat="1" applyFont="1" applyBorder="1" applyAlignment="1" applyProtection="1">
      <alignment horizontal="right"/>
    </xf>
    <xf numFmtId="206" fontId="103" fillId="0" borderId="33" xfId="93" applyNumberFormat="1" applyFont="1" applyBorder="1"/>
    <xf numFmtId="0" fontId="103" fillId="0" borderId="0" xfId="93" applyFont="1" applyFill="1" applyBorder="1" applyAlignment="1">
      <alignment horizontal="left"/>
    </xf>
    <xf numFmtId="0" fontId="112" fillId="0" borderId="0" xfId="93" applyFont="1" applyFill="1"/>
    <xf numFmtId="0" fontId="103" fillId="0" borderId="22" xfId="93" applyFont="1" applyBorder="1" applyAlignment="1">
      <alignment horizontal="left"/>
    </xf>
    <xf numFmtId="0" fontId="103" fillId="0" borderId="15" xfId="93" applyNumberFormat="1" applyFont="1" applyBorder="1" applyAlignment="1" applyProtection="1">
      <alignment horizontal="right"/>
    </xf>
    <xf numFmtId="167" fontId="103" fillId="0" borderId="0" xfId="67" applyNumberFormat="1" applyFont="1" applyFill="1" applyBorder="1" applyAlignment="1">
      <alignment horizontal="left"/>
    </xf>
    <xf numFmtId="0" fontId="103" fillId="0" borderId="23" xfId="93" applyFont="1" applyBorder="1" applyAlignment="1">
      <alignment horizontal="left"/>
    </xf>
    <xf numFmtId="207" fontId="103" fillId="0" borderId="24" xfId="93" applyNumberFormat="1" applyFont="1" applyBorder="1" applyAlignment="1">
      <alignment horizontal="right"/>
    </xf>
    <xf numFmtId="0" fontId="103" fillId="0" borderId="34" xfId="93" applyFont="1" applyBorder="1"/>
    <xf numFmtId="37" fontId="102" fillId="0" borderId="0" xfId="66" applyNumberFormat="1" applyFont="1" applyFill="1" applyAlignment="1">
      <alignment horizontal="center"/>
    </xf>
    <xf numFmtId="37" fontId="103" fillId="0" borderId="0" xfId="67" applyNumberFormat="1" applyFont="1" applyFill="1" applyBorder="1" applyAlignment="1">
      <alignment horizontal="left"/>
    </xf>
    <xf numFmtId="37" fontId="102" fillId="0" borderId="0" xfId="93" applyNumberFormat="1" applyFont="1"/>
    <xf numFmtId="167" fontId="103" fillId="0" borderId="0" xfId="67" applyNumberFormat="1" applyFont="1" applyFill="1" applyAlignment="1">
      <alignment horizontal="left"/>
    </xf>
    <xf numFmtId="0" fontId="104" fillId="0" borderId="0" xfId="93" applyFont="1"/>
    <xf numFmtId="37" fontId="103" fillId="0" borderId="0" xfId="67" applyNumberFormat="1" applyFont="1" applyFill="1" applyAlignment="1">
      <alignment horizontal="left"/>
    </xf>
    <xf numFmtId="1" fontId="102" fillId="0" borderId="0" xfId="93" applyNumberFormat="1" applyFont="1" applyFill="1" applyBorder="1" applyAlignment="1">
      <alignment horizontal="center"/>
    </xf>
    <xf numFmtId="0" fontId="1" fillId="0" borderId="0" xfId="93" applyBorder="1"/>
    <xf numFmtId="0" fontId="1" fillId="0" borderId="0" xfId="93"/>
    <xf numFmtId="0" fontId="102" fillId="0" borderId="19" xfId="93" applyFont="1" applyFill="1" applyBorder="1"/>
    <xf numFmtId="0" fontId="102" fillId="0" borderId="0" xfId="93" applyFont="1" applyBorder="1" applyAlignment="1"/>
    <xf numFmtId="0" fontId="113" fillId="0" borderId="0" xfId="93" applyFont="1" applyBorder="1"/>
    <xf numFmtId="37" fontId="114" fillId="0" borderId="0" xfId="66" applyNumberFormat="1" applyFont="1" applyFill="1" applyBorder="1" applyAlignment="1">
      <alignment horizontal="center"/>
    </xf>
    <xf numFmtId="37" fontId="114" fillId="0" borderId="0" xfId="66" applyNumberFormat="1" applyFont="1" applyBorder="1" applyAlignment="1">
      <alignment horizontal="center"/>
    </xf>
    <xf numFmtId="37" fontId="114" fillId="0" borderId="0" xfId="66" applyNumberFormat="1" applyFont="1" applyFill="1" applyAlignment="1">
      <alignment horizontal="center"/>
    </xf>
    <xf numFmtId="37" fontId="104" fillId="0" borderId="0" xfId="66" applyNumberFormat="1" applyFont="1" applyFill="1" applyBorder="1" applyAlignment="1">
      <alignment horizontal="center"/>
    </xf>
    <xf numFmtId="37" fontId="115" fillId="0" borderId="0" xfId="93" applyNumberFormat="1" applyFont="1" applyBorder="1" applyAlignment="1">
      <alignment horizontal="center"/>
    </xf>
    <xf numFmtId="37" fontId="104" fillId="0" borderId="0" xfId="66" applyNumberFormat="1" applyFont="1" applyFill="1" applyAlignment="1">
      <alignment horizontal="center"/>
    </xf>
    <xf numFmtId="0" fontId="114" fillId="0" borderId="0" xfId="93" applyFont="1" applyFill="1"/>
    <xf numFmtId="9" fontId="102" fillId="0" borderId="0" xfId="93" applyNumberFormat="1" applyFont="1" applyFill="1"/>
    <xf numFmtId="0" fontId="104" fillId="0" borderId="0" xfId="93" applyNumberFormat="1" applyFont="1"/>
    <xf numFmtId="167" fontId="103" fillId="0" borderId="0" xfId="67" applyNumberFormat="1" applyFont="1" applyFill="1"/>
    <xf numFmtId="9" fontId="114" fillId="0" borderId="0" xfId="93" applyNumberFormat="1" applyFont="1"/>
    <xf numFmtId="37" fontId="102" fillId="20" borderId="0" xfId="66" applyNumberFormat="1" applyFont="1" applyFill="1" applyBorder="1" applyAlignment="1">
      <alignment horizontal="center"/>
    </xf>
    <xf numFmtId="37" fontId="102" fillId="19" borderId="0" xfId="66" applyNumberFormat="1" applyFont="1" applyFill="1" applyBorder="1" applyAlignment="1">
      <alignment horizontal="center"/>
    </xf>
    <xf numFmtId="9" fontId="102" fillId="0" borderId="0" xfId="93" applyNumberFormat="1" applyFont="1"/>
    <xf numFmtId="37" fontId="102" fillId="0" borderId="0" xfId="93" applyNumberFormat="1" applyFont="1" applyBorder="1"/>
    <xf numFmtId="37" fontId="103" fillId="0" borderId="0" xfId="67" applyNumberFormat="1" applyFont="1" applyFill="1"/>
    <xf numFmtId="37" fontId="102" fillId="0" borderId="0" xfId="93" applyNumberFormat="1" applyFont="1" applyBorder="1" applyAlignment="1">
      <alignment horizontal="center"/>
    </xf>
    <xf numFmtId="0" fontId="102" fillId="0" borderId="0" xfId="93" applyFont="1" applyFill="1" applyAlignment="1">
      <alignment horizontal="right"/>
    </xf>
    <xf numFmtId="0" fontId="102" fillId="0" borderId="0" xfId="93" applyFont="1" applyAlignment="1">
      <alignment horizontal="left"/>
    </xf>
    <xf numFmtId="167" fontId="102" fillId="0" borderId="0" xfId="66" applyNumberFormat="1" applyFont="1"/>
    <xf numFmtId="9" fontId="102" fillId="0" borderId="0" xfId="101" applyFont="1"/>
    <xf numFmtId="167" fontId="104" fillId="0" borderId="0" xfId="66" applyNumberFormat="1" applyFont="1"/>
    <xf numFmtId="9" fontId="114" fillId="0" borderId="0" xfId="101" applyNumberFormat="1" applyFont="1" applyFill="1" applyBorder="1" applyAlignment="1">
      <alignment horizontal="center"/>
    </xf>
    <xf numFmtId="9" fontId="114" fillId="0" borderId="0" xfId="101" applyNumberFormat="1" applyFont="1" applyFill="1" applyAlignment="1">
      <alignment horizontal="center"/>
    </xf>
    <xf numFmtId="168" fontId="102" fillId="0" borderId="0" xfId="101" applyNumberFormat="1" applyFont="1"/>
    <xf numFmtId="37" fontId="114" fillId="0" borderId="0" xfId="67" applyNumberFormat="1" applyFont="1" applyFill="1" applyBorder="1" applyAlignment="1">
      <alignment horizontal="center"/>
    </xf>
    <xf numFmtId="37" fontId="102" fillId="0" borderId="0" xfId="93" applyNumberFormat="1" applyFont="1" applyFill="1" applyBorder="1" applyAlignment="1">
      <alignment horizontal="center"/>
    </xf>
    <xf numFmtId="37" fontId="114" fillId="0" borderId="0" xfId="93" applyNumberFormat="1" applyFont="1" applyFill="1" applyBorder="1" applyAlignment="1">
      <alignment horizontal="center"/>
    </xf>
    <xf numFmtId="37" fontId="114" fillId="0" borderId="0" xfId="93" applyNumberFormat="1" applyFont="1" applyFill="1" applyAlignment="1">
      <alignment horizontal="center"/>
    </xf>
    <xf numFmtId="0" fontId="1" fillId="16" borderId="0" xfId="93" applyFill="1" applyBorder="1"/>
    <xf numFmtId="0" fontId="1" fillId="16" borderId="0" xfId="93" applyFill="1"/>
    <xf numFmtId="0" fontId="117" fillId="16" borderId="0" xfId="93" applyFont="1" applyFill="1"/>
    <xf numFmtId="0" fontId="1" fillId="0" borderId="0" xfId="93" applyFill="1"/>
    <xf numFmtId="0" fontId="118" fillId="16" borderId="0" xfId="93" applyFont="1" applyFill="1" applyBorder="1" applyAlignment="1">
      <alignment horizontal="left" wrapText="1"/>
    </xf>
    <xf numFmtId="0" fontId="111" fillId="16" borderId="0" xfId="93" applyFont="1" applyFill="1" applyBorder="1" applyAlignment="1">
      <alignment horizontal="right"/>
    </xf>
    <xf numFmtId="0" fontId="111" fillId="16" borderId="0" xfId="93" applyFont="1" applyFill="1" applyBorder="1"/>
    <xf numFmtId="0" fontId="112" fillId="16" borderId="0" xfId="93" applyFont="1" applyFill="1" applyBorder="1"/>
    <xf numFmtId="0" fontId="102" fillId="16" borderId="0" xfId="93" applyFont="1" applyFill="1" applyBorder="1"/>
    <xf numFmtId="0" fontId="114" fillId="16" borderId="0" xfId="93" applyFont="1" applyFill="1" applyBorder="1"/>
    <xf numFmtId="0" fontId="119" fillId="0" borderId="0" xfId="93" applyFont="1" applyBorder="1"/>
    <xf numFmtId="0" fontId="120" fillId="0" borderId="0" xfId="93" applyFont="1" applyBorder="1"/>
    <xf numFmtId="0" fontId="121" fillId="0" borderId="0" xfId="93" applyFont="1" applyBorder="1"/>
    <xf numFmtId="37" fontId="121" fillId="0" borderId="0" xfId="93" applyNumberFormat="1" applyFont="1" applyBorder="1" applyAlignment="1">
      <alignment horizontal="right"/>
    </xf>
    <xf numFmtId="37" fontId="120" fillId="0" borderId="0" xfId="93" applyNumberFormat="1" applyFont="1" applyBorder="1" applyAlignment="1">
      <alignment horizontal="center"/>
    </xf>
    <xf numFmtId="0" fontId="123" fillId="0" borderId="0" xfId="93" applyFont="1"/>
    <xf numFmtId="0" fontId="123" fillId="0" borderId="0" xfId="93" applyFont="1" applyAlignment="1">
      <alignment horizontal="center"/>
    </xf>
    <xf numFmtId="0" fontId="123" fillId="0" borderId="0" xfId="93" applyFont="1" applyFill="1"/>
    <xf numFmtId="37" fontId="121" fillId="0" borderId="0" xfId="93" applyNumberFormat="1" applyFont="1" applyBorder="1" applyAlignment="1">
      <alignment horizontal="center"/>
    </xf>
    <xf numFmtId="0" fontId="123" fillId="0" borderId="0" xfId="93" applyFont="1" applyBorder="1"/>
    <xf numFmtId="0" fontId="102" fillId="0" borderId="0" xfId="93" applyFont="1" applyBorder="1" applyAlignment="1">
      <alignment horizontal="right"/>
    </xf>
    <xf numFmtId="0" fontId="124" fillId="0" borderId="0" xfId="93" applyFont="1" applyBorder="1"/>
    <xf numFmtId="0" fontId="125" fillId="0" borderId="0" xfId="93" applyFont="1" applyBorder="1"/>
    <xf numFmtId="37" fontId="114" fillId="0" borderId="0" xfId="93" applyNumberFormat="1" applyFont="1" applyBorder="1" applyAlignment="1">
      <alignment horizontal="center"/>
    </xf>
    <xf numFmtId="39" fontId="101" fillId="0" borderId="0" xfId="93" applyNumberFormat="1" applyFont="1" applyBorder="1" applyAlignment="1">
      <alignment horizontal="center"/>
    </xf>
    <xf numFmtId="0" fontId="102" fillId="0" borderId="0" xfId="93" applyFont="1" applyAlignment="1"/>
    <xf numFmtId="49" fontId="123" fillId="0" borderId="0" xfId="93" applyNumberFormat="1" applyFont="1"/>
    <xf numFmtId="0" fontId="123" fillId="0" borderId="0" xfId="93" applyFont="1" applyAlignment="1">
      <alignment horizontal="right"/>
    </xf>
    <xf numFmtId="0" fontId="123" fillId="0" borderId="0" xfId="93" applyNumberFormat="1" applyFont="1"/>
    <xf numFmtId="0" fontId="102" fillId="0" borderId="0" xfId="93" applyNumberFormat="1" applyFont="1"/>
    <xf numFmtId="0" fontId="123" fillId="0" borderId="0" xfId="107" applyFont="1" applyFill="1" applyBorder="1" applyAlignment="1"/>
    <xf numFmtId="0" fontId="100" fillId="21" borderId="0" xfId="93" applyFont="1" applyFill="1" applyBorder="1"/>
    <xf numFmtId="49" fontId="101" fillId="0" borderId="0" xfId="93" applyNumberFormat="1" applyFont="1" applyBorder="1" applyAlignment="1">
      <alignment horizontal="left"/>
    </xf>
    <xf numFmtId="168" fontId="102" fillId="0" borderId="0" xfId="93" applyNumberFormat="1" applyFont="1" applyBorder="1"/>
    <xf numFmtId="0" fontId="103" fillId="0" borderId="21" xfId="93" applyFont="1" applyBorder="1"/>
    <xf numFmtId="0" fontId="103" fillId="0" borderId="0" xfId="93" quotePrefix="1" applyFont="1" applyFill="1" applyBorder="1" applyAlignment="1">
      <alignment horizontal="right"/>
    </xf>
    <xf numFmtId="0" fontId="103" fillId="0" borderId="0" xfId="93" applyFont="1" applyBorder="1" applyAlignment="1">
      <alignment horizontal="right"/>
    </xf>
    <xf numFmtId="49" fontId="103" fillId="0" borderId="0" xfId="93" applyNumberFormat="1" applyFont="1" applyBorder="1" applyAlignment="1">
      <alignment horizontal="right"/>
    </xf>
    <xf numFmtId="206" fontId="103" fillId="0" borderId="0" xfId="93" applyNumberFormat="1" applyFont="1" applyBorder="1"/>
    <xf numFmtId="0" fontId="104" fillId="0" borderId="0" xfId="93" applyFont="1" applyBorder="1" applyAlignment="1">
      <alignment horizontal="left"/>
    </xf>
    <xf numFmtId="0" fontId="103" fillId="0" borderId="0" xfId="93" applyFont="1" applyBorder="1" applyAlignment="1">
      <alignment horizontal="left"/>
    </xf>
    <xf numFmtId="0" fontId="102" fillId="0" borderId="0" xfId="93" applyNumberFormat="1" applyFont="1" applyAlignment="1">
      <alignment horizontal="right"/>
    </xf>
    <xf numFmtId="2" fontId="102" fillId="0" borderId="0" xfId="101" applyNumberFormat="1" applyFont="1"/>
    <xf numFmtId="0" fontId="119" fillId="0" borderId="0" xfId="93" applyFont="1"/>
    <xf numFmtId="0" fontId="121" fillId="0" borderId="0" xfId="93" applyFont="1"/>
    <xf numFmtId="37" fontId="121" fillId="0" borderId="0" xfId="93" applyNumberFormat="1" applyFont="1" applyAlignment="1">
      <alignment horizontal="right"/>
    </xf>
    <xf numFmtId="37" fontId="121" fillId="0" borderId="0" xfId="93" applyNumberFormat="1" applyFont="1" applyAlignment="1">
      <alignment horizontal="center"/>
    </xf>
    <xf numFmtId="37" fontId="127" fillId="0" borderId="0" xfId="93" applyNumberFormat="1" applyFont="1" applyAlignment="1">
      <alignment horizontal="center"/>
    </xf>
    <xf numFmtId="0" fontId="102" fillId="0" borderId="0" xfId="93" applyFont="1" applyAlignment="1">
      <alignment horizontal="right"/>
    </xf>
    <xf numFmtId="0" fontId="128" fillId="0" borderId="0" xfId="93" applyFont="1" applyAlignment="1">
      <alignment horizontal="right"/>
    </xf>
    <xf numFmtId="0" fontId="106" fillId="0" borderId="0" xfId="93" applyFont="1"/>
    <xf numFmtId="0" fontId="129" fillId="0" borderId="0" xfId="93" applyFont="1"/>
    <xf numFmtId="167" fontId="27" fillId="16" borderId="0" xfId="101" applyNumberFormat="1" applyFont="1" applyFill="1" applyBorder="1" applyAlignment="1">
      <alignment horizontal="right"/>
    </xf>
    <xf numFmtId="37" fontId="50" fillId="0" borderId="0" xfId="68" applyNumberFormat="1" applyFont="1" applyFill="1" applyBorder="1"/>
    <xf numFmtId="167" fontId="55" fillId="16" borderId="0" xfId="101" applyNumberFormat="1" applyFont="1" applyFill="1" applyBorder="1" applyAlignment="1">
      <alignment horizontal="right"/>
    </xf>
    <xf numFmtId="208" fontId="86" fillId="0" borderId="0" xfId="101" applyNumberFormat="1" applyFont="1" applyAlignment="1">
      <alignment horizontal="center"/>
    </xf>
    <xf numFmtId="208" fontId="86" fillId="0" borderId="0" xfId="87" applyNumberFormat="1" applyFont="1"/>
    <xf numFmtId="208" fontId="89" fillId="0" borderId="0" xfId="101" applyNumberFormat="1" applyFont="1" applyAlignment="1">
      <alignment horizontal="center"/>
    </xf>
    <xf numFmtId="209" fontId="45" fillId="0" borderId="0" xfId="101" applyNumberFormat="1" applyFont="1" applyAlignment="1">
      <alignment horizontal="center"/>
    </xf>
    <xf numFmtId="209" fontId="86" fillId="0" borderId="0" xfId="101" applyNumberFormat="1" applyFont="1" applyAlignment="1">
      <alignment horizontal="center"/>
    </xf>
    <xf numFmtId="7" fontId="25" fillId="16" borderId="0" xfId="97" applyNumberFormat="1" applyFont="1" applyFill="1" applyBorder="1" applyAlignment="1">
      <alignment horizontal="right"/>
    </xf>
    <xf numFmtId="37" fontId="112" fillId="0" borderId="0" xfId="93" applyNumberFormat="1" applyFont="1" applyFill="1" applyBorder="1"/>
    <xf numFmtId="198" fontId="74" fillId="16" borderId="0" xfId="88" applyNumberFormat="1" applyFont="1" applyFill="1"/>
    <xf numFmtId="0" fontId="96" fillId="0" borderId="0" xfId="87" applyFont="1" applyFill="1" applyBorder="1"/>
    <xf numFmtId="37" fontId="96" fillId="0" borderId="0" xfId="87" applyNumberFormat="1" applyFont="1" applyFill="1" applyAlignment="1">
      <alignment horizontal="center"/>
    </xf>
    <xf numFmtId="38" fontId="96" fillId="0" borderId="0" xfId="87" applyNumberFormat="1" applyFont="1" applyAlignment="1">
      <alignment horizontal="center"/>
    </xf>
    <xf numFmtId="0" fontId="86" fillId="0" borderId="0" xfId="87" applyFont="1" applyFill="1" applyBorder="1" applyAlignment="1">
      <alignment horizontal="left" indent="1"/>
    </xf>
    <xf numFmtId="37" fontId="86" fillId="0" borderId="0" xfId="87" applyNumberFormat="1" applyFont="1" applyFill="1" applyAlignment="1">
      <alignment horizontal="center"/>
    </xf>
    <xf numFmtId="38" fontId="86" fillId="0" borderId="0" xfId="87" applyNumberFormat="1" applyFont="1" applyAlignment="1">
      <alignment horizontal="center"/>
    </xf>
    <xf numFmtId="5" fontId="86" fillId="0" borderId="0" xfId="87" applyNumberFormat="1" applyFont="1" applyFill="1" applyAlignment="1">
      <alignment horizontal="center"/>
    </xf>
    <xf numFmtId="6" fontId="86" fillId="0" borderId="0" xfId="87" applyNumberFormat="1" applyFont="1" applyAlignment="1">
      <alignment horizontal="center"/>
    </xf>
    <xf numFmtId="0" fontId="86" fillId="0" borderId="0" xfId="87" applyFont="1" applyFill="1" applyBorder="1"/>
    <xf numFmtId="8" fontId="96" fillId="0" borderId="0" xfId="87" applyNumberFormat="1" applyFont="1" applyFill="1" applyAlignment="1">
      <alignment horizontal="center"/>
    </xf>
    <xf numFmtId="37" fontId="86" fillId="0" borderId="0" xfId="87" quotePrefix="1" applyNumberFormat="1" applyFont="1" applyFill="1" applyAlignment="1">
      <alignment horizontal="center"/>
    </xf>
    <xf numFmtId="8" fontId="86" fillId="0" borderId="0" xfId="87" applyNumberFormat="1" applyFont="1" applyFill="1" applyAlignment="1">
      <alignment horizontal="center"/>
    </xf>
    <xf numFmtId="0" fontId="27" fillId="0" borderId="0" xfId="87" applyFont="1" applyAlignment="1">
      <alignment horizontal="left"/>
    </xf>
    <xf numFmtId="37" fontId="102" fillId="0" borderId="0" xfId="93" applyNumberFormat="1" applyFont="1" applyFill="1" applyBorder="1"/>
    <xf numFmtId="0" fontId="27" fillId="16" borderId="0" xfId="0" applyFont="1" applyFill="1" applyAlignment="1">
      <alignment horizontal="left"/>
    </xf>
    <xf numFmtId="0" fontId="27" fillId="17" borderId="0" xfId="107" applyFont="1" applyFill="1" applyAlignment="1"/>
    <xf numFmtId="167" fontId="136" fillId="16" borderId="0" xfId="68" applyNumberFormat="1" applyFont="1" applyFill="1" applyBorder="1" applyAlignment="1">
      <alignment horizontal="right"/>
    </xf>
    <xf numFmtId="0" fontId="2" fillId="23" borderId="0" xfId="96" applyFont="1" applyFill="1" applyBorder="1" applyAlignment="1">
      <alignment horizontal="left"/>
      <protection locked="0"/>
    </xf>
    <xf numFmtId="7" fontId="1" fillId="23" borderId="0" xfId="97" applyNumberFormat="1" applyFill="1" applyBorder="1" applyAlignment="1">
      <alignment horizontal="center"/>
    </xf>
    <xf numFmtId="37" fontId="136" fillId="17" borderId="0" xfId="87" applyNumberFormat="1" applyFont="1" applyFill="1" applyAlignment="1">
      <alignment horizontal="center"/>
    </xf>
    <xf numFmtId="14" fontId="27" fillId="0" borderId="0" xfId="97" applyNumberFormat="1" applyFont="1" applyFill="1" applyBorder="1" applyAlignment="1">
      <alignment horizontal="right"/>
    </xf>
    <xf numFmtId="9" fontId="27" fillId="0" borderId="0" xfId="101" applyFont="1" applyFill="1" applyBorder="1"/>
    <xf numFmtId="167" fontId="27" fillId="24" borderId="0" xfId="68" applyNumberFormat="1" applyFont="1" applyFill="1" applyBorder="1" applyAlignment="1">
      <alignment horizontal="right"/>
    </xf>
    <xf numFmtId="167" fontId="50" fillId="0" borderId="18" xfId="101" applyNumberFormat="1" applyFont="1" applyFill="1" applyBorder="1" applyAlignment="1">
      <alignment horizontal="right"/>
    </xf>
    <xf numFmtId="194" fontId="74" fillId="0" borderId="0" xfId="88" applyNumberFormat="1" applyFont="1" applyFill="1" applyBorder="1"/>
    <xf numFmtId="168" fontId="136" fillId="16" borderId="0" xfId="101" applyNumberFormat="1" applyFont="1" applyFill="1" applyBorder="1" applyAlignment="1">
      <alignment horizontal="right"/>
    </xf>
    <xf numFmtId="167" fontId="137" fillId="16" borderId="0" xfId="68" applyNumberFormat="1" applyFont="1" applyFill="1" applyBorder="1" applyAlignment="1">
      <alignment horizontal="right"/>
    </xf>
    <xf numFmtId="37" fontId="137" fillId="16" borderId="0" xfId="101" applyNumberFormat="1" applyFont="1" applyFill="1"/>
    <xf numFmtId="37" fontId="136" fillId="16" borderId="0" xfId="97" applyNumberFormat="1" applyFont="1" applyFill="1"/>
    <xf numFmtId="37" fontId="136" fillId="0" borderId="0" xfId="86" applyNumberFormat="1" applyFont="1" applyFill="1"/>
    <xf numFmtId="37" fontId="136" fillId="16" borderId="0" xfId="86" applyNumberFormat="1" applyFont="1" applyFill="1"/>
    <xf numFmtId="0" fontId="136" fillId="16" borderId="0" xfId="97" applyFont="1" applyFill="1"/>
    <xf numFmtId="169" fontId="136" fillId="16" borderId="0" xfId="86" applyNumberFormat="1" applyFont="1" applyFill="1"/>
    <xf numFmtId="167" fontId="136" fillId="16" borderId="0" xfId="68" applyNumberFormat="1" applyFont="1" applyFill="1"/>
    <xf numFmtId="167" fontId="137" fillId="16" borderId="0" xfId="68" applyNumberFormat="1" applyFont="1" applyFill="1"/>
    <xf numFmtId="37" fontId="136" fillId="16" borderId="0" xfId="68" applyNumberFormat="1" applyFont="1" applyFill="1" applyBorder="1" applyAlignment="1">
      <alignment horizontal="right"/>
    </xf>
    <xf numFmtId="37" fontId="137" fillId="16" borderId="0" xfId="68" applyNumberFormat="1" applyFont="1" applyFill="1" applyBorder="1" applyAlignment="1">
      <alignment horizontal="right"/>
    </xf>
    <xf numFmtId="37" fontId="137" fillId="0" borderId="0" xfId="68" applyNumberFormat="1" applyFont="1" applyFill="1" applyBorder="1" applyAlignment="1">
      <alignment horizontal="right"/>
    </xf>
    <xf numFmtId="37" fontId="136" fillId="0" borderId="0" xfId="68" applyNumberFormat="1" applyFont="1" applyFill="1" applyBorder="1" applyAlignment="1">
      <alignment horizontal="right"/>
    </xf>
    <xf numFmtId="9" fontId="138" fillId="16" borderId="0" xfId="97" applyNumberFormat="1" applyFont="1" applyFill="1" applyBorder="1" applyAlignment="1">
      <alignment horizontal="right"/>
    </xf>
    <xf numFmtId="170" fontId="136" fillId="16" borderId="0" xfId="101" applyNumberFormat="1" applyFont="1" applyFill="1" applyBorder="1" applyAlignment="1">
      <alignment horizontal="right"/>
    </xf>
    <xf numFmtId="170" fontId="136" fillId="16" borderId="0" xfId="68" applyNumberFormat="1" applyFont="1" applyFill="1" applyBorder="1" applyAlignment="1">
      <alignment horizontal="right"/>
    </xf>
    <xf numFmtId="167" fontId="136" fillId="16" borderId="11" xfId="68" applyNumberFormat="1" applyFont="1" applyFill="1" applyBorder="1" applyAlignment="1">
      <alignment horizontal="right"/>
    </xf>
    <xf numFmtId="167" fontId="136" fillId="0" borderId="11" xfId="68" applyNumberFormat="1" applyFont="1" applyFill="1" applyBorder="1" applyAlignment="1">
      <alignment horizontal="right"/>
    </xf>
    <xf numFmtId="170" fontId="136" fillId="16" borderId="11" xfId="68" applyNumberFormat="1" applyFont="1" applyFill="1" applyBorder="1" applyAlignment="1">
      <alignment horizontal="right"/>
    </xf>
    <xf numFmtId="37" fontId="136" fillId="16" borderId="11" xfId="68" applyNumberFormat="1" applyFont="1" applyFill="1" applyBorder="1" applyAlignment="1">
      <alignment horizontal="right"/>
    </xf>
    <xf numFmtId="167" fontId="136" fillId="16" borderId="0" xfId="97" applyNumberFormat="1" applyFont="1" applyFill="1" applyAlignment="1">
      <alignment horizontal="right"/>
    </xf>
    <xf numFmtId="167" fontId="136" fillId="0" borderId="0" xfId="68" applyNumberFormat="1" applyFont="1" applyFill="1" applyBorder="1" applyAlignment="1">
      <alignment horizontal="right"/>
    </xf>
    <xf numFmtId="167" fontId="136" fillId="0" borderId="0" xfId="97" applyNumberFormat="1" applyFont="1" applyFill="1" applyAlignment="1">
      <alignment horizontal="right"/>
    </xf>
    <xf numFmtId="9" fontId="138" fillId="16" borderId="0" xfId="101" applyNumberFormat="1" applyFont="1" applyFill="1" applyBorder="1" applyAlignment="1">
      <alignment horizontal="right"/>
    </xf>
    <xf numFmtId="169" fontId="136" fillId="16" borderId="0" xfId="68" applyNumberFormat="1" applyFont="1" applyFill="1" applyBorder="1" applyAlignment="1">
      <alignment horizontal="right"/>
    </xf>
    <xf numFmtId="169" fontId="136" fillId="0" borderId="0" xfId="68" applyNumberFormat="1" applyFont="1" applyFill="1" applyBorder="1" applyAlignment="1">
      <alignment horizontal="right"/>
    </xf>
    <xf numFmtId="7" fontId="136" fillId="16" borderId="0" xfId="97" applyNumberFormat="1" applyFont="1" applyFill="1" applyAlignment="1">
      <alignment horizontal="right"/>
    </xf>
    <xf numFmtId="168" fontId="136" fillId="16" borderId="0" xfId="97" applyNumberFormat="1" applyFont="1" applyFill="1" applyBorder="1" applyAlignment="1">
      <alignment horizontal="right"/>
    </xf>
    <xf numFmtId="167" fontId="136" fillId="16" borderId="0" xfId="97" applyNumberFormat="1" applyFont="1" applyFill="1" applyBorder="1"/>
    <xf numFmtId="167" fontId="136" fillId="0" borderId="0" xfId="97" applyNumberFormat="1" applyFont="1" applyFill="1" applyBorder="1"/>
    <xf numFmtId="7" fontId="137" fillId="16" borderId="0" xfId="97" applyNumberFormat="1" applyFont="1" applyFill="1" applyAlignment="1">
      <alignment horizontal="right"/>
    </xf>
    <xf numFmtId="37" fontId="136" fillId="16" borderId="0" xfId="65" applyNumberFormat="1" applyFont="1" applyFill="1" applyAlignment="1">
      <alignment horizontal="center"/>
    </xf>
    <xf numFmtId="167" fontId="136" fillId="16" borderId="0" xfId="97" applyNumberFormat="1" applyFont="1" applyFill="1"/>
    <xf numFmtId="167" fontId="136" fillId="16" borderId="17" xfId="68" applyNumberFormat="1" applyFont="1" applyFill="1" applyBorder="1" applyAlignment="1">
      <alignment horizontal="right"/>
    </xf>
    <xf numFmtId="167" fontId="136" fillId="22" borderId="0" xfId="68" applyNumberFormat="1" applyFont="1" applyFill="1" applyBorder="1" applyAlignment="1">
      <alignment horizontal="right"/>
    </xf>
    <xf numFmtId="37" fontId="136" fillId="16" borderId="0" xfId="68" applyNumberFormat="1" applyFont="1" applyFill="1" applyBorder="1" applyAlignment="1"/>
    <xf numFmtId="167" fontId="54" fillId="16" borderId="0" xfId="68" applyNumberFormat="1" applyFont="1" applyFill="1" applyAlignment="1">
      <alignment horizontal="left"/>
    </xf>
    <xf numFmtId="0" fontId="11" fillId="0" borderId="13" xfId="96" applyFont="1" applyFill="1" applyBorder="1" applyAlignment="1">
      <alignment horizontal="center"/>
      <protection locked="0"/>
    </xf>
    <xf numFmtId="177" fontId="139" fillId="16" borderId="0" xfId="97" applyNumberFormat="1" applyFont="1" applyFill="1" applyBorder="1" applyAlignment="1">
      <alignment horizontal="right"/>
    </xf>
    <xf numFmtId="0" fontId="141" fillId="16" borderId="0" xfId="97" applyFont="1" applyFill="1" applyBorder="1"/>
    <xf numFmtId="10" fontId="142" fillId="16" borderId="0" xfId="68" applyNumberFormat="1" applyFont="1" applyFill="1" applyBorder="1"/>
    <xf numFmtId="10" fontId="142" fillId="16" borderId="0" xfId="88" applyNumberFormat="1" applyFont="1" applyFill="1" applyBorder="1"/>
    <xf numFmtId="165" fontId="142" fillId="16" borderId="0" xfId="88" applyNumberFormat="1" applyFont="1" applyFill="1" applyBorder="1"/>
    <xf numFmtId="200" fontId="142" fillId="16" borderId="0" xfId="88" applyNumberFormat="1" applyFont="1" applyFill="1" applyBorder="1"/>
    <xf numFmtId="194" fontId="143" fillId="16" borderId="0" xfId="88" applyNumberFormat="1" applyFont="1" applyFill="1" applyBorder="1"/>
    <xf numFmtId="194" fontId="143" fillId="16" borderId="0" xfId="88" applyNumberFormat="1" applyFont="1" applyFill="1"/>
    <xf numFmtId="169" fontId="136" fillId="16" borderId="0" xfId="97" applyNumberFormat="1" applyFont="1" applyFill="1" applyBorder="1" applyAlignment="1"/>
    <xf numFmtId="3" fontId="136" fillId="16" borderId="0" xfId="97" applyNumberFormat="1" applyFont="1" applyFill="1"/>
    <xf numFmtId="9" fontId="136" fillId="16" borderId="0" xfId="101" applyFont="1" applyFill="1" applyBorder="1" applyAlignment="1">
      <alignment horizontal="right"/>
    </xf>
    <xf numFmtId="167" fontId="137" fillId="0" borderId="0" xfId="68" applyNumberFormat="1" applyFont="1" applyFill="1" applyBorder="1" applyAlignment="1">
      <alignment horizontal="right"/>
    </xf>
    <xf numFmtId="37" fontId="137" fillId="16" borderId="0" xfId="97" applyNumberFormat="1" applyFont="1" applyFill="1"/>
    <xf numFmtId="5" fontId="136" fillId="16" borderId="0" xfId="68" applyNumberFormat="1" applyFont="1" applyFill="1" applyBorder="1"/>
    <xf numFmtId="0" fontId="144" fillId="16" borderId="0" xfId="97" applyFont="1" applyFill="1"/>
    <xf numFmtId="1" fontId="136" fillId="16" borderId="0" xfId="97" applyNumberFormat="1" applyFont="1" applyFill="1"/>
    <xf numFmtId="170" fontId="136" fillId="16" borderId="0" xfId="97" applyNumberFormat="1" applyFont="1" applyFill="1"/>
    <xf numFmtId="37" fontId="27" fillId="0" borderId="0" xfId="68" applyNumberFormat="1" applyFont="1" applyFill="1" applyBorder="1"/>
    <xf numFmtId="9" fontId="136" fillId="16" borderId="0" xfId="101" applyFont="1" applyFill="1"/>
    <xf numFmtId="167" fontId="136" fillId="0" borderId="17" xfId="68" applyNumberFormat="1" applyFont="1" applyFill="1" applyBorder="1" applyAlignment="1">
      <alignment horizontal="right"/>
    </xf>
    <xf numFmtId="37" fontId="27" fillId="16" borderId="0" xfId="65" applyNumberFormat="1" applyFont="1" applyFill="1" applyAlignment="1">
      <alignment horizontal="center"/>
    </xf>
    <xf numFmtId="176" fontId="27" fillId="16" borderId="0" xfId="101" applyNumberFormat="1" applyFont="1" applyFill="1" applyBorder="1" applyAlignment="1">
      <alignment horizontal="right"/>
    </xf>
    <xf numFmtId="168" fontId="27" fillId="16" borderId="0" xfId="68" applyNumberFormat="1" applyFont="1" applyFill="1" applyBorder="1" applyAlignment="1">
      <alignment horizontal="right"/>
    </xf>
    <xf numFmtId="37" fontId="136" fillId="16" borderId="0" xfId="68" applyNumberFormat="1" applyFont="1" applyFill="1" applyBorder="1"/>
    <xf numFmtId="168" fontId="27" fillId="0" borderId="0" xfId="101" applyNumberFormat="1" applyFont="1" applyFill="1" applyBorder="1"/>
    <xf numFmtId="37" fontId="45" fillId="0" borderId="0" xfId="101" applyNumberFormat="1" applyFont="1" applyFill="1" applyBorder="1" applyAlignment="1">
      <alignment horizontal="right"/>
    </xf>
    <xf numFmtId="37" fontId="92" fillId="23" borderId="0" xfId="87" applyNumberFormat="1" applyFont="1" applyFill="1" applyAlignment="1">
      <alignment horizontal="center"/>
    </xf>
    <xf numFmtId="0" fontId="92" fillId="23" borderId="0" xfId="87" applyFont="1" applyFill="1" applyAlignment="1">
      <alignment horizontal="center"/>
    </xf>
    <xf numFmtId="37" fontId="130" fillId="23" borderId="0" xfId="87" applyNumberFormat="1" applyFont="1" applyFill="1" applyAlignment="1">
      <alignment horizontal="center"/>
    </xf>
    <xf numFmtId="5" fontId="92" fillId="23" borderId="0" xfId="87" applyNumberFormat="1" applyFont="1" applyFill="1" applyAlignment="1">
      <alignment horizontal="center"/>
    </xf>
    <xf numFmtId="0" fontId="130" fillId="23" borderId="0" xfId="87" applyFont="1" applyFill="1" applyAlignment="1">
      <alignment horizontal="right"/>
    </xf>
    <xf numFmtId="8" fontId="130" fillId="23" borderId="0" xfId="87" applyNumberFormat="1" applyFont="1" applyFill="1" applyAlignment="1">
      <alignment horizontal="center"/>
    </xf>
    <xf numFmtId="0" fontId="92" fillId="23" borderId="0" xfId="87" applyFont="1" applyFill="1"/>
    <xf numFmtId="37" fontId="137" fillId="25" borderId="0" xfId="87" applyNumberFormat="1" applyFont="1" applyFill="1" applyAlignment="1">
      <alignment horizontal="center"/>
    </xf>
    <xf numFmtId="37" fontId="136" fillId="25" borderId="0" xfId="87" applyNumberFormat="1" applyFont="1" applyFill="1" applyAlignment="1">
      <alignment horizontal="center"/>
    </xf>
    <xf numFmtId="5" fontId="136" fillId="25" borderId="0" xfId="87" applyNumberFormat="1" applyFont="1" applyFill="1" applyAlignment="1">
      <alignment horizontal="center"/>
    </xf>
    <xf numFmtId="0" fontId="27" fillId="0" borderId="17" xfId="97" applyFont="1" applyFill="1" applyBorder="1"/>
    <xf numFmtId="167" fontId="27" fillId="23" borderId="0" xfId="97" applyNumberFormat="1" applyFont="1" applyFill="1"/>
    <xf numFmtId="0" fontId="27" fillId="23" borderId="0" xfId="97" applyFont="1" applyFill="1"/>
    <xf numFmtId="0" fontId="37" fillId="0" borderId="0" xfId="92" applyFont="1" applyFill="1" applyBorder="1"/>
    <xf numFmtId="0" fontId="27" fillId="0" borderId="0" xfId="92" applyFont="1" applyFill="1"/>
    <xf numFmtId="3" fontId="27" fillId="0" borderId="0" xfId="92" applyNumberFormat="1" applyFont="1" applyFill="1"/>
    <xf numFmtId="43" fontId="27" fillId="0" borderId="0" xfId="92" applyNumberFormat="1" applyFont="1" applyFill="1"/>
    <xf numFmtId="0" fontId="49" fillId="0" borderId="0" xfId="78" applyFont="1" applyFill="1" applyAlignment="1" applyProtection="1"/>
    <xf numFmtId="0" fontId="54" fillId="0" borderId="0" xfId="92" applyFont="1" applyFill="1"/>
    <xf numFmtId="0" fontId="27" fillId="0" borderId="0" xfId="92" applyFont="1" applyFill="1" applyBorder="1" applyAlignment="1">
      <alignment horizontal="center"/>
    </xf>
    <xf numFmtId="0" fontId="42" fillId="0" borderId="26" xfId="92" applyFont="1" applyFill="1" applyBorder="1" applyAlignment="1">
      <alignment horizontal="centerContinuous"/>
    </xf>
    <xf numFmtId="0" fontId="45" fillId="0" borderId="0" xfId="92" applyFont="1" applyFill="1"/>
    <xf numFmtId="0" fontId="45" fillId="0" borderId="0" xfId="92" applyFont="1" applyFill="1" applyAlignment="1">
      <alignment horizontal="center"/>
    </xf>
    <xf numFmtId="0" fontId="45" fillId="0" borderId="0" xfId="92" applyFont="1" applyFill="1" applyAlignment="1">
      <alignment horizontal="center" wrapText="1"/>
    </xf>
    <xf numFmtId="0" fontId="85" fillId="0" borderId="0" xfId="92" applyFont="1" applyFill="1" applyAlignment="1">
      <alignment horizontal="center"/>
    </xf>
    <xf numFmtId="0" fontId="85" fillId="0" borderId="0" xfId="92" applyFont="1" applyFill="1" applyAlignment="1">
      <alignment horizontal="center" wrapText="1"/>
    </xf>
    <xf numFmtId="0" fontId="27" fillId="0" borderId="0" xfId="92" applyFont="1" applyFill="1" applyAlignment="1">
      <alignment horizontal="center"/>
    </xf>
    <xf numFmtId="3" fontId="27" fillId="0" borderId="0" xfId="92" applyNumberFormat="1" applyFont="1" applyFill="1" applyAlignment="1">
      <alignment horizontal="center"/>
    </xf>
    <xf numFmtId="3" fontId="27" fillId="0" borderId="0" xfId="92" applyNumberFormat="1" applyFont="1" applyFill="1" applyAlignment="1">
      <alignment horizontal="right"/>
    </xf>
    <xf numFmtId="0" fontId="27" fillId="0" borderId="0" xfId="92" applyFont="1" applyFill="1" applyAlignment="1"/>
    <xf numFmtId="0" fontId="27" fillId="0" borderId="0" xfId="92" applyFont="1" applyFill="1" applyBorder="1"/>
    <xf numFmtId="0" fontId="45" fillId="0" borderId="11" xfId="92" applyFont="1" applyFill="1" applyBorder="1"/>
    <xf numFmtId="0" fontId="45" fillId="0" borderId="11" xfId="92" applyFont="1" applyFill="1" applyBorder="1" applyAlignment="1">
      <alignment horizontal="center"/>
    </xf>
    <xf numFmtId="41" fontId="27" fillId="0" borderId="0" xfId="92" applyNumberFormat="1" applyFont="1" applyFill="1" applyAlignment="1">
      <alignment horizontal="center"/>
    </xf>
    <xf numFmtId="0" fontId="27" fillId="0" borderId="11" xfId="92" applyFont="1" applyFill="1" applyBorder="1"/>
    <xf numFmtId="41" fontId="27" fillId="0" borderId="11" xfId="92" applyNumberFormat="1" applyFont="1" applyFill="1" applyBorder="1" applyAlignment="1">
      <alignment horizontal="center"/>
    </xf>
    <xf numFmtId="0" fontId="85" fillId="0" borderId="0" xfId="92" applyFont="1" applyFill="1"/>
    <xf numFmtId="41" fontId="45" fillId="0" borderId="0" xfId="92" applyNumberFormat="1" applyFont="1" applyFill="1" applyAlignment="1">
      <alignment horizontal="center"/>
    </xf>
    <xf numFmtId="41" fontId="27" fillId="0" borderId="0" xfId="92" applyNumberFormat="1" applyFont="1" applyFill="1" applyBorder="1" applyAlignment="1">
      <alignment horizontal="center"/>
    </xf>
    <xf numFmtId="41" fontId="45" fillId="0" borderId="0" xfId="92" applyNumberFormat="1" applyFont="1" applyFill="1"/>
    <xf numFmtId="37" fontId="27" fillId="0" borderId="0" xfId="92" applyNumberFormat="1" applyFont="1" applyFill="1"/>
    <xf numFmtId="5" fontId="45" fillId="0" borderId="0" xfId="92" applyNumberFormat="1" applyFont="1" applyFill="1"/>
    <xf numFmtId="9" fontId="27" fillId="0" borderId="0" xfId="101" applyFont="1" applyFill="1" applyAlignment="1">
      <alignment horizontal="right"/>
    </xf>
    <xf numFmtId="0" fontId="27" fillId="0" borderId="0" xfId="87" applyFont="1"/>
    <xf numFmtId="37" fontId="27" fillId="0" borderId="0" xfId="87" applyNumberFormat="1" applyFont="1" applyAlignment="1">
      <alignment horizontal="center"/>
    </xf>
    <xf numFmtId="209" fontId="27" fillId="0" borderId="0" xfId="102" applyNumberFormat="1" applyFont="1" applyFill="1" applyAlignment="1">
      <alignment horizontal="center"/>
    </xf>
    <xf numFmtId="168" fontId="148" fillId="0" borderId="0" xfId="101" applyNumberFormat="1" applyFont="1" applyFill="1" applyBorder="1" applyAlignment="1">
      <alignment horizontal="center"/>
    </xf>
    <xf numFmtId="168" fontId="148" fillId="0" borderId="0" xfId="93" applyNumberFormat="1" applyFont="1" applyFill="1" applyBorder="1" applyAlignment="1">
      <alignment horizontal="center"/>
    </xf>
    <xf numFmtId="166" fontId="148" fillId="0" borderId="0" xfId="93" applyNumberFormat="1" applyFont="1" applyFill="1" applyBorder="1" applyAlignment="1">
      <alignment horizontal="center"/>
    </xf>
    <xf numFmtId="37" fontId="148" fillId="0" borderId="0" xfId="66" applyNumberFormat="1" applyFont="1" applyFill="1" applyBorder="1" applyAlignment="1">
      <alignment horizontal="center"/>
    </xf>
    <xf numFmtId="37" fontId="148" fillId="0" borderId="0" xfId="66" applyNumberFormat="1" applyFont="1" applyBorder="1" applyAlignment="1">
      <alignment horizontal="center"/>
    </xf>
    <xf numFmtId="37" fontId="148" fillId="0" borderId="0" xfId="93" applyNumberFormat="1" applyFont="1" applyBorder="1" applyAlignment="1">
      <alignment horizontal="center"/>
    </xf>
    <xf numFmtId="37" fontId="149" fillId="0" borderId="0" xfId="66" applyNumberFormat="1" applyFont="1" applyFill="1" applyBorder="1" applyAlignment="1">
      <alignment horizontal="center"/>
    </xf>
    <xf numFmtId="37" fontId="148" fillId="23" borderId="0" xfId="93" applyNumberFormat="1" applyFont="1" applyFill="1" applyBorder="1" applyAlignment="1">
      <alignment horizontal="center"/>
    </xf>
    <xf numFmtId="194" fontId="81" fillId="0" borderId="0" xfId="88" applyNumberFormat="1" applyFont="1" applyFill="1" applyBorder="1"/>
    <xf numFmtId="194" fontId="79" fillId="23" borderId="0" xfId="88" applyNumberFormat="1" applyFont="1" applyFill="1" applyBorder="1"/>
    <xf numFmtId="5" fontId="136" fillId="0" borderId="0" xfId="68" applyNumberFormat="1" applyFont="1" applyFill="1" applyBorder="1"/>
    <xf numFmtId="194" fontId="79" fillId="0" borderId="0" xfId="88" applyNumberFormat="1" applyFont="1" applyFill="1" applyBorder="1"/>
    <xf numFmtId="43" fontId="27" fillId="0" borderId="0" xfId="68" applyNumberFormat="1" applyFont="1" applyFill="1" applyBorder="1"/>
    <xf numFmtId="0" fontId="27" fillId="23" borderId="0" xfId="97" applyFont="1" applyFill="1" applyBorder="1"/>
    <xf numFmtId="194" fontId="150" fillId="16" borderId="0" xfId="88" applyNumberFormat="1" applyFont="1" applyFill="1" applyBorder="1"/>
    <xf numFmtId="37" fontId="115" fillId="0" borderId="0" xfId="93" applyNumberFormat="1" applyFont="1" applyFill="1" applyBorder="1" applyAlignment="1">
      <alignment horizontal="center"/>
    </xf>
    <xf numFmtId="37" fontId="148" fillId="0" borderId="0" xfId="93" applyNumberFormat="1" applyFont="1" applyFill="1" applyBorder="1" applyAlignment="1">
      <alignment horizontal="center"/>
    </xf>
    <xf numFmtId="168" fontId="110" fillId="25" borderId="0" xfId="93" applyNumberFormat="1" applyFont="1" applyFill="1" applyBorder="1" applyAlignment="1">
      <alignment horizontal="center"/>
    </xf>
    <xf numFmtId="166" fontId="110" fillId="25" borderId="0" xfId="93" applyNumberFormat="1" applyFont="1" applyFill="1" applyBorder="1" applyAlignment="1">
      <alignment horizontal="center"/>
    </xf>
    <xf numFmtId="168" fontId="148" fillId="25" borderId="0" xfId="101" applyNumberFormat="1" applyFont="1" applyFill="1" applyBorder="1" applyAlignment="1">
      <alignment horizontal="center"/>
    </xf>
    <xf numFmtId="37" fontId="148" fillId="25" borderId="0" xfId="66" applyNumberFormat="1" applyFont="1" applyFill="1" applyBorder="1" applyAlignment="1">
      <alignment horizontal="center"/>
    </xf>
    <xf numFmtId="37" fontId="151" fillId="23" borderId="0" xfId="93" applyNumberFormat="1" applyFont="1" applyFill="1" applyBorder="1" applyAlignment="1">
      <alignment horizontal="center"/>
    </xf>
    <xf numFmtId="168" fontId="148" fillId="25" borderId="0" xfId="93" applyNumberFormat="1" applyFont="1" applyFill="1" applyBorder="1" applyAlignment="1">
      <alignment horizontal="center"/>
    </xf>
    <xf numFmtId="168" fontId="151" fillId="25" borderId="0" xfId="93" applyNumberFormat="1" applyFont="1" applyFill="1" applyBorder="1" applyAlignment="1">
      <alignment horizontal="center"/>
    </xf>
    <xf numFmtId="168" fontId="151" fillId="25" borderId="0" xfId="101" applyNumberFormat="1" applyFont="1" applyFill="1" applyBorder="1" applyAlignment="1">
      <alignment horizontal="center"/>
    </xf>
    <xf numFmtId="166" fontId="148" fillId="25" borderId="0" xfId="93" applyNumberFormat="1" applyFont="1" applyFill="1" applyBorder="1" applyAlignment="1">
      <alignment horizontal="center"/>
    </xf>
    <xf numFmtId="202" fontId="11" fillId="0" borderId="13" xfId="96" applyNumberFormat="1" applyFont="1" applyFill="1" applyBorder="1" applyAlignment="1">
      <alignment horizontal="center"/>
      <protection locked="0"/>
    </xf>
    <xf numFmtId="203" fontId="152" fillId="25" borderId="0" xfId="96" applyNumberFormat="1" applyFont="1" applyFill="1" applyBorder="1" applyAlignment="1">
      <alignment horizontal="center"/>
      <protection locked="0"/>
    </xf>
    <xf numFmtId="203" fontId="144" fillId="25" borderId="0" xfId="96" applyNumberFormat="1" applyFont="1" applyFill="1" applyBorder="1" applyAlignment="1">
      <alignment horizontal="center"/>
      <protection locked="0"/>
    </xf>
    <xf numFmtId="194" fontId="150" fillId="0" borderId="0" xfId="88" applyNumberFormat="1" applyFont="1" applyFill="1" applyBorder="1"/>
    <xf numFmtId="9" fontId="137" fillId="23" borderId="0" xfId="101" applyFont="1" applyFill="1" applyBorder="1"/>
    <xf numFmtId="0" fontId="11" fillId="16" borderId="0" xfId="97" applyFont="1" applyFill="1" applyBorder="1" applyAlignment="1">
      <alignment horizontal="centerContinuous"/>
    </xf>
    <xf numFmtId="0" fontId="42" fillId="16" borderId="0" xfId="97" applyFont="1" applyFill="1" applyBorder="1" applyAlignment="1">
      <alignment horizontal="centerContinuous"/>
    </xf>
    <xf numFmtId="37" fontId="45" fillId="0" borderId="0" xfId="86" applyNumberFormat="1" applyFont="1" applyFill="1"/>
    <xf numFmtId="0" fontId="45" fillId="0" borderId="0" xfId="97" applyFont="1" applyFill="1"/>
    <xf numFmtId="5" fontId="27" fillId="0" borderId="0" xfId="68" applyNumberFormat="1" applyFont="1" applyFill="1" applyBorder="1"/>
    <xf numFmtId="0" fontId="94" fillId="26" borderId="0" xfId="87" applyFont="1" applyFill="1" applyBorder="1" applyAlignment="1">
      <alignment horizontal="centerContinuous"/>
    </xf>
    <xf numFmtId="0" fontId="94" fillId="26" borderId="0" xfId="87" applyFont="1" applyFill="1" applyBorder="1" applyAlignment="1"/>
    <xf numFmtId="0" fontId="47" fillId="26" borderId="0" xfId="87" applyFont="1" applyFill="1" applyBorder="1" applyAlignment="1">
      <alignment horizontal="centerContinuous"/>
    </xf>
    <xf numFmtId="0" fontId="44" fillId="26" borderId="11" xfId="87" applyFont="1" applyFill="1" applyBorder="1" applyAlignment="1">
      <alignment horizontal="center"/>
    </xf>
    <xf numFmtId="0" fontId="44" fillId="26" borderId="0" xfId="87" applyFont="1" applyFill="1" applyBorder="1" applyAlignment="1">
      <alignment horizontal="center"/>
    </xf>
    <xf numFmtId="0" fontId="95" fillId="26" borderId="0" xfId="87" applyFont="1" applyFill="1" applyBorder="1"/>
    <xf numFmtId="0" fontId="95" fillId="26" borderId="0" xfId="87" applyFont="1" applyFill="1" applyBorder="1" applyAlignment="1">
      <alignment horizontal="right"/>
    </xf>
    <xf numFmtId="0" fontId="95" fillId="26" borderId="0" xfId="87" applyFont="1" applyFill="1" applyBorder="1" applyAlignment="1">
      <alignment horizontal="center"/>
    </xf>
    <xf numFmtId="0" fontId="93" fillId="26" borderId="0" xfId="87" applyFont="1" applyFill="1" applyBorder="1" applyAlignment="1">
      <alignment horizontal="center"/>
    </xf>
    <xf numFmtId="0" fontId="95" fillId="26" borderId="0" xfId="87" applyFont="1" applyFill="1"/>
    <xf numFmtId="0" fontId="95" fillId="26" borderId="0" xfId="87" applyFont="1" applyFill="1" applyAlignment="1">
      <alignment horizontal="right"/>
    </xf>
    <xf numFmtId="0" fontId="130" fillId="26" borderId="0" xfId="87" applyFont="1" applyFill="1" applyAlignment="1">
      <alignment horizontal="right"/>
    </xf>
    <xf numFmtId="0" fontId="93" fillId="26" borderId="0" xfId="87" applyFont="1" applyFill="1" applyAlignment="1">
      <alignment horizontal="center"/>
    </xf>
    <xf numFmtId="0" fontId="95" fillId="26" borderId="0" xfId="87" applyFont="1" applyFill="1" applyAlignment="1">
      <alignment horizontal="center"/>
    </xf>
    <xf numFmtId="0" fontId="27" fillId="23" borderId="0" xfId="97" applyNumberFormat="1" applyFont="1" applyFill="1" applyBorder="1" applyAlignment="1">
      <alignment horizontal="right"/>
    </xf>
    <xf numFmtId="167" fontId="27" fillId="23" borderId="0" xfId="68" applyNumberFormat="1" applyFont="1" applyFill="1" applyBorder="1"/>
    <xf numFmtId="9" fontId="27" fillId="23" borderId="0" xfId="101" applyFont="1" applyFill="1" applyBorder="1"/>
    <xf numFmtId="168" fontId="27" fillId="23" borderId="0" xfId="101" applyNumberFormat="1" applyFont="1" applyFill="1" applyBorder="1"/>
    <xf numFmtId="7" fontId="2" fillId="23" borderId="0" xfId="97" applyNumberFormat="1" applyFont="1" applyFill="1" applyBorder="1"/>
    <xf numFmtId="0" fontId="44" fillId="26" borderId="14" xfId="87" applyFont="1" applyFill="1" applyBorder="1" applyAlignment="1">
      <alignment horizontal="centerContinuous"/>
    </xf>
    <xf numFmtId="0" fontId="95" fillId="26" borderId="14" xfId="87" applyFont="1" applyFill="1" applyBorder="1" applyAlignment="1">
      <alignment horizontal="centerContinuous"/>
    </xf>
    <xf numFmtId="0" fontId="95" fillId="26" borderId="0" xfId="87" applyFont="1" applyFill="1" applyBorder="1" applyAlignment="1">
      <alignment horizontal="centerContinuous"/>
    </xf>
    <xf numFmtId="0" fontId="44" fillId="26" borderId="0" xfId="87" applyFont="1" applyFill="1" applyAlignment="1">
      <alignment horizontal="center"/>
    </xf>
    <xf numFmtId="0" fontId="95" fillId="26" borderId="0" xfId="87" applyFont="1" applyFill="1" applyAlignment="1">
      <alignment horizontal="centerContinuous"/>
    </xf>
    <xf numFmtId="0" fontId="86" fillId="26" borderId="0" xfId="87" applyFont="1" applyFill="1"/>
    <xf numFmtId="0" fontId="27" fillId="26" borderId="0" xfId="87" applyFont="1" applyFill="1"/>
    <xf numFmtId="209" fontId="86" fillId="26" borderId="0" xfId="87" applyNumberFormat="1" applyFont="1" applyFill="1"/>
    <xf numFmtId="0" fontId="89" fillId="26" borderId="0" xfId="87" applyFont="1" applyFill="1"/>
    <xf numFmtId="0" fontId="38" fillId="26" borderId="12" xfId="96" applyFont="1" applyFill="1" applyBorder="1" applyAlignment="1">
      <protection locked="0"/>
    </xf>
    <xf numFmtId="0" fontId="38" fillId="26" borderId="12" xfId="96" applyFont="1" applyFill="1" applyBorder="1" applyAlignment="1">
      <alignment horizontal="right"/>
      <protection locked="0"/>
    </xf>
    <xf numFmtId="0" fontId="38" fillId="26" borderId="0" xfId="96" applyFont="1" applyFill="1" applyBorder="1" applyAlignment="1">
      <alignment horizontal="right"/>
      <protection locked="0"/>
    </xf>
    <xf numFmtId="0" fontId="38" fillId="26" borderId="12" xfId="96" applyFont="1" applyFill="1" applyBorder="1" applyAlignment="1">
      <alignment horizontal="center"/>
      <protection locked="0"/>
    </xf>
    <xf numFmtId="0" fontId="38" fillId="26" borderId="0" xfId="96" applyFont="1" applyFill="1" applyBorder="1" applyAlignment="1">
      <alignment horizontal="center"/>
      <protection locked="0"/>
    </xf>
    <xf numFmtId="0" fontId="140" fillId="26" borderId="0" xfId="97" applyFont="1" applyFill="1" applyBorder="1"/>
    <xf numFmtId="0" fontId="140" fillId="26" borderId="0" xfId="86" applyFont="1" applyFill="1" applyBorder="1" applyAlignment="1">
      <alignment horizontal="center"/>
    </xf>
    <xf numFmtId="0" fontId="140" fillId="26" borderId="0" xfId="97" applyFont="1" applyFill="1" applyBorder="1" applyAlignment="1">
      <alignment horizontal="right"/>
    </xf>
    <xf numFmtId="0" fontId="140" fillId="27" borderId="0" xfId="97" applyFont="1" applyFill="1" applyBorder="1" applyAlignment="1">
      <alignment horizontal="right"/>
    </xf>
    <xf numFmtId="0" fontId="45" fillId="26" borderId="0" xfId="97" applyFont="1" applyFill="1" applyBorder="1"/>
    <xf numFmtId="0" fontId="47" fillId="26" borderId="0" xfId="86" applyFont="1" applyFill="1" applyBorder="1" applyAlignment="1">
      <alignment horizontal="center"/>
    </xf>
    <xf numFmtId="0" fontId="47" fillId="26" borderId="0" xfId="97" applyFont="1" applyFill="1" applyBorder="1" applyAlignment="1">
      <alignment horizontal="right"/>
    </xf>
    <xf numFmtId="177" fontId="48" fillId="26" borderId="0" xfId="97" applyNumberFormat="1" applyFont="1" applyFill="1" applyBorder="1" applyAlignment="1">
      <alignment horizontal="right"/>
    </xf>
    <xf numFmtId="0" fontId="59" fillId="26" borderId="0" xfId="97" applyFont="1" applyFill="1"/>
    <xf numFmtId="0" fontId="47" fillId="26" borderId="0" xfId="97" applyFont="1" applyFill="1" applyBorder="1"/>
    <xf numFmtId="0" fontId="47" fillId="26" borderId="0" xfId="97" applyFont="1" applyFill="1" applyBorder="1" applyAlignment="1">
      <alignment horizontal="left"/>
    </xf>
    <xf numFmtId="0" fontId="44" fillId="26" borderId="14" xfId="97" applyFont="1" applyFill="1" applyBorder="1" applyAlignment="1">
      <alignment horizontal="centerContinuous"/>
    </xf>
    <xf numFmtId="0" fontId="27" fillId="26" borderId="0" xfId="97" applyFont="1" applyFill="1" applyBorder="1"/>
    <xf numFmtId="0" fontId="59" fillId="26" borderId="0" xfId="97" applyFont="1" applyFill="1" applyBorder="1"/>
    <xf numFmtId="0" fontId="44" fillId="26" borderId="0" xfId="97" applyFont="1" applyFill="1" applyBorder="1" applyAlignment="1">
      <alignment horizontal="center"/>
    </xf>
    <xf numFmtId="0" fontId="72" fillId="26" borderId="11" xfId="88" applyNumberFormat="1" applyFont="1" applyFill="1" applyBorder="1"/>
    <xf numFmtId="0" fontId="73" fillId="26" borderId="11" xfId="88" applyNumberFormat="1" applyFont="1" applyFill="1" applyBorder="1"/>
    <xf numFmtId="41" fontId="73" fillId="26" borderId="11" xfId="88" applyNumberFormat="1" applyFont="1" applyFill="1" applyBorder="1"/>
    <xf numFmtId="41" fontId="72" fillId="26" borderId="11" xfId="88" applyNumberFormat="1" applyFont="1" applyFill="1" applyBorder="1" applyAlignment="1">
      <alignment horizontal="right"/>
    </xf>
    <xf numFmtId="167" fontId="27" fillId="26" borderId="0" xfId="68" applyNumberFormat="1" applyFont="1" applyFill="1" applyBorder="1" applyAlignment="1"/>
    <xf numFmtId="0" fontId="47" fillId="26" borderId="11" xfId="97" applyNumberFormat="1" applyFont="1" applyFill="1" applyBorder="1" applyAlignment="1">
      <alignment horizontal="centerContinuous"/>
    </xf>
    <xf numFmtId="0" fontId="59" fillId="26" borderId="0" xfId="92" applyFont="1" applyFill="1"/>
    <xf numFmtId="0" fontId="47" fillId="26" borderId="0" xfId="92" applyFont="1" applyFill="1"/>
    <xf numFmtId="0" fontId="47" fillId="26" borderId="0" xfId="92" applyFont="1" applyFill="1" applyBorder="1"/>
    <xf numFmtId="0" fontId="44" fillId="26" borderId="0" xfId="92" applyFont="1" applyFill="1" applyBorder="1" applyAlignment="1">
      <alignment horizontal="center"/>
    </xf>
    <xf numFmtId="14" fontId="57" fillId="16" borderId="11" xfId="91" applyNumberFormat="1" applyFont="1" applyFill="1" applyBorder="1" applyAlignment="1">
      <alignment horizontal="left"/>
    </xf>
    <xf numFmtId="14" fontId="27" fillId="16" borderId="11" xfId="91" applyNumberFormat="1" applyFont="1" applyFill="1" applyBorder="1" applyAlignment="1">
      <alignment horizontal="left"/>
    </xf>
    <xf numFmtId="14" fontId="136" fillId="16" borderId="11" xfId="91" applyNumberFormat="1" applyFont="1" applyFill="1" applyBorder="1" applyAlignment="1">
      <alignment horizontal="left"/>
    </xf>
    <xf numFmtId="14" fontId="0" fillId="0" borderId="0" xfId="0" applyNumberFormat="1"/>
    <xf numFmtId="14" fontId="145" fillId="23" borderId="0" xfId="97" applyNumberFormat="1" applyFont="1" applyFill="1" applyBorder="1" applyAlignment="1">
      <alignment horizontal="right"/>
    </xf>
    <xf numFmtId="0" fontId="40" fillId="0" borderId="0" xfId="92" applyFont="1" applyFill="1" applyBorder="1"/>
    <xf numFmtId="0" fontId="45" fillId="0" borderId="0" xfId="92" applyFont="1" applyFill="1" applyBorder="1"/>
    <xf numFmtId="0" fontId="27" fillId="0" borderId="12" xfId="92" applyFont="1" applyFill="1" applyBorder="1"/>
    <xf numFmtId="0" fontId="27" fillId="0" borderId="12" xfId="92" applyFont="1" applyFill="1" applyBorder="1" applyAlignment="1">
      <alignment horizontal="center"/>
    </xf>
    <xf numFmtId="0" fontId="27" fillId="0" borderId="17" xfId="92" applyFont="1" applyFill="1" applyBorder="1"/>
    <xf numFmtId="5" fontId="27" fillId="0" borderId="17" xfId="68" applyNumberFormat="1" applyFont="1" applyFill="1" applyBorder="1"/>
    <xf numFmtId="5" fontId="45" fillId="0" borderId="0" xfId="68" applyNumberFormat="1" applyFont="1" applyFill="1" applyBorder="1"/>
    <xf numFmtId="9" fontId="27" fillId="0" borderId="0" xfId="101" applyFont="1" applyFill="1" applyBorder="1" applyAlignment="1">
      <alignment horizontal="center"/>
    </xf>
    <xf numFmtId="9" fontId="27" fillId="0" borderId="17" xfId="101" applyFont="1" applyFill="1" applyBorder="1"/>
    <xf numFmtId="9" fontId="45" fillId="0" borderId="0" xfId="101" applyFont="1" applyFill="1" applyBorder="1"/>
    <xf numFmtId="37" fontId="27" fillId="0" borderId="17" xfId="68" applyNumberFormat="1" applyFont="1" applyFill="1" applyBorder="1"/>
    <xf numFmtId="37" fontId="45" fillId="0" borderId="0" xfId="68" applyNumberFormat="1" applyFont="1" applyFill="1" applyBorder="1"/>
    <xf numFmtId="37" fontId="136" fillId="0" borderId="0" xfId="68" applyNumberFormat="1" applyFont="1" applyFill="1" applyBorder="1" applyAlignment="1">
      <alignment horizontal="center"/>
    </xf>
    <xf numFmtId="37" fontId="27" fillId="0" borderId="0" xfId="68" applyNumberFormat="1" applyFont="1" applyFill="1" applyBorder="1" applyAlignment="1">
      <alignment horizontal="center"/>
    </xf>
    <xf numFmtId="37" fontId="27" fillId="0" borderId="17" xfId="68" applyNumberFormat="1" applyFont="1" applyFill="1" applyBorder="1" applyAlignment="1">
      <alignment horizontal="center"/>
    </xf>
    <xf numFmtId="37" fontId="136" fillId="0" borderId="17" xfId="68" applyNumberFormat="1" applyFont="1" applyFill="1" applyBorder="1" applyAlignment="1">
      <alignment horizontal="center"/>
    </xf>
    <xf numFmtId="37" fontId="50" fillId="0" borderId="0" xfId="68" applyNumberFormat="1" applyFont="1" applyFill="1" applyBorder="1" applyAlignment="1">
      <alignment horizontal="center"/>
    </xf>
    <xf numFmtId="37" fontId="45" fillId="0" borderId="0" xfId="68" applyNumberFormat="1" applyFont="1" applyFill="1" applyBorder="1" applyAlignment="1">
      <alignment horizontal="center"/>
    </xf>
    <xf numFmtId="37" fontId="137" fillId="0" borderId="0" xfId="68" applyNumberFormat="1" applyFont="1" applyFill="1" applyBorder="1" applyAlignment="1">
      <alignment horizontal="center"/>
    </xf>
    <xf numFmtId="37" fontId="45" fillId="0" borderId="0" xfId="92" applyNumberFormat="1" applyFont="1" applyFill="1"/>
    <xf numFmtId="168" fontId="27" fillId="0" borderId="0" xfId="101" applyNumberFormat="1" applyFont="1" applyFill="1"/>
    <xf numFmtId="168" fontId="27" fillId="0" borderId="17" xfId="101" applyNumberFormat="1" applyFont="1" applyFill="1" applyBorder="1"/>
    <xf numFmtId="168" fontId="45" fillId="0" borderId="0" xfId="101" applyNumberFormat="1" applyFont="1" applyFill="1"/>
    <xf numFmtId="168" fontId="27" fillId="0" borderId="0" xfId="92" applyNumberFormat="1" applyFont="1" applyFill="1"/>
    <xf numFmtId="0" fontId="0" fillId="0" borderId="0" xfId="0" applyFill="1"/>
    <xf numFmtId="0" fontId="1" fillId="0" borderId="0" xfId="0" applyFont="1"/>
    <xf numFmtId="7" fontId="144" fillId="23" borderId="28" xfId="0" applyNumberFormat="1" applyFont="1" applyFill="1" applyBorder="1" applyAlignment="1">
      <alignment horizontal="center"/>
    </xf>
    <xf numFmtId="37" fontId="136" fillId="23" borderId="0" xfId="97" applyNumberFormat="1" applyFont="1" applyFill="1"/>
    <xf numFmtId="167" fontId="54" fillId="16" borderId="0" xfId="68" applyNumberFormat="1" applyFont="1" applyFill="1" applyBorder="1" applyAlignment="1">
      <alignment horizontal="right"/>
    </xf>
    <xf numFmtId="17" fontId="27" fillId="23" borderId="0" xfId="97" applyNumberFormat="1" applyFont="1" applyFill="1" applyBorder="1"/>
    <xf numFmtId="43" fontId="27" fillId="23" borderId="0" xfId="97" applyNumberFormat="1" applyFont="1" applyFill="1"/>
    <xf numFmtId="167" fontId="27" fillId="23" borderId="0" xfId="101" applyNumberFormat="1" applyFont="1" applyFill="1"/>
    <xf numFmtId="0" fontId="0" fillId="23" borderId="0" xfId="0" applyFill="1"/>
    <xf numFmtId="37" fontId="45" fillId="0" borderId="0" xfId="97" applyNumberFormat="1" applyFont="1" applyFill="1"/>
    <xf numFmtId="37" fontId="0" fillId="0" borderId="0" xfId="0" applyNumberFormat="1"/>
    <xf numFmtId="169" fontId="153" fillId="0" borderId="0" xfId="68" applyNumberFormat="1" applyFont="1" applyFill="1" applyBorder="1" applyAlignment="1">
      <alignment horizontal="right"/>
    </xf>
    <xf numFmtId="167" fontId="153" fillId="16" borderId="0" xfId="68" applyNumberFormat="1" applyFont="1" applyFill="1" applyBorder="1" applyAlignment="1">
      <alignment horizontal="right"/>
    </xf>
    <xf numFmtId="167" fontId="153" fillId="0" borderId="0" xfId="68" applyNumberFormat="1" applyFont="1" applyFill="1" applyBorder="1" applyAlignment="1">
      <alignment horizontal="right"/>
    </xf>
    <xf numFmtId="195" fontId="60" fillId="16" borderId="12" xfId="65" applyNumberFormat="1" applyFont="1" applyFill="1" applyBorder="1" applyAlignment="1">
      <alignment horizontal="right"/>
    </xf>
    <xf numFmtId="9" fontId="54" fillId="0" borderId="0" xfId="97" applyNumberFormat="1" applyFont="1" applyFill="1" applyBorder="1" applyAlignment="1">
      <alignment horizontal="right"/>
    </xf>
    <xf numFmtId="9" fontId="54" fillId="0" borderId="0" xfId="101" applyNumberFormat="1" applyFont="1" applyFill="1" applyBorder="1" applyAlignment="1">
      <alignment horizontal="right"/>
    </xf>
    <xf numFmtId="167" fontId="136" fillId="23" borderId="0" xfId="68" applyNumberFormat="1" applyFont="1" applyFill="1" applyBorder="1" applyAlignment="1">
      <alignment horizontal="right"/>
    </xf>
    <xf numFmtId="37" fontId="136" fillId="23" borderId="0" xfId="97" applyNumberFormat="1" applyFont="1" applyFill="1" applyBorder="1" applyAlignment="1">
      <alignment horizontal="right"/>
    </xf>
    <xf numFmtId="169" fontId="136" fillId="23" borderId="0" xfId="97" applyNumberFormat="1" applyFont="1" applyFill="1" applyBorder="1" applyAlignment="1">
      <alignment horizontal="right"/>
    </xf>
    <xf numFmtId="168" fontId="136" fillId="23" borderId="0" xfId="97" applyNumberFormat="1" applyFont="1" applyFill="1" applyBorder="1" applyAlignment="1">
      <alignment horizontal="right"/>
    </xf>
    <xf numFmtId="5" fontId="136" fillId="23" borderId="0" xfId="68" applyNumberFormat="1" applyFont="1" applyFill="1" applyBorder="1"/>
    <xf numFmtId="0" fontId="11" fillId="0" borderId="0" xfId="0" applyFont="1"/>
    <xf numFmtId="167" fontId="0" fillId="0" borderId="0" xfId="0" applyNumberFormat="1"/>
    <xf numFmtId="168" fontId="136" fillId="23" borderId="0" xfId="68" applyNumberFormat="1" applyFont="1" applyFill="1" applyBorder="1" applyAlignment="1">
      <alignment horizontal="right"/>
    </xf>
    <xf numFmtId="41" fontId="72" fillId="26" borderId="0" xfId="88" applyNumberFormat="1" applyFont="1" applyFill="1" applyBorder="1" applyAlignment="1">
      <alignment horizontal="right"/>
    </xf>
    <xf numFmtId="37" fontId="55" fillId="16" borderId="0" xfId="86" applyNumberFormat="1" applyFont="1" applyFill="1"/>
    <xf numFmtId="0" fontId="54" fillId="16" borderId="0" xfId="86" applyFont="1" applyFill="1"/>
    <xf numFmtId="9" fontId="62" fillId="16" borderId="0" xfId="101" applyFont="1" applyFill="1"/>
    <xf numFmtId="0" fontId="63" fillId="0" borderId="0" xfId="0" applyFont="1"/>
    <xf numFmtId="167" fontId="154" fillId="16" borderId="0" xfId="68" applyNumberFormat="1" applyFont="1" applyFill="1" applyBorder="1" applyAlignment="1">
      <alignment horizontal="right"/>
    </xf>
    <xf numFmtId="5" fontId="136" fillId="0" borderId="17" xfId="68" applyNumberFormat="1" applyFont="1" applyFill="1" applyBorder="1"/>
    <xf numFmtId="37" fontId="136" fillId="0" borderId="0" xfId="68" applyNumberFormat="1" applyFont="1" applyFill="1" applyBorder="1"/>
    <xf numFmtId="37" fontId="136" fillId="0" borderId="17" xfId="68" applyNumberFormat="1" applyFont="1" applyFill="1" applyBorder="1"/>
    <xf numFmtId="37" fontId="137" fillId="0" borderId="0" xfId="68" applyNumberFormat="1" applyFont="1" applyFill="1" applyBorder="1"/>
    <xf numFmtId="168" fontId="27" fillId="0" borderId="0" xfId="101" applyNumberFormat="1" applyFont="1" applyFill="1" applyAlignment="1">
      <alignment horizontal="right"/>
    </xf>
    <xf numFmtId="41" fontId="27" fillId="24" borderId="11" xfId="92" applyNumberFormat="1" applyFont="1" applyFill="1" applyBorder="1" applyAlignment="1">
      <alignment horizontal="center"/>
    </xf>
    <xf numFmtId="9" fontId="45" fillId="0" borderId="0" xfId="87" applyNumberFormat="1" applyFont="1" applyFill="1" applyAlignment="1">
      <alignment horizontal="center"/>
    </xf>
    <xf numFmtId="0" fontId="27" fillId="27" borderId="0" xfId="86" applyFont="1" applyFill="1" applyBorder="1" applyAlignment="1">
      <alignment horizontal="center"/>
    </xf>
    <xf numFmtId="0" fontId="47" fillId="27" borderId="0" xfId="86" applyFont="1" applyFill="1" applyBorder="1" applyAlignment="1">
      <alignment horizontal="center"/>
    </xf>
    <xf numFmtId="0" fontId="27" fillId="27" borderId="0" xfId="97" applyFont="1" applyFill="1" applyBorder="1" applyAlignment="1">
      <alignment horizontal="right"/>
    </xf>
    <xf numFmtId="0" fontId="47" fillId="27" borderId="0" xfId="97" applyFont="1" applyFill="1" applyBorder="1" applyAlignment="1">
      <alignment horizontal="right"/>
    </xf>
    <xf numFmtId="177" fontId="139" fillId="27" borderId="0" xfId="97" applyNumberFormat="1" applyFont="1" applyFill="1" applyBorder="1" applyAlignment="1">
      <alignment horizontal="right"/>
    </xf>
    <xf numFmtId="177" fontId="48" fillId="27" borderId="0" xfId="97" applyNumberFormat="1" applyFont="1" applyFill="1" applyBorder="1" applyAlignment="1">
      <alignment horizontal="right"/>
    </xf>
    <xf numFmtId="0" fontId="47" fillId="27" borderId="0" xfId="97" applyFont="1" applyFill="1" applyBorder="1"/>
    <xf numFmtId="0" fontId="44" fillId="27" borderId="14" xfId="97" applyFont="1" applyFill="1" applyBorder="1" applyAlignment="1">
      <alignment horizontal="centerContinuous"/>
    </xf>
    <xf numFmtId="0" fontId="44" fillId="27" borderId="0" xfId="97" applyFont="1" applyFill="1" applyBorder="1" applyAlignment="1">
      <alignment horizontal="center"/>
    </xf>
    <xf numFmtId="0" fontId="140" fillId="27" borderId="35" xfId="97" applyFont="1" applyFill="1" applyBorder="1" applyAlignment="1">
      <alignment horizontal="right"/>
    </xf>
    <xf numFmtId="0" fontId="140" fillId="27" borderId="15" xfId="97" applyFont="1" applyFill="1" applyBorder="1" applyAlignment="1">
      <alignment horizontal="right"/>
    </xf>
    <xf numFmtId="177" fontId="139" fillId="27" borderId="35" xfId="97" applyNumberFormat="1" applyFont="1" applyFill="1" applyBorder="1" applyAlignment="1">
      <alignment horizontal="right"/>
    </xf>
    <xf numFmtId="177" fontId="139" fillId="27" borderId="15" xfId="97" applyNumberFormat="1" applyFont="1" applyFill="1" applyBorder="1" applyAlignment="1">
      <alignment horizontal="right"/>
    </xf>
    <xf numFmtId="177" fontId="48" fillId="27" borderId="35" xfId="97" applyNumberFormat="1" applyFont="1" applyFill="1" applyBorder="1" applyAlignment="1">
      <alignment horizontal="right"/>
    </xf>
    <xf numFmtId="177" fontId="48" fillId="27" borderId="15" xfId="97" applyNumberFormat="1" applyFont="1" applyFill="1" applyBorder="1" applyAlignment="1">
      <alignment horizontal="right"/>
    </xf>
    <xf numFmtId="0" fontId="27" fillId="16" borderId="35" xfId="97" applyFont="1" applyFill="1" applyBorder="1"/>
    <xf numFmtId="0" fontId="27" fillId="16" borderId="15" xfId="97" applyFont="1" applyFill="1" applyBorder="1"/>
    <xf numFmtId="37" fontId="27" fillId="16" borderId="35" xfId="86" applyNumberFormat="1" applyFont="1" applyFill="1" applyBorder="1"/>
    <xf numFmtId="37" fontId="27" fillId="16" borderId="0" xfId="86" applyNumberFormat="1" applyFont="1" applyFill="1" applyBorder="1"/>
    <xf numFmtId="37" fontId="27" fillId="16" borderId="15" xfId="86" applyNumberFormat="1" applyFont="1" applyFill="1" applyBorder="1"/>
    <xf numFmtId="37" fontId="136" fillId="16" borderId="35" xfId="86" applyNumberFormat="1" applyFont="1" applyFill="1" applyBorder="1"/>
    <xf numFmtId="37" fontId="136" fillId="16" borderId="0" xfId="86" applyNumberFormat="1" applyFont="1" applyFill="1" applyBorder="1"/>
    <xf numFmtId="37" fontId="136" fillId="16" borderId="15" xfId="86" applyNumberFormat="1" applyFont="1" applyFill="1" applyBorder="1"/>
    <xf numFmtId="9" fontId="27" fillId="16" borderId="35" xfId="101" applyFont="1" applyFill="1" applyBorder="1"/>
    <xf numFmtId="9" fontId="27" fillId="16" borderId="15" xfId="101" applyFont="1" applyFill="1" applyBorder="1"/>
    <xf numFmtId="167" fontId="27" fillId="16" borderId="35" xfId="68" applyNumberFormat="1" applyFont="1" applyFill="1" applyBorder="1" applyAlignment="1">
      <alignment horizontal="right"/>
    </xf>
    <xf numFmtId="167" fontId="27" fillId="16" borderId="15" xfId="68" applyNumberFormat="1" applyFont="1" applyFill="1" applyBorder="1" applyAlignment="1">
      <alignment horizontal="right"/>
    </xf>
    <xf numFmtId="167" fontId="137" fillId="16" borderId="35" xfId="68" applyNumberFormat="1" applyFont="1" applyFill="1" applyBorder="1" applyAlignment="1">
      <alignment horizontal="right"/>
    </xf>
    <xf numFmtId="167" fontId="137" fillId="16" borderId="15" xfId="68" applyNumberFormat="1" applyFont="1" applyFill="1" applyBorder="1" applyAlignment="1">
      <alignment horizontal="right"/>
    </xf>
    <xf numFmtId="167" fontId="27" fillId="16" borderId="35" xfId="97" applyNumberFormat="1" applyFont="1" applyFill="1" applyBorder="1"/>
    <xf numFmtId="167" fontId="27" fillId="16" borderId="15" xfId="97" applyNumberFormat="1" applyFont="1" applyFill="1" applyBorder="1"/>
    <xf numFmtId="168" fontId="136" fillId="16" borderId="35" xfId="101" applyNumberFormat="1" applyFont="1" applyFill="1" applyBorder="1" applyAlignment="1">
      <alignment horizontal="right"/>
    </xf>
    <xf numFmtId="168" fontId="136" fillId="16" borderId="15" xfId="101" applyNumberFormat="1" applyFont="1" applyFill="1" applyBorder="1" applyAlignment="1">
      <alignment horizontal="right"/>
    </xf>
    <xf numFmtId="167" fontId="50" fillId="16" borderId="35" xfId="97" applyNumberFormat="1" applyFont="1" applyFill="1" applyBorder="1"/>
    <xf numFmtId="167" fontId="50" fillId="16" borderId="0" xfId="97" applyNumberFormat="1" applyFont="1" applyFill="1" applyBorder="1"/>
    <xf numFmtId="167" fontId="50" fillId="16" borderId="15" xfId="97" applyNumberFormat="1" applyFont="1" applyFill="1" applyBorder="1"/>
    <xf numFmtId="9" fontId="55" fillId="16" borderId="35" xfId="101" applyFont="1" applyFill="1" applyBorder="1"/>
    <xf numFmtId="9" fontId="55" fillId="16" borderId="0" xfId="101" applyFont="1" applyFill="1" applyBorder="1"/>
    <xf numFmtId="9" fontId="55" fillId="16" borderId="15" xfId="101" applyFont="1" applyFill="1" applyBorder="1"/>
    <xf numFmtId="5" fontId="27" fillId="16" borderId="35" xfId="68" applyNumberFormat="1" applyFont="1" applyFill="1" applyBorder="1"/>
    <xf numFmtId="5" fontId="27" fillId="16" borderId="15" xfId="68" applyNumberFormat="1" applyFont="1" applyFill="1" applyBorder="1"/>
    <xf numFmtId="37" fontId="45" fillId="0" borderId="35" xfId="86" applyNumberFormat="1" applyFont="1" applyFill="1" applyBorder="1"/>
    <xf numFmtId="37" fontId="45" fillId="0" borderId="0" xfId="86" applyNumberFormat="1" applyFont="1" applyFill="1" applyBorder="1"/>
    <xf numFmtId="37" fontId="45" fillId="0" borderId="15" xfId="86" applyNumberFormat="1" applyFont="1" applyFill="1" applyBorder="1"/>
    <xf numFmtId="37" fontId="50" fillId="16" borderId="35" xfId="86" applyNumberFormat="1" applyFont="1" applyFill="1" applyBorder="1"/>
    <xf numFmtId="37" fontId="50" fillId="16" borderId="0" xfId="86" applyNumberFormat="1" applyFont="1" applyFill="1" applyBorder="1"/>
    <xf numFmtId="37" fontId="50" fillId="16" borderId="15" xfId="86" applyNumberFormat="1" applyFont="1" applyFill="1" applyBorder="1"/>
    <xf numFmtId="37" fontId="137" fillId="16" borderId="35" xfId="97" applyNumberFormat="1" applyFont="1" applyFill="1" applyBorder="1"/>
    <xf numFmtId="37" fontId="137" fillId="16" borderId="0" xfId="97" applyNumberFormat="1" applyFont="1" applyFill="1" applyBorder="1"/>
    <xf numFmtId="37" fontId="137" fillId="16" borderId="15" xfId="97" applyNumberFormat="1" applyFont="1" applyFill="1" applyBorder="1"/>
    <xf numFmtId="37" fontId="27" fillId="16" borderId="35" xfId="97" applyNumberFormat="1" applyFont="1" applyFill="1" applyBorder="1"/>
    <xf numFmtId="37" fontId="27" fillId="16" borderId="15" xfId="97" applyNumberFormat="1" applyFont="1" applyFill="1" applyBorder="1"/>
    <xf numFmtId="37" fontId="27" fillId="0" borderId="0" xfId="86" applyNumberFormat="1" applyFont="1" applyFill="1" applyBorder="1"/>
    <xf numFmtId="169" fontId="136" fillId="16" borderId="35" xfId="86" applyNumberFormat="1" applyFont="1" applyFill="1" applyBorder="1"/>
    <xf numFmtId="169" fontId="136" fillId="16" borderId="0" xfId="86" applyNumberFormat="1" applyFont="1" applyFill="1" applyBorder="1"/>
    <xf numFmtId="169" fontId="136" fillId="16" borderId="15" xfId="86" applyNumberFormat="1" applyFont="1" applyFill="1" applyBorder="1"/>
    <xf numFmtId="5" fontId="27" fillId="0" borderId="35" xfId="68" applyNumberFormat="1" applyFont="1" applyFill="1" applyBorder="1"/>
    <xf numFmtId="5" fontId="27" fillId="0" borderId="15" xfId="68" applyNumberFormat="1" applyFont="1" applyFill="1" applyBorder="1"/>
    <xf numFmtId="184" fontId="27" fillId="16" borderId="35" xfId="68" applyNumberFormat="1" applyFont="1" applyFill="1" applyBorder="1"/>
    <xf numFmtId="184" fontId="27" fillId="16" borderId="15" xfId="68" applyNumberFormat="1" applyFont="1" applyFill="1" applyBorder="1"/>
    <xf numFmtId="7" fontId="27" fillId="16" borderId="35" xfId="68" applyNumberFormat="1" applyFont="1" applyFill="1" applyBorder="1"/>
    <xf numFmtId="7" fontId="27" fillId="16" borderId="15" xfId="68" applyNumberFormat="1" applyFont="1" applyFill="1" applyBorder="1"/>
    <xf numFmtId="37" fontId="55" fillId="16" borderId="35" xfId="86" applyNumberFormat="1" applyFont="1" applyFill="1" applyBorder="1"/>
    <xf numFmtId="37" fontId="55" fillId="16" borderId="0" xfId="86" applyNumberFormat="1" applyFont="1" applyFill="1" applyBorder="1"/>
    <xf numFmtId="37" fontId="55" fillId="16" borderId="15" xfId="86" applyNumberFormat="1" applyFont="1" applyFill="1" applyBorder="1"/>
    <xf numFmtId="167" fontId="136" fillId="16" borderId="35" xfId="68" applyNumberFormat="1" applyFont="1" applyFill="1" applyBorder="1" applyAlignment="1">
      <alignment horizontal="right"/>
    </xf>
    <xf numFmtId="167" fontId="45" fillId="16" borderId="35" xfId="68" applyNumberFormat="1" applyFont="1" applyFill="1" applyBorder="1" applyAlignment="1">
      <alignment horizontal="right"/>
    </xf>
    <xf numFmtId="167" fontId="45" fillId="16" borderId="15" xfId="68" applyNumberFormat="1" applyFont="1" applyFill="1" applyBorder="1" applyAlignment="1">
      <alignment horizontal="right"/>
    </xf>
    <xf numFmtId="0" fontId="144" fillId="16" borderId="35" xfId="97" applyFont="1" applyFill="1" applyBorder="1"/>
    <xf numFmtId="0" fontId="144" fillId="16" borderId="0" xfId="97" applyFont="1" applyFill="1" applyBorder="1"/>
    <xf numFmtId="0" fontId="144" fillId="16" borderId="15" xfId="97" applyFont="1" applyFill="1" applyBorder="1"/>
    <xf numFmtId="167" fontId="136" fillId="16" borderId="15" xfId="68" applyNumberFormat="1" applyFont="1" applyFill="1" applyBorder="1" applyAlignment="1">
      <alignment horizontal="right"/>
    </xf>
    <xf numFmtId="0" fontId="2" fillId="16" borderId="35" xfId="97" applyFont="1" applyFill="1" applyBorder="1"/>
    <xf numFmtId="0" fontId="2" fillId="16" borderId="15" xfId="97" applyFont="1" applyFill="1" applyBorder="1"/>
    <xf numFmtId="9" fontId="67" fillId="16" borderId="35" xfId="97" applyNumberFormat="1" applyFont="1" applyFill="1" applyBorder="1"/>
    <xf numFmtId="0" fontId="63" fillId="16" borderId="0" xfId="97" applyFont="1" applyFill="1" applyBorder="1"/>
    <xf numFmtId="0" fontId="69" fillId="16" borderId="0" xfId="97" applyFont="1" applyFill="1" applyBorder="1"/>
    <xf numFmtId="0" fontId="69" fillId="16" borderId="15" xfId="97" applyFont="1" applyFill="1" applyBorder="1"/>
    <xf numFmtId="37" fontId="136" fillId="16" borderId="35" xfId="97" applyNumberFormat="1" applyFont="1" applyFill="1" applyBorder="1"/>
    <xf numFmtId="37" fontId="136" fillId="16" borderId="0" xfId="97" applyNumberFormat="1" applyFont="1" applyFill="1" applyBorder="1"/>
    <xf numFmtId="37" fontId="136" fillId="16" borderId="15" xfId="97" applyNumberFormat="1" applyFont="1" applyFill="1" applyBorder="1"/>
    <xf numFmtId="168" fontId="27" fillId="16" borderId="35" xfId="101" applyNumberFormat="1" applyFont="1" applyFill="1" applyBorder="1" applyAlignment="1">
      <alignment horizontal="right"/>
    </xf>
    <xf numFmtId="168" fontId="27" fillId="16" borderId="15" xfId="101" applyNumberFormat="1" applyFont="1" applyFill="1" applyBorder="1" applyAlignment="1">
      <alignment horizontal="right"/>
    </xf>
    <xf numFmtId="37" fontId="45" fillId="16" borderId="35" xfId="97" applyNumberFormat="1" applyFont="1" applyFill="1" applyBorder="1"/>
    <xf numFmtId="37" fontId="45" fillId="16" borderId="15" xfId="97" applyNumberFormat="1" applyFont="1" applyFill="1" applyBorder="1"/>
    <xf numFmtId="37" fontId="27" fillId="16" borderId="35" xfId="65" applyNumberFormat="1" applyFont="1" applyFill="1" applyBorder="1"/>
    <xf numFmtId="37" fontId="27" fillId="16" borderId="0" xfId="65" applyNumberFormat="1" applyFont="1" applyFill="1" applyBorder="1"/>
    <xf numFmtId="37" fontId="27" fillId="16" borderId="15" xfId="65" applyNumberFormat="1" applyFont="1" applyFill="1" applyBorder="1"/>
    <xf numFmtId="37" fontId="137" fillId="16" borderId="35" xfId="101" applyNumberFormat="1" applyFont="1" applyFill="1" applyBorder="1"/>
    <xf numFmtId="37" fontId="137" fillId="16" borderId="0" xfId="101" applyNumberFormat="1" applyFont="1" applyFill="1" applyBorder="1"/>
    <xf numFmtId="37" fontId="137" fillId="16" borderId="15" xfId="101" applyNumberFormat="1" applyFont="1" applyFill="1" applyBorder="1"/>
    <xf numFmtId="170" fontId="136" fillId="16" borderId="35" xfId="97" applyNumberFormat="1" applyFont="1" applyFill="1" applyBorder="1"/>
    <xf numFmtId="170" fontId="136" fillId="16" borderId="0" xfId="97" applyNumberFormat="1" applyFont="1" applyFill="1" applyBorder="1"/>
    <xf numFmtId="170" fontId="136" fillId="16" borderId="15" xfId="97" applyNumberFormat="1" applyFont="1" applyFill="1" applyBorder="1"/>
    <xf numFmtId="167" fontId="137" fillId="16" borderId="35" xfId="68" applyNumberFormat="1" applyFont="1" applyFill="1" applyBorder="1"/>
    <xf numFmtId="167" fontId="137" fillId="16" borderId="0" xfId="68" applyNumberFormat="1" applyFont="1" applyFill="1" applyBorder="1"/>
    <xf numFmtId="167" fontId="137" fillId="16" borderId="15" xfId="68" applyNumberFormat="1" applyFont="1" applyFill="1" applyBorder="1"/>
    <xf numFmtId="37" fontId="45" fillId="16" borderId="35" xfId="86" applyNumberFormat="1" applyFont="1" applyFill="1" applyBorder="1"/>
    <xf numFmtId="37" fontId="45" fillId="16" borderId="0" xfId="86" applyNumberFormat="1" applyFont="1" applyFill="1" applyBorder="1"/>
    <xf numFmtId="37" fontId="45" fillId="16" borderId="15" xfId="86" applyNumberFormat="1" applyFont="1" applyFill="1" applyBorder="1"/>
    <xf numFmtId="9" fontId="50" fillId="16" borderId="35" xfId="101" applyFont="1" applyFill="1" applyBorder="1"/>
    <xf numFmtId="9" fontId="50" fillId="16" borderId="0" xfId="101" applyFont="1" applyFill="1" applyBorder="1"/>
    <xf numFmtId="167" fontId="50" fillId="16" borderId="15" xfId="101" applyNumberFormat="1" applyFont="1" applyFill="1" applyBorder="1"/>
    <xf numFmtId="9" fontId="136" fillId="16" borderId="35" xfId="101" applyFont="1" applyFill="1" applyBorder="1"/>
    <xf numFmtId="9" fontId="136" fillId="16" borderId="0" xfId="101" applyFont="1" applyFill="1" applyBorder="1"/>
    <xf numFmtId="9" fontId="136" fillId="16" borderId="15" xfId="101" applyFont="1" applyFill="1" applyBorder="1"/>
    <xf numFmtId="167" fontId="27" fillId="16" borderId="35" xfId="68" applyNumberFormat="1" applyFont="1" applyFill="1" applyBorder="1"/>
    <xf numFmtId="167" fontId="27" fillId="16" borderId="15" xfId="68" applyNumberFormat="1" applyFont="1" applyFill="1" applyBorder="1"/>
    <xf numFmtId="167" fontId="136" fillId="16" borderId="35" xfId="68" applyNumberFormat="1" applyFont="1" applyFill="1" applyBorder="1"/>
    <xf numFmtId="167" fontId="136" fillId="16" borderId="0" xfId="68" applyNumberFormat="1" applyFont="1" applyFill="1" applyBorder="1"/>
    <xf numFmtId="167" fontId="136" fillId="16" borderId="15" xfId="68" applyNumberFormat="1" applyFont="1" applyFill="1" applyBorder="1"/>
    <xf numFmtId="0" fontId="0" fillId="0" borderId="35" xfId="0" applyBorder="1"/>
    <xf numFmtId="0" fontId="0" fillId="0" borderId="0" xfId="0" applyBorder="1"/>
    <xf numFmtId="0" fontId="0" fillId="0" borderId="15" xfId="0" applyBorder="1"/>
    <xf numFmtId="167" fontId="45" fillId="16" borderId="35" xfId="97" applyNumberFormat="1" applyFont="1" applyFill="1" applyBorder="1"/>
    <xf numFmtId="167" fontId="45" fillId="16" borderId="15" xfId="97" applyNumberFormat="1" applyFont="1" applyFill="1" applyBorder="1"/>
    <xf numFmtId="7" fontId="45" fillId="16" borderId="35" xfId="97" applyNumberFormat="1" applyFont="1" applyFill="1" applyBorder="1"/>
    <xf numFmtId="7" fontId="45" fillId="16" borderId="0" xfId="97" applyNumberFormat="1" applyFont="1" applyFill="1" applyBorder="1"/>
    <xf numFmtId="7" fontId="45" fillId="16" borderId="15" xfId="97" applyNumberFormat="1" applyFont="1" applyFill="1" applyBorder="1"/>
    <xf numFmtId="7" fontId="27" fillId="16" borderId="35" xfId="97" applyNumberFormat="1" applyFont="1" applyFill="1" applyBorder="1"/>
    <xf numFmtId="7" fontId="27" fillId="16" borderId="0" xfId="97" applyNumberFormat="1" applyFont="1" applyFill="1" applyBorder="1"/>
    <xf numFmtId="7" fontId="27" fillId="16" borderId="15" xfId="97" applyNumberFormat="1" applyFont="1" applyFill="1" applyBorder="1"/>
    <xf numFmtId="167" fontId="27" fillId="17" borderId="35" xfId="97" applyNumberFormat="1" applyFont="1" applyFill="1" applyBorder="1"/>
    <xf numFmtId="167" fontId="27" fillId="17" borderId="0" xfId="97" applyNumberFormat="1" applyFont="1" applyFill="1" applyBorder="1"/>
    <xf numFmtId="167" fontId="27" fillId="17" borderId="15" xfId="97" applyNumberFormat="1" applyFont="1" applyFill="1" applyBorder="1"/>
    <xf numFmtId="37" fontId="136" fillId="0" borderId="15" xfId="86" applyNumberFormat="1" applyFont="1" applyFill="1" applyBorder="1"/>
    <xf numFmtId="37" fontId="136" fillId="0" borderId="35" xfId="86" applyNumberFormat="1" applyFont="1" applyFill="1" applyBorder="1"/>
    <xf numFmtId="37" fontId="136" fillId="0" borderId="0" xfId="86" applyNumberFormat="1" applyFont="1" applyFill="1" applyBorder="1"/>
    <xf numFmtId="167" fontId="50" fillId="0" borderId="0" xfId="97" applyNumberFormat="1" applyFont="1" applyFill="1" applyBorder="1"/>
    <xf numFmtId="37" fontId="137" fillId="0" borderId="0" xfId="97" applyNumberFormat="1" applyFont="1" applyFill="1" applyBorder="1"/>
    <xf numFmtId="0" fontId="144" fillId="0" borderId="0" xfId="97" applyFont="1" applyFill="1" applyBorder="1"/>
    <xf numFmtId="37" fontId="136" fillId="0" borderId="0" xfId="97" applyNumberFormat="1" applyFont="1" applyFill="1" applyBorder="1"/>
    <xf numFmtId="37" fontId="137" fillId="0" borderId="0" xfId="101" applyNumberFormat="1" applyFont="1" applyFill="1" applyBorder="1"/>
    <xf numFmtId="167" fontId="137" fillId="0" borderId="0" xfId="68" applyNumberFormat="1" applyFont="1" applyFill="1" applyBorder="1"/>
    <xf numFmtId="37" fontId="27" fillId="0" borderId="35" xfId="86" applyNumberFormat="1" applyFont="1" applyFill="1" applyBorder="1"/>
    <xf numFmtId="169" fontId="136" fillId="0" borderId="0" xfId="86" applyNumberFormat="1" applyFont="1" applyFill="1" applyBorder="1"/>
    <xf numFmtId="169" fontId="136" fillId="0" borderId="15" xfId="86" applyNumberFormat="1" applyFont="1" applyFill="1" applyBorder="1"/>
    <xf numFmtId="167" fontId="51" fillId="16" borderId="35" xfId="68" applyNumberFormat="1" applyFont="1" applyFill="1" applyBorder="1"/>
    <xf numFmtId="167" fontId="51" fillId="16" borderId="0" xfId="68" applyNumberFormat="1" applyFont="1" applyFill="1" applyBorder="1"/>
    <xf numFmtId="167" fontId="51" fillId="16" borderId="15" xfId="68" applyNumberFormat="1" applyFont="1" applyFill="1" applyBorder="1"/>
    <xf numFmtId="167" fontId="50" fillId="16" borderId="35" xfId="97" applyNumberFormat="1" applyFont="1" applyFill="1" applyBorder="1" applyAlignment="1">
      <alignment horizontal="center"/>
    </xf>
    <xf numFmtId="167" fontId="50" fillId="16" borderId="0" xfId="97" applyNumberFormat="1" applyFont="1" applyFill="1" applyBorder="1" applyAlignment="1">
      <alignment horizontal="center"/>
    </xf>
    <xf numFmtId="167" fontId="50" fillId="16" borderId="15" xfId="97" applyNumberFormat="1" applyFont="1" applyFill="1" applyBorder="1" applyAlignment="1">
      <alignment horizontal="center"/>
    </xf>
    <xf numFmtId="169" fontId="136" fillId="0" borderId="35" xfId="86" applyNumberFormat="1" applyFont="1" applyFill="1" applyBorder="1"/>
    <xf numFmtId="167" fontId="136" fillId="0" borderId="35" xfId="68" applyNumberFormat="1" applyFont="1" applyFill="1" applyBorder="1" applyAlignment="1">
      <alignment horizontal="right"/>
    </xf>
    <xf numFmtId="167" fontId="136" fillId="0" borderId="15" xfId="68" applyNumberFormat="1" applyFont="1" applyFill="1" applyBorder="1" applyAlignment="1">
      <alignment horizontal="right"/>
    </xf>
    <xf numFmtId="167" fontId="136" fillId="0" borderId="35" xfId="68" applyNumberFormat="1" applyFont="1" applyFill="1" applyBorder="1"/>
    <xf numFmtId="167" fontId="136" fillId="0" borderId="0" xfId="68" applyNumberFormat="1" applyFont="1" applyFill="1" applyBorder="1"/>
    <xf numFmtId="167" fontId="52" fillId="16" borderId="35" xfId="68" applyNumberFormat="1" applyFont="1" applyFill="1" applyBorder="1"/>
    <xf numFmtId="167" fontId="52" fillId="16" borderId="0" xfId="68" applyNumberFormat="1" applyFont="1" applyFill="1" applyBorder="1"/>
    <xf numFmtId="167" fontId="52" fillId="16" borderId="15" xfId="68" applyNumberFormat="1" applyFont="1" applyFill="1" applyBorder="1"/>
    <xf numFmtId="37" fontId="137" fillId="0" borderId="35" xfId="97" applyNumberFormat="1" applyFont="1" applyFill="1" applyBorder="1"/>
    <xf numFmtId="37" fontId="136" fillId="0" borderId="15" xfId="97" applyNumberFormat="1" applyFont="1" applyFill="1" applyBorder="1"/>
    <xf numFmtId="170" fontId="136" fillId="0" borderId="35" xfId="97" applyNumberFormat="1" applyFont="1" applyFill="1" applyBorder="1"/>
    <xf numFmtId="170" fontId="136" fillId="0" borderId="0" xfId="97" applyNumberFormat="1" applyFont="1" applyFill="1" applyBorder="1"/>
    <xf numFmtId="170" fontId="136" fillId="0" borderId="15" xfId="97" applyNumberFormat="1" applyFont="1" applyFill="1" applyBorder="1"/>
    <xf numFmtId="167" fontId="137" fillId="0" borderId="35" xfId="68" applyNumberFormat="1" applyFont="1" applyFill="1" applyBorder="1"/>
    <xf numFmtId="167" fontId="136" fillId="0" borderId="15" xfId="68" applyNumberFormat="1" applyFont="1" applyFill="1" applyBorder="1"/>
    <xf numFmtId="37" fontId="145" fillId="16" borderId="0" xfId="86" applyNumberFormat="1" applyFont="1" applyFill="1" applyBorder="1"/>
    <xf numFmtId="37" fontId="145" fillId="16" borderId="15" xfId="86" applyNumberFormat="1" applyFont="1" applyFill="1" applyBorder="1"/>
    <xf numFmtId="167" fontId="54" fillId="16" borderId="35" xfId="68" applyNumberFormat="1" applyFont="1" applyFill="1" applyBorder="1" applyAlignment="1">
      <alignment horizontal="right"/>
    </xf>
    <xf numFmtId="167" fontId="54" fillId="16" borderId="15" xfId="68" applyNumberFormat="1" applyFont="1" applyFill="1" applyBorder="1" applyAlignment="1">
      <alignment horizontal="right"/>
    </xf>
    <xf numFmtId="37" fontId="137" fillId="0" borderId="15" xfId="97" applyNumberFormat="1" applyFont="1" applyFill="1" applyBorder="1"/>
    <xf numFmtId="0" fontId="39" fillId="16" borderId="35" xfId="97" applyFont="1" applyFill="1" applyBorder="1"/>
    <xf numFmtId="0" fontId="39" fillId="16" borderId="0" xfId="97" applyFont="1" applyFill="1" applyBorder="1"/>
    <xf numFmtId="0" fontId="39" fillId="16" borderId="15" xfId="97" applyFont="1" applyFill="1" applyBorder="1"/>
    <xf numFmtId="37" fontId="137" fillId="0" borderId="15" xfId="101" applyNumberFormat="1" applyFont="1" applyFill="1" applyBorder="1"/>
    <xf numFmtId="9" fontId="50" fillId="16" borderId="15" xfId="101" applyFont="1" applyFill="1" applyBorder="1"/>
    <xf numFmtId="167" fontId="137" fillId="0" borderId="15" xfId="68" applyNumberFormat="1" applyFont="1" applyFill="1" applyBorder="1"/>
    <xf numFmtId="0" fontId="2" fillId="0" borderId="35" xfId="97" applyFont="1" applyFill="1" applyBorder="1"/>
    <xf numFmtId="0" fontId="2" fillId="0" borderId="0" xfId="97" applyFont="1" applyFill="1" applyBorder="1"/>
    <xf numFmtId="0" fontId="2" fillId="0" borderId="15" xfId="97" applyFont="1" applyFill="1" applyBorder="1"/>
    <xf numFmtId="167" fontId="27" fillId="0" borderId="35" xfId="68" applyNumberFormat="1" applyFont="1" applyFill="1" applyBorder="1"/>
    <xf numFmtId="167" fontId="27" fillId="0" borderId="15" xfId="68" applyNumberFormat="1" applyFont="1" applyFill="1" applyBorder="1"/>
    <xf numFmtId="167" fontId="147" fillId="0" borderId="0" xfId="68" applyNumberFormat="1" applyFont="1" applyFill="1" applyBorder="1"/>
    <xf numFmtId="167" fontId="51" fillId="0" borderId="35" xfId="68" applyNumberFormat="1" applyFont="1" applyFill="1" applyBorder="1"/>
    <xf numFmtId="167" fontId="51" fillId="0" borderId="0" xfId="68" applyNumberFormat="1" applyFont="1" applyFill="1" applyBorder="1"/>
    <xf numFmtId="177" fontId="56" fillId="16" borderId="0" xfId="86" applyNumberFormat="1" applyFont="1" applyFill="1" applyBorder="1"/>
    <xf numFmtId="0" fontId="27" fillId="0" borderId="15" xfId="97" applyFont="1" applyFill="1" applyBorder="1"/>
    <xf numFmtId="9" fontId="55" fillId="16" borderId="35" xfId="102" applyFont="1" applyFill="1" applyBorder="1"/>
    <xf numFmtId="9" fontId="55" fillId="16" borderId="0" xfId="102" applyFont="1" applyFill="1" applyBorder="1"/>
    <xf numFmtId="167" fontId="50" fillId="0" borderId="35" xfId="97" applyNumberFormat="1" applyFont="1" applyFill="1" applyBorder="1"/>
    <xf numFmtId="167" fontId="50" fillId="0" borderId="15" xfId="97" applyNumberFormat="1" applyFont="1" applyFill="1" applyBorder="1"/>
    <xf numFmtId="37" fontId="137" fillId="0" borderId="35" xfId="101" applyNumberFormat="1" applyFont="1" applyFill="1" applyBorder="1"/>
    <xf numFmtId="9" fontId="50" fillId="16" borderId="35" xfId="102" applyFont="1" applyFill="1" applyBorder="1"/>
    <xf numFmtId="9" fontId="50" fillId="16" borderId="0" xfId="102" applyFont="1" applyFill="1" applyBorder="1"/>
    <xf numFmtId="37" fontId="136" fillId="23" borderId="15" xfId="86" applyNumberFormat="1" applyFont="1" applyFill="1" applyBorder="1"/>
    <xf numFmtId="0" fontId="27" fillId="0" borderId="35" xfId="97" applyFont="1" applyFill="1" applyBorder="1"/>
    <xf numFmtId="9" fontId="137" fillId="23" borderId="15" xfId="101" applyFont="1" applyFill="1" applyBorder="1"/>
    <xf numFmtId="167" fontId="54" fillId="0" borderId="35" xfId="68" applyNumberFormat="1" applyFont="1" applyFill="1" applyBorder="1" applyAlignment="1">
      <alignment horizontal="right"/>
    </xf>
    <xf numFmtId="167" fontId="154" fillId="16" borderId="35" xfId="68" applyNumberFormat="1" applyFont="1" applyFill="1" applyBorder="1" applyAlignment="1">
      <alignment horizontal="right"/>
    </xf>
    <xf numFmtId="167" fontId="137" fillId="0" borderId="15" xfId="97" applyNumberFormat="1" applyFont="1" applyFill="1" applyBorder="1"/>
    <xf numFmtId="37" fontId="154" fillId="16" borderId="35" xfId="97" applyNumberFormat="1" applyFont="1" applyFill="1" applyBorder="1"/>
    <xf numFmtId="37" fontId="154" fillId="16" borderId="0" xfId="97" applyNumberFormat="1" applyFont="1" applyFill="1" applyBorder="1"/>
    <xf numFmtId="37" fontId="136" fillId="23" borderId="0" xfId="86" applyNumberFormat="1" applyFont="1" applyFill="1" applyBorder="1"/>
    <xf numFmtId="169" fontId="136" fillId="23" borderId="0" xfId="86" applyNumberFormat="1" applyFont="1" applyFill="1" applyBorder="1"/>
    <xf numFmtId="169" fontId="136" fillId="23" borderId="15" xfId="86" applyNumberFormat="1" applyFont="1" applyFill="1" applyBorder="1"/>
    <xf numFmtId="37" fontId="138" fillId="16" borderId="35" xfId="86" applyNumberFormat="1" applyFont="1" applyFill="1" applyBorder="1"/>
    <xf numFmtId="37" fontId="138" fillId="16" borderId="0" xfId="86" applyNumberFormat="1" applyFont="1" applyFill="1" applyBorder="1"/>
    <xf numFmtId="167" fontId="136" fillId="23" borderId="15" xfId="68" applyNumberFormat="1" applyFont="1" applyFill="1" applyBorder="1" applyAlignment="1">
      <alignment horizontal="right"/>
    </xf>
    <xf numFmtId="0" fontId="1" fillId="16" borderId="35" xfId="97" applyFont="1" applyFill="1" applyBorder="1"/>
    <xf numFmtId="167" fontId="153" fillId="16" borderId="35" xfId="68" applyNumberFormat="1" applyFont="1" applyFill="1" applyBorder="1" applyAlignment="1">
      <alignment horizontal="right"/>
    </xf>
    <xf numFmtId="37" fontId="136" fillId="23" borderId="15" xfId="97" applyNumberFormat="1" applyFont="1" applyFill="1" applyBorder="1"/>
    <xf numFmtId="37" fontId="45" fillId="16" borderId="15" xfId="101" applyNumberFormat="1" applyFont="1" applyFill="1" applyBorder="1"/>
    <xf numFmtId="170" fontId="136" fillId="23" borderId="15" xfId="97" applyNumberFormat="1" applyFont="1" applyFill="1" applyBorder="1"/>
    <xf numFmtId="167" fontId="45" fillId="16" borderId="15" xfId="68" applyNumberFormat="1" applyFont="1" applyFill="1" applyBorder="1"/>
    <xf numFmtId="167" fontId="137" fillId="16" borderId="15" xfId="97" applyNumberFormat="1" applyFont="1" applyFill="1" applyBorder="1"/>
    <xf numFmtId="167" fontId="136" fillId="23" borderId="15" xfId="68" applyNumberFormat="1" applyFont="1" applyFill="1" applyBorder="1"/>
    <xf numFmtId="43" fontId="0" fillId="0" borderId="0" xfId="0" applyNumberFormat="1" applyBorder="1"/>
    <xf numFmtId="37" fontId="154" fillId="16" borderId="35" xfId="86" applyNumberFormat="1" applyFont="1" applyFill="1" applyBorder="1"/>
    <xf numFmtId="37" fontId="154" fillId="16" borderId="0" xfId="86" applyNumberFormat="1" applyFont="1" applyFill="1" applyBorder="1"/>
    <xf numFmtId="37" fontId="154" fillId="16" borderId="15" xfId="86" applyNumberFormat="1" applyFont="1" applyFill="1" applyBorder="1"/>
    <xf numFmtId="37" fontId="136" fillId="23" borderId="35" xfId="86" applyNumberFormat="1" applyFont="1" applyFill="1" applyBorder="1"/>
    <xf numFmtId="9" fontId="137" fillId="23" borderId="35" xfId="101" applyFont="1" applyFill="1" applyBorder="1"/>
    <xf numFmtId="167" fontId="137" fillId="0" borderId="35" xfId="97" applyNumberFormat="1" applyFont="1" applyFill="1" applyBorder="1"/>
    <xf numFmtId="167" fontId="137" fillId="0" borderId="0" xfId="97" applyNumberFormat="1" applyFont="1" applyFill="1" applyBorder="1"/>
    <xf numFmtId="37" fontId="136" fillId="23" borderId="35" xfId="97" applyNumberFormat="1" applyFont="1" applyFill="1" applyBorder="1"/>
    <xf numFmtId="169" fontId="136" fillId="23" borderId="35" xfId="86" applyNumberFormat="1" applyFont="1" applyFill="1" applyBorder="1"/>
    <xf numFmtId="167" fontId="136" fillId="23" borderId="35" xfId="68" applyNumberFormat="1" applyFont="1" applyFill="1" applyBorder="1" applyAlignment="1">
      <alignment horizontal="right"/>
    </xf>
    <xf numFmtId="37" fontId="136" fillId="23" borderId="0" xfId="97" applyNumberFormat="1" applyFont="1" applyFill="1" applyBorder="1"/>
    <xf numFmtId="37" fontId="136" fillId="23" borderId="35" xfId="65" applyNumberFormat="1" applyFont="1" applyFill="1" applyBorder="1"/>
    <xf numFmtId="37" fontId="136" fillId="23" borderId="0" xfId="65" applyNumberFormat="1" applyFont="1" applyFill="1" applyBorder="1"/>
    <xf numFmtId="37" fontId="136" fillId="23" borderId="15" xfId="65" applyNumberFormat="1" applyFont="1" applyFill="1" applyBorder="1"/>
    <xf numFmtId="37" fontId="45" fillId="16" borderId="35" xfId="101" applyNumberFormat="1" applyFont="1" applyFill="1" applyBorder="1"/>
    <xf numFmtId="37" fontId="45" fillId="16" borderId="0" xfId="101" applyNumberFormat="1" applyFont="1" applyFill="1" applyBorder="1"/>
    <xf numFmtId="170" fontId="136" fillId="23" borderId="35" xfId="97" applyNumberFormat="1" applyFont="1" applyFill="1" applyBorder="1"/>
    <xf numFmtId="170" fontId="136" fillId="23" borderId="0" xfId="97" applyNumberFormat="1" applyFont="1" applyFill="1" applyBorder="1"/>
    <xf numFmtId="167" fontId="45" fillId="16" borderId="35" xfId="68" applyNumberFormat="1" applyFont="1" applyFill="1" applyBorder="1"/>
    <xf numFmtId="167" fontId="45" fillId="16" borderId="0" xfId="68" applyNumberFormat="1" applyFont="1" applyFill="1" applyBorder="1"/>
    <xf numFmtId="167" fontId="137" fillId="16" borderId="35" xfId="97" applyNumberFormat="1" applyFont="1" applyFill="1" applyBorder="1"/>
    <xf numFmtId="167" fontId="137" fillId="16" borderId="0" xfId="97" applyNumberFormat="1" applyFont="1" applyFill="1" applyBorder="1"/>
    <xf numFmtId="167" fontId="136" fillId="23" borderId="35" xfId="68" applyNumberFormat="1" applyFont="1" applyFill="1" applyBorder="1"/>
    <xf numFmtId="167" fontId="136" fillId="23" borderId="0" xfId="68" applyNumberFormat="1" applyFont="1" applyFill="1" applyBorder="1"/>
    <xf numFmtId="0" fontId="45" fillId="16" borderId="35" xfId="97" applyFont="1" applyFill="1" applyBorder="1" applyAlignment="1">
      <alignment horizontal="right"/>
    </xf>
    <xf numFmtId="0" fontId="45" fillId="16" borderId="15" xfId="97" applyFont="1" applyFill="1" applyBorder="1" applyAlignment="1">
      <alignment horizontal="right"/>
    </xf>
    <xf numFmtId="167" fontId="50" fillId="16" borderId="35" xfId="101" applyNumberFormat="1" applyFont="1" applyFill="1" applyBorder="1"/>
    <xf numFmtId="167" fontId="50" fillId="16" borderId="0" xfId="101" applyNumberFormat="1" applyFont="1" applyFill="1" applyBorder="1"/>
    <xf numFmtId="0" fontId="0" fillId="0" borderId="11" xfId="0" applyBorder="1"/>
    <xf numFmtId="0" fontId="0" fillId="0" borderId="23" xfId="0" applyBorder="1"/>
    <xf numFmtId="0" fontId="0" fillId="0" borderId="24" xfId="0" applyBorder="1"/>
    <xf numFmtId="0" fontId="44" fillId="27" borderId="36" xfId="97" applyFont="1" applyFill="1" applyBorder="1" applyAlignment="1">
      <alignment horizontal="center"/>
    </xf>
    <xf numFmtId="0" fontId="44" fillId="27" borderId="37" xfId="97" applyFont="1" applyFill="1" applyBorder="1" applyAlignment="1">
      <alignment horizontal="center"/>
    </xf>
    <xf numFmtId="0" fontId="44" fillId="27" borderId="38" xfId="97" applyFont="1" applyFill="1" applyBorder="1" applyAlignment="1">
      <alignment horizontal="center"/>
    </xf>
    <xf numFmtId="0" fontId="27" fillId="16" borderId="35" xfId="97" applyFont="1" applyFill="1" applyBorder="1" applyAlignment="1">
      <alignment horizontal="right"/>
    </xf>
    <xf numFmtId="0" fontId="27" fillId="16" borderId="15" xfId="97" applyFont="1" applyFill="1" applyBorder="1" applyAlignment="1">
      <alignment horizontal="right"/>
    </xf>
    <xf numFmtId="37" fontId="27" fillId="16" borderId="35" xfId="68" applyNumberFormat="1" applyFont="1" applyFill="1" applyBorder="1" applyAlignment="1">
      <alignment horizontal="right"/>
    </xf>
    <xf numFmtId="37" fontId="27" fillId="16" borderId="15" xfId="68" applyNumberFormat="1" applyFont="1" applyFill="1" applyBorder="1" applyAlignment="1">
      <alignment horizontal="right"/>
    </xf>
    <xf numFmtId="5" fontId="27" fillId="16" borderId="15" xfId="68" applyNumberFormat="1" applyFont="1" applyFill="1" applyBorder="1" applyAlignment="1">
      <alignment horizontal="right"/>
    </xf>
    <xf numFmtId="37" fontId="45" fillId="16" borderId="35" xfId="68" applyNumberFormat="1" applyFont="1" applyFill="1" applyBorder="1" applyAlignment="1">
      <alignment horizontal="right"/>
    </xf>
    <xf numFmtId="37" fontId="137" fillId="16" borderId="15" xfId="68" applyNumberFormat="1" applyFont="1" applyFill="1" applyBorder="1" applyAlignment="1">
      <alignment horizontal="right"/>
    </xf>
    <xf numFmtId="9" fontId="54" fillId="16" borderId="35" xfId="101" applyFont="1" applyFill="1" applyBorder="1" applyAlignment="1">
      <alignment horizontal="right"/>
    </xf>
    <xf numFmtId="9" fontId="54" fillId="16" borderId="15" xfId="101" applyFont="1" applyFill="1" applyBorder="1" applyAlignment="1">
      <alignment horizontal="right"/>
    </xf>
    <xf numFmtId="9" fontId="55" fillId="16" borderId="15" xfId="101" applyFont="1" applyFill="1" applyBorder="1" applyAlignment="1">
      <alignment horizontal="right"/>
    </xf>
    <xf numFmtId="37" fontId="45" fillId="16" borderId="15" xfId="68" applyNumberFormat="1" applyFont="1" applyFill="1" applyBorder="1" applyAlignment="1">
      <alignment horizontal="right"/>
    </xf>
    <xf numFmtId="37" fontId="136" fillId="16" borderId="35" xfId="68" applyNumberFormat="1" applyFont="1" applyFill="1" applyBorder="1" applyAlignment="1">
      <alignment horizontal="right"/>
    </xf>
    <xf numFmtId="37" fontId="136" fillId="16" borderId="15" xfId="68" applyNumberFormat="1" applyFont="1" applyFill="1" applyBorder="1" applyAlignment="1">
      <alignment horizontal="right"/>
    </xf>
    <xf numFmtId="9" fontId="54" fillId="16" borderId="35" xfId="97" applyNumberFormat="1" applyFont="1" applyFill="1" applyBorder="1" applyAlignment="1">
      <alignment horizontal="right"/>
    </xf>
    <xf numFmtId="9" fontId="54" fillId="16" borderId="15" xfId="97" applyNumberFormat="1" applyFont="1" applyFill="1" applyBorder="1" applyAlignment="1">
      <alignment horizontal="right"/>
    </xf>
    <xf numFmtId="37" fontId="45" fillId="16" borderId="35" xfId="101" applyNumberFormat="1" applyFont="1" applyFill="1" applyBorder="1" applyAlignment="1">
      <alignment horizontal="right"/>
    </xf>
    <xf numFmtId="37" fontId="45" fillId="16" borderId="15" xfId="101" applyNumberFormat="1" applyFont="1" applyFill="1" applyBorder="1" applyAlignment="1">
      <alignment horizontal="right"/>
    </xf>
    <xf numFmtId="37" fontId="60" fillId="16" borderId="15" xfId="101" applyNumberFormat="1" applyFont="1" applyFill="1" applyBorder="1" applyAlignment="1">
      <alignment horizontal="right"/>
    </xf>
    <xf numFmtId="9" fontId="45" fillId="16" borderId="20" xfId="101" applyFont="1" applyFill="1" applyBorder="1" applyAlignment="1">
      <alignment horizontal="right"/>
    </xf>
    <xf numFmtId="9" fontId="60" fillId="16" borderId="21" xfId="101" applyFont="1" applyFill="1" applyBorder="1" applyAlignment="1">
      <alignment horizontal="right"/>
    </xf>
    <xf numFmtId="167" fontId="136" fillId="16" borderId="23" xfId="68" applyNumberFormat="1" applyFont="1" applyFill="1" applyBorder="1" applyAlignment="1">
      <alignment horizontal="right"/>
    </xf>
    <xf numFmtId="167" fontId="136" fillId="16" borderId="24" xfId="68" applyNumberFormat="1" applyFont="1" applyFill="1" applyBorder="1" applyAlignment="1">
      <alignment horizontal="right"/>
    </xf>
    <xf numFmtId="37" fontId="52" fillId="16" borderId="15" xfId="68" applyNumberFormat="1" applyFont="1" applyFill="1" applyBorder="1" applyAlignment="1">
      <alignment horizontal="right"/>
    </xf>
    <xf numFmtId="167" fontId="45" fillId="16" borderId="35" xfId="97" applyNumberFormat="1" applyFont="1" applyFill="1" applyBorder="1" applyAlignment="1">
      <alignment horizontal="right"/>
    </xf>
    <xf numFmtId="167" fontId="45" fillId="16" borderId="15" xfId="97" applyNumberFormat="1" applyFont="1" applyFill="1" applyBorder="1" applyAlignment="1">
      <alignment horizontal="right"/>
    </xf>
    <xf numFmtId="167" fontId="52" fillId="16" borderId="15" xfId="68" applyNumberFormat="1" applyFont="1" applyFill="1" applyBorder="1" applyAlignment="1">
      <alignment horizontal="right"/>
    </xf>
    <xf numFmtId="167" fontId="136" fillId="16" borderId="35" xfId="97" applyNumberFormat="1" applyFont="1" applyFill="1" applyBorder="1" applyAlignment="1">
      <alignment horizontal="right"/>
    </xf>
    <xf numFmtId="167" fontId="136" fillId="16" borderId="0" xfId="97" applyNumberFormat="1" applyFont="1" applyFill="1" applyBorder="1" applyAlignment="1">
      <alignment horizontal="right"/>
    </xf>
    <xf numFmtId="167" fontId="27" fillId="16" borderId="15" xfId="97" applyNumberFormat="1" applyFont="1" applyFill="1" applyBorder="1" applyAlignment="1">
      <alignment horizontal="right"/>
    </xf>
    <xf numFmtId="167" fontId="27" fillId="16" borderId="35" xfId="97" applyNumberFormat="1" applyFont="1" applyFill="1" applyBorder="1" applyAlignment="1">
      <alignment horizontal="right"/>
    </xf>
    <xf numFmtId="167" fontId="52" fillId="16" borderId="15" xfId="97" applyNumberFormat="1" applyFont="1" applyFill="1" applyBorder="1" applyAlignment="1">
      <alignment horizontal="right"/>
    </xf>
    <xf numFmtId="9" fontId="27" fillId="16" borderId="35" xfId="101" applyFont="1" applyFill="1" applyBorder="1" applyAlignment="1">
      <alignment horizontal="right"/>
    </xf>
    <xf numFmtId="9" fontId="27" fillId="16" borderId="15" xfId="101" applyFont="1" applyFill="1" applyBorder="1" applyAlignment="1">
      <alignment horizontal="right"/>
    </xf>
    <xf numFmtId="9" fontId="50" fillId="16" borderId="15" xfId="101" applyFont="1" applyFill="1" applyBorder="1" applyAlignment="1">
      <alignment horizontal="right"/>
    </xf>
    <xf numFmtId="167" fontId="45" fillId="16" borderId="35" xfId="97" applyNumberFormat="1" applyFont="1" applyFill="1" applyBorder="1" applyAlignment="1">
      <alignment horizontal="left"/>
    </xf>
    <xf numFmtId="167" fontId="45" fillId="16" borderId="0" xfId="97" applyNumberFormat="1" applyFont="1" applyFill="1" applyBorder="1" applyAlignment="1">
      <alignment horizontal="left"/>
    </xf>
    <xf numFmtId="167" fontId="45" fillId="16" borderId="15" xfId="97" applyNumberFormat="1" applyFont="1" applyFill="1" applyBorder="1" applyAlignment="1">
      <alignment horizontal="left"/>
    </xf>
    <xf numFmtId="168" fontId="45" fillId="16" borderId="35" xfId="97" applyNumberFormat="1" applyFont="1" applyFill="1" applyBorder="1" applyAlignment="1">
      <alignment horizontal="right"/>
    </xf>
    <xf numFmtId="168" fontId="45" fillId="16" borderId="0" xfId="97" applyNumberFormat="1" applyFont="1" applyFill="1" applyBorder="1" applyAlignment="1">
      <alignment horizontal="right"/>
    </xf>
    <xf numFmtId="168" fontId="45" fillId="16" borderId="15" xfId="97" applyNumberFormat="1" applyFont="1" applyFill="1" applyBorder="1" applyAlignment="1">
      <alignment horizontal="right"/>
    </xf>
    <xf numFmtId="7" fontId="45" fillId="16" borderId="31" xfId="97" applyNumberFormat="1" applyFont="1" applyFill="1" applyBorder="1"/>
    <xf numFmtId="169" fontId="136" fillId="16" borderId="35" xfId="68" applyNumberFormat="1" applyFont="1" applyFill="1" applyBorder="1" applyAlignment="1">
      <alignment horizontal="right"/>
    </xf>
    <xf numFmtId="169" fontId="27" fillId="16" borderId="15" xfId="68" applyNumberFormat="1" applyFont="1" applyFill="1" applyBorder="1" applyAlignment="1">
      <alignment horizontal="right"/>
    </xf>
    <xf numFmtId="7" fontId="45" fillId="16" borderId="35" xfId="97" applyNumberFormat="1" applyFont="1" applyFill="1" applyBorder="1" applyAlignment="1">
      <alignment horizontal="right"/>
    </xf>
    <xf numFmtId="7" fontId="45" fillId="16" borderId="0" xfId="97" applyNumberFormat="1" applyFont="1" applyFill="1" applyBorder="1" applyAlignment="1">
      <alignment horizontal="right"/>
    </xf>
    <xf numFmtId="7" fontId="45" fillId="16" borderId="15" xfId="97" applyNumberFormat="1" applyFont="1" applyFill="1" applyBorder="1" applyAlignment="1">
      <alignment horizontal="right"/>
    </xf>
    <xf numFmtId="7" fontId="27" fillId="16" borderId="35" xfId="97" applyNumberFormat="1" applyFont="1" applyFill="1" applyBorder="1" applyAlignment="1">
      <alignment horizontal="right"/>
    </xf>
    <xf numFmtId="7" fontId="136" fillId="16" borderId="0" xfId="97" applyNumberFormat="1" applyFont="1" applyFill="1" applyBorder="1" applyAlignment="1">
      <alignment horizontal="right"/>
    </xf>
    <xf numFmtId="7" fontId="27" fillId="16" borderId="15" xfId="97" applyNumberFormat="1" applyFont="1" applyFill="1" applyBorder="1" applyAlignment="1">
      <alignment horizontal="right"/>
    </xf>
    <xf numFmtId="168" fontId="54" fillId="16" borderId="35" xfId="101" applyNumberFormat="1" applyFont="1" applyFill="1" applyBorder="1" applyAlignment="1">
      <alignment horizontal="right"/>
    </xf>
    <xf numFmtId="168" fontId="54" fillId="16" borderId="0" xfId="101" applyNumberFormat="1" applyFont="1" applyFill="1" applyBorder="1" applyAlignment="1">
      <alignment horizontal="right"/>
    </xf>
    <xf numFmtId="168" fontId="54" fillId="16" borderId="15" xfId="101" applyNumberFormat="1" applyFont="1" applyFill="1" applyBorder="1" applyAlignment="1">
      <alignment horizontal="right"/>
    </xf>
    <xf numFmtId="168" fontId="136" fillId="16" borderId="35" xfId="97" applyNumberFormat="1" applyFont="1" applyFill="1" applyBorder="1" applyAlignment="1">
      <alignment horizontal="right"/>
    </xf>
    <xf numFmtId="168" fontId="136" fillId="16" borderId="15" xfId="97" applyNumberFormat="1" applyFont="1" applyFill="1" applyBorder="1" applyAlignment="1">
      <alignment horizontal="right"/>
    </xf>
    <xf numFmtId="169" fontId="136" fillId="16" borderId="15" xfId="68" applyNumberFormat="1" applyFont="1" applyFill="1" applyBorder="1" applyAlignment="1">
      <alignment horizontal="right"/>
    </xf>
    <xf numFmtId="167" fontId="136" fillId="16" borderId="35" xfId="97" applyNumberFormat="1" applyFont="1" applyFill="1" applyBorder="1"/>
    <xf numFmtId="167" fontId="136" fillId="16" borderId="15" xfId="97" applyNumberFormat="1" applyFont="1" applyFill="1" applyBorder="1"/>
    <xf numFmtId="167" fontId="27" fillId="16" borderId="39" xfId="97" applyNumberFormat="1" applyFont="1" applyFill="1" applyBorder="1" applyAlignment="1">
      <alignment horizontal="right"/>
    </xf>
    <xf numFmtId="167" fontId="27" fillId="16" borderId="40" xfId="97" applyNumberFormat="1" applyFont="1" applyFill="1" applyBorder="1" applyAlignment="1">
      <alignment horizontal="right"/>
    </xf>
    <xf numFmtId="167" fontId="27" fillId="16" borderId="35" xfId="68" applyNumberFormat="1" applyFont="1" applyFill="1" applyBorder="1" applyAlignment="1">
      <alignment horizontal="right" vertical="justify"/>
    </xf>
    <xf numFmtId="167" fontId="27" fillId="16" borderId="15" xfId="68" applyNumberFormat="1" applyFont="1" applyFill="1" applyBorder="1" applyAlignment="1">
      <alignment horizontal="right" vertical="justify"/>
    </xf>
    <xf numFmtId="0" fontId="52" fillId="16" borderId="35" xfId="97" applyFont="1" applyFill="1" applyBorder="1" applyAlignment="1">
      <alignment horizontal="right"/>
    </xf>
    <xf numFmtId="44" fontId="52" fillId="16" borderId="0" xfId="70" applyFont="1" applyFill="1" applyBorder="1" applyAlignment="1">
      <alignment horizontal="right"/>
    </xf>
    <xf numFmtId="44" fontId="52" fillId="16" borderId="15" xfId="70" applyFont="1" applyFill="1" applyBorder="1" applyAlignment="1">
      <alignment horizontal="right"/>
    </xf>
    <xf numFmtId="7" fontId="137" fillId="16" borderId="0" xfId="97" applyNumberFormat="1" applyFont="1" applyFill="1" applyBorder="1" applyAlignment="1">
      <alignment horizontal="right"/>
    </xf>
    <xf numFmtId="7" fontId="54" fillId="16" borderId="35" xfId="97" applyNumberFormat="1" applyFont="1" applyFill="1" applyBorder="1" applyAlignment="1">
      <alignment horizontal="right"/>
    </xf>
    <xf numFmtId="7" fontId="54" fillId="16" borderId="0" xfId="97" applyNumberFormat="1" applyFont="1" applyFill="1" applyBorder="1" applyAlignment="1">
      <alignment horizontal="right"/>
    </xf>
    <xf numFmtId="7" fontId="54" fillId="16" borderId="15" xfId="97" applyNumberFormat="1" applyFont="1" applyFill="1" applyBorder="1" applyAlignment="1">
      <alignment horizontal="right"/>
    </xf>
    <xf numFmtId="167" fontId="27" fillId="16" borderId="39" xfId="68" applyNumberFormat="1" applyFont="1" applyFill="1" applyBorder="1" applyAlignment="1">
      <alignment horizontal="center"/>
    </xf>
    <xf numFmtId="167" fontId="27" fillId="16" borderId="40" xfId="68" applyNumberFormat="1" applyFont="1" applyFill="1" applyBorder="1" applyAlignment="1">
      <alignment horizontal="center"/>
    </xf>
    <xf numFmtId="9" fontId="55" fillId="16" borderId="35" xfId="101" applyFont="1" applyFill="1" applyBorder="1" applyAlignment="1">
      <alignment horizontal="right"/>
    </xf>
    <xf numFmtId="0" fontId="25" fillId="16" borderId="35" xfId="97" applyFont="1" applyFill="1" applyBorder="1" applyAlignment="1">
      <alignment horizontal="right"/>
    </xf>
    <xf numFmtId="0" fontId="25" fillId="16" borderId="15" xfId="97" applyFont="1" applyFill="1" applyBorder="1" applyAlignment="1">
      <alignment horizontal="right"/>
    </xf>
    <xf numFmtId="0" fontId="44" fillId="27" borderId="41" xfId="97" applyFont="1" applyFill="1" applyBorder="1" applyAlignment="1">
      <alignment horizontal="centerContinuous"/>
    </xf>
    <xf numFmtId="0" fontId="44" fillId="27" borderId="42" xfId="97" applyFont="1" applyFill="1" applyBorder="1" applyAlignment="1">
      <alignment horizontal="centerContinuous"/>
    </xf>
    <xf numFmtId="0" fontId="44" fillId="27" borderId="35" xfId="97" applyFont="1" applyFill="1" applyBorder="1" applyAlignment="1">
      <alignment horizontal="center"/>
    </xf>
    <xf numFmtId="0" fontId="44" fillId="27" borderId="15" xfId="97" applyFont="1" applyFill="1" applyBorder="1" applyAlignment="1">
      <alignment horizontal="center"/>
    </xf>
    <xf numFmtId="167" fontId="27" fillId="16" borderId="43" xfId="68" applyNumberFormat="1" applyFont="1" applyFill="1" applyBorder="1" applyAlignment="1">
      <alignment horizontal="right" vertical="justify"/>
    </xf>
    <xf numFmtId="167" fontId="27" fillId="16" borderId="44" xfId="68" applyNumberFormat="1" applyFont="1" applyFill="1" applyBorder="1" applyAlignment="1">
      <alignment horizontal="right" vertical="justify"/>
    </xf>
    <xf numFmtId="37" fontId="45" fillId="16" borderId="35" xfId="97" applyNumberFormat="1" applyFont="1" applyFill="1" applyBorder="1" applyAlignment="1">
      <alignment horizontal="right"/>
    </xf>
    <xf numFmtId="37" fontId="45" fillId="16" borderId="0" xfId="97" applyNumberFormat="1" applyFont="1" applyFill="1" applyBorder="1" applyAlignment="1">
      <alignment horizontal="right"/>
    </xf>
    <xf numFmtId="37" fontId="45" fillId="16" borderId="15" xfId="97" applyNumberFormat="1" applyFont="1" applyFill="1" applyBorder="1" applyAlignment="1">
      <alignment horizontal="right"/>
    </xf>
    <xf numFmtId="167" fontId="50" fillId="16" borderId="43" xfId="101" applyNumberFormat="1" applyFont="1" applyFill="1" applyBorder="1" applyAlignment="1">
      <alignment horizontal="right"/>
    </xf>
    <xf numFmtId="167" fontId="50" fillId="16" borderId="44" xfId="101" applyNumberFormat="1" applyFont="1" applyFill="1" applyBorder="1" applyAlignment="1">
      <alignment horizontal="right"/>
    </xf>
    <xf numFmtId="167" fontId="60" fillId="16" borderId="35" xfId="68" applyNumberFormat="1" applyFont="1" applyFill="1" applyBorder="1" applyAlignment="1">
      <alignment horizontal="right"/>
    </xf>
    <xf numFmtId="167" fontId="60" fillId="16" borderId="15" xfId="68" applyNumberFormat="1" applyFont="1" applyFill="1" applyBorder="1" applyAlignment="1">
      <alignment horizontal="right"/>
    </xf>
    <xf numFmtId="43" fontId="27" fillId="16" borderId="35" xfId="68" applyNumberFormat="1" applyFont="1" applyFill="1" applyBorder="1"/>
    <xf numFmtId="43" fontId="27" fillId="16" borderId="15" xfId="68" applyNumberFormat="1" applyFont="1" applyFill="1" applyBorder="1"/>
    <xf numFmtId="39" fontId="65" fillId="16" borderId="35" xfId="68" applyNumberFormat="1" applyFont="1" applyFill="1" applyBorder="1" applyAlignment="1">
      <alignment horizontal="right"/>
    </xf>
    <xf numFmtId="39" fontId="65" fillId="16" borderId="0" xfId="68" applyNumberFormat="1" applyFont="1" applyFill="1" applyBorder="1" applyAlignment="1">
      <alignment horizontal="right"/>
    </xf>
    <xf numFmtId="39" fontId="65" fillId="16" borderId="15" xfId="68" applyNumberFormat="1" applyFont="1" applyFill="1" applyBorder="1" applyAlignment="1">
      <alignment horizontal="right"/>
    </xf>
    <xf numFmtId="39" fontId="45" fillId="16" borderId="35" xfId="68" applyNumberFormat="1" applyFont="1" applyFill="1" applyBorder="1" applyAlignment="1">
      <alignment horizontal="right"/>
    </xf>
    <xf numFmtId="39" fontId="45" fillId="16" borderId="0" xfId="68" applyNumberFormat="1" applyFont="1" applyFill="1" applyBorder="1" applyAlignment="1">
      <alignment horizontal="right"/>
    </xf>
    <xf numFmtId="39" fontId="45" fillId="16" borderId="15" xfId="68" applyNumberFormat="1" applyFont="1" applyFill="1" applyBorder="1" applyAlignment="1">
      <alignment horizontal="right"/>
    </xf>
    <xf numFmtId="37" fontId="27" fillId="16" borderId="35" xfId="68" applyNumberFormat="1" applyFont="1" applyFill="1" applyBorder="1"/>
    <xf numFmtId="37" fontId="27" fillId="16" borderId="15" xfId="68" applyNumberFormat="1" applyFont="1" applyFill="1" applyBorder="1"/>
    <xf numFmtId="43" fontId="54" fillId="16" borderId="35" xfId="68" applyNumberFormat="1" applyFont="1" applyFill="1" applyBorder="1"/>
    <xf numFmtId="43" fontId="54" fillId="16" borderId="0" xfId="68" applyNumberFormat="1" applyFont="1" applyFill="1" applyBorder="1"/>
    <xf numFmtId="43" fontId="54" fillId="16" borderId="15" xfId="68" applyNumberFormat="1" applyFont="1" applyFill="1" applyBorder="1"/>
    <xf numFmtId="37" fontId="27" fillId="16" borderId="35" xfId="97" applyNumberFormat="1" applyFont="1" applyFill="1" applyBorder="1" applyAlignment="1">
      <alignment horizontal="right"/>
    </xf>
    <xf numFmtId="176" fontId="27" fillId="16" borderId="35" xfId="101" applyNumberFormat="1" applyFont="1" applyFill="1" applyBorder="1" applyAlignment="1">
      <alignment horizontal="right"/>
    </xf>
    <xf numFmtId="176" fontId="27" fillId="16" borderId="15" xfId="101" applyNumberFormat="1" applyFont="1" applyFill="1" applyBorder="1" applyAlignment="1">
      <alignment horizontal="right"/>
    </xf>
    <xf numFmtId="167" fontId="136" fillId="16" borderId="39" xfId="68" applyNumberFormat="1" applyFont="1" applyFill="1" applyBorder="1" applyAlignment="1">
      <alignment horizontal="right"/>
    </xf>
    <xf numFmtId="167" fontId="27" fillId="16" borderId="40" xfId="68" applyNumberFormat="1" applyFont="1" applyFill="1" applyBorder="1" applyAlignment="1">
      <alignment horizontal="right"/>
    </xf>
    <xf numFmtId="167" fontId="54" fillId="16" borderId="0" xfId="68" applyNumberFormat="1" applyFont="1" applyFill="1" applyBorder="1"/>
    <xf numFmtId="43" fontId="66" fillId="16" borderId="15" xfId="68" applyNumberFormat="1" applyFont="1" applyFill="1" applyBorder="1"/>
    <xf numFmtId="39" fontId="27" fillId="16" borderId="35" xfId="68" applyNumberFormat="1" applyFont="1" applyFill="1" applyBorder="1" applyAlignment="1"/>
    <xf numFmtId="39" fontId="27" fillId="16" borderId="15" xfId="68" applyNumberFormat="1" applyFont="1" applyFill="1" applyBorder="1" applyAlignment="1"/>
    <xf numFmtId="167" fontId="52" fillId="16" borderId="35" xfId="68" applyNumberFormat="1" applyFont="1" applyFill="1" applyBorder="1" applyAlignment="1">
      <alignment horizontal="right"/>
    </xf>
    <xf numFmtId="37" fontId="27" fillId="16" borderId="15" xfId="97" applyNumberFormat="1" applyFont="1" applyFill="1" applyBorder="1" applyAlignment="1">
      <alignment horizontal="right"/>
    </xf>
    <xf numFmtId="178" fontId="45" fillId="16" borderId="35" xfId="68" applyNumberFormat="1" applyFont="1" applyFill="1" applyBorder="1" applyAlignment="1">
      <alignment horizontal="right"/>
    </xf>
    <xf numFmtId="7" fontId="27" fillId="16" borderId="35" xfId="68" applyNumberFormat="1" applyFont="1" applyFill="1" applyBorder="1" applyAlignment="1">
      <alignment horizontal="right"/>
    </xf>
    <xf numFmtId="7" fontId="27" fillId="16" borderId="15" xfId="68" applyNumberFormat="1" applyFont="1" applyFill="1" applyBorder="1" applyAlignment="1">
      <alignment horizontal="right"/>
    </xf>
    <xf numFmtId="169" fontId="27" fillId="16" borderId="35" xfId="97" applyNumberFormat="1" applyFont="1" applyFill="1" applyBorder="1" applyAlignment="1">
      <alignment horizontal="right"/>
    </xf>
    <xf numFmtId="169" fontId="27" fillId="16" borderId="15" xfId="97" applyNumberFormat="1" applyFont="1" applyFill="1" applyBorder="1" applyAlignment="1">
      <alignment horizontal="right"/>
    </xf>
    <xf numFmtId="37" fontId="50" fillId="16" borderId="15" xfId="68" applyNumberFormat="1" applyFont="1" applyFill="1" applyBorder="1" applyAlignment="1">
      <alignment horizontal="right"/>
    </xf>
    <xf numFmtId="168" fontId="27" fillId="16" borderId="35" xfId="97" applyNumberFormat="1" applyFont="1" applyFill="1" applyBorder="1" applyAlignment="1">
      <alignment horizontal="right"/>
    </xf>
    <xf numFmtId="168" fontId="27" fillId="16" borderId="15" xfId="97" applyNumberFormat="1" applyFont="1" applyFill="1" applyBorder="1" applyAlignment="1">
      <alignment horizontal="right"/>
    </xf>
    <xf numFmtId="37" fontId="52" fillId="16" borderId="35" xfId="68" applyNumberFormat="1" applyFont="1" applyFill="1" applyBorder="1" applyAlignment="1">
      <alignment horizontal="right"/>
    </xf>
    <xf numFmtId="37" fontId="137" fillId="16" borderId="35" xfId="68" applyNumberFormat="1" applyFont="1" applyFill="1" applyBorder="1" applyAlignment="1">
      <alignment horizontal="right"/>
    </xf>
    <xf numFmtId="37" fontId="60" fillId="16" borderId="35" xfId="101" applyNumberFormat="1" applyFont="1" applyFill="1" applyBorder="1" applyAlignment="1">
      <alignment horizontal="right"/>
    </xf>
    <xf numFmtId="9" fontId="60" fillId="16" borderId="20" xfId="101" applyFont="1" applyFill="1" applyBorder="1" applyAlignment="1">
      <alignment horizontal="right"/>
    </xf>
    <xf numFmtId="9" fontId="45" fillId="16" borderId="21" xfId="101" applyFont="1" applyFill="1" applyBorder="1" applyAlignment="1">
      <alignment horizontal="right"/>
    </xf>
    <xf numFmtId="9" fontId="138" fillId="16" borderId="15" xfId="97" applyNumberFormat="1" applyFont="1" applyFill="1" applyBorder="1" applyAlignment="1">
      <alignment horizontal="right"/>
    </xf>
    <xf numFmtId="167" fontId="27" fillId="16" borderId="35" xfId="97" applyNumberFormat="1" applyFont="1" applyFill="1" applyBorder="1" applyAlignment="1">
      <alignment horizontal="left"/>
    </xf>
    <xf numFmtId="167" fontId="27" fillId="16" borderId="0" xfId="97" applyNumberFormat="1" applyFont="1" applyFill="1" applyBorder="1" applyAlignment="1">
      <alignment horizontal="left"/>
    </xf>
    <xf numFmtId="167" fontId="27" fillId="16" borderId="15" xfId="97" applyNumberFormat="1" applyFont="1" applyFill="1" applyBorder="1" applyAlignment="1">
      <alignment horizontal="left"/>
    </xf>
    <xf numFmtId="44" fontId="27" fillId="16" borderId="15" xfId="70" applyFont="1" applyFill="1" applyBorder="1" applyAlignment="1">
      <alignment horizontal="right"/>
    </xf>
    <xf numFmtId="5" fontId="54" fillId="16" borderId="35" xfId="97" applyNumberFormat="1" applyFont="1" applyFill="1" applyBorder="1" applyAlignment="1">
      <alignment horizontal="right"/>
    </xf>
    <xf numFmtId="5" fontId="54" fillId="16" borderId="0" xfId="97" applyNumberFormat="1" applyFont="1" applyFill="1" applyBorder="1" applyAlignment="1">
      <alignment horizontal="right"/>
    </xf>
    <xf numFmtId="5" fontId="54" fillId="16" borderId="15" xfId="97" applyNumberFormat="1" applyFont="1" applyFill="1" applyBorder="1" applyAlignment="1">
      <alignment horizontal="right"/>
    </xf>
    <xf numFmtId="37" fontId="27" fillId="0" borderId="35" xfId="68" applyNumberFormat="1" applyFont="1" applyFill="1" applyBorder="1" applyAlignment="1">
      <alignment horizontal="right"/>
    </xf>
    <xf numFmtId="37" fontId="27" fillId="0" borderId="15" xfId="68" applyNumberFormat="1" applyFont="1" applyFill="1" applyBorder="1" applyAlignment="1">
      <alignment horizontal="right"/>
    </xf>
    <xf numFmtId="203" fontId="39" fillId="0" borderId="35" xfId="96" applyNumberFormat="1" applyFont="1" applyBorder="1" applyProtection="1"/>
    <xf numFmtId="203" fontId="39" fillId="0" borderId="0" xfId="96" applyNumberFormat="1" applyFont="1" applyBorder="1" applyProtection="1"/>
    <xf numFmtId="203" fontId="39" fillId="0" borderId="15" xfId="96" applyNumberFormat="1" applyFont="1" applyBorder="1" applyProtection="1"/>
    <xf numFmtId="167" fontId="136" fillId="0" borderId="0" xfId="97" applyNumberFormat="1" applyFont="1" applyFill="1" applyBorder="1" applyAlignment="1">
      <alignment horizontal="right"/>
    </xf>
    <xf numFmtId="0" fontId="27" fillId="0" borderId="0" xfId="97" applyFont="1" applyFill="1" applyBorder="1" applyAlignment="1">
      <alignment horizontal="right"/>
    </xf>
    <xf numFmtId="167" fontId="27" fillId="0" borderId="0" xfId="97" applyNumberFormat="1" applyFont="1" applyFill="1" applyBorder="1"/>
    <xf numFmtId="37" fontId="45" fillId="0" borderId="0" xfId="97" applyNumberFormat="1" applyFont="1" applyFill="1" applyBorder="1" applyAlignment="1">
      <alignment horizontal="right"/>
    </xf>
    <xf numFmtId="43" fontId="66" fillId="16" borderId="35" xfId="68" applyNumberFormat="1" applyFont="1" applyFill="1" applyBorder="1"/>
    <xf numFmtId="43" fontId="66" fillId="16" borderId="0" xfId="68" applyNumberFormat="1" applyFont="1" applyFill="1" applyBorder="1"/>
    <xf numFmtId="9" fontId="50" fillId="16" borderId="35" xfId="101" applyFont="1" applyFill="1" applyBorder="1" applyAlignment="1">
      <alignment horizontal="right"/>
    </xf>
    <xf numFmtId="167" fontId="50" fillId="16" borderId="35" xfId="68" applyNumberFormat="1" applyFont="1" applyFill="1" applyBorder="1" applyAlignment="1">
      <alignment horizontal="right"/>
    </xf>
    <xf numFmtId="167" fontId="60" fillId="16" borderId="21" xfId="101" applyNumberFormat="1" applyFont="1" applyFill="1" applyBorder="1" applyAlignment="1">
      <alignment horizontal="right"/>
    </xf>
    <xf numFmtId="167" fontId="45" fillId="0" borderId="15" xfId="97" applyNumberFormat="1" applyFont="1" applyFill="1" applyBorder="1" applyAlignment="1">
      <alignment horizontal="right"/>
    </xf>
    <xf numFmtId="167" fontId="136" fillId="0" borderId="35" xfId="97" applyNumberFormat="1" applyFont="1" applyFill="1" applyBorder="1" applyAlignment="1">
      <alignment horizontal="right"/>
    </xf>
    <xf numFmtId="167" fontId="27" fillId="0" borderId="35" xfId="97" applyNumberFormat="1" applyFont="1" applyFill="1" applyBorder="1" applyAlignment="1">
      <alignment horizontal="right"/>
    </xf>
    <xf numFmtId="167" fontId="27" fillId="0" borderId="0" xfId="97" applyNumberFormat="1" applyFont="1" applyFill="1" applyBorder="1" applyAlignment="1">
      <alignment horizontal="right"/>
    </xf>
    <xf numFmtId="7" fontId="45" fillId="0" borderId="31" xfId="97" applyNumberFormat="1" applyFont="1" applyFill="1" applyBorder="1"/>
    <xf numFmtId="7" fontId="27" fillId="16" borderId="35" xfId="101" applyNumberFormat="1" applyFont="1" applyFill="1" applyBorder="1" applyAlignment="1">
      <alignment horizontal="right"/>
    </xf>
    <xf numFmtId="169" fontId="27" fillId="16" borderId="35" xfId="68" applyNumberFormat="1" applyFont="1" applyFill="1" applyBorder="1" applyAlignment="1">
      <alignment horizontal="right"/>
    </xf>
    <xf numFmtId="7" fontId="50" fillId="16" borderId="35" xfId="97" applyNumberFormat="1" applyFont="1" applyFill="1" applyBorder="1" applyAlignment="1">
      <alignment horizontal="right"/>
    </xf>
    <xf numFmtId="169" fontId="136" fillId="0" borderId="15" xfId="68" applyNumberFormat="1" applyFont="1" applyFill="1" applyBorder="1" applyAlignment="1">
      <alignment horizontal="right"/>
    </xf>
    <xf numFmtId="167" fontId="136" fillId="0" borderId="15" xfId="97" applyNumberFormat="1" applyFont="1" applyFill="1" applyBorder="1"/>
    <xf numFmtId="37" fontId="50" fillId="16" borderId="15" xfId="65" applyNumberFormat="1" applyFont="1" applyFill="1" applyBorder="1" applyAlignment="1">
      <alignment horizontal="center"/>
    </xf>
    <xf numFmtId="167" fontId="136" fillId="0" borderId="35" xfId="97" applyNumberFormat="1" applyFont="1" applyFill="1" applyBorder="1"/>
    <xf numFmtId="167" fontId="27" fillId="0" borderId="43" xfId="68" applyNumberFormat="1" applyFont="1" applyFill="1" applyBorder="1" applyAlignment="1">
      <alignment horizontal="right" vertical="justify"/>
    </xf>
    <xf numFmtId="37" fontId="45" fillId="0" borderId="35" xfId="68" applyNumberFormat="1" applyFont="1" applyFill="1" applyBorder="1" applyAlignment="1">
      <alignment horizontal="right"/>
    </xf>
    <xf numFmtId="167" fontId="27" fillId="0" borderId="35" xfId="68" applyNumberFormat="1" applyFont="1" applyFill="1" applyBorder="1" applyAlignment="1">
      <alignment horizontal="right"/>
    </xf>
    <xf numFmtId="9" fontId="27" fillId="0" borderId="35" xfId="101" applyFont="1" applyFill="1" applyBorder="1" applyAlignment="1">
      <alignment horizontal="right"/>
    </xf>
    <xf numFmtId="167" fontId="27" fillId="0" borderId="15" xfId="97" applyNumberFormat="1" applyFont="1" applyFill="1" applyBorder="1"/>
    <xf numFmtId="167" fontId="27" fillId="0" borderId="15" xfId="68" applyNumberFormat="1" applyFont="1" applyFill="1" applyBorder="1" applyAlignment="1">
      <alignment horizontal="right"/>
    </xf>
    <xf numFmtId="167" fontId="136" fillId="0" borderId="39" xfId="68" applyNumberFormat="1" applyFont="1" applyFill="1" applyBorder="1" applyAlignment="1">
      <alignment horizontal="right"/>
    </xf>
    <xf numFmtId="167" fontId="27" fillId="0" borderId="40" xfId="68" applyNumberFormat="1" applyFont="1" applyFill="1" applyBorder="1" applyAlignment="1">
      <alignment horizontal="right"/>
    </xf>
    <xf numFmtId="167" fontId="45" fillId="0" borderId="35" xfId="68" applyNumberFormat="1" applyFont="1" applyFill="1" applyBorder="1" applyAlignment="1">
      <alignment horizontal="right"/>
    </xf>
    <xf numFmtId="167" fontId="45" fillId="0" borderId="15" xfId="68" applyNumberFormat="1" applyFont="1" applyFill="1" applyBorder="1" applyAlignment="1">
      <alignment horizontal="right"/>
    </xf>
    <xf numFmtId="37" fontId="45" fillId="0" borderId="35" xfId="97" applyNumberFormat="1" applyFont="1" applyFill="1" applyBorder="1" applyAlignment="1">
      <alignment horizontal="right"/>
    </xf>
    <xf numFmtId="37" fontId="136" fillId="0" borderId="15" xfId="68" applyNumberFormat="1" applyFont="1" applyFill="1" applyBorder="1" applyAlignment="1">
      <alignment horizontal="right"/>
    </xf>
    <xf numFmtId="167" fontId="60" fillId="16" borderId="20" xfId="101" applyNumberFormat="1" applyFont="1" applyFill="1" applyBorder="1" applyAlignment="1">
      <alignment horizontal="right"/>
    </xf>
    <xf numFmtId="167" fontId="136" fillId="0" borderId="15" xfId="97" applyNumberFormat="1" applyFont="1" applyFill="1" applyBorder="1" applyAlignment="1">
      <alignment horizontal="right"/>
    </xf>
    <xf numFmtId="167" fontId="27" fillId="0" borderId="35" xfId="97" applyNumberFormat="1" applyFont="1" applyFill="1" applyBorder="1" applyAlignment="1">
      <alignment horizontal="left"/>
    </xf>
    <xf numFmtId="167" fontId="27" fillId="0" borderId="0" xfId="97" applyNumberFormat="1" applyFont="1" applyFill="1" applyBorder="1" applyAlignment="1">
      <alignment horizontal="left"/>
    </xf>
    <xf numFmtId="167" fontId="27" fillId="0" borderId="15" xfId="97" applyNumberFormat="1" applyFont="1" applyFill="1" applyBorder="1" applyAlignment="1">
      <alignment horizontal="left"/>
    </xf>
    <xf numFmtId="167" fontId="27" fillId="0" borderId="15" xfId="97" applyNumberFormat="1" applyFont="1" applyFill="1" applyBorder="1" applyAlignment="1">
      <alignment horizontal="right"/>
    </xf>
    <xf numFmtId="7" fontId="45" fillId="0" borderId="16" xfId="97" applyNumberFormat="1" applyFont="1" applyFill="1" applyBorder="1"/>
    <xf numFmtId="9" fontId="50" fillId="0" borderId="15" xfId="101" applyFont="1" applyFill="1" applyBorder="1" applyAlignment="1">
      <alignment horizontal="right"/>
    </xf>
    <xf numFmtId="0" fontId="27" fillId="0" borderId="15" xfId="97" applyFont="1" applyFill="1" applyBorder="1" applyAlignment="1">
      <alignment horizontal="right"/>
    </xf>
    <xf numFmtId="169" fontId="27" fillId="0" borderId="35" xfId="68" applyNumberFormat="1" applyFont="1" applyFill="1" applyBorder="1" applyAlignment="1">
      <alignment horizontal="right"/>
    </xf>
    <xf numFmtId="169" fontId="27" fillId="0" borderId="15" xfId="68" applyNumberFormat="1" applyFont="1" applyFill="1" applyBorder="1" applyAlignment="1">
      <alignment horizontal="right"/>
    </xf>
    <xf numFmtId="7" fontId="45" fillId="0" borderId="0" xfId="97" applyNumberFormat="1" applyFont="1" applyFill="1" applyBorder="1" applyAlignment="1">
      <alignment horizontal="right"/>
    </xf>
    <xf numFmtId="7" fontId="45" fillId="0" borderId="15" xfId="97" applyNumberFormat="1" applyFont="1" applyFill="1" applyBorder="1" applyAlignment="1">
      <alignment horizontal="right"/>
    </xf>
    <xf numFmtId="37" fontId="136" fillId="16" borderId="0" xfId="65" applyNumberFormat="1" applyFont="1" applyFill="1" applyBorder="1" applyAlignment="1">
      <alignment horizontal="center"/>
    </xf>
    <xf numFmtId="37" fontId="136" fillId="16" borderId="15" xfId="65" applyNumberFormat="1" applyFont="1" applyFill="1" applyBorder="1" applyAlignment="1">
      <alignment horizontal="center"/>
    </xf>
    <xf numFmtId="37" fontId="27" fillId="16" borderId="35" xfId="65" applyNumberFormat="1" applyFont="1" applyFill="1" applyBorder="1" applyAlignment="1">
      <alignment horizontal="center"/>
    </xf>
    <xf numFmtId="37" fontId="27" fillId="16" borderId="0" xfId="65" applyNumberFormat="1" applyFont="1" applyFill="1" applyBorder="1" applyAlignment="1">
      <alignment horizontal="center"/>
    </xf>
    <xf numFmtId="37" fontId="27" fillId="16" borderId="15" xfId="65" applyNumberFormat="1" applyFont="1" applyFill="1" applyBorder="1" applyAlignment="1">
      <alignment horizontal="center"/>
    </xf>
    <xf numFmtId="37" fontId="25" fillId="16" borderId="15" xfId="97" applyNumberFormat="1" applyFont="1" applyFill="1" applyBorder="1" applyAlignment="1">
      <alignment horizontal="right"/>
    </xf>
    <xf numFmtId="7" fontId="25" fillId="16" borderId="15" xfId="97" applyNumberFormat="1" applyFont="1" applyFill="1" applyBorder="1" applyAlignment="1">
      <alignment horizontal="right"/>
    </xf>
    <xf numFmtId="167" fontId="136" fillId="16" borderId="40" xfId="68" applyNumberFormat="1" applyFont="1" applyFill="1" applyBorder="1" applyAlignment="1">
      <alignment horizontal="right"/>
    </xf>
    <xf numFmtId="37" fontId="136" fillId="0" borderId="35" xfId="68" applyNumberFormat="1" applyFont="1" applyFill="1" applyBorder="1" applyAlignment="1">
      <alignment horizontal="right"/>
    </xf>
    <xf numFmtId="0" fontId="27" fillId="0" borderId="35" xfId="97" applyFont="1" applyFill="1" applyBorder="1" applyAlignment="1">
      <alignment horizontal="right"/>
    </xf>
    <xf numFmtId="169" fontId="136" fillId="0" borderId="35" xfId="68" applyNumberFormat="1" applyFont="1" applyFill="1" applyBorder="1" applyAlignment="1">
      <alignment horizontal="right"/>
    </xf>
    <xf numFmtId="7" fontId="45" fillId="0" borderId="35" xfId="97" applyNumberFormat="1" applyFont="1" applyFill="1" applyBorder="1" applyAlignment="1">
      <alignment horizontal="right"/>
    </xf>
    <xf numFmtId="37" fontId="136" fillId="16" borderId="35" xfId="65" applyNumberFormat="1" applyFont="1" applyFill="1" applyBorder="1" applyAlignment="1">
      <alignment horizontal="center"/>
    </xf>
    <xf numFmtId="37" fontId="50" fillId="16" borderId="0" xfId="65" applyNumberFormat="1" applyFont="1" applyFill="1" applyBorder="1" applyAlignment="1">
      <alignment horizontal="center"/>
    </xf>
    <xf numFmtId="167" fontId="27" fillId="16" borderId="15" xfId="101" applyNumberFormat="1" applyFont="1" applyFill="1" applyBorder="1" applyAlignment="1">
      <alignment horizontal="right"/>
    </xf>
    <xf numFmtId="167" fontId="136" fillId="0" borderId="40" xfId="68" applyNumberFormat="1" applyFont="1" applyFill="1" applyBorder="1" applyAlignment="1">
      <alignment horizontal="right"/>
    </xf>
    <xf numFmtId="167" fontId="45" fillId="0" borderId="0" xfId="97" applyNumberFormat="1" applyFont="1" applyFill="1" applyBorder="1"/>
    <xf numFmtId="167" fontId="45" fillId="0" borderId="15" xfId="97" applyNumberFormat="1" applyFont="1" applyFill="1" applyBorder="1" applyAlignment="1">
      <alignment horizontal="left"/>
    </xf>
    <xf numFmtId="7" fontId="146" fillId="0" borderId="31" xfId="97" applyNumberFormat="1" applyFont="1" applyFill="1" applyBorder="1"/>
    <xf numFmtId="7" fontId="136" fillId="16" borderId="35" xfId="97" applyNumberFormat="1" applyFont="1" applyFill="1" applyBorder="1" applyAlignment="1">
      <alignment horizontal="right"/>
    </xf>
    <xf numFmtId="7" fontId="136" fillId="16" borderId="15" xfId="97" applyNumberFormat="1" applyFont="1" applyFill="1" applyBorder="1" applyAlignment="1">
      <alignment horizontal="right"/>
    </xf>
    <xf numFmtId="44" fontId="27" fillId="16" borderId="0" xfId="70" applyFont="1" applyFill="1" applyBorder="1" applyAlignment="1">
      <alignment horizontal="right"/>
    </xf>
    <xf numFmtId="37" fontId="50" fillId="16" borderId="35" xfId="65" applyNumberFormat="1" applyFont="1" applyFill="1" applyBorder="1" applyAlignment="1">
      <alignment horizontal="center"/>
    </xf>
    <xf numFmtId="0" fontId="25" fillId="16" borderId="35" xfId="97" applyFont="1" applyFill="1" applyBorder="1" applyAlignment="1">
      <alignment horizontal="center"/>
    </xf>
    <xf numFmtId="0" fontId="25" fillId="16" borderId="15" xfId="97" applyFont="1" applyFill="1" applyBorder="1" applyAlignment="1">
      <alignment horizontal="center"/>
    </xf>
    <xf numFmtId="9" fontId="54" fillId="16" borderId="35" xfId="102" applyFont="1" applyFill="1" applyBorder="1" applyAlignment="1">
      <alignment horizontal="right"/>
    </xf>
    <xf numFmtId="9" fontId="55" fillId="16" borderId="35" xfId="102" applyFont="1" applyFill="1" applyBorder="1" applyAlignment="1">
      <alignment horizontal="right"/>
    </xf>
    <xf numFmtId="37" fontId="45" fillId="16" borderId="35" xfId="102" applyNumberFormat="1" applyFont="1" applyFill="1" applyBorder="1" applyAlignment="1">
      <alignment horizontal="right"/>
    </xf>
    <xf numFmtId="37" fontId="60" fillId="16" borderId="35" xfId="102" applyNumberFormat="1" applyFont="1" applyFill="1" applyBorder="1" applyAlignment="1">
      <alignment horizontal="right"/>
    </xf>
    <xf numFmtId="9" fontId="60" fillId="16" borderId="20" xfId="102" applyFont="1" applyFill="1" applyBorder="1" applyAlignment="1">
      <alignment horizontal="right"/>
    </xf>
    <xf numFmtId="167" fontId="27" fillId="23" borderId="15" xfId="68" applyNumberFormat="1" applyFont="1" applyFill="1" applyBorder="1" applyAlignment="1">
      <alignment horizontal="right"/>
    </xf>
    <xf numFmtId="9" fontId="27" fillId="16" borderId="35" xfId="102" applyFont="1" applyFill="1" applyBorder="1" applyAlignment="1">
      <alignment horizontal="right"/>
    </xf>
    <xf numFmtId="9" fontId="27" fillId="0" borderId="35" xfId="102" applyFont="1" applyFill="1" applyBorder="1" applyAlignment="1">
      <alignment horizontal="right"/>
    </xf>
    <xf numFmtId="167" fontId="50" fillId="0" borderId="15" xfId="101" applyNumberFormat="1" applyFont="1" applyFill="1" applyBorder="1" applyAlignment="1">
      <alignment horizontal="right"/>
    </xf>
    <xf numFmtId="168" fontId="54" fillId="16" borderId="35" xfId="102" applyNumberFormat="1" applyFont="1" applyFill="1" applyBorder="1" applyAlignment="1">
      <alignment horizontal="right"/>
    </xf>
    <xf numFmtId="167" fontId="27" fillId="16" borderId="35" xfId="102" applyNumberFormat="1" applyFont="1" applyFill="1" applyBorder="1" applyAlignment="1">
      <alignment horizontal="right"/>
    </xf>
    <xf numFmtId="9" fontId="136" fillId="16" borderId="35" xfId="102" applyFont="1" applyFill="1" applyBorder="1" applyAlignment="1">
      <alignment horizontal="right"/>
    </xf>
    <xf numFmtId="167" fontId="50" fillId="16" borderId="43" xfId="102" applyNumberFormat="1" applyFont="1" applyFill="1" applyBorder="1" applyAlignment="1">
      <alignment horizontal="right"/>
    </xf>
    <xf numFmtId="39" fontId="65" fillId="0" borderId="0" xfId="68" applyNumberFormat="1" applyFont="1" applyFill="1" applyBorder="1" applyAlignment="1">
      <alignment horizontal="right"/>
    </xf>
    <xf numFmtId="168" fontId="27" fillId="16" borderId="35" xfId="102" applyNumberFormat="1" applyFont="1" applyFill="1" applyBorder="1" applyAlignment="1">
      <alignment horizontal="right"/>
    </xf>
    <xf numFmtId="176" fontId="27" fillId="16" borderId="35" xfId="102" applyNumberFormat="1" applyFont="1" applyFill="1" applyBorder="1" applyAlignment="1">
      <alignment horizontal="right"/>
    </xf>
    <xf numFmtId="9" fontId="50" fillId="16" borderId="35" xfId="102" applyFont="1" applyFill="1" applyBorder="1" applyAlignment="1">
      <alignment horizontal="right"/>
    </xf>
    <xf numFmtId="9" fontId="54" fillId="0" borderId="15" xfId="97" applyNumberFormat="1" applyFont="1" applyFill="1" applyBorder="1" applyAlignment="1">
      <alignment horizontal="right"/>
    </xf>
    <xf numFmtId="169" fontId="153" fillId="0" borderId="35" xfId="68" applyNumberFormat="1" applyFont="1" applyFill="1" applyBorder="1" applyAlignment="1">
      <alignment horizontal="right"/>
    </xf>
    <xf numFmtId="168" fontId="136" fillId="23" borderId="15" xfId="97" applyNumberFormat="1" applyFont="1" applyFill="1" applyBorder="1" applyAlignment="1">
      <alignment horizontal="right"/>
    </xf>
    <xf numFmtId="167" fontId="153" fillId="0" borderId="35" xfId="97" applyNumberFormat="1" applyFont="1" applyFill="1" applyBorder="1"/>
    <xf numFmtId="167" fontId="153" fillId="0" borderId="0" xfId="97" applyNumberFormat="1" applyFont="1" applyFill="1" applyBorder="1"/>
    <xf numFmtId="167" fontId="153" fillId="16" borderId="35" xfId="97" applyNumberFormat="1" applyFont="1" applyFill="1" applyBorder="1"/>
    <xf numFmtId="167" fontId="153" fillId="16" borderId="0" xfId="97" applyNumberFormat="1" applyFont="1" applyFill="1" applyBorder="1"/>
    <xf numFmtId="167" fontId="155" fillId="0" borderId="35" xfId="97" applyNumberFormat="1" applyFont="1" applyFill="1" applyBorder="1"/>
    <xf numFmtId="167" fontId="155" fillId="0" borderId="0" xfId="97" applyNumberFormat="1" applyFont="1" applyFill="1" applyBorder="1"/>
    <xf numFmtId="167" fontId="153" fillId="0" borderId="35" xfId="68" applyNumberFormat="1" applyFont="1" applyFill="1" applyBorder="1" applyAlignment="1">
      <alignment horizontal="right"/>
    </xf>
    <xf numFmtId="37" fontId="136" fillId="23" borderId="15" xfId="97" applyNumberFormat="1" applyFont="1" applyFill="1" applyBorder="1" applyAlignment="1">
      <alignment horizontal="right"/>
    </xf>
    <xf numFmtId="169" fontId="136" fillId="23" borderId="15" xfId="97" applyNumberFormat="1" applyFont="1" applyFill="1" applyBorder="1" applyAlignment="1">
      <alignment horizontal="right"/>
    </xf>
    <xf numFmtId="9" fontId="138" fillId="16" borderId="35" xfId="97" applyNumberFormat="1" applyFont="1" applyFill="1" applyBorder="1" applyAlignment="1">
      <alignment horizontal="right"/>
    </xf>
    <xf numFmtId="9" fontId="54" fillId="0" borderId="35" xfId="97" applyNumberFormat="1" applyFont="1" applyFill="1" applyBorder="1" applyAlignment="1">
      <alignment horizontal="right"/>
    </xf>
    <xf numFmtId="168" fontId="136" fillId="23" borderId="35" xfId="97" applyNumberFormat="1" applyFont="1" applyFill="1" applyBorder="1" applyAlignment="1">
      <alignment horizontal="right"/>
    </xf>
    <xf numFmtId="167" fontId="27" fillId="0" borderId="35" xfId="97" applyNumberFormat="1" applyFont="1" applyFill="1" applyBorder="1"/>
    <xf numFmtId="167" fontId="27" fillId="16" borderId="39" xfId="68" applyNumberFormat="1" applyFont="1" applyFill="1" applyBorder="1" applyAlignment="1">
      <alignment horizontal="right"/>
    </xf>
    <xf numFmtId="37" fontId="136" fillId="23" borderId="35" xfId="97" applyNumberFormat="1" applyFont="1" applyFill="1" applyBorder="1" applyAlignment="1">
      <alignment horizontal="right"/>
    </xf>
    <xf numFmtId="169" fontId="136" fillId="23" borderId="35" xfId="97" applyNumberFormat="1" applyFont="1" applyFill="1" applyBorder="1" applyAlignment="1">
      <alignment horizontal="right"/>
    </xf>
    <xf numFmtId="37" fontId="50" fillId="16" borderId="35" xfId="68" applyNumberFormat="1" applyFont="1" applyFill="1" applyBorder="1" applyAlignment="1">
      <alignment horizontal="right"/>
    </xf>
    <xf numFmtId="0" fontId="0" fillId="23" borderId="35" xfId="0" applyFill="1" applyBorder="1"/>
    <xf numFmtId="0" fontId="0" fillId="23" borderId="0" xfId="0" applyFill="1" applyBorder="1"/>
    <xf numFmtId="0" fontId="0" fillId="23" borderId="15" xfId="0" applyFill="1" applyBorder="1"/>
    <xf numFmtId="0" fontId="44" fillId="26" borderId="38" xfId="97" applyFont="1" applyFill="1" applyBorder="1" applyAlignment="1">
      <alignment horizontal="center"/>
    </xf>
    <xf numFmtId="167" fontId="50" fillId="16" borderId="15" xfId="68" applyNumberFormat="1" applyFont="1" applyFill="1" applyBorder="1" applyAlignment="1">
      <alignment horizontal="right"/>
    </xf>
    <xf numFmtId="167" fontId="27" fillId="16" borderId="24" xfId="68" applyNumberFormat="1" applyFont="1" applyFill="1" applyBorder="1" applyAlignment="1">
      <alignment horizontal="right"/>
    </xf>
    <xf numFmtId="167" fontId="50" fillId="16" borderId="15" xfId="97" applyNumberFormat="1" applyFont="1" applyFill="1" applyBorder="1" applyAlignment="1">
      <alignment horizontal="right"/>
    </xf>
    <xf numFmtId="9" fontId="27" fillId="0" borderId="15" xfId="101" applyFont="1" applyFill="1" applyBorder="1" applyAlignment="1">
      <alignment horizontal="right"/>
    </xf>
    <xf numFmtId="167" fontId="27" fillId="16" borderId="40" xfId="97" applyNumberFormat="1" applyFont="1" applyFill="1" applyBorder="1"/>
    <xf numFmtId="0" fontId="44" fillId="26" borderId="42" xfId="97" applyFont="1" applyFill="1" applyBorder="1" applyAlignment="1">
      <alignment horizontal="centerContinuous"/>
    </xf>
    <xf numFmtId="0" fontId="44" fillId="26" borderId="15" xfId="97" applyFont="1" applyFill="1" applyBorder="1" applyAlignment="1">
      <alignment horizontal="center"/>
    </xf>
    <xf numFmtId="168" fontId="27" fillId="16" borderId="15" xfId="68" applyNumberFormat="1" applyFont="1" applyFill="1" applyBorder="1" applyAlignment="1">
      <alignment horizontal="right"/>
    </xf>
    <xf numFmtId="168" fontId="136" fillId="23" borderId="15" xfId="68" applyNumberFormat="1" applyFont="1" applyFill="1" applyBorder="1" applyAlignment="1">
      <alignment horizontal="right"/>
    </xf>
    <xf numFmtId="0" fontId="140" fillId="27" borderId="20" xfId="97" applyFont="1" applyFill="1" applyBorder="1" applyAlignment="1">
      <alignment horizontal="right"/>
    </xf>
    <xf numFmtId="0" fontId="140" fillId="27" borderId="12" xfId="97" applyFont="1" applyFill="1" applyBorder="1" applyAlignment="1">
      <alignment horizontal="right"/>
    </xf>
    <xf numFmtId="0" fontId="140" fillId="27" borderId="21" xfId="97" applyFont="1" applyFill="1" applyBorder="1" applyAlignment="1">
      <alignment horizontal="right"/>
    </xf>
    <xf numFmtId="194" fontId="75" fillId="16" borderId="35" xfId="88" applyNumberFormat="1" applyFont="1" applyFill="1" applyBorder="1"/>
    <xf numFmtId="194" fontId="75" fillId="16" borderId="15" xfId="88" applyNumberFormat="1" applyFont="1" applyFill="1" applyBorder="1"/>
    <xf numFmtId="10" fontId="142" fillId="16" borderId="35" xfId="84" applyNumberFormat="1" applyFont="1" applyFill="1" applyBorder="1"/>
    <xf numFmtId="10" fontId="142" fillId="16" borderId="15" xfId="68" applyNumberFormat="1" applyFont="1" applyFill="1" applyBorder="1"/>
    <xf numFmtId="0" fontId="1" fillId="16" borderId="35" xfId="88" applyFont="1" applyFill="1" applyBorder="1"/>
    <xf numFmtId="10" fontId="77" fillId="16" borderId="15" xfId="88" applyNumberFormat="1" applyFont="1" applyFill="1" applyBorder="1"/>
    <xf numFmtId="165" fontId="142" fillId="16" borderId="35" xfId="88" applyNumberFormat="1" applyFont="1" applyFill="1" applyBorder="1"/>
    <xf numFmtId="165" fontId="142" fillId="16" borderId="15" xfId="88" applyNumberFormat="1" applyFont="1" applyFill="1" applyBorder="1"/>
    <xf numFmtId="10" fontId="77" fillId="16" borderId="35" xfId="88" applyNumberFormat="1" applyFont="1" applyFill="1" applyBorder="1"/>
    <xf numFmtId="194" fontId="74" fillId="16" borderId="35" xfId="88" applyNumberFormat="1" applyFont="1" applyFill="1" applyBorder="1"/>
    <xf numFmtId="194" fontId="74" fillId="16" borderId="15" xfId="88" applyNumberFormat="1" applyFont="1" applyFill="1" applyBorder="1"/>
    <xf numFmtId="194" fontId="143" fillId="16" borderId="35" xfId="88" applyNumberFormat="1" applyFont="1" applyFill="1" applyBorder="1"/>
    <xf numFmtId="194" fontId="143" fillId="16" borderId="15" xfId="88" applyNumberFormat="1" applyFont="1" applyFill="1" applyBorder="1"/>
    <xf numFmtId="41" fontId="74" fillId="16" borderId="35" xfId="88" applyNumberFormat="1" applyFont="1" applyFill="1" applyBorder="1"/>
    <xf numFmtId="41" fontId="74" fillId="16" borderId="15" xfId="88" applyNumberFormat="1" applyFont="1" applyFill="1" applyBorder="1"/>
    <xf numFmtId="200" fontId="142" fillId="16" borderId="35" xfId="88" applyNumberFormat="1" applyFont="1" applyFill="1" applyBorder="1"/>
    <xf numFmtId="200" fontId="76" fillId="16" borderId="15" xfId="88" applyNumberFormat="1" applyFont="1" applyFill="1" applyBorder="1"/>
    <xf numFmtId="198" fontId="74" fillId="16" borderId="35" xfId="88" applyNumberFormat="1" applyFont="1" applyFill="1" applyBorder="1"/>
    <xf numFmtId="198" fontId="74" fillId="16" borderId="15" xfId="88" applyNumberFormat="1" applyFont="1" applyFill="1" applyBorder="1"/>
    <xf numFmtId="194" fontId="84" fillId="16" borderId="35" xfId="88" applyNumberFormat="1" applyFont="1" applyFill="1" applyBorder="1"/>
    <xf numFmtId="194" fontId="84" fillId="16" borderId="15" xfId="88" applyNumberFormat="1" applyFont="1" applyFill="1" applyBorder="1"/>
    <xf numFmtId="41" fontId="79" fillId="16" borderId="16" xfId="88" applyNumberFormat="1" applyFont="1" applyFill="1" applyBorder="1"/>
    <xf numFmtId="41" fontId="79" fillId="16" borderId="31" xfId="88" applyNumberFormat="1" applyFont="1" applyFill="1" applyBorder="1"/>
    <xf numFmtId="41" fontId="74" fillId="16" borderId="23" xfId="88" applyNumberFormat="1" applyFont="1" applyFill="1" applyBorder="1"/>
    <xf numFmtId="41" fontId="74" fillId="16" borderId="24" xfId="88" applyNumberFormat="1" applyFont="1" applyFill="1" applyBorder="1"/>
    <xf numFmtId="194" fontId="79" fillId="16" borderId="35" xfId="88" applyNumberFormat="1" applyFont="1" applyFill="1" applyBorder="1"/>
    <xf numFmtId="194" fontId="79" fillId="16" borderId="15" xfId="88" applyNumberFormat="1" applyFont="1" applyFill="1" applyBorder="1"/>
    <xf numFmtId="194" fontId="74" fillId="16" borderId="23" xfId="88" applyNumberFormat="1" applyFont="1" applyFill="1" applyBorder="1"/>
    <xf numFmtId="194" fontId="74" fillId="16" borderId="24" xfId="88" applyNumberFormat="1" applyFont="1" applyFill="1" applyBorder="1"/>
    <xf numFmtId="0" fontId="25" fillId="16" borderId="35" xfId="88" applyFont="1" applyFill="1" applyBorder="1"/>
    <xf numFmtId="0" fontId="25" fillId="16" borderId="0" xfId="88" applyFont="1" applyFill="1" applyBorder="1"/>
    <xf numFmtId="0" fontId="25" fillId="16" borderId="15" xfId="88" applyFont="1" applyFill="1" applyBorder="1"/>
    <xf numFmtId="169" fontId="45" fillId="16" borderId="35" xfId="97" applyNumberFormat="1" applyFont="1" applyFill="1" applyBorder="1" applyAlignment="1"/>
    <xf numFmtId="169" fontId="45" fillId="16" borderId="15" xfId="97" applyNumberFormat="1" applyFont="1" applyFill="1" applyBorder="1" applyAlignment="1"/>
    <xf numFmtId="169" fontId="27" fillId="16" borderId="35" xfId="97" applyNumberFormat="1" applyFont="1" applyFill="1" applyBorder="1" applyAlignment="1"/>
    <xf numFmtId="169" fontId="27" fillId="16" borderId="15" xfId="97" applyNumberFormat="1" applyFont="1" applyFill="1" applyBorder="1" applyAlignment="1"/>
    <xf numFmtId="169" fontId="136" fillId="16" borderId="35" xfId="97" applyNumberFormat="1" applyFont="1" applyFill="1" applyBorder="1" applyAlignment="1"/>
    <xf numFmtId="169" fontId="136" fillId="16" borderId="15" xfId="97" applyNumberFormat="1" applyFont="1" applyFill="1" applyBorder="1" applyAlignment="1"/>
    <xf numFmtId="0" fontId="27" fillId="16" borderId="15" xfId="97" applyFont="1" applyFill="1" applyBorder="1" applyAlignment="1"/>
    <xf numFmtId="38" fontId="45" fillId="16" borderId="35" xfId="89" applyNumberFormat="1" applyFont="1" applyFill="1" applyBorder="1"/>
    <xf numFmtId="38" fontId="45" fillId="16" borderId="0" xfId="89" applyNumberFormat="1" applyFont="1" applyFill="1" applyBorder="1"/>
    <xf numFmtId="38" fontId="45" fillId="16" borderId="15" xfId="89" applyNumberFormat="1" applyFont="1" applyFill="1" applyBorder="1"/>
    <xf numFmtId="10" fontId="142" fillId="16" borderId="35" xfId="88" applyNumberFormat="1" applyFont="1" applyFill="1" applyBorder="1"/>
    <xf numFmtId="10" fontId="142" fillId="16" borderId="15" xfId="88" applyNumberFormat="1" applyFont="1" applyFill="1" applyBorder="1"/>
    <xf numFmtId="200" fontId="76" fillId="16" borderId="35" xfId="88" applyNumberFormat="1" applyFont="1" applyFill="1" applyBorder="1"/>
    <xf numFmtId="10" fontId="76" fillId="16" borderId="35" xfId="88" applyNumberFormat="1" applyFont="1" applyFill="1" applyBorder="1"/>
    <xf numFmtId="194" fontId="143" fillId="0" borderId="35" xfId="88" applyNumberFormat="1" applyFont="1" applyFill="1" applyBorder="1"/>
    <xf numFmtId="198" fontId="143" fillId="16" borderId="15" xfId="88" applyNumberFormat="1" applyFont="1" applyFill="1" applyBorder="1"/>
    <xf numFmtId="194" fontId="150" fillId="16" borderId="35" xfId="88" applyNumberFormat="1" applyFont="1" applyFill="1" applyBorder="1"/>
    <xf numFmtId="194" fontId="150" fillId="16" borderId="15" xfId="88" applyNumberFormat="1" applyFont="1" applyFill="1" applyBorder="1"/>
    <xf numFmtId="194" fontId="150" fillId="0" borderId="15" xfId="88" applyNumberFormat="1" applyFont="1" applyFill="1" applyBorder="1"/>
    <xf numFmtId="194" fontId="74" fillId="0" borderId="15" xfId="88" applyNumberFormat="1" applyFont="1" applyFill="1" applyBorder="1"/>
    <xf numFmtId="194" fontId="79" fillId="0" borderId="35" xfId="88" applyNumberFormat="1" applyFont="1" applyFill="1" applyBorder="1"/>
    <xf numFmtId="194" fontId="79" fillId="0" borderId="15" xfId="88" applyNumberFormat="1" applyFont="1" applyFill="1" applyBorder="1"/>
    <xf numFmtId="194" fontId="150" fillId="0" borderId="35" xfId="88" applyNumberFormat="1" applyFont="1" applyFill="1" applyBorder="1"/>
    <xf numFmtId="194" fontId="79" fillId="23" borderId="15" xfId="88" applyNumberFormat="1" applyFont="1" applyFill="1" applyBorder="1"/>
    <xf numFmtId="194" fontId="79" fillId="23" borderId="35" xfId="88" applyNumberFormat="1" applyFont="1" applyFill="1" applyBorder="1"/>
    <xf numFmtId="0" fontId="140" fillId="26" borderId="21" xfId="97" applyFont="1" applyFill="1" applyBorder="1" applyAlignment="1">
      <alignment horizontal="right"/>
    </xf>
    <xf numFmtId="10" fontId="76" fillId="16" borderId="15" xfId="68" applyNumberFormat="1" applyFont="1" applyFill="1" applyBorder="1"/>
    <xf numFmtId="194" fontId="81" fillId="16" borderId="15" xfId="88" applyNumberFormat="1" applyFont="1" applyFill="1" applyBorder="1"/>
    <xf numFmtId="41" fontId="76" fillId="16" borderId="15" xfId="88" applyNumberFormat="1" applyFont="1" applyFill="1" applyBorder="1"/>
    <xf numFmtId="0" fontId="74" fillId="16" borderId="15" xfId="88" applyFont="1" applyFill="1" applyBorder="1"/>
    <xf numFmtId="0" fontId="74" fillId="16" borderId="24" xfId="88" applyFont="1" applyFill="1" applyBorder="1"/>
    <xf numFmtId="37" fontId="45" fillId="0" borderId="0" xfId="97" applyNumberFormat="1" applyFont="1" applyFill="1" applyBorder="1"/>
    <xf numFmtId="0" fontId="45" fillId="0" borderId="0" xfId="97" applyFont="1" applyFill="1" applyBorder="1"/>
    <xf numFmtId="169" fontId="27" fillId="16" borderId="0" xfId="86" applyNumberFormat="1" applyFont="1" applyFill="1" applyBorder="1"/>
    <xf numFmtId="170" fontId="27" fillId="16" borderId="0" xfId="97" applyNumberFormat="1" applyFont="1" applyFill="1" applyBorder="1"/>
    <xf numFmtId="37" fontId="52" fillId="16" borderId="0" xfId="86" applyNumberFormat="1" applyFont="1" applyFill="1" applyBorder="1"/>
    <xf numFmtId="9" fontId="52" fillId="16" borderId="0" xfId="101" applyFont="1" applyFill="1" applyBorder="1"/>
    <xf numFmtId="0" fontId="11" fillId="0" borderId="0" xfId="0" applyFont="1" applyBorder="1"/>
    <xf numFmtId="0" fontId="1" fillId="0" borderId="0" xfId="0" applyFont="1" applyBorder="1"/>
    <xf numFmtId="0" fontId="0" fillId="0" borderId="0" xfId="0" applyFill="1" applyBorder="1"/>
    <xf numFmtId="9" fontId="62" fillId="16" borderId="0" xfId="101" applyFont="1" applyFill="1" applyBorder="1"/>
    <xf numFmtId="0" fontId="27" fillId="0" borderId="0" xfId="0" applyFont="1" applyBorder="1"/>
    <xf numFmtId="0" fontId="140" fillId="26" borderId="33" xfId="97" applyFont="1" applyFill="1" applyBorder="1" applyAlignment="1">
      <alignment horizontal="right"/>
    </xf>
    <xf numFmtId="177" fontId="139" fillId="16" borderId="33" xfId="97" applyNumberFormat="1" applyFont="1" applyFill="1" applyBorder="1" applyAlignment="1">
      <alignment horizontal="right"/>
    </xf>
    <xf numFmtId="177" fontId="48" fillId="26" borderId="33" xfId="97" applyNumberFormat="1" applyFont="1" applyFill="1" applyBorder="1" applyAlignment="1">
      <alignment horizontal="right"/>
    </xf>
    <xf numFmtId="0" fontId="27" fillId="16" borderId="33" xfId="97" applyFont="1" applyFill="1" applyBorder="1"/>
    <xf numFmtId="37" fontId="45" fillId="0" borderId="33" xfId="86" applyNumberFormat="1" applyFont="1" applyFill="1" applyBorder="1"/>
    <xf numFmtId="37" fontId="27" fillId="16" borderId="33" xfId="86" applyNumberFormat="1" applyFont="1" applyFill="1" applyBorder="1"/>
    <xf numFmtId="37" fontId="45" fillId="0" borderId="33" xfId="97" applyNumberFormat="1" applyFont="1" applyFill="1" applyBorder="1"/>
    <xf numFmtId="0" fontId="45" fillId="0" borderId="33" xfId="97" applyFont="1" applyFill="1" applyBorder="1"/>
    <xf numFmtId="9" fontId="27" fillId="16" borderId="33" xfId="101" applyFont="1" applyFill="1" applyBorder="1"/>
    <xf numFmtId="167" fontId="27" fillId="16" borderId="33" xfId="68" applyNumberFormat="1" applyFont="1" applyFill="1" applyBorder="1" applyAlignment="1">
      <alignment horizontal="right"/>
    </xf>
    <xf numFmtId="167" fontId="45" fillId="16" borderId="33" xfId="68" applyNumberFormat="1" applyFont="1" applyFill="1" applyBorder="1" applyAlignment="1">
      <alignment horizontal="right"/>
    </xf>
    <xf numFmtId="167" fontId="27" fillId="16" borderId="33" xfId="97" applyNumberFormat="1" applyFont="1" applyFill="1" applyBorder="1"/>
    <xf numFmtId="168" fontId="27" fillId="16" borderId="33" xfId="101" applyNumberFormat="1" applyFont="1" applyFill="1" applyBorder="1" applyAlignment="1">
      <alignment horizontal="right"/>
    </xf>
    <xf numFmtId="167" fontId="50" fillId="16" borderId="33" xfId="97" applyNumberFormat="1" applyFont="1" applyFill="1" applyBorder="1"/>
    <xf numFmtId="9" fontId="55" fillId="16" borderId="33" xfId="101" applyFont="1" applyFill="1" applyBorder="1"/>
    <xf numFmtId="5" fontId="27" fillId="16" borderId="33" xfId="68" applyNumberFormat="1" applyFont="1" applyFill="1" applyBorder="1"/>
    <xf numFmtId="37" fontId="50" fillId="16" borderId="33" xfId="86" applyNumberFormat="1" applyFont="1" applyFill="1" applyBorder="1"/>
    <xf numFmtId="37" fontId="45" fillId="16" borderId="33" xfId="97" applyNumberFormat="1" applyFont="1" applyFill="1" applyBorder="1"/>
    <xf numFmtId="37" fontId="27" fillId="16" borderId="33" xfId="97" applyNumberFormat="1" applyFont="1" applyFill="1" applyBorder="1"/>
    <xf numFmtId="169" fontId="27" fillId="16" borderId="33" xfId="86" applyNumberFormat="1" applyFont="1" applyFill="1" applyBorder="1"/>
    <xf numFmtId="5" fontId="136" fillId="23" borderId="33" xfId="68" applyNumberFormat="1" applyFont="1" applyFill="1" applyBorder="1"/>
    <xf numFmtId="5" fontId="136" fillId="0" borderId="33" xfId="68" applyNumberFormat="1" applyFont="1" applyFill="1" applyBorder="1"/>
    <xf numFmtId="184" fontId="27" fillId="16" borderId="33" xfId="68" applyNumberFormat="1" applyFont="1" applyFill="1" applyBorder="1"/>
    <xf numFmtId="7" fontId="27" fillId="16" borderId="33" xfId="68" applyNumberFormat="1" applyFont="1" applyFill="1" applyBorder="1"/>
    <xf numFmtId="37" fontId="55" fillId="16" borderId="33" xfId="86" applyNumberFormat="1" applyFont="1" applyFill="1" applyBorder="1"/>
    <xf numFmtId="37" fontId="136" fillId="16" borderId="33" xfId="86" applyNumberFormat="1" applyFont="1" applyFill="1" applyBorder="1"/>
    <xf numFmtId="0" fontId="2" fillId="16" borderId="33" xfId="97" applyFont="1" applyFill="1" applyBorder="1"/>
    <xf numFmtId="167" fontId="136" fillId="16" borderId="33" xfId="68" applyNumberFormat="1" applyFont="1" applyFill="1" applyBorder="1" applyAlignment="1">
      <alignment horizontal="right"/>
    </xf>
    <xf numFmtId="0" fontId="45" fillId="16" borderId="33" xfId="97" applyFont="1" applyFill="1" applyBorder="1" applyAlignment="1">
      <alignment horizontal="right"/>
    </xf>
    <xf numFmtId="0" fontId="69" fillId="16" borderId="33" xfId="97" applyFont="1" applyFill="1" applyBorder="1"/>
    <xf numFmtId="37" fontId="136" fillId="23" borderId="33" xfId="97" applyNumberFormat="1" applyFont="1" applyFill="1" applyBorder="1"/>
    <xf numFmtId="37" fontId="45" fillId="16" borderId="33" xfId="101" applyNumberFormat="1" applyFont="1" applyFill="1" applyBorder="1"/>
    <xf numFmtId="170" fontId="27" fillId="16" borderId="33" xfId="97" applyNumberFormat="1" applyFont="1" applyFill="1" applyBorder="1"/>
    <xf numFmtId="167" fontId="136" fillId="23" borderId="33" xfId="68" applyNumberFormat="1" applyFont="1" applyFill="1" applyBorder="1" applyAlignment="1">
      <alignment horizontal="right"/>
    </xf>
    <xf numFmtId="167" fontId="45" fillId="16" borderId="33" xfId="68" applyNumberFormat="1" applyFont="1" applyFill="1" applyBorder="1"/>
    <xf numFmtId="167" fontId="50" fillId="16" borderId="33" xfId="101" applyNumberFormat="1" applyFont="1" applyFill="1" applyBorder="1"/>
    <xf numFmtId="167" fontId="27" fillId="16" borderId="33" xfId="68" applyNumberFormat="1" applyFont="1" applyFill="1" applyBorder="1"/>
    <xf numFmtId="37" fontId="45" fillId="16" borderId="33" xfId="86" applyNumberFormat="1" applyFont="1" applyFill="1" applyBorder="1"/>
    <xf numFmtId="0" fontId="0" fillId="0" borderId="33" xfId="0" applyBorder="1"/>
    <xf numFmtId="167" fontId="45" fillId="16" borderId="33" xfId="97" applyNumberFormat="1" applyFont="1" applyFill="1" applyBorder="1"/>
    <xf numFmtId="7" fontId="45" fillId="16" borderId="33" xfId="97" applyNumberFormat="1" applyFont="1" applyFill="1" applyBorder="1"/>
    <xf numFmtId="7" fontId="27" fillId="16" borderId="33" xfId="97" applyNumberFormat="1" applyFont="1" applyFill="1" applyBorder="1"/>
    <xf numFmtId="196" fontId="77" fillId="16" borderId="15" xfId="88" applyNumberFormat="1" applyFont="1" applyFill="1" applyBorder="1"/>
    <xf numFmtId="37" fontId="27" fillId="0" borderId="33" xfId="68" applyNumberFormat="1" applyFont="1" applyFill="1" applyBorder="1"/>
    <xf numFmtId="7" fontId="137" fillId="25" borderId="0" xfId="87" applyNumberFormat="1" applyFont="1" applyFill="1" applyAlignment="1">
      <alignment horizontal="center"/>
    </xf>
    <xf numFmtId="209" fontId="136" fillId="0" borderId="0" xfId="101" applyNumberFormat="1" applyFont="1" applyAlignment="1">
      <alignment horizontal="center"/>
    </xf>
    <xf numFmtId="9" fontId="27" fillId="0" borderId="0" xfId="101" applyFont="1" applyFill="1" applyAlignment="1">
      <alignment horizontal="center"/>
    </xf>
    <xf numFmtId="9" fontId="136" fillId="0" borderId="0" xfId="101" applyFont="1" applyFill="1" applyAlignment="1">
      <alignment horizontal="center"/>
    </xf>
    <xf numFmtId="37" fontId="27" fillId="0" borderId="0" xfId="87" applyNumberFormat="1" applyFont="1" applyBorder="1" applyAlignment="1">
      <alignment horizontal="center"/>
    </xf>
    <xf numFmtId="167" fontId="154" fillId="16" borderId="15" xfId="68" applyNumberFormat="1" applyFont="1" applyFill="1" applyBorder="1" applyAlignment="1">
      <alignment horizontal="right"/>
    </xf>
    <xf numFmtId="37" fontId="154" fillId="16" borderId="15" xfId="97" applyNumberFormat="1" applyFont="1" applyFill="1" applyBorder="1"/>
    <xf numFmtId="37" fontId="50" fillId="23" borderId="15" xfId="86" applyNumberFormat="1" applyFont="1" applyFill="1" applyBorder="1"/>
    <xf numFmtId="167" fontId="153" fillId="16" borderId="15" xfId="68" applyNumberFormat="1" applyFont="1" applyFill="1" applyBorder="1" applyAlignment="1">
      <alignment horizontal="right"/>
    </xf>
    <xf numFmtId="9" fontId="55" fillId="16" borderId="15" xfId="102" applyFont="1" applyFill="1" applyBorder="1"/>
    <xf numFmtId="37" fontId="27" fillId="0" borderId="15" xfId="86" applyNumberFormat="1" applyFont="1" applyFill="1" applyBorder="1"/>
    <xf numFmtId="43" fontId="0" fillId="0" borderId="15" xfId="0" applyNumberFormat="1" applyBorder="1"/>
    <xf numFmtId="169" fontId="153" fillId="0" borderId="15" xfId="68" applyNumberFormat="1" applyFont="1" applyFill="1" applyBorder="1" applyAlignment="1">
      <alignment horizontal="right"/>
    </xf>
    <xf numFmtId="169" fontId="27" fillId="23" borderId="15" xfId="68" applyNumberFormat="1" applyFont="1" applyFill="1" applyBorder="1" applyAlignment="1">
      <alignment horizontal="right"/>
    </xf>
    <xf numFmtId="37" fontId="27" fillId="23" borderId="0" xfId="97" applyNumberFormat="1" applyFont="1" applyFill="1" applyBorder="1" applyAlignment="1">
      <alignment horizontal="right"/>
    </xf>
    <xf numFmtId="1" fontId="11" fillId="16" borderId="0" xfId="97" applyNumberFormat="1" applyFont="1" applyFill="1" applyBorder="1" applyAlignment="1">
      <alignment horizontal="centerContinuous"/>
    </xf>
    <xf numFmtId="195" fontId="27" fillId="16" borderId="0" xfId="65" applyNumberFormat="1" applyFont="1" applyFill="1"/>
    <xf numFmtId="196" fontId="77" fillId="16" borderId="35" xfId="88" applyNumberFormat="1" applyFont="1" applyFill="1" applyBorder="1"/>
    <xf numFmtId="9" fontId="138" fillId="23" borderId="15" xfId="97" applyNumberFormat="1" applyFont="1" applyFill="1" applyBorder="1" applyAlignment="1">
      <alignment horizontal="right"/>
    </xf>
    <xf numFmtId="37" fontId="11" fillId="16" borderId="0" xfId="97" applyNumberFormat="1" applyFont="1" applyFill="1" applyBorder="1" applyAlignment="1">
      <alignment horizontal="left"/>
    </xf>
    <xf numFmtId="37" fontId="42" fillId="16" borderId="0" xfId="97" applyNumberFormat="1" applyFont="1" applyFill="1" applyBorder="1" applyAlignment="1">
      <alignment horizontal="centerContinuous"/>
    </xf>
    <xf numFmtId="167" fontId="136" fillId="28" borderId="15" xfId="97" applyNumberFormat="1" applyFont="1" applyFill="1" applyBorder="1"/>
    <xf numFmtId="167" fontId="153" fillId="0" borderId="15" xfId="68" applyNumberFormat="1" applyFont="1" applyFill="1" applyBorder="1" applyAlignment="1">
      <alignment horizontal="right"/>
    </xf>
    <xf numFmtId="194" fontId="74" fillId="24" borderId="0" xfId="88" applyNumberFormat="1" applyFont="1" applyFill="1" applyBorder="1"/>
    <xf numFmtId="43" fontId="74" fillId="24" borderId="35" xfId="88" applyNumberFormat="1" applyFont="1" applyFill="1" applyBorder="1"/>
    <xf numFmtId="194" fontId="74" fillId="24" borderId="15" xfId="88" applyNumberFormat="1" applyFont="1" applyFill="1" applyBorder="1"/>
    <xf numFmtId="0" fontId="74" fillId="16" borderId="0" xfId="88" applyFont="1" applyFill="1"/>
    <xf numFmtId="0" fontId="74" fillId="16" borderId="35" xfId="88" applyFont="1" applyFill="1" applyBorder="1"/>
    <xf numFmtId="0" fontId="143" fillId="23" borderId="35" xfId="88" applyFont="1" applyFill="1" applyBorder="1"/>
    <xf numFmtId="0" fontId="143" fillId="23" borderId="0" xfId="88" applyFont="1" applyFill="1" applyBorder="1"/>
    <xf numFmtId="0" fontId="143" fillId="23" borderId="15" xfId="88" applyFont="1" applyFill="1" applyBorder="1"/>
    <xf numFmtId="0" fontId="74" fillId="0" borderId="0" xfId="0" applyFont="1"/>
    <xf numFmtId="194" fontId="143" fillId="24" borderId="35" xfId="88" applyNumberFormat="1" applyFont="1" applyFill="1" applyBorder="1"/>
    <xf numFmtId="194" fontId="143" fillId="24" borderId="0" xfId="88" applyNumberFormat="1" applyFont="1" applyFill="1" applyBorder="1"/>
    <xf numFmtId="194" fontId="143" fillId="24" borderId="15" xfId="88" applyNumberFormat="1" applyFont="1" applyFill="1" applyBorder="1"/>
    <xf numFmtId="43" fontId="27" fillId="0" borderId="35" xfId="68" applyNumberFormat="1" applyFont="1" applyFill="1" applyBorder="1"/>
    <xf numFmtId="168" fontId="148" fillId="24" borderId="0" xfId="93" applyNumberFormat="1" applyFont="1" applyFill="1" applyBorder="1" applyAlignment="1">
      <alignment horizontal="center"/>
    </xf>
    <xf numFmtId="43" fontId="27" fillId="0" borderId="15" xfId="68" applyNumberFormat="1" applyFont="1" applyFill="1" applyBorder="1"/>
    <xf numFmtId="37" fontId="96" fillId="29" borderId="0" xfId="87" applyNumberFormat="1" applyFont="1" applyFill="1" applyAlignment="1">
      <alignment horizontal="center"/>
    </xf>
    <xf numFmtId="37" fontId="86" fillId="29" borderId="0" xfId="87" applyNumberFormat="1" applyFont="1" applyFill="1" applyAlignment="1">
      <alignment horizontal="center"/>
    </xf>
    <xf numFmtId="5" fontId="86" fillId="29" borderId="0" xfId="87" applyNumberFormat="1" applyFont="1" applyFill="1" applyAlignment="1">
      <alignment horizontal="center"/>
    </xf>
    <xf numFmtId="0" fontId="96" fillId="29" borderId="0" xfId="87" applyFont="1" applyFill="1" applyAlignment="1">
      <alignment horizontal="right"/>
    </xf>
    <xf numFmtId="8" fontId="96" fillId="29" borderId="0" xfId="87" applyNumberFormat="1" applyFont="1" applyFill="1" applyAlignment="1">
      <alignment horizontal="center"/>
    </xf>
    <xf numFmtId="0" fontId="86" fillId="29" borderId="0" xfId="87" applyFont="1" applyFill="1"/>
    <xf numFmtId="37" fontId="86" fillId="29" borderId="0" xfId="87" quotePrefix="1" applyNumberFormat="1" applyFont="1" applyFill="1" applyAlignment="1">
      <alignment horizontal="center"/>
    </xf>
    <xf numFmtId="8" fontId="86" fillId="29" borderId="0" xfId="87" applyNumberFormat="1" applyFont="1" applyFill="1" applyAlignment="1">
      <alignment horizontal="center"/>
    </xf>
    <xf numFmtId="43" fontId="27" fillId="16" borderId="0" xfId="97" applyNumberFormat="1" applyFont="1" applyFill="1" applyBorder="1"/>
    <xf numFmtId="9" fontId="137" fillId="24" borderId="0" xfId="101" applyFont="1" applyFill="1" applyBorder="1"/>
    <xf numFmtId="9" fontId="137" fillId="24" borderId="15" xfId="101" applyFont="1" applyFill="1" applyBorder="1"/>
    <xf numFmtId="167" fontId="27" fillId="24" borderId="15" xfId="68" applyNumberFormat="1" applyFont="1" applyFill="1" applyBorder="1" applyAlignment="1">
      <alignment horizontal="right"/>
    </xf>
    <xf numFmtId="167" fontId="27" fillId="24" borderId="35" xfId="68" applyNumberFormat="1" applyFont="1" applyFill="1" applyBorder="1" applyAlignment="1">
      <alignment horizontal="right"/>
    </xf>
    <xf numFmtId="9" fontId="137" fillId="24" borderId="35" xfId="101" applyFont="1" applyFill="1" applyBorder="1"/>
    <xf numFmtId="167" fontId="11" fillId="0" borderId="0" xfId="0" applyNumberFormat="1" applyFont="1"/>
    <xf numFmtId="167" fontId="27" fillId="24" borderId="0" xfId="68" applyNumberFormat="1" applyFont="1" applyFill="1" applyBorder="1"/>
    <xf numFmtId="167" fontId="27" fillId="24" borderId="0" xfId="68" applyNumberFormat="1" applyFont="1" applyFill="1"/>
    <xf numFmtId="167" fontId="27" fillId="24" borderId="33" xfId="68" applyNumberFormat="1" applyFont="1" applyFill="1" applyBorder="1"/>
    <xf numFmtId="9" fontId="0" fillId="0" borderId="0" xfId="101" applyFont="1"/>
    <xf numFmtId="0" fontId="95" fillId="26" borderId="0" xfId="87" applyFont="1" applyFill="1" applyBorder="1" applyAlignment="1">
      <alignment horizontal="left" vertical="center"/>
    </xf>
    <xf numFmtId="0" fontId="95" fillId="26" borderId="11" xfId="87" applyFont="1" applyFill="1" applyBorder="1" applyAlignment="1">
      <alignment horizontal="left" vertical="center"/>
    </xf>
    <xf numFmtId="0" fontId="44" fillId="26" borderId="0" xfId="1" applyFont="1" applyFill="1" applyBorder="1" applyAlignment="1">
      <alignment horizontal="center" vertical="center"/>
    </xf>
    <xf numFmtId="0" fontId="42" fillId="0" borderId="26" xfId="92" applyFont="1" applyFill="1" applyBorder="1" applyAlignment="1">
      <alignment horizontal="center"/>
    </xf>
    <xf numFmtId="0" fontId="70" fillId="0" borderId="25" xfId="92" applyFont="1" applyFill="1" applyBorder="1" applyAlignment="1">
      <alignment horizontal="center"/>
    </xf>
    <xf numFmtId="0" fontId="70" fillId="0" borderId="26" xfId="92" applyFont="1" applyFill="1" applyBorder="1" applyAlignment="1">
      <alignment horizontal="center"/>
    </xf>
    <xf numFmtId="0" fontId="70" fillId="0" borderId="27" xfId="92" applyFont="1" applyFill="1" applyBorder="1" applyAlignment="1">
      <alignment horizontal="center"/>
    </xf>
    <xf numFmtId="0" fontId="108" fillId="0" borderId="0" xfId="93" applyFont="1" applyBorder="1" applyAlignment="1">
      <alignment horizontal="center" wrapText="1"/>
    </xf>
    <xf numFmtId="0" fontId="122" fillId="0" borderId="0" xfId="93" applyFont="1" applyBorder="1"/>
    <xf numFmtId="0" fontId="116" fillId="16" borderId="0" xfId="93" applyFont="1" applyFill="1" applyBorder="1" applyAlignment="1">
      <alignment horizontal="center" wrapText="1"/>
    </xf>
    <xf numFmtId="0" fontId="98" fillId="19" borderId="30" xfId="93" applyFont="1" applyFill="1" applyBorder="1" applyAlignment="1">
      <alignment horizontal="left" wrapText="1"/>
    </xf>
    <xf numFmtId="0" fontId="1" fillId="0" borderId="0" xfId="118"/>
    <xf numFmtId="0" fontId="1" fillId="30" borderId="0" xfId="117" applyFont="1" applyFill="1" applyAlignment="1">
      <alignment vertical="top"/>
    </xf>
    <xf numFmtId="0" fontId="1" fillId="30" borderId="0" xfId="118" applyFill="1" applyAlignment="1">
      <alignment vertical="top"/>
    </xf>
    <xf numFmtId="0" fontId="1" fillId="30" borderId="0" xfId="118" applyFill="1"/>
    <xf numFmtId="0" fontId="57" fillId="30" borderId="0" xfId="117" applyFont="1" applyFill="1" applyAlignment="1">
      <alignment horizontal="left" vertical="top"/>
    </xf>
    <xf numFmtId="0" fontId="1" fillId="30" borderId="0" xfId="118" applyFont="1" applyFill="1" applyAlignment="1">
      <alignment vertical="top"/>
    </xf>
    <xf numFmtId="0" fontId="63" fillId="30" borderId="0" xfId="117" applyFont="1" applyFill="1" applyAlignment="1">
      <alignment vertical="top"/>
    </xf>
    <xf numFmtId="0" fontId="0" fillId="30" borderId="0" xfId="0" applyFill="1" applyAlignment="1">
      <alignment vertical="top"/>
    </xf>
    <xf numFmtId="0" fontId="152" fillId="30" borderId="0" xfId="0" applyFont="1" applyFill="1" applyAlignment="1">
      <alignment vertical="top"/>
    </xf>
    <xf numFmtId="0" fontId="158" fillId="30" borderId="0" xfId="0" applyFont="1" applyFill="1" applyAlignment="1">
      <alignment vertical="top"/>
    </xf>
    <xf numFmtId="0" fontId="158" fillId="30" borderId="0" xfId="0" applyFont="1" applyFill="1" applyAlignment="1">
      <alignment vertical="top"/>
    </xf>
    <xf numFmtId="0" fontId="152" fillId="30" borderId="0" xfId="0" applyFont="1" applyFill="1" applyAlignment="1">
      <alignment vertical="top"/>
    </xf>
    <xf numFmtId="0" fontId="0" fillId="30" borderId="0" xfId="0" applyFill="1" applyAlignment="1">
      <alignment vertical="top"/>
    </xf>
    <xf numFmtId="0" fontId="0" fillId="30" borderId="49" xfId="0" applyFill="1" applyBorder="1" applyAlignment="1">
      <alignment vertical="top"/>
    </xf>
    <xf numFmtId="0" fontId="152" fillId="30" borderId="45" xfId="0" applyFont="1" applyFill="1" applyBorder="1" applyAlignment="1">
      <alignment vertical="top"/>
    </xf>
    <xf numFmtId="0" fontId="152" fillId="30" borderId="46" xfId="0" applyFont="1" applyFill="1" applyBorder="1" applyAlignment="1">
      <alignment vertical="top"/>
    </xf>
    <xf numFmtId="0" fontId="152" fillId="30" borderId="47" xfId="0" applyFont="1" applyFill="1" applyBorder="1" applyAlignment="1">
      <alignment vertical="top"/>
    </xf>
    <xf numFmtId="0" fontId="152" fillId="30" borderId="48" xfId="0" applyFont="1" applyFill="1" applyBorder="1" applyAlignment="1">
      <alignment vertical="top"/>
    </xf>
    <xf numFmtId="9" fontId="152" fillId="30" borderId="45" xfId="0" applyNumberFormat="1" applyFont="1" applyFill="1" applyBorder="1" applyAlignment="1">
      <alignment vertical="top"/>
    </xf>
    <xf numFmtId="3" fontId="152" fillId="30" borderId="45" xfId="0" applyNumberFormat="1" applyFont="1" applyFill="1" applyBorder="1" applyAlignment="1">
      <alignment vertical="top"/>
    </xf>
    <xf numFmtId="0" fontId="0" fillId="30" borderId="50" xfId="0" applyFill="1" applyBorder="1" applyAlignment="1">
      <alignment vertical="top"/>
    </xf>
    <xf numFmtId="2" fontId="1" fillId="0" borderId="0" xfId="118" applyNumberFormat="1" applyAlignment="1">
      <alignment horizontal="left"/>
    </xf>
    <xf numFmtId="0" fontId="1" fillId="0" borderId="0" xfId="118" applyNumberFormat="1" applyAlignment="1">
      <alignment horizontal="left"/>
    </xf>
    <xf numFmtId="1" fontId="1" fillId="0" borderId="0" xfId="118" applyNumberFormat="1" applyAlignment="1">
      <alignment horizontal="left"/>
    </xf>
    <xf numFmtId="0" fontId="1" fillId="0" borderId="0" xfId="118" applyFont="1"/>
    <xf numFmtId="215" fontId="1" fillId="0" borderId="0" xfId="118" applyNumberFormat="1" applyAlignment="1">
      <alignment horizontal="left"/>
    </xf>
    <xf numFmtId="49" fontId="1" fillId="0" borderId="0" xfId="118" applyNumberFormat="1"/>
  </cellXfs>
  <cellStyles count="119">
    <cellStyle name="_x000a_386grabber=M" xfId="1"/>
    <cellStyle name="_02-齐齐哈尔_Additional RP PRC GAAP CCIEC " xfId="2"/>
    <cellStyle name="_02-齐齐哈尔_RP -P&amp;L中煤_Additional RP PRC GAAP CCIEC " xfId="3"/>
    <cellStyle name="_03-牡丹江_Additional RP PRC GAAP CCIEC " xfId="4"/>
    <cellStyle name="_03-牡丹江_RP -P&amp;L中煤_Additional RP PRC GAAP CCIEC " xfId="5"/>
    <cellStyle name="_04-佳木斯_Additional RP PRC GAAP CCIEC " xfId="6"/>
    <cellStyle name="_04-佳木斯_RP -P&amp;L中煤_Additional RP PRC GAAP CCIEC " xfId="7"/>
    <cellStyle name="_05-鸡西_Additional RP PRC GAAP CCIEC " xfId="8"/>
    <cellStyle name="_05-鸡西_RP -P&amp;L中煤_Additional RP PRC GAAP CCIEC " xfId="9"/>
    <cellStyle name="_06-鹤岗_Additional RP PRC GAAP CCIEC " xfId="10"/>
    <cellStyle name="_06-鹤岗_RP -P&amp;L中煤_Additional RP PRC GAAP CCIEC " xfId="11"/>
    <cellStyle name="_07-双鸭山_Additional RP PRC GAAP CCIEC " xfId="12"/>
    <cellStyle name="_07-双鸭山_RP -P&amp;L中煤_Additional RP PRC GAAP CCIEC " xfId="13"/>
    <cellStyle name="_08-七台河_Additional RP PRC GAAP CCIEC " xfId="14"/>
    <cellStyle name="_08-七台河_RP -P&amp;L中煤_Additional RP PRC GAAP CCIEC " xfId="15"/>
    <cellStyle name="_09-伊春_Additional RP PRC GAAP CCIEC " xfId="16"/>
    <cellStyle name="_09-伊春_RP -P&amp;L中煤_Additional RP PRC GAAP CCIEC " xfId="17"/>
    <cellStyle name="_10-绥化_Additional RP PRC GAAP CCIEC " xfId="18"/>
    <cellStyle name="_10-绥化_RP -P&amp;L中煤_Additional RP PRC GAAP CCIEC " xfId="19"/>
    <cellStyle name="_11-大兴安岭_Additional RP PRC GAAP CCIEC " xfId="20"/>
    <cellStyle name="_11-大兴安岭_RP -P&amp;L中煤_Additional RP PRC GAAP CCIEC " xfId="21"/>
    <cellStyle name="_12-黑河_Additional RP PRC GAAP CCIEC " xfId="22"/>
    <cellStyle name="_12-黑河_RP -P&amp;L中煤_Additional RP PRC GAAP CCIEC " xfId="23"/>
    <cellStyle name="_BS " xfId="24"/>
    <cellStyle name="_DCF " xfId="25"/>
    <cellStyle name="_SUMMARY " xfId="26"/>
    <cellStyle name="=C:\WINNT35\SYSTEM32\COMMAND.COM" xfId="27"/>
    <cellStyle name="0_Capex &amp; Depreciation " xfId="28"/>
    <cellStyle name="0_OMV EP 2000-2015 Consolidated " xfId="29"/>
    <cellStyle name="0_Valuing BP " xfId="30"/>
    <cellStyle name="20% - Accent1" xfId="31" builtinId="30" customBuiltin="1"/>
    <cellStyle name="20% - Accent2" xfId="32" builtinId="34" customBuiltin="1"/>
    <cellStyle name="20% - Accent3" xfId="33" builtinId="38" customBuiltin="1"/>
    <cellStyle name="20% - Accent4" xfId="34" builtinId="42" customBuiltin="1"/>
    <cellStyle name="20% - Accent5" xfId="35" builtinId="46" customBuiltin="1"/>
    <cellStyle name="20% - Accent6" xfId="36" builtinId="50" customBuiltin="1"/>
    <cellStyle name="40% - Accent1" xfId="37" builtinId="31" customBuiltin="1"/>
    <cellStyle name="40% - Accent2" xfId="38" builtinId="35" customBuiltin="1"/>
    <cellStyle name="40% - Accent3" xfId="39" builtinId="39" customBuiltin="1"/>
    <cellStyle name="40% - Accent4" xfId="40" builtinId="43" customBuiltin="1"/>
    <cellStyle name="40% - Accent5" xfId="41" builtinId="47" customBuiltin="1"/>
    <cellStyle name="40% - Accent6" xfId="42" builtinId="51" customBuiltin="1"/>
    <cellStyle name="60% - Accent1" xfId="43" builtinId="32" customBuiltin="1"/>
    <cellStyle name="60% - Accent2" xfId="44" builtinId="36" customBuiltin="1"/>
    <cellStyle name="60% - Accent3" xfId="45" builtinId="40" customBuiltin="1"/>
    <cellStyle name="60% - Accent4" xfId="46" builtinId="44" customBuiltin="1"/>
    <cellStyle name="60% - Accent5" xfId="47" builtinId="48" customBuiltin="1"/>
    <cellStyle name="60% - Accent6" xfId="48" builtinId="52" customBuiltin="1"/>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ÅëÈ­ [0]_cover " xfId="55"/>
    <cellStyle name="ÅëÈ­_cover " xfId="56"/>
    <cellStyle name="ÄÞ¸¶ [0]_cover " xfId="57"/>
    <cellStyle name="ÄÞ¸¶_cover " xfId="58"/>
    <cellStyle name="Bad" xfId="59" builtinId="27" customBuiltin="1"/>
    <cellStyle name="c_HardInc " xfId="60"/>
    <cellStyle name="C￥AØ_¿μ¾÷CoE² " xfId="61"/>
    <cellStyle name="Ç¥ÁØ_cover " xfId="62"/>
    <cellStyle name="Calculation" xfId="63" builtinId="22" customBuiltin="1"/>
    <cellStyle name="Check Cell" xfId="64" builtinId="23" customBuiltin="1"/>
    <cellStyle name="Comma" xfId="65" builtinId="3"/>
    <cellStyle name="Comma_Pension Analyzer X" xfId="66"/>
    <cellStyle name="Comma_Pensions Module Europe FAS87" xfId="67"/>
    <cellStyle name="Comma_X." xfId="68"/>
    <cellStyle name="Currency 2" xfId="116"/>
    <cellStyle name="Currency 3" xfId="69"/>
    <cellStyle name="Currency_X." xfId="70"/>
    <cellStyle name="Explanatory Text" xfId="71" builtinId="53" customBuiltin="1"/>
    <cellStyle name="Good" xfId="72" builtinId="26" customBuiltin="1"/>
    <cellStyle name="Heading 1" xfId="73" builtinId="16" customBuiltin="1"/>
    <cellStyle name="Heading 2" xfId="74" builtinId="17" customBuiltin="1"/>
    <cellStyle name="Heading 3" xfId="75" builtinId="18" customBuiltin="1"/>
    <cellStyle name="Heading 4" xfId="76" builtinId="19" customBuiltin="1"/>
    <cellStyle name="High" xfId="77"/>
    <cellStyle name="Hyperlink" xfId="78" builtinId="8"/>
    <cellStyle name="Input" xfId="79" builtinId="20" customBuiltin="1"/>
    <cellStyle name="Italic" xfId="80"/>
    <cellStyle name="Linked Cell" xfId="81" builtinId="24" customBuiltin="1"/>
    <cellStyle name="Neutral" xfId="82" builtinId="28" customBuiltin="1"/>
    <cellStyle name="Normal" xfId="0" builtinId="0"/>
    <cellStyle name="Normal 2" xfId="114"/>
    <cellStyle name="Normal 3" xfId="83"/>
    <cellStyle name="Normal 4" xfId="118"/>
    <cellStyle name="Normal_AK Debt" xfId="84"/>
    <cellStyle name="Normal_B" xfId="85"/>
    <cellStyle name="Normal_Book2" xfId="86"/>
    <cellStyle name="Normal_BTU_Current_Updating" xfId="87"/>
    <cellStyle name="Normal_debt schedule" xfId="88"/>
    <cellStyle name="Normal_DisclaimerSheet Samples" xfId="117"/>
    <cellStyle name="Normal_FD PROFORMA_working_2006_NEW7" xfId="89"/>
    <cellStyle name="Normal_GG_Current_Updating" xfId="90"/>
    <cellStyle name="Normal_Glacier Model v156 (Normal)" xfId="91"/>
    <cellStyle name="Normal_IP" xfId="92"/>
    <cellStyle name="Normal_Pension Analyzer X" xfId="93"/>
    <cellStyle name="Normal_PKG" xfId="94"/>
    <cellStyle name="Normal_sheet" xfId="95"/>
    <cellStyle name="Normal_Vedanta WIP Version4" xfId="96"/>
    <cellStyle name="Normal_X." xfId="97"/>
    <cellStyle name="Note" xfId="98" builtinId="10" customBuiltin="1"/>
    <cellStyle name="Output" xfId="99" builtinId="21" customBuiltin="1"/>
    <cellStyle name="p " xfId="100"/>
    <cellStyle name="Percent" xfId="101" builtinId="5"/>
    <cellStyle name="Percent 3" xfId="102"/>
    <cellStyle name="RRSInstruction" xfId="103"/>
    <cellStyle name="RRSInstruction 2" xfId="115"/>
    <cellStyle name="s_HardInc " xfId="104"/>
    <cellStyle name="s_Valuation " xfId="105"/>
    <cellStyle name="ssp " xfId="106"/>
    <cellStyle name="Style 1" xfId="107"/>
    <cellStyle name="Title" xfId="108" builtinId="15" customBuiltin="1"/>
    <cellStyle name="Total" xfId="109" builtinId="25" customBuiltin="1"/>
    <cellStyle name="Warning Text" xfId="110" builtinId="11" customBuiltin="1"/>
    <cellStyle name="콤마 [0]_ 2팀층별 " xfId="111"/>
    <cellStyle name="콤마_ 2팀층별 " xfId="112"/>
    <cellStyle name="표준_0N-HANDLING " xfId="113"/>
  </cellStyles>
  <dxfs count="2">
    <dxf>
      <font>
        <b/>
        <i val="0"/>
        <strike/>
        <condense val="0"/>
        <extend val="0"/>
        <color indexed="10"/>
      </font>
      <fill>
        <patternFill>
          <bgColor indexed="52"/>
        </patternFill>
      </fill>
    </dxf>
    <dxf>
      <font>
        <b/>
        <i val="0"/>
        <strike/>
        <condense val="0"/>
        <extend val="0"/>
        <color indexed="10"/>
      </font>
      <fill>
        <patternFill>
          <bgColor indexed="5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125A31"/>
      <rgbColor rgb="002270AB"/>
      <rgbColor rgb="009DC9DC"/>
      <rgbColor rgb="00B2122B"/>
      <rgbColor rgb="00FC7114"/>
      <rgbColor rgb="00F8CD14"/>
      <rgbColor rgb="00003366"/>
      <rgbColor rgb="004091BF"/>
      <rgbColor rgb="00FCAE91"/>
      <rgbColor rgb="002270AB"/>
      <rgbColor rgb="00E3EEDE"/>
      <rgbColor rgb="0069ADCA"/>
      <rgbColor rgb="00C0C0C0"/>
      <rgbColor rgb="00808080"/>
      <rgbColor rgb="000083C3"/>
      <rgbColor rgb="00F6C54C"/>
      <rgbColor rgb="0032C464"/>
      <rgbColor rgb="009DDEED"/>
      <rgbColor rgb="00F37B53"/>
      <rgbColor rgb="00B9F391"/>
      <rgbColor rgb="00FF9B9D"/>
      <rgbColor rgb="00993366"/>
      <rgbColor rgb="000083C3"/>
      <rgbColor rgb="00F6C54C"/>
      <rgbColor rgb="0032C464"/>
      <rgbColor rgb="009DDEED"/>
      <rgbColor rgb="00993366"/>
      <rgbColor rgb="00FF9B9D"/>
      <rgbColor rgb="00F37B53"/>
      <rgbColor rgb="00B9F391"/>
      <rgbColor rgb="00800080"/>
      <rgbColor rgb="00F3EEA1"/>
      <rgbColor rgb="009DC9DC"/>
      <rgbColor rgb="00F7BEBF"/>
      <rgbColor rgb="00EFC1D2"/>
      <rgbColor rgb="00EFC49F"/>
      <rgbColor rgb="00ECD7B2"/>
      <rgbColor rgb="00A6DAC5"/>
      <rgbColor rgb="00C7E5BE"/>
      <rgbColor rgb="00A1D399"/>
      <rgbColor rgb="0041A95C"/>
      <rgbColor rgb="00238B45"/>
      <rgbColor rgb="00238B45"/>
      <rgbColor rgb="001B4694"/>
      <rgbColor rgb="00C6D9E2"/>
      <rgbColor rgb="00969696"/>
      <rgbColor rgb="00FB9A7A"/>
      <rgbColor rgb="0074BE74"/>
      <rgbColor rgb="00EE7F81"/>
      <rgbColor rgb="00F26163"/>
      <rgbColor rgb="00FF0000"/>
      <rgbColor rgb="000000FF"/>
      <rgbColor rgb="00FDCDB8"/>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theme/theme1.xml" Type="http://schemas.openxmlformats.org/officeDocument/2006/relationships/theme"/>
<Relationship Id="rId17" Target="styles.xml" Type="http://schemas.openxmlformats.org/officeDocument/2006/relationships/styles"/>
<Relationship Id="rId18" Target="sharedStrings.xml" Type="http://schemas.openxmlformats.org/officeDocument/2006/relationships/sharedStrings"/>
<Relationship Id="rId19" Target="calcChain.xml" Type="http://schemas.openxmlformats.org/officeDocument/2006/relationships/calcChain"/>
<Relationship Id="rId2" Target="worksheets/sheet2.xml" Type="http://schemas.openxmlformats.org/officeDocument/2006/relationships/worksheet"/>
<Relationship Id="rId20" Target="../customXml/item1.xml" Type="http://schemas.openxmlformats.org/officeDocument/2006/relationships/customXml"/>
<Relationship Id="rId21" Target="../customXml/item2.xml" Type="http://schemas.openxmlformats.org/officeDocument/2006/relationships/customXml"/>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activeX/_rels/activeX1.xml.rels><?xml version="1.0" encoding="UTF-8" standalone="yes"?>
<Relationships xmlns="http://schemas.openxmlformats.org/package/2006/relationships">
<Relationship Id="rId1" Target="activeX1.bin" Type="http://schemas.microsoft.com/office/2006/relationships/activeXControlBinary"/>
</Relationships>

</file>

<file path=xl/activeX/_rels/activeX2.xml.rels><?xml version="1.0" encoding="UTF-8" standalone="yes"?>
<Relationships xmlns="http://schemas.openxmlformats.org/package/2006/relationships">
<Relationship Id="rId1" Target="activeX2.bin" Type="http://schemas.microsoft.com/office/2006/relationships/activeXControlBinary"/>
</Relationships>

</file>

<file path=xl/activeX/_rels/activeX3.xml.rels><?xml version="1.0" encoding="UTF-8" standalone="yes"?>
<Relationships xmlns="http://schemas.openxmlformats.org/package/2006/relationships">
<Relationship Id="rId1" Target="activeX3.bin" Type="http://schemas.microsoft.com/office/2006/relationships/activeXControlBinary"/>
</Relationships>

</file>

<file path=xl/activeX/_rels/activeX4.xml.rels><?xml version="1.0" encoding="UTF-8" standalone="yes"?>
<Relationships xmlns="http://schemas.openxmlformats.org/package/2006/relationships">
<Relationship Id="rId1" Target="activeX4.bin" Type="http://schemas.microsoft.com/office/2006/relationships/activeXControlBinary"/>
</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8BD21D3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Flat</a:t>
            </a:r>
          </a:p>
        </c:rich>
      </c:tx>
      <c:layout>
        <c:manualLayout>
          <c:xMode val="edge"/>
          <c:yMode val="edge"/>
          <c:x val="0.48292682926829267"/>
          <c:y val="4.2857171589183535E-2"/>
        </c:manualLayout>
      </c:layout>
      <c:overlay val="0"/>
      <c:spPr>
        <a:noFill/>
        <a:ln w="25400">
          <a:noFill/>
        </a:ln>
      </c:spPr>
    </c:title>
    <c:autoTitleDeleted val="0"/>
    <c:plotArea>
      <c:layout>
        <c:manualLayout>
          <c:layoutTarget val="inner"/>
          <c:xMode val="edge"/>
          <c:yMode val="edge"/>
          <c:x val="0.13429582818834718"/>
          <c:y val="0.15238166100102771"/>
          <c:w val="0.84960483908677009"/>
          <c:h val="0.6793756626672568"/>
        </c:manualLayout>
      </c:layout>
      <c:lineChart>
        <c:grouping val="standard"/>
        <c:varyColors val="0"/>
        <c:ser>
          <c:idx val="0"/>
          <c:order val="0"/>
          <c:tx>
            <c:strRef>
              <c:f>'Price Relationships'!$C$3</c:f>
              <c:strCache>
                <c:ptCount val="1"/>
                <c:pt idx="0">
                  <c:v>Sales Realizations</c:v>
                </c:pt>
              </c:strCache>
            </c:strRef>
          </c:tx>
          <c:spPr>
            <a:ln w="12700">
              <a:solidFill>
                <a:srgbClr val="0083C3"/>
              </a:solidFill>
              <a:prstDash val="solid"/>
            </a:ln>
          </c:spPr>
          <c:marker>
            <c:symbol val="diamond"/>
            <c:size val="5"/>
            <c:spPr>
              <a:solidFill>
                <a:srgbClr val="0083C3"/>
              </a:solidFill>
              <a:ln>
                <a:solidFill>
                  <a:srgbClr val="0083C3"/>
                </a:solidFill>
                <a:prstDash val="solid"/>
              </a:ln>
            </c:spPr>
          </c:marker>
          <c:cat>
            <c:strRef>
              <c:f>'Price Relationships'!$A$41:$A$68</c:f>
              <c:strCache>
                <c:ptCount val="28"/>
                <c:pt idx="0">
                  <c:v>1Q11</c:v>
                </c:pt>
                <c:pt idx="1">
                  <c:v>2Q11</c:v>
                </c:pt>
                <c:pt idx="2">
                  <c:v>3Q11</c:v>
                </c:pt>
                <c:pt idx="3">
                  <c:v>4Q11</c:v>
                </c:pt>
                <c:pt idx="4">
                  <c:v>1Q12</c:v>
                </c:pt>
                <c:pt idx="5">
                  <c:v>2Q12</c:v>
                </c:pt>
                <c:pt idx="6">
                  <c:v>3Q12</c:v>
                </c:pt>
                <c:pt idx="7">
                  <c:v>4Q12</c:v>
                </c:pt>
                <c:pt idx="8">
                  <c:v>1Q13</c:v>
                </c:pt>
                <c:pt idx="9">
                  <c:v>2Q13</c:v>
                </c:pt>
                <c:pt idx="10">
                  <c:v>3Q13</c:v>
                </c:pt>
                <c:pt idx="11">
                  <c:v>4Q13</c:v>
                </c:pt>
                <c:pt idx="12">
                  <c:v>1Q14</c:v>
                </c:pt>
                <c:pt idx="13">
                  <c:v>2Q14</c:v>
                </c:pt>
                <c:pt idx="14">
                  <c:v>3Q14</c:v>
                </c:pt>
                <c:pt idx="15">
                  <c:v>4Q14</c:v>
                </c:pt>
                <c:pt idx="16">
                  <c:v>1Q15</c:v>
                </c:pt>
                <c:pt idx="17">
                  <c:v>2Q15</c:v>
                </c:pt>
                <c:pt idx="18">
                  <c:v>3Q15</c:v>
                </c:pt>
                <c:pt idx="19">
                  <c:v>4Q15</c:v>
                </c:pt>
                <c:pt idx="20">
                  <c:v>1Q16</c:v>
                </c:pt>
                <c:pt idx="21">
                  <c:v>2Q16</c:v>
                </c:pt>
                <c:pt idx="22">
                  <c:v>3Q16</c:v>
                </c:pt>
                <c:pt idx="23">
                  <c:v>4Q16</c:v>
                </c:pt>
                <c:pt idx="24">
                  <c:v>1Q17</c:v>
                </c:pt>
                <c:pt idx="25">
                  <c:v>2Q17</c:v>
                </c:pt>
                <c:pt idx="26">
                  <c:v>3Q17</c:v>
                </c:pt>
                <c:pt idx="27">
                  <c:v>4Q17</c:v>
                </c:pt>
              </c:strCache>
            </c:strRef>
          </c:cat>
          <c:val>
            <c:numRef>
              <c:f>'Price Relationships'!$C$41:$C$68</c:f>
              <c:numCache>
                <c:formatCode>_(* #,##0_);_(* \(#,##0\);_(* "-"??_);_(@_)</c:formatCode>
                <c:ptCount val="28"/>
                <c:pt idx="0">
                  <c:v>720</c:v>
                </c:pt>
                <c:pt idx="1">
                  <c:v>803</c:v>
                </c:pt>
                <c:pt idx="2">
                  <c:v>773</c:v>
                </c:pt>
                <c:pt idx="3">
                  <c:v>741</c:v>
                </c:pt>
                <c:pt idx="4">
                  <c:v>764</c:v>
                </c:pt>
                <c:pt idx="5">
                  <c:v>772</c:v>
                </c:pt>
                <c:pt idx="6">
                  <c:v>741</c:v>
                </c:pt>
                <c:pt idx="7">
                  <c:v>721</c:v>
                </c:pt>
                <c:pt idx="8">
                  <c:v>719</c:v>
                </c:pt>
                <c:pt idx="9">
                  <c:v>725</c:v>
                </c:pt>
                <c:pt idx="10">
                  <c:v>752</c:v>
                </c:pt>
                <c:pt idx="11">
                  <c:v>750</c:v>
                </c:pt>
                <c:pt idx="12">
                  <c:v>761</c:v>
                </c:pt>
                <c:pt idx="13">
                  <c:v>774</c:v>
                </c:pt>
                <c:pt idx="14">
                  <c:v>777</c:v>
                </c:pt>
                <c:pt idx="15">
                  <c:v>775</c:v>
                </c:pt>
                <c:pt idx="16">
                  <c:v>768</c:v>
                </c:pt>
                <c:pt idx="17">
                  <c:v>695</c:v>
                </c:pt>
                <c:pt idx="18">
                  <c:v>674</c:v>
                </c:pt>
                <c:pt idx="19">
                  <c:v>642</c:v>
                </c:pt>
                <c:pt idx="20">
                  <c:v>611</c:v>
                </c:pt>
                <c:pt idx="21">
                  <c:v>642</c:v>
                </c:pt>
                <c:pt idx="22">
                  <c:v>718</c:v>
                </c:pt>
                <c:pt idx="23">
                  <c:v>692</c:v>
                </c:pt>
                <c:pt idx="24">
                  <c:v>719</c:v>
                </c:pt>
                <c:pt idx="25">
                  <c:v>742</c:v>
                </c:pt>
                <c:pt idx="26">
                  <c:v>728</c:v>
                </c:pt>
                <c:pt idx="27">
                  <c:v>717</c:v>
                </c:pt>
              </c:numCache>
            </c:numRef>
          </c:val>
          <c:smooth val="0"/>
        </c:ser>
        <c:ser>
          <c:idx val="1"/>
          <c:order val="1"/>
          <c:tx>
            <c:strRef>
              <c:f>'Price Relationships'!$J$3</c:f>
              <c:strCache>
                <c:ptCount val="1"/>
                <c:pt idx="0">
                  <c:v>Spot Price</c:v>
                </c:pt>
              </c:strCache>
            </c:strRef>
          </c:tx>
          <c:spPr>
            <a:ln w="12700">
              <a:solidFill>
                <a:srgbClr val="F6C54C"/>
              </a:solidFill>
              <a:prstDash val="solid"/>
            </a:ln>
          </c:spPr>
          <c:marker>
            <c:symbol val="square"/>
            <c:size val="5"/>
            <c:spPr>
              <a:solidFill>
                <a:srgbClr val="F6C54C"/>
              </a:solidFill>
              <a:ln>
                <a:solidFill>
                  <a:srgbClr val="F6C54C"/>
                </a:solidFill>
                <a:prstDash val="solid"/>
              </a:ln>
            </c:spPr>
          </c:marker>
          <c:cat>
            <c:strRef>
              <c:f>'Price Relationships'!$A$41:$A$68</c:f>
              <c:strCache>
                <c:ptCount val="28"/>
                <c:pt idx="0">
                  <c:v>1Q11</c:v>
                </c:pt>
                <c:pt idx="1">
                  <c:v>2Q11</c:v>
                </c:pt>
                <c:pt idx="2">
                  <c:v>3Q11</c:v>
                </c:pt>
                <c:pt idx="3">
                  <c:v>4Q11</c:v>
                </c:pt>
                <c:pt idx="4">
                  <c:v>1Q12</c:v>
                </c:pt>
                <c:pt idx="5">
                  <c:v>2Q12</c:v>
                </c:pt>
                <c:pt idx="6">
                  <c:v>3Q12</c:v>
                </c:pt>
                <c:pt idx="7">
                  <c:v>4Q12</c:v>
                </c:pt>
                <c:pt idx="8">
                  <c:v>1Q13</c:v>
                </c:pt>
                <c:pt idx="9">
                  <c:v>2Q13</c:v>
                </c:pt>
                <c:pt idx="10">
                  <c:v>3Q13</c:v>
                </c:pt>
                <c:pt idx="11">
                  <c:v>4Q13</c:v>
                </c:pt>
                <c:pt idx="12">
                  <c:v>1Q14</c:v>
                </c:pt>
                <c:pt idx="13">
                  <c:v>2Q14</c:v>
                </c:pt>
                <c:pt idx="14">
                  <c:v>3Q14</c:v>
                </c:pt>
                <c:pt idx="15">
                  <c:v>4Q14</c:v>
                </c:pt>
                <c:pt idx="16">
                  <c:v>1Q15</c:v>
                </c:pt>
                <c:pt idx="17">
                  <c:v>2Q15</c:v>
                </c:pt>
                <c:pt idx="18">
                  <c:v>3Q15</c:v>
                </c:pt>
                <c:pt idx="19">
                  <c:v>4Q15</c:v>
                </c:pt>
                <c:pt idx="20">
                  <c:v>1Q16</c:v>
                </c:pt>
                <c:pt idx="21">
                  <c:v>2Q16</c:v>
                </c:pt>
                <c:pt idx="22">
                  <c:v>3Q16</c:v>
                </c:pt>
                <c:pt idx="23">
                  <c:v>4Q16</c:v>
                </c:pt>
                <c:pt idx="24">
                  <c:v>1Q17</c:v>
                </c:pt>
                <c:pt idx="25">
                  <c:v>2Q17</c:v>
                </c:pt>
                <c:pt idx="26">
                  <c:v>3Q17</c:v>
                </c:pt>
                <c:pt idx="27">
                  <c:v>4Q17</c:v>
                </c:pt>
              </c:strCache>
            </c:strRef>
          </c:cat>
          <c:val>
            <c:numRef>
              <c:f>'Price Relationships'!$J$41:$J$68</c:f>
              <c:numCache>
                <c:formatCode>_(* #,##0_);_(* \(#,##0\);_(* "-"??_);_(@_)</c:formatCode>
                <c:ptCount val="28"/>
                <c:pt idx="0">
                  <c:v>890.64006036188619</c:v>
                </c:pt>
                <c:pt idx="1">
                  <c:v>908.94189699244396</c:v>
                </c:pt>
                <c:pt idx="2">
                  <c:v>794.27229825220252</c:v>
                </c:pt>
                <c:pt idx="3">
                  <c:v>762.58206283322784</c:v>
                </c:pt>
                <c:pt idx="4">
                  <c:v>819.5288188281653</c:v>
                </c:pt>
                <c:pt idx="5">
                  <c:v>755.6215586359441</c:v>
                </c:pt>
                <c:pt idx="6">
                  <c:v>722.51130085257194</c:v>
                </c:pt>
                <c:pt idx="7">
                  <c:v>715.40935036087876</c:v>
                </c:pt>
                <c:pt idx="8">
                  <c:v>731.23059349032405</c:v>
                </c:pt>
                <c:pt idx="9">
                  <c:v>702.75760489847903</c:v>
                </c:pt>
                <c:pt idx="10">
                  <c:v>753.73382520640951</c:v>
                </c:pt>
                <c:pt idx="11">
                  <c:v>773.597043560006</c:v>
                </c:pt>
                <c:pt idx="12">
                  <c:v>775.21966539997106</c:v>
                </c:pt>
                <c:pt idx="13">
                  <c:v>796.99420683664914</c:v>
                </c:pt>
                <c:pt idx="14">
                  <c:v>790.99805578076473</c:v>
                </c:pt>
                <c:pt idx="15">
                  <c:v>756.80912737721212</c:v>
                </c:pt>
                <c:pt idx="16">
                  <c:v>666.64816524035336</c:v>
                </c:pt>
                <c:pt idx="17">
                  <c:v>572.74152080652971</c:v>
                </c:pt>
                <c:pt idx="18">
                  <c:v>578.68941136343039</c:v>
                </c:pt>
                <c:pt idx="19">
                  <c:v>505.09714965731962</c:v>
                </c:pt>
                <c:pt idx="20">
                  <c:v>546.65550888242751</c:v>
                </c:pt>
                <c:pt idx="21">
                  <c:v>734.84986101071013</c:v>
                </c:pt>
                <c:pt idx="22">
                  <c:v>789.4023202790172</c:v>
                </c:pt>
                <c:pt idx="23">
                  <c:v>726.36821341107589</c:v>
                </c:pt>
                <c:pt idx="24">
                  <c:v>821.17498572259944</c:v>
                </c:pt>
                <c:pt idx="25">
                  <c:v>821.88750054099251</c:v>
                </c:pt>
                <c:pt idx="26">
                  <c:v>803.28792482068559</c:v>
                </c:pt>
                <c:pt idx="27">
                  <c:v>802.56925456220017</c:v>
                </c:pt>
              </c:numCache>
            </c:numRef>
          </c:val>
          <c:smooth val="0"/>
        </c:ser>
        <c:dLbls>
          <c:showLegendKey val="0"/>
          <c:showVal val="0"/>
          <c:showCatName val="0"/>
          <c:showSerName val="0"/>
          <c:showPercent val="0"/>
          <c:showBubbleSize val="0"/>
        </c:dLbls>
        <c:marker val="1"/>
        <c:smooth val="0"/>
        <c:axId val="708733568"/>
        <c:axId val="665001984"/>
      </c:lineChart>
      <c:catAx>
        <c:axId val="70873356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65001984"/>
        <c:crosses val="autoZero"/>
        <c:auto val="1"/>
        <c:lblAlgn val="ctr"/>
        <c:lblOffset val="100"/>
        <c:tickLblSkip val="2"/>
        <c:tickMarkSkip val="1"/>
        <c:noMultiLvlLbl val="0"/>
      </c:catAx>
      <c:valAx>
        <c:axId val="665001984"/>
        <c:scaling>
          <c:orientation val="minMax"/>
          <c:min val="400"/>
        </c:scaling>
        <c:delete val="0"/>
        <c:axPos val="l"/>
        <c:majorGridlines>
          <c:spPr>
            <a:ln w="3175">
              <a:solidFill>
                <a:srgbClr val="000000"/>
              </a:solidFill>
              <a:prstDash val="solid"/>
            </a:ln>
          </c:spPr>
        </c:majorGridlines>
        <c:title>
          <c:tx>
            <c:rich>
              <a:bodyPr/>
              <a:lstStyle/>
              <a:p>
                <a:pPr>
                  <a:defRPr b="1"/>
                </a:pPr>
                <a:r>
                  <a:rPr lang="en-US" b="1"/>
                  <a:t>$/ton</a:t>
                </a:r>
              </a:p>
            </c:rich>
          </c:tx>
          <c:layout>
            <c:manualLayout>
              <c:xMode val="edge"/>
              <c:yMode val="edge"/>
              <c:x val="1.2195121951219513E-2"/>
              <c:y val="0.40952605062298247"/>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708733568"/>
        <c:crosses val="autoZero"/>
        <c:crossBetween val="between"/>
      </c:valAx>
      <c:spPr>
        <a:noFill/>
        <a:ln w="3175">
          <a:solidFill>
            <a:srgbClr val="000000"/>
          </a:solidFill>
          <a:prstDash val="solid"/>
        </a:ln>
      </c:spPr>
    </c:plotArea>
    <c:legend>
      <c:legendPos val="r"/>
      <c:layout>
        <c:manualLayout>
          <c:xMode val="edge"/>
          <c:yMode val="edge"/>
          <c:x val="0.15791607712197125"/>
          <c:y val="0.1383398132620873"/>
          <c:w val="0.79756097560975603"/>
          <c:h val="8.4291589988033128E-2"/>
        </c:manualLayout>
      </c:layou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Arial"/>
          <a:cs typeface="Arial" panose="020B0604020202020204" pitchFamily="34" charset="0"/>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USSE</a:t>
            </a:r>
          </a:p>
        </c:rich>
      </c:tx>
      <c:layout>
        <c:manualLayout>
          <c:xMode val="edge"/>
          <c:yMode val="edge"/>
          <c:x val="0.46699305624771587"/>
          <c:y val="3.5714285714285712E-2"/>
        </c:manualLayout>
      </c:layout>
      <c:overlay val="0"/>
      <c:spPr>
        <a:noFill/>
        <a:ln w="25400">
          <a:noFill/>
        </a:ln>
      </c:spPr>
    </c:title>
    <c:autoTitleDeleted val="0"/>
    <c:plotArea>
      <c:layout>
        <c:manualLayout>
          <c:layoutTarget val="inner"/>
          <c:xMode val="edge"/>
          <c:yMode val="edge"/>
          <c:x val="0.12548810705950134"/>
          <c:y val="0.13214308758211424"/>
          <c:w val="0.82805840566539857"/>
          <c:h val="0.58690588676415434"/>
        </c:manualLayout>
      </c:layout>
      <c:lineChart>
        <c:grouping val="standard"/>
        <c:varyColors val="0"/>
        <c:ser>
          <c:idx val="0"/>
          <c:order val="0"/>
          <c:tx>
            <c:strRef>
              <c:f>'Price Relationships'!$C$3</c:f>
              <c:strCache>
                <c:ptCount val="1"/>
                <c:pt idx="0">
                  <c:v>Sales Realizations</c:v>
                </c:pt>
              </c:strCache>
            </c:strRef>
          </c:tx>
          <c:spPr>
            <a:ln w="12700">
              <a:solidFill>
                <a:srgbClr val="0083C3"/>
              </a:solidFill>
              <a:prstDash val="solid"/>
            </a:ln>
          </c:spPr>
          <c:marker>
            <c:symbol val="diamond"/>
            <c:size val="5"/>
            <c:spPr>
              <a:solidFill>
                <a:srgbClr val="0083C3"/>
              </a:solidFill>
              <a:ln>
                <a:solidFill>
                  <a:srgbClr val="0083C3"/>
                </a:solidFill>
                <a:prstDash val="solid"/>
              </a:ln>
            </c:spPr>
          </c:marker>
          <c:cat>
            <c:strRef>
              <c:f>'Price Relationships'!$A$33:$A$76</c:f>
              <c:strCache>
                <c:ptCount val="44"/>
                <c:pt idx="0">
                  <c:v>1Q09</c:v>
                </c:pt>
                <c:pt idx="1">
                  <c:v>2Q09</c:v>
                </c:pt>
                <c:pt idx="2">
                  <c:v>3Q09</c:v>
                </c:pt>
                <c:pt idx="3">
                  <c:v>4Q09</c:v>
                </c:pt>
                <c:pt idx="4">
                  <c:v>1Q10</c:v>
                </c:pt>
                <c:pt idx="5">
                  <c:v>2Q10</c:v>
                </c:pt>
                <c:pt idx="6">
                  <c:v>3Q10</c:v>
                </c:pt>
                <c:pt idx="7">
                  <c:v>4Q10</c:v>
                </c:pt>
                <c:pt idx="8">
                  <c:v>1Q11</c:v>
                </c:pt>
                <c:pt idx="9">
                  <c:v>2Q11</c:v>
                </c:pt>
                <c:pt idx="10">
                  <c:v>3Q11</c:v>
                </c:pt>
                <c:pt idx="11">
                  <c:v>4Q11</c:v>
                </c:pt>
                <c:pt idx="12">
                  <c:v>1Q12</c:v>
                </c:pt>
                <c:pt idx="13">
                  <c:v>2Q12</c:v>
                </c:pt>
                <c:pt idx="14">
                  <c:v>3Q12</c:v>
                </c:pt>
                <c:pt idx="15">
                  <c:v>4Q12</c:v>
                </c:pt>
                <c:pt idx="16">
                  <c:v>1Q13</c:v>
                </c:pt>
                <c:pt idx="17">
                  <c:v>2Q13</c:v>
                </c:pt>
                <c:pt idx="18">
                  <c:v>3Q13</c:v>
                </c:pt>
                <c:pt idx="19">
                  <c:v>4Q13</c:v>
                </c:pt>
                <c:pt idx="20">
                  <c:v>1Q14</c:v>
                </c:pt>
                <c:pt idx="21">
                  <c:v>2Q14</c:v>
                </c:pt>
                <c:pt idx="22">
                  <c:v>3Q14</c:v>
                </c:pt>
                <c:pt idx="23">
                  <c:v>4Q14</c:v>
                </c:pt>
                <c:pt idx="24">
                  <c:v>1Q15</c:v>
                </c:pt>
                <c:pt idx="25">
                  <c:v>2Q15</c:v>
                </c:pt>
                <c:pt idx="26">
                  <c:v>3Q15</c:v>
                </c:pt>
                <c:pt idx="27">
                  <c:v>4Q15</c:v>
                </c:pt>
                <c:pt idx="28">
                  <c:v>1Q16</c:v>
                </c:pt>
                <c:pt idx="29">
                  <c:v>2Q16</c:v>
                </c:pt>
                <c:pt idx="30">
                  <c:v>3Q16</c:v>
                </c:pt>
                <c:pt idx="31">
                  <c:v>4Q16</c:v>
                </c:pt>
                <c:pt idx="32">
                  <c:v>1Q17</c:v>
                </c:pt>
                <c:pt idx="33">
                  <c:v>2Q17</c:v>
                </c:pt>
                <c:pt idx="34">
                  <c:v>3Q17</c:v>
                </c:pt>
                <c:pt idx="35">
                  <c:v>4Q17</c:v>
                </c:pt>
                <c:pt idx="36">
                  <c:v>1Q18</c:v>
                </c:pt>
                <c:pt idx="37">
                  <c:v>2Q18</c:v>
                </c:pt>
                <c:pt idx="38">
                  <c:v>3Q18</c:v>
                </c:pt>
                <c:pt idx="39">
                  <c:v>4Q18</c:v>
                </c:pt>
                <c:pt idx="40">
                  <c:v>1Q19</c:v>
                </c:pt>
                <c:pt idx="41">
                  <c:v>2Q19</c:v>
                </c:pt>
                <c:pt idx="42">
                  <c:v>3Q19</c:v>
                </c:pt>
                <c:pt idx="43">
                  <c:v>4Q19</c:v>
                </c:pt>
              </c:strCache>
            </c:strRef>
          </c:cat>
          <c:val>
            <c:numRef>
              <c:f>'Price Relationships'!$G$33:$G$76</c:f>
              <c:numCache>
                <c:formatCode>_(* #,##0_);_(* \(#,##0\);_(* "-"??_);_(@_)</c:formatCode>
                <c:ptCount val="44"/>
                <c:pt idx="0">
                  <c:v>672</c:v>
                </c:pt>
                <c:pt idx="1">
                  <c:v>602</c:v>
                </c:pt>
                <c:pt idx="2">
                  <c:v>615</c:v>
                </c:pt>
                <c:pt idx="3">
                  <c:v>664</c:v>
                </c:pt>
                <c:pt idx="4">
                  <c:v>614</c:v>
                </c:pt>
                <c:pt idx="5">
                  <c:v>687</c:v>
                </c:pt>
                <c:pt idx="6">
                  <c:v>748</c:v>
                </c:pt>
                <c:pt idx="7">
                  <c:v>793</c:v>
                </c:pt>
                <c:pt idx="8">
                  <c:v>823</c:v>
                </c:pt>
                <c:pt idx="9">
                  <c:v>930</c:v>
                </c:pt>
                <c:pt idx="10">
                  <c:v>862</c:v>
                </c:pt>
                <c:pt idx="11">
                  <c:v>770</c:v>
                </c:pt>
                <c:pt idx="12">
                  <c:v>749</c:v>
                </c:pt>
                <c:pt idx="13">
                  <c:v>767</c:v>
                </c:pt>
                <c:pt idx="14">
                  <c:v>731</c:v>
                </c:pt>
                <c:pt idx="15">
                  <c:v>718</c:v>
                </c:pt>
                <c:pt idx="16">
                  <c:v>718</c:v>
                </c:pt>
                <c:pt idx="17">
                  <c:v>702</c:v>
                </c:pt>
                <c:pt idx="18">
                  <c:v>714</c:v>
                </c:pt>
                <c:pt idx="19">
                  <c:v>692</c:v>
                </c:pt>
                <c:pt idx="20">
                  <c:v>710</c:v>
                </c:pt>
                <c:pt idx="21">
                  <c:v>691</c:v>
                </c:pt>
                <c:pt idx="22">
                  <c:v>671</c:v>
                </c:pt>
                <c:pt idx="23">
                  <c:v>600</c:v>
                </c:pt>
                <c:pt idx="24">
                  <c:v>530</c:v>
                </c:pt>
                <c:pt idx="25">
                  <c:v>533</c:v>
                </c:pt>
                <c:pt idx="26">
                  <c:v>516</c:v>
                </c:pt>
                <c:pt idx="27">
                  <c:v>477</c:v>
                </c:pt>
                <c:pt idx="28">
                  <c:v>458</c:v>
                </c:pt>
                <c:pt idx="29">
                  <c:v>485</c:v>
                </c:pt>
                <c:pt idx="30">
                  <c:v>503</c:v>
                </c:pt>
                <c:pt idx="31">
                  <c:v>484</c:v>
                </c:pt>
                <c:pt idx="32">
                  <c:v>594</c:v>
                </c:pt>
                <c:pt idx="33">
                  <c:v>620</c:v>
                </c:pt>
                <c:pt idx="34">
                  <c:v>639</c:v>
                </c:pt>
                <c:pt idx="35">
                  <c:v>634</c:v>
                </c:pt>
                <c:pt idx="36">
                  <c:v>726.40805393384903</c:v>
                </c:pt>
                <c:pt idx="37">
                  <c:v>741.68768141411465</c:v>
                </c:pt>
                <c:pt idx="38">
                  <c:v>719.94483338805537</c:v>
                </c:pt>
                <c:pt idx="39">
                  <c:v>689.48870448959258</c:v>
                </c:pt>
                <c:pt idx="40">
                  <c:v>678.45643670582319</c:v>
                </c:pt>
                <c:pt idx="41">
                  <c:v>675.59214197997767</c:v>
                </c:pt>
                <c:pt idx="42">
                  <c:v>649.8320049121246</c:v>
                </c:pt>
                <c:pt idx="43">
                  <c:v>636.94157898998878</c:v>
                </c:pt>
              </c:numCache>
            </c:numRef>
          </c:val>
          <c:smooth val="0"/>
        </c:ser>
        <c:ser>
          <c:idx val="1"/>
          <c:order val="1"/>
          <c:tx>
            <c:strRef>
              <c:f>'Price Relationships'!$J$3</c:f>
              <c:strCache>
                <c:ptCount val="1"/>
                <c:pt idx="0">
                  <c:v>Spot Price</c:v>
                </c:pt>
              </c:strCache>
            </c:strRef>
          </c:tx>
          <c:spPr>
            <a:ln w="12700">
              <a:solidFill>
                <a:srgbClr val="F6C54C"/>
              </a:solidFill>
              <a:prstDash val="solid"/>
            </a:ln>
          </c:spPr>
          <c:marker>
            <c:symbol val="square"/>
            <c:size val="5"/>
            <c:spPr>
              <a:solidFill>
                <a:srgbClr val="F6C54C"/>
              </a:solidFill>
              <a:ln>
                <a:solidFill>
                  <a:srgbClr val="F6C54C"/>
                </a:solidFill>
                <a:prstDash val="solid"/>
              </a:ln>
            </c:spPr>
          </c:marker>
          <c:cat>
            <c:strRef>
              <c:f>'Price Relationships'!$A$33:$A$76</c:f>
              <c:strCache>
                <c:ptCount val="44"/>
                <c:pt idx="0">
                  <c:v>1Q09</c:v>
                </c:pt>
                <c:pt idx="1">
                  <c:v>2Q09</c:v>
                </c:pt>
                <c:pt idx="2">
                  <c:v>3Q09</c:v>
                </c:pt>
                <c:pt idx="3">
                  <c:v>4Q09</c:v>
                </c:pt>
                <c:pt idx="4">
                  <c:v>1Q10</c:v>
                </c:pt>
                <c:pt idx="5">
                  <c:v>2Q10</c:v>
                </c:pt>
                <c:pt idx="6">
                  <c:v>3Q10</c:v>
                </c:pt>
                <c:pt idx="7">
                  <c:v>4Q10</c:v>
                </c:pt>
                <c:pt idx="8">
                  <c:v>1Q11</c:v>
                </c:pt>
                <c:pt idx="9">
                  <c:v>2Q11</c:v>
                </c:pt>
                <c:pt idx="10">
                  <c:v>3Q11</c:v>
                </c:pt>
                <c:pt idx="11">
                  <c:v>4Q11</c:v>
                </c:pt>
                <c:pt idx="12">
                  <c:v>1Q12</c:v>
                </c:pt>
                <c:pt idx="13">
                  <c:v>2Q12</c:v>
                </c:pt>
                <c:pt idx="14">
                  <c:v>3Q12</c:v>
                </c:pt>
                <c:pt idx="15">
                  <c:v>4Q12</c:v>
                </c:pt>
                <c:pt idx="16">
                  <c:v>1Q13</c:v>
                </c:pt>
                <c:pt idx="17">
                  <c:v>2Q13</c:v>
                </c:pt>
                <c:pt idx="18">
                  <c:v>3Q13</c:v>
                </c:pt>
                <c:pt idx="19">
                  <c:v>4Q13</c:v>
                </c:pt>
                <c:pt idx="20">
                  <c:v>1Q14</c:v>
                </c:pt>
                <c:pt idx="21">
                  <c:v>2Q14</c:v>
                </c:pt>
                <c:pt idx="22">
                  <c:v>3Q14</c:v>
                </c:pt>
                <c:pt idx="23">
                  <c:v>4Q14</c:v>
                </c:pt>
                <c:pt idx="24">
                  <c:v>1Q15</c:v>
                </c:pt>
                <c:pt idx="25">
                  <c:v>2Q15</c:v>
                </c:pt>
                <c:pt idx="26">
                  <c:v>3Q15</c:v>
                </c:pt>
                <c:pt idx="27">
                  <c:v>4Q15</c:v>
                </c:pt>
                <c:pt idx="28">
                  <c:v>1Q16</c:v>
                </c:pt>
                <c:pt idx="29">
                  <c:v>2Q16</c:v>
                </c:pt>
                <c:pt idx="30">
                  <c:v>3Q16</c:v>
                </c:pt>
                <c:pt idx="31">
                  <c:v>4Q16</c:v>
                </c:pt>
                <c:pt idx="32">
                  <c:v>1Q17</c:v>
                </c:pt>
                <c:pt idx="33">
                  <c:v>2Q17</c:v>
                </c:pt>
                <c:pt idx="34">
                  <c:v>3Q17</c:v>
                </c:pt>
                <c:pt idx="35">
                  <c:v>4Q17</c:v>
                </c:pt>
                <c:pt idx="36">
                  <c:v>1Q18</c:v>
                </c:pt>
                <c:pt idx="37">
                  <c:v>2Q18</c:v>
                </c:pt>
                <c:pt idx="38">
                  <c:v>3Q18</c:v>
                </c:pt>
                <c:pt idx="39">
                  <c:v>4Q18</c:v>
                </c:pt>
                <c:pt idx="40">
                  <c:v>1Q19</c:v>
                </c:pt>
                <c:pt idx="41">
                  <c:v>2Q19</c:v>
                </c:pt>
                <c:pt idx="42">
                  <c:v>3Q19</c:v>
                </c:pt>
                <c:pt idx="43">
                  <c:v>4Q19</c:v>
                </c:pt>
              </c:strCache>
            </c:strRef>
          </c:cat>
          <c:val>
            <c:numRef>
              <c:f>'Price Relationships'!$N$33:$N$76</c:f>
              <c:numCache>
                <c:formatCode>_(* #,##0_);_(* \(#,##0\);_(* "-"??_);_(@_)</c:formatCode>
                <c:ptCount val="44"/>
                <c:pt idx="0">
                  <c:v>547.75040736374331</c:v>
                </c:pt>
                <c:pt idx="1">
                  <c:v>519.76127866617833</c:v>
                </c:pt>
                <c:pt idx="2">
                  <c:v>612.20974920801564</c:v>
                </c:pt>
                <c:pt idx="3">
                  <c:v>632.5462595632838</c:v>
                </c:pt>
                <c:pt idx="4">
                  <c:v>590.00116480500014</c:v>
                </c:pt>
                <c:pt idx="5">
                  <c:v>758.33267986936994</c:v>
                </c:pt>
                <c:pt idx="6">
                  <c:v>737.81269665481807</c:v>
                </c:pt>
                <c:pt idx="7">
                  <c:v>720.9057813582815</c:v>
                </c:pt>
                <c:pt idx="8">
                  <c:v>880.58620768924402</c:v>
                </c:pt>
                <c:pt idx="9">
                  <c:v>879.25011734730253</c:v>
                </c:pt>
                <c:pt idx="10">
                  <c:v>783.41667003234295</c:v>
                </c:pt>
                <c:pt idx="11">
                  <c:v>702.44499924875322</c:v>
                </c:pt>
                <c:pt idx="12">
                  <c:v>766.91024095006935</c:v>
                </c:pt>
                <c:pt idx="13">
                  <c:v>742.74043367039781</c:v>
                </c:pt>
                <c:pt idx="14">
                  <c:v>676.19116354298069</c:v>
                </c:pt>
                <c:pt idx="15">
                  <c:v>665.58495247276289</c:v>
                </c:pt>
                <c:pt idx="16">
                  <c:v>699.60183579545298</c:v>
                </c:pt>
                <c:pt idx="17">
                  <c:v>637.57242381222954</c:v>
                </c:pt>
                <c:pt idx="18">
                  <c:v>619.74610026334665</c:v>
                </c:pt>
                <c:pt idx="19">
                  <c:v>652.22653814022942</c:v>
                </c:pt>
                <c:pt idx="20">
                  <c:v>650.17156045240688</c:v>
                </c:pt>
                <c:pt idx="21">
                  <c:v>622.84038199610598</c:v>
                </c:pt>
                <c:pt idx="22">
                  <c:v>593.29655409869497</c:v>
                </c:pt>
                <c:pt idx="23">
                  <c:v>552.81057345979195</c:v>
                </c:pt>
                <c:pt idx="24">
                  <c:v>490.99293751091062</c:v>
                </c:pt>
                <c:pt idx="25">
                  <c:v>466.67497178063797</c:v>
                </c:pt>
                <c:pt idx="26">
                  <c:v>438.71780549192977</c:v>
                </c:pt>
                <c:pt idx="27">
                  <c:v>385.1808332498041</c:v>
                </c:pt>
                <c:pt idx="28">
                  <c:v>385.59690208538569</c:v>
                </c:pt>
                <c:pt idx="29">
                  <c:v>485.62448045557727</c:v>
                </c:pt>
                <c:pt idx="30">
                  <c:v>498.33745950807702</c:v>
                </c:pt>
                <c:pt idx="31">
                  <c:v>560.64125478463188</c:v>
                </c:pt>
                <c:pt idx="32">
                  <c:v>639.5645850172574</c:v>
                </c:pt>
                <c:pt idx="33">
                  <c:v>611.2091250240685</c:v>
                </c:pt>
                <c:pt idx="34">
                  <c:v>643.99317673731457</c:v>
                </c:pt>
                <c:pt idx="35">
                  <c:v>669.96290569188477</c:v>
                </c:pt>
                <c:pt idx="36">
                  <c:v>724.97639355921217</c:v>
                </c:pt>
                <c:pt idx="37">
                  <c:v>728.13209121245825</c:v>
                </c:pt>
                <c:pt idx="38">
                  <c:v>689.961979977753</c:v>
                </c:pt>
                <c:pt idx="39">
                  <c:v>657.63345939933254</c:v>
                </c:pt>
                <c:pt idx="40">
                  <c:v>647.10467185761956</c:v>
                </c:pt>
                <c:pt idx="41">
                  <c:v>646.92380422691883</c:v>
                </c:pt>
                <c:pt idx="42">
                  <c:v>614.72876529477207</c:v>
                </c:pt>
                <c:pt idx="43">
                  <c:v>614.28493882091209</c:v>
                </c:pt>
              </c:numCache>
            </c:numRef>
          </c:val>
          <c:smooth val="0"/>
        </c:ser>
        <c:dLbls>
          <c:showLegendKey val="0"/>
          <c:showVal val="0"/>
          <c:showCatName val="0"/>
          <c:showSerName val="0"/>
          <c:showPercent val="0"/>
          <c:showBubbleSize val="0"/>
        </c:dLbls>
        <c:marker val="1"/>
        <c:smooth val="0"/>
        <c:axId val="665051520"/>
        <c:axId val="665053824"/>
      </c:lineChart>
      <c:catAx>
        <c:axId val="665051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65053824"/>
        <c:crosses val="autoZero"/>
        <c:auto val="1"/>
        <c:lblAlgn val="ctr"/>
        <c:lblOffset val="100"/>
        <c:tickLblSkip val="3"/>
        <c:tickMarkSkip val="1"/>
        <c:noMultiLvlLbl val="0"/>
      </c:catAx>
      <c:valAx>
        <c:axId val="665053824"/>
        <c:scaling>
          <c:orientation val="minMax"/>
          <c:min val="200"/>
        </c:scaling>
        <c:delete val="0"/>
        <c:axPos val="l"/>
        <c:majorGridlines>
          <c:spPr>
            <a:ln w="3175">
              <a:solidFill>
                <a:srgbClr val="000000"/>
              </a:solidFill>
              <a:prstDash val="solid"/>
            </a:ln>
          </c:spPr>
        </c:majorGridlines>
        <c:title>
          <c:tx>
            <c:rich>
              <a:bodyPr/>
              <a:lstStyle/>
              <a:p>
                <a:pPr>
                  <a:defRPr b="1"/>
                </a:pPr>
                <a:r>
                  <a:rPr lang="en-US" b="1"/>
                  <a:t>$/ton</a:t>
                </a:r>
              </a:p>
            </c:rich>
          </c:tx>
          <c:layout>
            <c:manualLayout>
              <c:xMode val="edge"/>
              <c:yMode val="edge"/>
              <c:x val="1.0794411654103172E-3"/>
              <c:y val="0.38939978525586616"/>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665051520"/>
        <c:crosses val="autoZero"/>
        <c:crossBetween val="between"/>
      </c:valAx>
      <c:spPr>
        <a:noFill/>
        <a:ln w="3175">
          <a:solidFill>
            <a:srgbClr val="000000"/>
          </a:solidFill>
          <a:prstDash val="solid"/>
        </a:ln>
      </c:spPr>
    </c:plotArea>
    <c:legend>
      <c:legendPos val="t"/>
      <c:overlay val="0"/>
      <c:spPr>
        <a:no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Tubular</a:t>
            </a:r>
          </a:p>
        </c:rich>
      </c:tx>
      <c:layout>
        <c:manualLayout>
          <c:xMode val="edge"/>
          <c:yMode val="edge"/>
          <c:x val="0.46715430644162176"/>
          <c:y val="4.2857142857142858E-2"/>
        </c:manualLayout>
      </c:layout>
      <c:overlay val="0"/>
      <c:spPr>
        <a:noFill/>
        <a:ln w="25400">
          <a:noFill/>
        </a:ln>
      </c:spPr>
    </c:title>
    <c:autoTitleDeleted val="0"/>
    <c:plotArea>
      <c:layout>
        <c:manualLayout>
          <c:layoutTarget val="inner"/>
          <c:xMode val="edge"/>
          <c:yMode val="edge"/>
          <c:x val="0.14906078386209071"/>
          <c:y val="0.11904817265705291"/>
          <c:w val="0.81366931175238943"/>
          <c:h val="0.72197133269739266"/>
        </c:manualLayout>
      </c:layout>
      <c:lineChart>
        <c:grouping val="standard"/>
        <c:varyColors val="0"/>
        <c:ser>
          <c:idx val="0"/>
          <c:order val="0"/>
          <c:tx>
            <c:strRef>
              <c:f>'Price Relationships'!$C$3</c:f>
              <c:strCache>
                <c:ptCount val="1"/>
                <c:pt idx="0">
                  <c:v>Sales Realizations</c:v>
                </c:pt>
              </c:strCache>
            </c:strRef>
          </c:tx>
          <c:spPr>
            <a:ln w="12700">
              <a:solidFill>
                <a:srgbClr val="0083C3"/>
              </a:solidFill>
              <a:prstDash val="solid"/>
            </a:ln>
          </c:spPr>
          <c:marker>
            <c:symbol val="diamond"/>
            <c:size val="5"/>
            <c:spPr>
              <a:solidFill>
                <a:srgbClr val="0083C3"/>
              </a:solidFill>
              <a:ln>
                <a:solidFill>
                  <a:srgbClr val="0083C3"/>
                </a:solidFill>
                <a:prstDash val="solid"/>
              </a:ln>
            </c:spPr>
          </c:marker>
          <c:cat>
            <c:strRef>
              <c:f>'Price Relationships'!$A$33:$A$72</c:f>
              <c:strCache>
                <c:ptCount val="40"/>
                <c:pt idx="0">
                  <c:v>1Q09</c:v>
                </c:pt>
                <c:pt idx="1">
                  <c:v>2Q09</c:v>
                </c:pt>
                <c:pt idx="2">
                  <c:v>3Q09</c:v>
                </c:pt>
                <c:pt idx="3">
                  <c:v>4Q09</c:v>
                </c:pt>
                <c:pt idx="4">
                  <c:v>1Q10</c:v>
                </c:pt>
                <c:pt idx="5">
                  <c:v>2Q10</c:v>
                </c:pt>
                <c:pt idx="6">
                  <c:v>3Q10</c:v>
                </c:pt>
                <c:pt idx="7">
                  <c:v>4Q10</c:v>
                </c:pt>
                <c:pt idx="8">
                  <c:v>1Q11</c:v>
                </c:pt>
                <c:pt idx="9">
                  <c:v>2Q11</c:v>
                </c:pt>
                <c:pt idx="10">
                  <c:v>3Q11</c:v>
                </c:pt>
                <c:pt idx="11">
                  <c:v>4Q11</c:v>
                </c:pt>
                <c:pt idx="12">
                  <c:v>1Q12</c:v>
                </c:pt>
                <c:pt idx="13">
                  <c:v>2Q12</c:v>
                </c:pt>
                <c:pt idx="14">
                  <c:v>3Q12</c:v>
                </c:pt>
                <c:pt idx="15">
                  <c:v>4Q12</c:v>
                </c:pt>
                <c:pt idx="16">
                  <c:v>1Q13</c:v>
                </c:pt>
                <c:pt idx="17">
                  <c:v>2Q13</c:v>
                </c:pt>
                <c:pt idx="18">
                  <c:v>3Q13</c:v>
                </c:pt>
                <c:pt idx="19">
                  <c:v>4Q13</c:v>
                </c:pt>
                <c:pt idx="20">
                  <c:v>1Q14</c:v>
                </c:pt>
                <c:pt idx="21">
                  <c:v>2Q14</c:v>
                </c:pt>
                <c:pt idx="22">
                  <c:v>3Q14</c:v>
                </c:pt>
                <c:pt idx="23">
                  <c:v>4Q14</c:v>
                </c:pt>
                <c:pt idx="24">
                  <c:v>1Q15</c:v>
                </c:pt>
                <c:pt idx="25">
                  <c:v>2Q15</c:v>
                </c:pt>
                <c:pt idx="26">
                  <c:v>3Q15</c:v>
                </c:pt>
                <c:pt idx="27">
                  <c:v>4Q15</c:v>
                </c:pt>
                <c:pt idx="28">
                  <c:v>1Q16</c:v>
                </c:pt>
                <c:pt idx="29">
                  <c:v>2Q16</c:v>
                </c:pt>
                <c:pt idx="30">
                  <c:v>3Q16</c:v>
                </c:pt>
                <c:pt idx="31">
                  <c:v>4Q16</c:v>
                </c:pt>
                <c:pt idx="32">
                  <c:v>1Q17</c:v>
                </c:pt>
                <c:pt idx="33">
                  <c:v>2Q17</c:v>
                </c:pt>
                <c:pt idx="34">
                  <c:v>3Q17</c:v>
                </c:pt>
                <c:pt idx="35">
                  <c:v>4Q17</c:v>
                </c:pt>
                <c:pt idx="36">
                  <c:v>1Q18</c:v>
                </c:pt>
                <c:pt idx="37">
                  <c:v>2Q18</c:v>
                </c:pt>
                <c:pt idx="38">
                  <c:v>3Q18</c:v>
                </c:pt>
                <c:pt idx="39">
                  <c:v>4Q18</c:v>
                </c:pt>
              </c:strCache>
            </c:strRef>
          </c:cat>
          <c:val>
            <c:numRef>
              <c:f>'Price Relationships'!$E$33:$E$72</c:f>
              <c:numCache>
                <c:formatCode>_(* #,##0_);_(* \(#,##0\);_(* "-"??_);_(@_)</c:formatCode>
                <c:ptCount val="40"/>
                <c:pt idx="0">
                  <c:v>2353</c:v>
                </c:pt>
                <c:pt idx="1">
                  <c:v>1526</c:v>
                </c:pt>
                <c:pt idx="2">
                  <c:v>1474</c:v>
                </c:pt>
                <c:pt idx="3">
                  <c:v>1462</c:v>
                </c:pt>
                <c:pt idx="4">
                  <c:v>1389</c:v>
                </c:pt>
                <c:pt idx="5">
                  <c:v>1496</c:v>
                </c:pt>
                <c:pt idx="6">
                  <c:v>1559</c:v>
                </c:pt>
                <c:pt idx="7">
                  <c:v>1504</c:v>
                </c:pt>
                <c:pt idx="8">
                  <c:v>1447</c:v>
                </c:pt>
                <c:pt idx="9">
                  <c:v>1565</c:v>
                </c:pt>
                <c:pt idx="10">
                  <c:v>1699</c:v>
                </c:pt>
                <c:pt idx="11">
                  <c:v>1711</c:v>
                </c:pt>
                <c:pt idx="12">
                  <c:v>1727</c:v>
                </c:pt>
                <c:pt idx="13">
                  <c:v>1706</c:v>
                </c:pt>
                <c:pt idx="14">
                  <c:v>1676</c:v>
                </c:pt>
                <c:pt idx="15">
                  <c:v>1624</c:v>
                </c:pt>
                <c:pt idx="16">
                  <c:v>1556</c:v>
                </c:pt>
                <c:pt idx="17">
                  <c:v>1510</c:v>
                </c:pt>
                <c:pt idx="18">
                  <c:v>1543</c:v>
                </c:pt>
                <c:pt idx="19">
                  <c:v>1509</c:v>
                </c:pt>
                <c:pt idx="20">
                  <c:v>1479</c:v>
                </c:pt>
                <c:pt idx="21">
                  <c:v>1479</c:v>
                </c:pt>
                <c:pt idx="22">
                  <c:v>1567</c:v>
                </c:pt>
                <c:pt idx="23">
                  <c:v>1625</c:v>
                </c:pt>
                <c:pt idx="24">
                  <c:v>1637</c:v>
                </c:pt>
                <c:pt idx="25">
                  <c:v>1651</c:v>
                </c:pt>
                <c:pt idx="26">
                  <c:v>1264</c:v>
                </c:pt>
                <c:pt idx="27">
                  <c:v>1273</c:v>
                </c:pt>
                <c:pt idx="28">
                  <c:v>1180</c:v>
                </c:pt>
                <c:pt idx="29">
                  <c:v>1050</c:v>
                </c:pt>
                <c:pt idx="30">
                  <c:v>1049</c:v>
                </c:pt>
                <c:pt idx="31">
                  <c:v>1027</c:v>
                </c:pt>
                <c:pt idx="32">
                  <c:v>1097</c:v>
                </c:pt>
                <c:pt idx="33">
                  <c:v>1234</c:v>
                </c:pt>
                <c:pt idx="34">
                  <c:v>1433</c:v>
                </c:pt>
                <c:pt idx="35">
                  <c:v>1417</c:v>
                </c:pt>
                <c:pt idx="36">
                  <c:v>1455.8063066666666</c:v>
                </c:pt>
                <c:pt idx="37">
                  <c:v>1586.3848699999999</c:v>
                </c:pt>
                <c:pt idx="38">
                  <c:v>1638.4294766666669</c:v>
                </c:pt>
                <c:pt idx="39">
                  <c:v>1620.4592133333335</c:v>
                </c:pt>
              </c:numCache>
            </c:numRef>
          </c:val>
          <c:smooth val="0"/>
        </c:ser>
        <c:ser>
          <c:idx val="1"/>
          <c:order val="1"/>
          <c:tx>
            <c:strRef>
              <c:f>'Price Relationships'!$J$3</c:f>
              <c:strCache>
                <c:ptCount val="1"/>
                <c:pt idx="0">
                  <c:v>Spot Price</c:v>
                </c:pt>
              </c:strCache>
            </c:strRef>
          </c:tx>
          <c:spPr>
            <a:ln w="12700">
              <a:solidFill>
                <a:srgbClr val="F6C54C"/>
              </a:solidFill>
              <a:prstDash val="solid"/>
            </a:ln>
          </c:spPr>
          <c:marker>
            <c:symbol val="square"/>
            <c:size val="5"/>
            <c:spPr>
              <a:solidFill>
                <a:srgbClr val="F6C54C"/>
              </a:solidFill>
              <a:ln>
                <a:solidFill>
                  <a:srgbClr val="F6C54C"/>
                </a:solidFill>
                <a:prstDash val="solid"/>
              </a:ln>
            </c:spPr>
          </c:marker>
          <c:cat>
            <c:strRef>
              <c:f>'Price Relationships'!$A$33:$A$72</c:f>
              <c:strCache>
                <c:ptCount val="40"/>
                <c:pt idx="0">
                  <c:v>1Q09</c:v>
                </c:pt>
                <c:pt idx="1">
                  <c:v>2Q09</c:v>
                </c:pt>
                <c:pt idx="2">
                  <c:v>3Q09</c:v>
                </c:pt>
                <c:pt idx="3">
                  <c:v>4Q09</c:v>
                </c:pt>
                <c:pt idx="4">
                  <c:v>1Q10</c:v>
                </c:pt>
                <c:pt idx="5">
                  <c:v>2Q10</c:v>
                </c:pt>
                <c:pt idx="6">
                  <c:v>3Q10</c:v>
                </c:pt>
                <c:pt idx="7">
                  <c:v>4Q10</c:v>
                </c:pt>
                <c:pt idx="8">
                  <c:v>1Q11</c:v>
                </c:pt>
                <c:pt idx="9">
                  <c:v>2Q11</c:v>
                </c:pt>
                <c:pt idx="10">
                  <c:v>3Q11</c:v>
                </c:pt>
                <c:pt idx="11">
                  <c:v>4Q11</c:v>
                </c:pt>
                <c:pt idx="12">
                  <c:v>1Q12</c:v>
                </c:pt>
                <c:pt idx="13">
                  <c:v>2Q12</c:v>
                </c:pt>
                <c:pt idx="14">
                  <c:v>3Q12</c:v>
                </c:pt>
                <c:pt idx="15">
                  <c:v>4Q12</c:v>
                </c:pt>
                <c:pt idx="16">
                  <c:v>1Q13</c:v>
                </c:pt>
                <c:pt idx="17">
                  <c:v>2Q13</c:v>
                </c:pt>
                <c:pt idx="18">
                  <c:v>3Q13</c:v>
                </c:pt>
                <c:pt idx="19">
                  <c:v>4Q13</c:v>
                </c:pt>
                <c:pt idx="20">
                  <c:v>1Q14</c:v>
                </c:pt>
                <c:pt idx="21">
                  <c:v>2Q14</c:v>
                </c:pt>
                <c:pt idx="22">
                  <c:v>3Q14</c:v>
                </c:pt>
                <c:pt idx="23">
                  <c:v>4Q14</c:v>
                </c:pt>
                <c:pt idx="24">
                  <c:v>1Q15</c:v>
                </c:pt>
                <c:pt idx="25">
                  <c:v>2Q15</c:v>
                </c:pt>
                <c:pt idx="26">
                  <c:v>3Q15</c:v>
                </c:pt>
                <c:pt idx="27">
                  <c:v>4Q15</c:v>
                </c:pt>
                <c:pt idx="28">
                  <c:v>1Q16</c:v>
                </c:pt>
                <c:pt idx="29">
                  <c:v>2Q16</c:v>
                </c:pt>
                <c:pt idx="30">
                  <c:v>3Q16</c:v>
                </c:pt>
                <c:pt idx="31">
                  <c:v>4Q16</c:v>
                </c:pt>
                <c:pt idx="32">
                  <c:v>1Q17</c:v>
                </c:pt>
                <c:pt idx="33">
                  <c:v>2Q17</c:v>
                </c:pt>
                <c:pt idx="34">
                  <c:v>3Q17</c:v>
                </c:pt>
                <c:pt idx="35">
                  <c:v>4Q17</c:v>
                </c:pt>
                <c:pt idx="36">
                  <c:v>1Q18</c:v>
                </c:pt>
                <c:pt idx="37">
                  <c:v>2Q18</c:v>
                </c:pt>
                <c:pt idx="38">
                  <c:v>3Q18</c:v>
                </c:pt>
                <c:pt idx="39">
                  <c:v>4Q18</c:v>
                </c:pt>
              </c:strCache>
            </c:strRef>
          </c:cat>
          <c:val>
            <c:numRef>
              <c:f>'Price Relationships'!$L$33:$L$72</c:f>
              <c:numCache>
                <c:formatCode>_(* #,##0_);_(* \(#,##0\);_(* "-"??_);_(@_)</c:formatCode>
                <c:ptCount val="40"/>
                <c:pt idx="0">
                  <c:v>2209.1200000000003</c:v>
                </c:pt>
                <c:pt idx="1">
                  <c:v>1583.67</c:v>
                </c:pt>
                <c:pt idx="2">
                  <c:v>1452.0900000000001</c:v>
                </c:pt>
                <c:pt idx="3">
                  <c:v>1436.0233333333331</c:v>
                </c:pt>
                <c:pt idx="4">
                  <c:v>1576.0333333333335</c:v>
                </c:pt>
                <c:pt idx="5">
                  <c:v>1728.4733333333334</c:v>
                </c:pt>
                <c:pt idx="6">
                  <c:v>1784.1266666666668</c:v>
                </c:pt>
                <c:pt idx="7">
                  <c:v>1719.4766666666665</c:v>
                </c:pt>
                <c:pt idx="8">
                  <c:v>1722.51</c:v>
                </c:pt>
                <c:pt idx="9">
                  <c:v>1832.7</c:v>
                </c:pt>
                <c:pt idx="10">
                  <c:v>1881.8333333333335</c:v>
                </c:pt>
                <c:pt idx="11">
                  <c:v>1891.56</c:v>
                </c:pt>
                <c:pt idx="12">
                  <c:v>1853.9633333333331</c:v>
                </c:pt>
                <c:pt idx="13">
                  <c:v>1800.8766666666666</c:v>
                </c:pt>
                <c:pt idx="14">
                  <c:v>1745.21</c:v>
                </c:pt>
                <c:pt idx="15">
                  <c:v>1692.5666666666666</c:v>
                </c:pt>
                <c:pt idx="16">
                  <c:v>1645.8066666666668</c:v>
                </c:pt>
                <c:pt idx="17">
                  <c:v>1590.7933333333333</c:v>
                </c:pt>
                <c:pt idx="18">
                  <c:v>1551.4933333333331</c:v>
                </c:pt>
                <c:pt idx="19">
                  <c:v>1555.1666666666667</c:v>
                </c:pt>
                <c:pt idx="20">
                  <c:v>1534.7866666666666</c:v>
                </c:pt>
                <c:pt idx="21">
                  <c:v>1562.7633333333331</c:v>
                </c:pt>
                <c:pt idx="22">
                  <c:v>1667.7833333333331</c:v>
                </c:pt>
                <c:pt idx="23">
                  <c:v>1758.4766666666667</c:v>
                </c:pt>
                <c:pt idx="24">
                  <c:v>1608.2933333333333</c:v>
                </c:pt>
                <c:pt idx="25">
                  <c:v>1435.7466666666667</c:v>
                </c:pt>
                <c:pt idx="26">
                  <c:v>1307.0233333333333</c:v>
                </c:pt>
                <c:pt idx="27">
                  <c:v>1189.6766666666665</c:v>
                </c:pt>
                <c:pt idx="28">
                  <c:v>1118.4633333333334</c:v>
                </c:pt>
                <c:pt idx="29">
                  <c:v>1078.0333333333335</c:v>
                </c:pt>
                <c:pt idx="30">
                  <c:v>1099.3999999999999</c:v>
                </c:pt>
                <c:pt idx="31">
                  <c:v>1085.8733333333334</c:v>
                </c:pt>
                <c:pt idx="32">
                  <c:v>1208.8066666666664</c:v>
                </c:pt>
                <c:pt idx="33">
                  <c:v>1404.85</c:v>
                </c:pt>
                <c:pt idx="34">
                  <c:v>1403.1366666666668</c:v>
                </c:pt>
                <c:pt idx="35">
                  <c:v>1406.6933333333334</c:v>
                </c:pt>
                <c:pt idx="36">
                  <c:v>1461.7066666666667</c:v>
                </c:pt>
                <c:pt idx="37">
                  <c:v>1650.15</c:v>
                </c:pt>
                <c:pt idx="38">
                  <c:v>1624.8500000000001</c:v>
                </c:pt>
                <c:pt idx="39">
                  <c:v>1607.1999999999998</c:v>
                </c:pt>
              </c:numCache>
            </c:numRef>
          </c:val>
          <c:smooth val="0"/>
        </c:ser>
        <c:dLbls>
          <c:showLegendKey val="0"/>
          <c:showVal val="0"/>
          <c:showCatName val="0"/>
          <c:showSerName val="0"/>
          <c:showPercent val="0"/>
          <c:showBubbleSize val="0"/>
        </c:dLbls>
        <c:marker val="1"/>
        <c:smooth val="0"/>
        <c:axId val="665111936"/>
        <c:axId val="665118208"/>
      </c:lineChart>
      <c:catAx>
        <c:axId val="665111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665118208"/>
        <c:crosses val="autoZero"/>
        <c:auto val="1"/>
        <c:lblAlgn val="ctr"/>
        <c:lblOffset val="100"/>
        <c:tickLblSkip val="2"/>
        <c:tickMarkSkip val="1"/>
        <c:noMultiLvlLbl val="0"/>
      </c:catAx>
      <c:valAx>
        <c:axId val="665118208"/>
        <c:scaling>
          <c:orientation val="minMax"/>
          <c:min val="400"/>
        </c:scaling>
        <c:delete val="0"/>
        <c:axPos val="l"/>
        <c:majorGridlines>
          <c:spPr>
            <a:ln w="3175">
              <a:solidFill>
                <a:srgbClr val="000000"/>
              </a:solidFill>
              <a:prstDash val="solid"/>
            </a:ln>
          </c:spPr>
        </c:majorGridlines>
        <c:title>
          <c:tx>
            <c:rich>
              <a:bodyPr/>
              <a:lstStyle/>
              <a:p>
                <a:pPr>
                  <a:defRPr b="1"/>
                </a:pPr>
                <a:r>
                  <a:rPr lang="en-US" b="1"/>
                  <a:t>$/ton</a:t>
                </a:r>
              </a:p>
            </c:rich>
          </c:tx>
          <c:layout>
            <c:manualLayout>
              <c:xMode val="edge"/>
              <c:yMode val="edge"/>
              <c:x val="6.6669062368488949E-3"/>
              <c:y val="0.38634608098748624"/>
            </c:manualLayout>
          </c:layout>
          <c:overlay val="0"/>
          <c:spPr>
            <a:noFill/>
            <a:ln w="25400">
              <a:noFill/>
            </a:ln>
          </c:spPr>
        </c:title>
        <c:numFmt formatCode="_(* #,##0_);_(* \(#,##0\);_(* &quot;-&quot;??_);_(@_)" sourceLinked="1"/>
        <c:majorTickMark val="out"/>
        <c:minorTickMark val="none"/>
        <c:tickLblPos val="nextTo"/>
        <c:spPr>
          <a:ln w="3175">
            <a:solidFill>
              <a:srgbClr val="000000"/>
            </a:solidFill>
            <a:prstDash val="solid"/>
          </a:ln>
        </c:spPr>
        <c:txPr>
          <a:bodyPr rot="0" vert="horz"/>
          <a:lstStyle/>
          <a:p>
            <a:pPr>
              <a:defRPr/>
            </a:pPr>
            <a:endParaRPr lang="en-US"/>
          </a:p>
        </c:txPr>
        <c:crossAx val="665111936"/>
        <c:crosses val="autoZero"/>
        <c:crossBetween val="between"/>
      </c:valAx>
      <c:spPr>
        <a:noFill/>
        <a:ln w="3175">
          <a:solidFill>
            <a:srgbClr val="000000"/>
          </a:solidFill>
          <a:prstDash val="solid"/>
        </a:ln>
      </c:spPr>
    </c:plotArea>
    <c:legend>
      <c:legendPos val="t"/>
      <c:overlay val="0"/>
      <c:spPr>
        <a:solidFill>
          <a:srgbClr val="FFFFFF"/>
        </a:solidFill>
        <a:ln w="25400">
          <a:noFill/>
        </a:ln>
      </c:spPr>
    </c:legend>
    <c:plotVisOnly val="1"/>
    <c:dispBlanksAs val="gap"/>
    <c:showDLblsOverMax val="0"/>
  </c:chart>
  <c:spPr>
    <a:solidFill>
      <a:srgbClr val="FFFFFF"/>
    </a:solidFill>
    <a:ln w="3175">
      <a:noFill/>
      <a:prstDash val="solid"/>
    </a:ln>
  </c:spPr>
  <c:txPr>
    <a:bodyPr/>
    <a:lstStyle/>
    <a:p>
      <a:pPr>
        <a:defRPr sz="1000" b="0" i="0" u="none" strike="noStrike" baseline="0">
          <a:solidFill>
            <a:srgbClr val="000000"/>
          </a:solidFill>
          <a:latin typeface="Arial" panose="020B0604020202020204" pitchFamily="34" charset="0"/>
          <a:ea typeface="Times New Roman"/>
          <a:cs typeface="Arial" panose="020B0604020202020204" pitchFamily="34" charset="0"/>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1000"/>
            </a:pPr>
            <a:r>
              <a:rPr lang="en-US" sz="1000"/>
              <a:t>Plan Asset Allocation(%)</a:t>
            </a:r>
          </a:p>
        </c:rich>
      </c:tx>
      <c:layout>
        <c:manualLayout>
          <c:xMode val="edge"/>
          <c:yMode val="edge"/>
          <c:x val="0.27508192543893178"/>
          <c:y val="2.1186440677966101E-2"/>
        </c:manualLayout>
      </c:layout>
      <c:overlay val="0"/>
    </c:title>
    <c:autoTitleDeleted val="0"/>
    <c:plotArea>
      <c:layout>
        <c:manualLayout>
          <c:layoutTarget val="inner"/>
          <c:xMode val="edge"/>
          <c:yMode val="edge"/>
          <c:x val="0.17475783385743407"/>
          <c:y val="0.15677966101694915"/>
          <c:w val="0.77993773999336313"/>
          <c:h val="0.51271186440677963"/>
        </c:manualLayout>
      </c:layout>
      <c:barChart>
        <c:barDir val="col"/>
        <c:grouping val="percentStacked"/>
        <c:varyColors val="0"/>
        <c:ser>
          <c:idx val="0"/>
          <c:order val="0"/>
          <c:tx>
            <c:strRef>
              <c:f>Pension!$CC$27</c:f>
              <c:strCache>
                <c:ptCount val="1"/>
                <c:pt idx="0">
                  <c:v>   Equity</c:v>
                </c:pt>
              </c:strCache>
            </c:strRef>
          </c:tx>
          <c:invertIfNegative val="0"/>
          <c:cat>
            <c:numRef>
              <c:f>Pension!$CD$26:$CG$26</c:f>
              <c:numCache>
                <c:formatCode>General</c:formatCode>
                <c:ptCount val="4"/>
                <c:pt idx="0">
                  <c:v>2009</c:v>
                </c:pt>
                <c:pt idx="1">
                  <c:v>2010</c:v>
                </c:pt>
                <c:pt idx="2">
                  <c:v>2011</c:v>
                </c:pt>
                <c:pt idx="3">
                  <c:v>2012</c:v>
                </c:pt>
              </c:numCache>
            </c:numRef>
          </c:cat>
          <c:val>
            <c:numRef>
              <c:f>Pension!$CD$27:$CG$27</c:f>
              <c:numCache>
                <c:formatCode>0%</c:formatCode>
                <c:ptCount val="4"/>
                <c:pt idx="0">
                  <c:v>0.62</c:v>
                </c:pt>
                <c:pt idx="1">
                  <c:v>0.63</c:v>
                </c:pt>
                <c:pt idx="2">
                  <c:v>0.54</c:v>
                </c:pt>
                <c:pt idx="3">
                  <c:v>0.46</c:v>
                </c:pt>
              </c:numCache>
            </c:numRef>
          </c:val>
        </c:ser>
        <c:ser>
          <c:idx val="1"/>
          <c:order val="1"/>
          <c:tx>
            <c:strRef>
              <c:f>Pension!$CC$28</c:f>
              <c:strCache>
                <c:ptCount val="1"/>
                <c:pt idx="0">
                  <c:v>   Fixed Income</c:v>
                </c:pt>
              </c:strCache>
            </c:strRef>
          </c:tx>
          <c:invertIfNegative val="0"/>
          <c:cat>
            <c:numRef>
              <c:f>Pension!$CD$26:$CG$26</c:f>
              <c:numCache>
                <c:formatCode>General</c:formatCode>
                <c:ptCount val="4"/>
                <c:pt idx="0">
                  <c:v>2009</c:v>
                </c:pt>
                <c:pt idx="1">
                  <c:v>2010</c:v>
                </c:pt>
                <c:pt idx="2">
                  <c:v>2011</c:v>
                </c:pt>
                <c:pt idx="3">
                  <c:v>2012</c:v>
                </c:pt>
              </c:numCache>
            </c:numRef>
          </c:cat>
          <c:val>
            <c:numRef>
              <c:f>Pension!$CD$28:$CG$28</c:f>
              <c:numCache>
                <c:formatCode>0%</c:formatCode>
                <c:ptCount val="4"/>
                <c:pt idx="0">
                  <c:v>0.28000000000000003</c:v>
                </c:pt>
                <c:pt idx="1">
                  <c:v>0.25</c:v>
                </c:pt>
                <c:pt idx="2">
                  <c:v>0.27</c:v>
                </c:pt>
                <c:pt idx="3">
                  <c:v>0.32</c:v>
                </c:pt>
              </c:numCache>
            </c:numRef>
          </c:val>
        </c:ser>
        <c:ser>
          <c:idx val="2"/>
          <c:order val="2"/>
          <c:tx>
            <c:strRef>
              <c:f>Pension!$CC$29</c:f>
              <c:strCache>
                <c:ptCount val="1"/>
                <c:pt idx="0">
                  <c:v>   Real Estate</c:v>
                </c:pt>
              </c:strCache>
            </c:strRef>
          </c:tx>
          <c:invertIfNegative val="0"/>
          <c:cat>
            <c:numRef>
              <c:f>Pension!$CD$26:$CG$26</c:f>
              <c:numCache>
                <c:formatCode>General</c:formatCode>
                <c:ptCount val="4"/>
                <c:pt idx="0">
                  <c:v>2009</c:v>
                </c:pt>
                <c:pt idx="1">
                  <c:v>2010</c:v>
                </c:pt>
                <c:pt idx="2">
                  <c:v>2011</c:v>
                </c:pt>
                <c:pt idx="3">
                  <c:v>2012</c:v>
                </c:pt>
              </c:numCache>
            </c:numRef>
          </c:cat>
          <c:val>
            <c:numRef>
              <c:f>Pension!$CD$29:$CG$29</c:f>
              <c:numCache>
                <c:formatCode>0%</c:formatCode>
                <c:ptCount val="4"/>
                <c:pt idx="0">
                  <c:v>0</c:v>
                </c:pt>
                <c:pt idx="1">
                  <c:v>0</c:v>
                </c:pt>
                <c:pt idx="2">
                  <c:v>0.03</c:v>
                </c:pt>
                <c:pt idx="3">
                  <c:v>0.04</c:v>
                </c:pt>
              </c:numCache>
            </c:numRef>
          </c:val>
        </c:ser>
        <c:ser>
          <c:idx val="3"/>
          <c:order val="3"/>
          <c:tx>
            <c:strRef>
              <c:f>Pension!$CC$30</c:f>
              <c:strCache>
                <c:ptCount val="1"/>
                <c:pt idx="0">
                  <c:v>   Other</c:v>
                </c:pt>
              </c:strCache>
            </c:strRef>
          </c:tx>
          <c:invertIfNegative val="0"/>
          <c:cat>
            <c:numRef>
              <c:f>Pension!$CD$26:$CG$26</c:f>
              <c:numCache>
                <c:formatCode>General</c:formatCode>
                <c:ptCount val="4"/>
                <c:pt idx="0">
                  <c:v>2009</c:v>
                </c:pt>
                <c:pt idx="1">
                  <c:v>2010</c:v>
                </c:pt>
                <c:pt idx="2">
                  <c:v>2011</c:v>
                </c:pt>
                <c:pt idx="3">
                  <c:v>2012</c:v>
                </c:pt>
              </c:numCache>
            </c:numRef>
          </c:cat>
          <c:val>
            <c:numRef>
              <c:f>Pension!$CD$30:$CG$30</c:f>
              <c:numCache>
                <c:formatCode>0%</c:formatCode>
                <c:ptCount val="4"/>
                <c:pt idx="0">
                  <c:v>0.1</c:v>
                </c:pt>
                <c:pt idx="1">
                  <c:v>0.12</c:v>
                </c:pt>
                <c:pt idx="2">
                  <c:v>0.16</c:v>
                </c:pt>
                <c:pt idx="3">
                  <c:v>0.18</c:v>
                </c:pt>
              </c:numCache>
            </c:numRef>
          </c:val>
        </c:ser>
        <c:dLbls>
          <c:showLegendKey val="0"/>
          <c:showVal val="0"/>
          <c:showCatName val="0"/>
          <c:showSerName val="0"/>
          <c:showPercent val="0"/>
          <c:showBubbleSize val="0"/>
        </c:dLbls>
        <c:gapWidth val="150"/>
        <c:overlap val="100"/>
        <c:axId val="707590016"/>
        <c:axId val="707591552"/>
      </c:barChart>
      <c:catAx>
        <c:axId val="707590016"/>
        <c:scaling>
          <c:orientation val="minMax"/>
        </c:scaling>
        <c:delete val="0"/>
        <c:axPos val="b"/>
        <c:numFmt formatCode="General" sourceLinked="1"/>
        <c:majorTickMark val="out"/>
        <c:minorTickMark val="none"/>
        <c:tickLblPos val="nextTo"/>
        <c:txPr>
          <a:bodyPr rot="0" vert="horz"/>
          <a:lstStyle/>
          <a:p>
            <a:pPr>
              <a:defRPr/>
            </a:pPr>
            <a:endParaRPr lang="en-US"/>
          </a:p>
        </c:txPr>
        <c:crossAx val="707591552"/>
        <c:crosses val="autoZero"/>
        <c:auto val="1"/>
        <c:lblAlgn val="ctr"/>
        <c:lblOffset val="100"/>
        <c:tickLblSkip val="1"/>
        <c:tickMarkSkip val="1"/>
        <c:noMultiLvlLbl val="0"/>
      </c:catAx>
      <c:valAx>
        <c:axId val="707591552"/>
        <c:scaling>
          <c:orientation val="minMax"/>
        </c:scaling>
        <c:delete val="0"/>
        <c:axPos val="l"/>
        <c:majorGridlines/>
        <c:numFmt formatCode="0%" sourceLinked="1"/>
        <c:majorTickMark val="out"/>
        <c:minorTickMark val="none"/>
        <c:tickLblPos val="nextTo"/>
        <c:txPr>
          <a:bodyPr rot="0" vert="horz"/>
          <a:lstStyle/>
          <a:p>
            <a:pPr>
              <a:defRPr/>
            </a:pPr>
            <a:endParaRPr lang="en-US"/>
          </a:p>
        </c:txPr>
        <c:crossAx val="707590016"/>
        <c:crosses val="autoZero"/>
        <c:crossBetween val="between"/>
      </c:valAx>
    </c:plotArea>
    <c:legend>
      <c:legendPos val="b"/>
      <c:layout>
        <c:manualLayout>
          <c:xMode val="edge"/>
          <c:yMode val="edge"/>
          <c:x val="6.14890129025134E-2"/>
          <c:y val="0.81355932203389836"/>
          <c:w val="0.91586066304818692"/>
          <c:h val="0.16949152542372881"/>
        </c:manualLayout>
      </c:layout>
      <c:overlay val="0"/>
    </c:legend>
    <c:plotVisOnly val="1"/>
    <c:dispBlanksAs val="gap"/>
    <c:showDLblsOverMax val="0"/>
  </c:chart>
  <c:printSettings>
    <c:headerFooter alignWithMargins="0"/>
    <c:pageMargins b="1" l="0.75" r="0.75" t="1" header="0.5" footer="0.5"/>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US"/>
              <a:t>Pension Funded Status</a:t>
            </a:r>
          </a:p>
        </c:rich>
      </c:tx>
      <c:layout>
        <c:manualLayout>
          <c:xMode val="edge"/>
          <c:yMode val="edge"/>
          <c:x val="8.5016077170417995E-2"/>
          <c:y val="4.9904537060635728E-3"/>
        </c:manualLayout>
      </c:layout>
      <c:overlay val="0"/>
    </c:title>
    <c:autoTitleDeleted val="0"/>
    <c:plotArea>
      <c:layout>
        <c:manualLayout>
          <c:layoutTarget val="inner"/>
          <c:xMode val="edge"/>
          <c:yMode val="edge"/>
          <c:x val="0.1354840843688325"/>
          <c:y val="0.1762114537444934"/>
          <c:w val="0.70322691410489246"/>
          <c:h val="0.54625550660792954"/>
        </c:manualLayout>
      </c:layout>
      <c:barChart>
        <c:barDir val="col"/>
        <c:grouping val="clustered"/>
        <c:varyColors val="0"/>
        <c:ser>
          <c:idx val="1"/>
          <c:order val="0"/>
          <c:tx>
            <c:v>Funded Status(%)</c:v>
          </c:tx>
          <c:invertIfNegative val="0"/>
          <c:dLbls>
            <c:numFmt formatCode="0%" sourceLinked="0"/>
            <c:showLegendKey val="0"/>
            <c:showVal val="1"/>
            <c:showCatName val="0"/>
            <c:showSerName val="0"/>
            <c:showPercent val="0"/>
            <c:showBubbleSize val="0"/>
            <c:showLeaderLines val="0"/>
          </c:dLbls>
          <c:cat>
            <c:numRef>
              <c:f>Pension!$CD$38:$CJ$38</c:f>
              <c:numCache>
                <c:formatCode>General</c:formatCode>
                <c:ptCount val="7"/>
                <c:pt idx="0">
                  <c:v>2009</c:v>
                </c:pt>
                <c:pt idx="1">
                  <c:v>2010</c:v>
                </c:pt>
                <c:pt idx="2">
                  <c:v>2011</c:v>
                </c:pt>
                <c:pt idx="3">
                  <c:v>2012</c:v>
                </c:pt>
                <c:pt idx="4">
                  <c:v>2013</c:v>
                </c:pt>
                <c:pt idx="5">
                  <c:v>2014</c:v>
                </c:pt>
                <c:pt idx="6">
                  <c:v>2015</c:v>
                </c:pt>
              </c:numCache>
            </c:numRef>
          </c:cat>
          <c:val>
            <c:numRef>
              <c:f>Pension!$CD$43:$CJ$43</c:f>
              <c:numCache>
                <c:formatCode>0%</c:formatCode>
                <c:ptCount val="7"/>
                <c:pt idx="0">
                  <c:v>0.82899479375250296</c:v>
                </c:pt>
                <c:pt idx="1">
                  <c:v>0.81420507996237068</c:v>
                </c:pt>
                <c:pt idx="2">
                  <c:v>0.77558031569173635</c:v>
                </c:pt>
                <c:pt idx="3">
                  <c:v>0.76310919185687842</c:v>
                </c:pt>
                <c:pt idx="4">
                  <c:v>0.88934386272789312</c:v>
                </c:pt>
                <c:pt idx="5">
                  <c:v>0.8680147561142233</c:v>
                </c:pt>
                <c:pt idx="6">
                  <c:v>0.8846877941637904</c:v>
                </c:pt>
              </c:numCache>
            </c:numRef>
          </c:val>
        </c:ser>
        <c:dLbls>
          <c:showLegendKey val="0"/>
          <c:showVal val="0"/>
          <c:showCatName val="0"/>
          <c:showSerName val="0"/>
          <c:showPercent val="0"/>
          <c:showBubbleSize val="0"/>
        </c:dLbls>
        <c:gapWidth val="150"/>
        <c:axId val="707647360"/>
        <c:axId val="707648896"/>
      </c:barChart>
      <c:lineChart>
        <c:grouping val="standard"/>
        <c:varyColors val="0"/>
        <c:ser>
          <c:idx val="0"/>
          <c:order val="1"/>
          <c:tx>
            <c:strRef>
              <c:f>Pension!$CC$42</c:f>
              <c:strCache>
                <c:ptCount val="1"/>
                <c:pt idx="0">
                  <c:v>% of Market cap</c:v>
                </c:pt>
              </c:strCache>
            </c:strRef>
          </c:tx>
          <c:marker>
            <c:symbol val="none"/>
          </c:marker>
          <c:cat>
            <c:numRef>
              <c:f>Pension!$CD$38:$CJ$38</c:f>
              <c:numCache>
                <c:formatCode>General</c:formatCode>
                <c:ptCount val="7"/>
                <c:pt idx="0">
                  <c:v>2009</c:v>
                </c:pt>
                <c:pt idx="1">
                  <c:v>2010</c:v>
                </c:pt>
                <c:pt idx="2">
                  <c:v>2011</c:v>
                </c:pt>
                <c:pt idx="3">
                  <c:v>2012</c:v>
                </c:pt>
                <c:pt idx="4">
                  <c:v>2013</c:v>
                </c:pt>
                <c:pt idx="5">
                  <c:v>2014</c:v>
                </c:pt>
                <c:pt idx="6">
                  <c:v>2015</c:v>
                </c:pt>
              </c:numCache>
            </c:numRef>
          </c:cat>
          <c:val>
            <c:numRef>
              <c:f>Pension!$CD$42:$CJ$42</c:f>
              <c:numCache>
                <c:formatCode>0%</c:formatCode>
                <c:ptCount val="7"/>
                <c:pt idx="0">
                  <c:v>0.21616216874550406</c:v>
                </c:pt>
                <c:pt idx="1">
                  <c:v>0.2353995188151243</c:v>
                </c:pt>
                <c:pt idx="2">
                  <c:v>0.63435308271275892</c:v>
                </c:pt>
                <c:pt idx="3">
                  <c:v>0.78114446420317984</c:v>
                </c:pt>
                <c:pt idx="4">
                  <c:v>0.36274279731536951</c:v>
                </c:pt>
                <c:pt idx="5">
                  <c:v>0.30873087419087836</c:v>
                </c:pt>
                <c:pt idx="6">
                  <c:v>0.23490392601479876</c:v>
                </c:pt>
              </c:numCache>
            </c:numRef>
          </c:val>
          <c:smooth val="0"/>
        </c:ser>
        <c:dLbls>
          <c:showLegendKey val="0"/>
          <c:showVal val="0"/>
          <c:showCatName val="0"/>
          <c:showSerName val="0"/>
          <c:showPercent val="0"/>
          <c:showBubbleSize val="0"/>
        </c:dLbls>
        <c:marker val="1"/>
        <c:smooth val="0"/>
        <c:axId val="708715648"/>
        <c:axId val="708717184"/>
      </c:lineChart>
      <c:catAx>
        <c:axId val="707647360"/>
        <c:scaling>
          <c:orientation val="minMax"/>
        </c:scaling>
        <c:delete val="0"/>
        <c:axPos val="b"/>
        <c:numFmt formatCode="General" sourceLinked="1"/>
        <c:majorTickMark val="out"/>
        <c:minorTickMark val="none"/>
        <c:tickLblPos val="nextTo"/>
        <c:txPr>
          <a:bodyPr rot="0" vert="horz"/>
          <a:lstStyle/>
          <a:p>
            <a:pPr>
              <a:defRPr/>
            </a:pPr>
            <a:endParaRPr lang="en-US"/>
          </a:p>
        </c:txPr>
        <c:crossAx val="707648896"/>
        <c:crosses val="autoZero"/>
        <c:auto val="0"/>
        <c:lblAlgn val="ctr"/>
        <c:lblOffset val="100"/>
        <c:tickLblSkip val="1"/>
        <c:tickMarkSkip val="1"/>
        <c:noMultiLvlLbl val="0"/>
      </c:catAx>
      <c:valAx>
        <c:axId val="707648896"/>
        <c:scaling>
          <c:orientation val="minMax"/>
        </c:scaling>
        <c:delete val="0"/>
        <c:axPos val="l"/>
        <c:numFmt formatCode="0%" sourceLinked="0"/>
        <c:majorTickMark val="out"/>
        <c:minorTickMark val="none"/>
        <c:tickLblPos val="nextTo"/>
        <c:txPr>
          <a:bodyPr rot="0" vert="horz"/>
          <a:lstStyle/>
          <a:p>
            <a:pPr>
              <a:defRPr/>
            </a:pPr>
            <a:endParaRPr lang="en-US"/>
          </a:p>
        </c:txPr>
        <c:crossAx val="707647360"/>
        <c:crosses val="autoZero"/>
        <c:crossBetween val="between"/>
      </c:valAx>
      <c:catAx>
        <c:axId val="708715648"/>
        <c:scaling>
          <c:orientation val="minMax"/>
        </c:scaling>
        <c:delete val="1"/>
        <c:axPos val="b"/>
        <c:numFmt formatCode="General" sourceLinked="1"/>
        <c:majorTickMark val="out"/>
        <c:minorTickMark val="none"/>
        <c:tickLblPos val="nextTo"/>
        <c:crossAx val="708717184"/>
        <c:crosses val="autoZero"/>
        <c:auto val="0"/>
        <c:lblAlgn val="ctr"/>
        <c:lblOffset val="100"/>
        <c:noMultiLvlLbl val="0"/>
      </c:catAx>
      <c:valAx>
        <c:axId val="708717184"/>
        <c:scaling>
          <c:orientation val="minMax"/>
        </c:scaling>
        <c:delete val="0"/>
        <c:axPos val="r"/>
        <c:numFmt formatCode="0.0%" sourceLinked="0"/>
        <c:majorTickMark val="cross"/>
        <c:minorTickMark val="none"/>
        <c:tickLblPos val="nextTo"/>
        <c:txPr>
          <a:bodyPr rot="0" vert="horz"/>
          <a:lstStyle/>
          <a:p>
            <a:pPr>
              <a:defRPr/>
            </a:pPr>
            <a:endParaRPr lang="en-US"/>
          </a:p>
        </c:txPr>
        <c:crossAx val="708715648"/>
        <c:crosses val="max"/>
        <c:crossBetween val="between"/>
      </c:valAx>
    </c:plotArea>
    <c:legend>
      <c:legendPos val="r"/>
      <c:layout>
        <c:manualLayout>
          <c:xMode val="edge"/>
          <c:yMode val="edge"/>
          <c:x val="3.5483870967741936E-2"/>
          <c:y val="0.89867841409691629"/>
          <c:w val="0.82580780628227912"/>
          <c:h val="8.8105726872246715E-2"/>
        </c:manualLayout>
      </c:layout>
      <c:overlay val="0"/>
    </c:legend>
    <c:plotVisOnly val="1"/>
    <c:dispBlanksAs val="gap"/>
    <c:showDLblsOverMax val="0"/>
  </c:chart>
  <c:printSettings>
    <c:headerFooter alignWithMargins="0">
      <c:oddHeader>&amp;A</c:oddHeader>
      <c:oddFooter>Page &amp;P</c:oddFooter>
    </c:headerFooter>
    <c:pageMargins b="1" l="0.75" r="0.75" t="1" header="0.5" footer="0.5"/>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1000"/>
            </a:pPr>
            <a:r>
              <a:rPr lang="en-US" sz="1000"/>
              <a:t>OPEB Liability</a:t>
            </a:r>
          </a:p>
        </c:rich>
      </c:tx>
      <c:layout>
        <c:manualLayout>
          <c:xMode val="edge"/>
          <c:yMode val="edge"/>
          <c:x val="0.37373843421087516"/>
          <c:y val="2.2831050228310501E-2"/>
        </c:manualLayout>
      </c:layout>
      <c:overlay val="0"/>
    </c:title>
    <c:autoTitleDeleted val="0"/>
    <c:plotArea>
      <c:layout>
        <c:manualLayout>
          <c:layoutTarget val="inner"/>
          <c:xMode val="edge"/>
          <c:yMode val="edge"/>
          <c:x val="0.14141460639798506"/>
          <c:y val="0.15525183384985841"/>
          <c:w val="0.69023795979968894"/>
          <c:h val="0.62100733539943365"/>
        </c:manualLayout>
      </c:layout>
      <c:barChart>
        <c:barDir val="col"/>
        <c:grouping val="clustered"/>
        <c:varyColors val="0"/>
        <c:ser>
          <c:idx val="1"/>
          <c:order val="0"/>
          <c:tx>
            <c:strRef>
              <c:f>Pension!$AS$186</c:f>
              <c:strCache>
                <c:ptCount val="1"/>
                <c:pt idx="0">
                  <c:v>OPEB in $ mn</c:v>
                </c:pt>
              </c:strCache>
            </c:strRef>
          </c:tx>
          <c:invertIfNegative val="0"/>
          <c:cat>
            <c:numRef>
              <c:f>OPEB!$CD$38:$CJ$38</c:f>
              <c:numCache>
                <c:formatCode>General</c:formatCode>
                <c:ptCount val="7"/>
                <c:pt idx="0">
                  <c:v>2009</c:v>
                </c:pt>
                <c:pt idx="1">
                  <c:v>2010</c:v>
                </c:pt>
                <c:pt idx="2">
                  <c:v>2011</c:v>
                </c:pt>
                <c:pt idx="3">
                  <c:v>2012</c:v>
                </c:pt>
                <c:pt idx="4">
                  <c:v>2013</c:v>
                </c:pt>
                <c:pt idx="5">
                  <c:v>2014</c:v>
                </c:pt>
                <c:pt idx="6">
                  <c:v>2015</c:v>
                </c:pt>
              </c:numCache>
            </c:numRef>
          </c:cat>
          <c:val>
            <c:numRef>
              <c:f>OPEB!$CD$42:$CJ$42</c:f>
              <c:numCache>
                <c:formatCode>0.00</c:formatCode>
                <c:ptCount val="7"/>
                <c:pt idx="0">
                  <c:v>4224</c:v>
                </c:pt>
                <c:pt idx="1">
                  <c:v>4340</c:v>
                </c:pt>
                <c:pt idx="2">
                  <c:v>4186</c:v>
                </c:pt>
                <c:pt idx="3">
                  <c:v>3940</c:v>
                </c:pt>
                <c:pt idx="4">
                  <c:v>3378</c:v>
                </c:pt>
                <c:pt idx="5">
                  <c:v>2715</c:v>
                </c:pt>
                <c:pt idx="6">
                  <c:v>2310</c:v>
                </c:pt>
              </c:numCache>
            </c:numRef>
          </c:val>
        </c:ser>
        <c:dLbls>
          <c:showLegendKey val="0"/>
          <c:showVal val="0"/>
          <c:showCatName val="0"/>
          <c:showSerName val="0"/>
          <c:showPercent val="0"/>
          <c:showBubbleSize val="0"/>
        </c:dLbls>
        <c:gapWidth val="150"/>
        <c:axId val="626068480"/>
        <c:axId val="626078464"/>
      </c:barChart>
      <c:lineChart>
        <c:grouping val="standard"/>
        <c:varyColors val="0"/>
        <c:ser>
          <c:idx val="0"/>
          <c:order val="1"/>
          <c:tx>
            <c:strRef>
              <c:f>Pension!$CC$42</c:f>
              <c:strCache>
                <c:ptCount val="1"/>
                <c:pt idx="0">
                  <c:v>% of Market cap</c:v>
                </c:pt>
              </c:strCache>
            </c:strRef>
          </c:tx>
          <c:marker>
            <c:symbol val="none"/>
          </c:marker>
          <c:cat>
            <c:numRef>
              <c:f>OPEB!$CD$38:$CJ$38</c:f>
              <c:numCache>
                <c:formatCode>General</c:formatCode>
                <c:ptCount val="7"/>
                <c:pt idx="0">
                  <c:v>2009</c:v>
                </c:pt>
                <c:pt idx="1">
                  <c:v>2010</c:v>
                </c:pt>
                <c:pt idx="2">
                  <c:v>2011</c:v>
                </c:pt>
                <c:pt idx="3">
                  <c:v>2012</c:v>
                </c:pt>
                <c:pt idx="4">
                  <c:v>2013</c:v>
                </c:pt>
                <c:pt idx="5">
                  <c:v>2014</c:v>
                </c:pt>
                <c:pt idx="6">
                  <c:v>2015</c:v>
                </c:pt>
              </c:numCache>
            </c:numRef>
          </c:cat>
          <c:val>
            <c:numRef>
              <c:f>OPEB!$CD$41:$CJ$41</c:f>
              <c:numCache>
                <c:formatCode>0.0%</c:formatCode>
                <c:ptCount val="7"/>
                <c:pt idx="0">
                  <c:v>0.53458372411066113</c:v>
                </c:pt>
                <c:pt idx="1">
                  <c:v>0.51728299324437443</c:v>
                </c:pt>
                <c:pt idx="2">
                  <c:v>1.098635500304348</c:v>
                </c:pt>
                <c:pt idx="3">
                  <c:v>1.1449810970835299</c:v>
                </c:pt>
                <c:pt idx="4">
                  <c:v>1.07959926813332</c:v>
                </c:pt>
                <c:pt idx="5">
                  <c:v>0.86770633895262406</c:v>
                </c:pt>
                <c:pt idx="6">
                  <c:v>0.7382694817607961</c:v>
                </c:pt>
              </c:numCache>
            </c:numRef>
          </c:val>
          <c:smooth val="0"/>
        </c:ser>
        <c:dLbls>
          <c:showLegendKey val="0"/>
          <c:showVal val="0"/>
          <c:showCatName val="0"/>
          <c:showSerName val="0"/>
          <c:showPercent val="0"/>
          <c:showBubbleSize val="0"/>
        </c:dLbls>
        <c:marker val="1"/>
        <c:smooth val="0"/>
        <c:axId val="626080000"/>
        <c:axId val="626081792"/>
      </c:lineChart>
      <c:catAx>
        <c:axId val="626068480"/>
        <c:scaling>
          <c:orientation val="minMax"/>
        </c:scaling>
        <c:delete val="0"/>
        <c:axPos val="b"/>
        <c:numFmt formatCode="General" sourceLinked="1"/>
        <c:majorTickMark val="out"/>
        <c:minorTickMark val="none"/>
        <c:tickLblPos val="nextTo"/>
        <c:txPr>
          <a:bodyPr rot="0" vert="horz"/>
          <a:lstStyle/>
          <a:p>
            <a:pPr>
              <a:defRPr/>
            </a:pPr>
            <a:endParaRPr lang="en-US"/>
          </a:p>
        </c:txPr>
        <c:crossAx val="626078464"/>
        <c:crosses val="autoZero"/>
        <c:auto val="0"/>
        <c:lblAlgn val="ctr"/>
        <c:lblOffset val="100"/>
        <c:tickLblSkip val="1"/>
        <c:tickMarkSkip val="1"/>
        <c:noMultiLvlLbl val="0"/>
      </c:catAx>
      <c:valAx>
        <c:axId val="626078464"/>
        <c:scaling>
          <c:orientation val="minMax"/>
          <c:min val="0"/>
        </c:scaling>
        <c:delete val="0"/>
        <c:axPos val="l"/>
        <c:numFmt formatCode="#,##0" sourceLinked="0"/>
        <c:majorTickMark val="out"/>
        <c:minorTickMark val="none"/>
        <c:tickLblPos val="nextTo"/>
        <c:txPr>
          <a:bodyPr rot="0" vert="horz"/>
          <a:lstStyle/>
          <a:p>
            <a:pPr>
              <a:defRPr/>
            </a:pPr>
            <a:endParaRPr lang="en-US"/>
          </a:p>
        </c:txPr>
        <c:crossAx val="626068480"/>
        <c:crosses val="autoZero"/>
        <c:crossBetween val="between"/>
      </c:valAx>
      <c:catAx>
        <c:axId val="626080000"/>
        <c:scaling>
          <c:orientation val="minMax"/>
        </c:scaling>
        <c:delete val="1"/>
        <c:axPos val="b"/>
        <c:numFmt formatCode="General" sourceLinked="1"/>
        <c:majorTickMark val="out"/>
        <c:minorTickMark val="none"/>
        <c:tickLblPos val="nextTo"/>
        <c:crossAx val="626081792"/>
        <c:crosses val="autoZero"/>
        <c:auto val="0"/>
        <c:lblAlgn val="ctr"/>
        <c:lblOffset val="100"/>
        <c:noMultiLvlLbl val="0"/>
      </c:catAx>
      <c:valAx>
        <c:axId val="626081792"/>
        <c:scaling>
          <c:orientation val="minMax"/>
        </c:scaling>
        <c:delete val="0"/>
        <c:axPos val="r"/>
        <c:numFmt formatCode="0.0%" sourceLinked="1"/>
        <c:majorTickMark val="cross"/>
        <c:minorTickMark val="none"/>
        <c:tickLblPos val="nextTo"/>
        <c:txPr>
          <a:bodyPr rot="0" vert="horz"/>
          <a:lstStyle/>
          <a:p>
            <a:pPr>
              <a:defRPr/>
            </a:pPr>
            <a:endParaRPr lang="en-US"/>
          </a:p>
        </c:txPr>
        <c:crossAx val="626080000"/>
        <c:crosses val="max"/>
        <c:crossBetween val="between"/>
      </c:valAx>
    </c:plotArea>
    <c:legend>
      <c:legendPos val="r"/>
      <c:layout>
        <c:manualLayout>
          <c:xMode val="edge"/>
          <c:yMode val="edge"/>
          <c:x val="1.6835016835016835E-2"/>
          <c:y val="0.89498100408681791"/>
          <c:w val="0.86532269324920241"/>
          <c:h val="9.1324680305372774E-2"/>
        </c:manualLayout>
      </c:layout>
      <c:overlay val="0"/>
      <c:txPr>
        <a:bodyPr/>
        <a:lstStyle/>
        <a:p>
          <a:pPr>
            <a:defRPr sz="1000"/>
          </a:pPr>
          <a:endParaRPr lang="en-US"/>
        </a:p>
      </c:txPr>
    </c:legend>
    <c:plotVisOnly val="1"/>
    <c:dispBlanksAs val="gap"/>
    <c:showDLblsOverMax val="0"/>
  </c:chart>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_rels/drawing2.xml.rels><?xml version="1.0" encoding="UTF-8" standalone="yes"?>
<Relationships xmlns="http://schemas.openxmlformats.org/package/2006/relationships">
<Relationship Id="rId1" Target="../media/image4.emf" Type="http://schemas.openxmlformats.org/officeDocument/2006/relationships/image"/>
</Relationships>

</file>

<file path=xl/drawings/_rels/drawing3.xml.rels><?xml version="1.0" encoding="UTF-8" standalone="yes"?>
<Relationships xmlns="http://schemas.openxmlformats.org/package/2006/relationships">
<Relationship Id="rId1" Target="../charts/chart1.xml" Type="http://schemas.openxmlformats.org/officeDocument/2006/relationships/chart"/>
<Relationship Id="rId2" Target="../charts/chart2.xml" Type="http://schemas.openxmlformats.org/officeDocument/2006/relationships/chart"/>
<Relationship Id="rId3" Target="../charts/chart3.xml" Type="http://schemas.openxmlformats.org/officeDocument/2006/relationships/chart"/>
</Relationships>

</file>

<file path=xl/drawings/_rels/drawing4.xml.rels><?xml version="1.0" encoding="UTF-8" standalone="yes"?>
<Relationships xmlns="http://schemas.openxmlformats.org/package/2006/relationships">
<Relationship Id="rId1" Target="../media/image4.emf" Type="http://schemas.openxmlformats.org/officeDocument/2006/relationships/image"/>
</Relationships>

</file>

<file path=xl/drawings/_rels/drawing5.xml.rels><?xml version="1.0" encoding="UTF-8" standalone="yes"?>
<Relationships xmlns="http://schemas.openxmlformats.org/package/2006/relationships">
<Relationship Id="rId1" Target="../charts/chart4.xml" Type="http://schemas.openxmlformats.org/officeDocument/2006/relationships/chart"/>
<Relationship Id="rId2" Target="../charts/chart5.xml" Type="http://schemas.openxmlformats.org/officeDocument/2006/relationships/chart"/>
</Relationships>

</file>

<file path=xl/drawings/_rels/drawing6.xml.rels><?xml version="1.0" encoding="UTF-8" standalone="yes"?>
<Relationships xmlns="http://schemas.openxmlformats.org/package/2006/relationships">
<Relationship Id="rId1" Target="../charts/chart6.xml" Type="http://schemas.openxmlformats.org/officeDocument/2006/relationships/chart"/>
</Relationships>

</file>

<file path=xl/drawings/_rels/vmlDrawing6.vml.rels><?xml version="1.0" encoding="UTF-8" standalone="yes"?>
<Relationships xmlns="http://schemas.openxmlformats.org/package/2006/relationships">
<Relationship Id="rId1" Target="../media/image7.emf" Type="http://schemas.openxmlformats.org/officeDocument/2006/relationships/image"/>
<Relationship Id="rId2" Target="../media/image6.emf" Type="http://schemas.openxmlformats.org/officeDocument/2006/relationships/image"/>
<Relationship Id="rId3" Target="../media/image5.emf" Type="http://schemas.openxmlformats.org/officeDocument/2006/relationships/image"/>
</Relationships>

</file>

<file path=xl/drawings/_rels/vmlDrawing7.vml.rels><?xml version="1.0" encoding="UTF-8" standalone="yes"?>
<Relationships xmlns="http://schemas.openxmlformats.org/package/2006/relationships">
<Relationship Id="rId1" Target="../media/image8.emf"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1</xdr:col>
      <xdr:colOff>523875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183</xdr:row>
      <xdr:rowOff>0</xdr:rowOff>
    </xdr:from>
    <xdr:to>
      <xdr:col>7</xdr:col>
      <xdr:colOff>390525</xdr:colOff>
      <xdr:row>206</xdr:row>
      <xdr:rowOff>104775</xdr:rowOff>
    </xdr:to>
    <xdr:pic>
      <xdr:nvPicPr>
        <xdr:cNvPr id="38259713" name="Picture 1" descr="C:\Users\nanduank\AppData\Local\Temp\MercuryPriceRatingHistoryChart\X.N_2018_04_17_00_10_34.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8260675"/>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91</xdr:col>
      <xdr:colOff>314325</xdr:colOff>
      <xdr:row>1</xdr:row>
      <xdr:rowOff>104775</xdr:rowOff>
    </xdr:from>
    <xdr:to>
      <xdr:col>96</xdr:col>
      <xdr:colOff>255270</xdr:colOff>
      <xdr:row>3</xdr:row>
      <xdr:rowOff>0</xdr:rowOff>
    </xdr:to>
    <xdr:pic>
      <xdr:nvPicPr>
        <xdr:cNvPr id="38204730" name="Picture 919193" descr="all-black"/>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70875" y="257175"/>
          <a:ext cx="152400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87086</xdr:colOff>
      <xdr:row>108</xdr:row>
      <xdr:rowOff>141516</xdr:rowOff>
    </xdr:from>
    <xdr:to>
      <xdr:col>11</xdr:col>
      <xdr:colOff>271502</xdr:colOff>
      <xdr:row>125</xdr:row>
      <xdr:rowOff>108859</xdr:rowOff>
    </xdr:to>
    <xdr:graphicFrame macro="">
      <xdr:nvGraphicFramePr>
        <xdr:cNvPr id="5" name="Fla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94531</xdr:colOff>
      <xdr:row>90</xdr:row>
      <xdr:rowOff>105656</xdr:rowOff>
    </xdr:from>
    <xdr:to>
      <xdr:col>24</xdr:col>
      <xdr:colOff>690045</xdr:colOff>
      <xdr:row>107</xdr:row>
      <xdr:rowOff>72998</xdr:rowOff>
    </xdr:to>
    <xdr:graphicFrame macro="">
      <xdr:nvGraphicFramePr>
        <xdr:cNvPr id="6" name="USS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61233</xdr:colOff>
      <xdr:row>91</xdr:row>
      <xdr:rowOff>0</xdr:rowOff>
    </xdr:from>
    <xdr:to>
      <xdr:col>11</xdr:col>
      <xdr:colOff>271502</xdr:colOff>
      <xdr:row>107</xdr:row>
      <xdr:rowOff>130628</xdr:rowOff>
    </xdr:to>
    <xdr:graphicFrame macro="">
      <xdr:nvGraphicFramePr>
        <xdr:cNvPr id="7" name="Tubula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361950</xdr:colOff>
      <xdr:row>1</xdr:row>
      <xdr:rowOff>114300</xdr:rowOff>
    </xdr:from>
    <xdr:to>
      <xdr:col>22</xdr:col>
      <xdr:colOff>419100</xdr:colOff>
      <xdr:row>2</xdr:row>
      <xdr:rowOff>161925</xdr:rowOff>
    </xdr:to>
    <xdr:pic>
      <xdr:nvPicPr>
        <xdr:cNvPr id="28383786" name="Picture 5" descr="all-black"/>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0775" y="161925"/>
          <a:ext cx="1514475" cy="2381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276225</xdr:colOff>
      <xdr:row>76</xdr:row>
      <xdr:rowOff>125730</xdr:rowOff>
    </xdr:from>
    <xdr:to>
      <xdr:col>2</xdr:col>
      <xdr:colOff>1623179</xdr:colOff>
      <xdr:row>78</xdr:row>
      <xdr:rowOff>104825</xdr:rowOff>
    </xdr:to>
    <xdr:sp macro="" textlink="">
      <xdr:nvSpPr>
        <xdr:cNvPr id="58369" name="Rectangle 1"/>
        <xdr:cNvSpPr>
          <a:spLocks noChangeArrowheads="1"/>
        </xdr:cNvSpPr>
      </xdr:nvSpPr>
      <xdr:spPr bwMode="auto">
        <a:xfrm>
          <a:off x="381000" y="11991975"/>
          <a:ext cx="2628900" cy="295275"/>
        </a:xfrm>
        <a:prstGeom prst="rect">
          <a:avLst/>
        </a:prstGeom>
        <a:solidFill>
          <a:srgbClr xmlns:mc="http://schemas.openxmlformats.org/markup-compatibility/2006" xmlns:a14="http://schemas.microsoft.com/office/drawing/2010/main" val="2270AB" mc:Ignorable="a14" a14:legacySpreadsheetColorIndex="19"/>
        </a:solidFill>
        <a:ln w="9525" algn="ctr">
          <a:solidFill>
            <a:srgbClr xmlns:mc="http://schemas.openxmlformats.org/markup-compatibility/2006" xmlns:a14="http://schemas.microsoft.com/office/drawing/2010/main" val="2270AB" mc:Ignorable="a14" a14:legacySpreadsheetColorIndex="19"/>
          </a:solidFill>
          <a:miter lim="800000"/>
          <a:headEnd/>
          <a:tailEnd/>
        </a:ln>
        <a:effectLst/>
        <a:extLs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91440" tIns="45720" rIns="91440" bIns="45720" anchor="t" upright="1"/>
        <a:lstStyle/>
        <a:p>
          <a:pPr algn="l" rtl="0">
            <a:lnSpc>
              <a:spcPts val="900"/>
            </a:lnSpc>
            <a:defRPr sz="1000"/>
          </a:pPr>
          <a:r>
            <a:rPr lang="en-US" sz="900" b="1" i="0" u="none" strike="noStrike" baseline="0">
              <a:solidFill>
                <a:srgbClr val="FFFFFF"/>
              </a:solidFill>
              <a:latin typeface="Verdana"/>
              <a:ea typeface="Verdana"/>
              <a:cs typeface="Verdana"/>
            </a:rPr>
            <a:t>Future Service Costs (after-tax)</a:t>
          </a:r>
          <a:endParaRPr lang="en-US" sz="1000" b="1" i="0" u="none" strike="noStrike" baseline="0">
            <a:solidFill>
              <a:srgbClr val="FFFFFF"/>
            </a:solidFill>
            <a:latin typeface="Arial"/>
            <a:ea typeface="Verdana"/>
            <a:cs typeface="Arial"/>
          </a:endParaRPr>
        </a:p>
        <a:p>
          <a:pPr algn="l" rtl="0">
            <a:lnSpc>
              <a:spcPts val="1000"/>
            </a:lnSpc>
            <a:defRPr sz="1000"/>
          </a:pPr>
          <a:endParaRPr lang="en-US" sz="1000" b="1" i="0" u="none" strike="noStrike" baseline="0">
            <a:solidFill>
              <a:srgbClr val="FFFFFF"/>
            </a:solidFill>
            <a:latin typeface="Arial"/>
            <a:cs typeface="Arial"/>
          </a:endParaRPr>
        </a:p>
      </xdr:txBody>
    </xdr:sp>
    <xdr:clientData/>
  </xdr:twoCellAnchor>
  <xdr:twoCellAnchor>
    <xdr:from>
      <xdr:col>1</xdr:col>
      <xdr:colOff>247650</xdr:colOff>
      <xdr:row>73</xdr:row>
      <xdr:rowOff>104775</xdr:rowOff>
    </xdr:from>
    <xdr:to>
      <xdr:col>2</xdr:col>
      <xdr:colOff>1623036</xdr:colOff>
      <xdr:row>75</xdr:row>
      <xdr:rowOff>76200</xdr:rowOff>
    </xdr:to>
    <xdr:sp macro="" textlink="">
      <xdr:nvSpPr>
        <xdr:cNvPr id="58370" name="Rectangle 2"/>
        <xdr:cNvSpPr>
          <a:spLocks noChangeArrowheads="1"/>
        </xdr:cNvSpPr>
      </xdr:nvSpPr>
      <xdr:spPr bwMode="auto">
        <a:xfrm>
          <a:off x="352425" y="11477625"/>
          <a:ext cx="2647950" cy="295275"/>
        </a:xfrm>
        <a:prstGeom prst="rect">
          <a:avLst/>
        </a:prstGeom>
        <a:solidFill>
          <a:srgbClr xmlns:mc="http://schemas.openxmlformats.org/markup-compatibility/2006" xmlns:a14="http://schemas.microsoft.com/office/drawing/2010/main" val="2270AB" mc:Ignorable="a14" a14:legacySpreadsheetColorIndex="19"/>
        </a:solidFill>
        <a:ln w="9525" algn="ctr">
          <a:solidFill>
            <a:srgbClr xmlns:mc="http://schemas.openxmlformats.org/markup-compatibility/2006" xmlns:a14="http://schemas.microsoft.com/office/drawing/2010/main" val="2270AB" mc:Ignorable="a14" a14:legacySpreadsheetColorIndex="19"/>
          </a:solidFill>
          <a:miter lim="800000"/>
          <a:headEnd/>
          <a:tailEnd/>
        </a:ln>
        <a:effectLst/>
        <a:extLs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91440" tIns="45720" rIns="91440" bIns="45720" anchor="t" upright="1"/>
        <a:lstStyle/>
        <a:p>
          <a:pPr algn="l" rtl="0">
            <a:lnSpc>
              <a:spcPts val="900"/>
            </a:lnSpc>
            <a:defRPr sz="1000"/>
          </a:pPr>
          <a:r>
            <a:rPr lang="en-US" sz="900" b="1" i="0" u="none" strike="noStrike" baseline="0">
              <a:solidFill>
                <a:srgbClr val="FFFFFF"/>
              </a:solidFill>
              <a:latin typeface="Verdana"/>
              <a:ea typeface="Verdana"/>
              <a:cs typeface="Verdana"/>
            </a:rPr>
            <a:t>Current Funded Status (after-tax)</a:t>
          </a:r>
          <a:endParaRPr lang="en-US" sz="1000" b="1" i="0" u="none" strike="noStrike" baseline="0">
            <a:solidFill>
              <a:srgbClr val="FFFFFF"/>
            </a:solidFill>
            <a:latin typeface="Arial"/>
            <a:ea typeface="Verdana"/>
            <a:cs typeface="Arial"/>
          </a:endParaRPr>
        </a:p>
        <a:p>
          <a:pPr algn="l" rtl="0">
            <a:lnSpc>
              <a:spcPts val="1000"/>
            </a:lnSpc>
            <a:defRPr sz="1000"/>
          </a:pPr>
          <a:endParaRPr lang="en-US" sz="1000" b="1" i="0" u="none" strike="noStrike" baseline="0">
            <a:solidFill>
              <a:srgbClr val="FFFFFF"/>
            </a:solidFill>
            <a:latin typeface="Arial"/>
            <a:cs typeface="Arial"/>
          </a:endParaRPr>
        </a:p>
      </xdr:txBody>
    </xdr:sp>
    <xdr:clientData/>
  </xdr:twoCellAnchor>
  <xdr:twoCellAnchor>
    <xdr:from>
      <xdr:col>2</xdr:col>
      <xdr:colOff>891540</xdr:colOff>
      <xdr:row>74</xdr:row>
      <xdr:rowOff>104775</xdr:rowOff>
    </xdr:from>
    <xdr:to>
      <xdr:col>2</xdr:col>
      <xdr:colOff>1256876</xdr:colOff>
      <xdr:row>77</xdr:row>
      <xdr:rowOff>85725</xdr:rowOff>
    </xdr:to>
    <xdr:sp macro="" textlink="">
      <xdr:nvSpPr>
        <xdr:cNvPr id="58371" name="Text Box 3"/>
        <xdr:cNvSpPr txBox="1">
          <a:spLocks noChangeArrowheads="1"/>
        </xdr:cNvSpPr>
      </xdr:nvSpPr>
      <xdr:spPr bwMode="auto">
        <a:xfrm>
          <a:off x="1438275" y="11639550"/>
          <a:ext cx="361950" cy="466725"/>
        </a:xfrm>
        <a:prstGeom prst="rect">
          <a:avLst/>
        </a:prstGeom>
        <a:noFill/>
        <a:ln>
          <a:noFill/>
        </a:ln>
        <a:effectLst/>
        <a:extLst>
          <a:ext uri="{909E8E84-426E-40DD-AFC4-6F175D3DCCD1}">
            <a14:hiddenFill xmlns:a14="http://schemas.microsoft.com/office/drawing/2010/main">
              <a:solidFill>
                <a:srgbClr val="2270AB"/>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91440" tIns="45720" rIns="91440" bIns="45720" anchor="t" upright="1"/>
        <a:lstStyle/>
        <a:p>
          <a:pPr algn="l" rtl="0">
            <a:defRPr sz="1000"/>
          </a:pPr>
          <a:r>
            <a:rPr lang="en-US" sz="1500" b="0" i="0" u="none" strike="noStrike" baseline="0">
              <a:solidFill>
                <a:srgbClr val="2270AB"/>
              </a:solidFill>
              <a:latin typeface="Arial"/>
              <a:cs typeface="Arial"/>
            </a:rPr>
            <a:t>+</a:t>
          </a:r>
          <a:endParaRPr lang="en-US" sz="2000" b="0" i="0" u="none" strike="noStrike" baseline="0">
            <a:solidFill>
              <a:srgbClr val="2270AB"/>
            </a:solidFill>
            <a:latin typeface="Arial"/>
            <a:cs typeface="Arial"/>
          </a:endParaRPr>
        </a:p>
        <a:p>
          <a:pPr algn="l" rtl="0">
            <a:defRPr sz="1000"/>
          </a:pPr>
          <a:endParaRPr lang="en-US" sz="2000" b="0" i="0" u="none" strike="noStrike" baseline="0">
            <a:solidFill>
              <a:srgbClr val="2270AB"/>
            </a:solidFill>
            <a:latin typeface="Arial"/>
            <a:cs typeface="Arial"/>
          </a:endParaRPr>
        </a:p>
      </xdr:txBody>
    </xdr:sp>
    <xdr:clientData/>
  </xdr:twoCellAnchor>
  <xdr:twoCellAnchor>
    <xdr:from>
      <xdr:col>1</xdr:col>
      <xdr:colOff>266700</xdr:colOff>
      <xdr:row>80</xdr:row>
      <xdr:rowOff>11430</xdr:rowOff>
    </xdr:from>
    <xdr:to>
      <xdr:col>2</xdr:col>
      <xdr:colOff>1605169</xdr:colOff>
      <xdr:row>82</xdr:row>
      <xdr:rowOff>9668</xdr:rowOff>
    </xdr:to>
    <xdr:sp macro="" textlink="">
      <xdr:nvSpPr>
        <xdr:cNvPr id="58372" name="Rectangle 4"/>
        <xdr:cNvSpPr>
          <a:spLocks noChangeArrowheads="1"/>
        </xdr:cNvSpPr>
      </xdr:nvSpPr>
      <xdr:spPr bwMode="auto">
        <a:xfrm>
          <a:off x="371475" y="12525375"/>
          <a:ext cx="2638425" cy="314325"/>
        </a:xfrm>
        <a:prstGeom prst="rect">
          <a:avLst/>
        </a:prstGeom>
        <a:solidFill>
          <a:srgbClr xmlns:mc="http://schemas.openxmlformats.org/markup-compatibility/2006" xmlns:a14="http://schemas.microsoft.com/office/drawing/2010/main" val="2270AB" mc:Ignorable="a14" a14:legacySpreadsheetColorIndex="19"/>
        </a:solidFill>
        <a:ln w="9525" algn="ctr">
          <a:solidFill>
            <a:srgbClr xmlns:mc="http://schemas.openxmlformats.org/markup-compatibility/2006" xmlns:a14="http://schemas.microsoft.com/office/drawing/2010/main" val="2270AB" mc:Ignorable="a14" a14:legacySpreadsheetColorIndex="19"/>
          </a:solidFill>
          <a:miter lim="800000"/>
          <a:headEnd/>
          <a:tailEnd/>
        </a:ln>
        <a:effectLst/>
        <a:extLs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91440" tIns="45720" rIns="91440" bIns="45720" anchor="t" upright="1"/>
        <a:lstStyle/>
        <a:p>
          <a:pPr algn="l" rtl="0">
            <a:defRPr sz="1000"/>
          </a:pPr>
          <a:r>
            <a:rPr lang="en-US" sz="900" b="1" i="0" u="none" strike="noStrike" baseline="0">
              <a:solidFill>
                <a:srgbClr val="FFFFFF"/>
              </a:solidFill>
              <a:latin typeface="Verdana"/>
              <a:ea typeface="Verdana"/>
              <a:cs typeface="Verdana"/>
            </a:rPr>
            <a:t>Interest on Funded Status (after-tax)</a:t>
          </a:r>
        </a:p>
      </xdr:txBody>
    </xdr:sp>
    <xdr:clientData/>
  </xdr:twoCellAnchor>
  <xdr:twoCellAnchor>
    <xdr:from>
      <xdr:col>2</xdr:col>
      <xdr:colOff>891540</xdr:colOff>
      <xdr:row>77</xdr:row>
      <xdr:rowOff>152400</xdr:rowOff>
    </xdr:from>
    <xdr:to>
      <xdr:col>2</xdr:col>
      <xdr:colOff>1262455</xdr:colOff>
      <xdr:row>80</xdr:row>
      <xdr:rowOff>125792</xdr:rowOff>
    </xdr:to>
    <xdr:sp macro="" textlink="">
      <xdr:nvSpPr>
        <xdr:cNvPr id="58373" name="Text Box 5"/>
        <xdr:cNvSpPr txBox="1">
          <a:spLocks noChangeArrowheads="1"/>
        </xdr:cNvSpPr>
      </xdr:nvSpPr>
      <xdr:spPr bwMode="auto">
        <a:xfrm>
          <a:off x="1419225" y="12172950"/>
          <a:ext cx="371475" cy="466725"/>
        </a:xfrm>
        <a:prstGeom prst="rect">
          <a:avLst/>
        </a:prstGeom>
        <a:noFill/>
        <a:ln>
          <a:noFill/>
        </a:ln>
        <a:effectLst/>
        <a:extLst>
          <a:ext uri="{909E8E84-426E-40DD-AFC4-6F175D3DCCD1}">
            <a14:hiddenFill xmlns:a14="http://schemas.microsoft.com/office/drawing/2010/main">
              <a:solidFill>
                <a:srgbClr val="2270AB"/>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91440" tIns="45720" rIns="91440" bIns="45720" anchor="t" upright="1"/>
        <a:lstStyle/>
        <a:p>
          <a:pPr algn="l" rtl="0">
            <a:defRPr sz="1000"/>
          </a:pPr>
          <a:r>
            <a:rPr lang="en-US" sz="1500" b="0" i="0" u="none" strike="noStrike" baseline="0">
              <a:solidFill>
                <a:srgbClr val="2270AB"/>
              </a:solidFill>
              <a:latin typeface="Arial"/>
              <a:cs typeface="Arial"/>
            </a:rPr>
            <a:t>+</a:t>
          </a:r>
          <a:endParaRPr lang="en-US" sz="2000" b="0" i="0" u="none" strike="noStrike" baseline="0">
            <a:solidFill>
              <a:srgbClr val="2270AB"/>
            </a:solidFill>
            <a:latin typeface="Arial"/>
            <a:cs typeface="Arial"/>
          </a:endParaRPr>
        </a:p>
        <a:p>
          <a:pPr algn="l" rtl="0">
            <a:defRPr sz="1000"/>
          </a:pPr>
          <a:endParaRPr lang="en-US" sz="2000" b="0" i="0" u="none" strike="noStrike" baseline="0">
            <a:solidFill>
              <a:srgbClr val="2270AB"/>
            </a:solidFill>
            <a:latin typeface="Arial"/>
            <a:cs typeface="Arial"/>
          </a:endParaRPr>
        </a:p>
      </xdr:txBody>
    </xdr:sp>
    <xdr:clientData/>
  </xdr:twoCellAnchor>
  <xdr:twoCellAnchor>
    <xdr:from>
      <xdr:col>2</xdr:col>
      <xdr:colOff>2562225</xdr:colOff>
      <xdr:row>74</xdr:row>
      <xdr:rowOff>95250</xdr:rowOff>
    </xdr:from>
    <xdr:to>
      <xdr:col>7</xdr:col>
      <xdr:colOff>28575</xdr:colOff>
      <xdr:row>74</xdr:row>
      <xdr:rowOff>95250</xdr:rowOff>
    </xdr:to>
    <xdr:sp macro="" textlink="">
      <xdr:nvSpPr>
        <xdr:cNvPr id="41810637" name="Line 6"/>
        <xdr:cNvSpPr>
          <a:spLocks noChangeShapeType="1"/>
        </xdr:cNvSpPr>
      </xdr:nvSpPr>
      <xdr:spPr bwMode="gray">
        <a:xfrm>
          <a:off x="2181225" y="11630025"/>
          <a:ext cx="28575" cy="0"/>
        </a:xfrm>
        <a:prstGeom prst="line">
          <a:avLst/>
        </a:prstGeom>
        <a:noFill/>
        <a:ln w="19050">
          <a:solidFill>
            <a:srgbClr val="CC0000"/>
          </a:solidFill>
          <a:round/>
          <a:headEnd/>
          <a:tailEnd type="stealth"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969696"/>
                </a:outerShdw>
              </a:effectLst>
            </a14:hiddenEffects>
          </a:ext>
        </a:extLst>
      </xdr:spPr>
    </xdr:sp>
    <xdr:clientData/>
  </xdr:twoCellAnchor>
  <xdr:twoCellAnchor>
    <xdr:from>
      <xdr:col>2</xdr:col>
      <xdr:colOff>2543175</xdr:colOff>
      <xdr:row>77</xdr:row>
      <xdr:rowOff>133350</xdr:rowOff>
    </xdr:from>
    <xdr:to>
      <xdr:col>7</xdr:col>
      <xdr:colOff>19050</xdr:colOff>
      <xdr:row>77</xdr:row>
      <xdr:rowOff>133350</xdr:rowOff>
    </xdr:to>
    <xdr:sp macro="" textlink="">
      <xdr:nvSpPr>
        <xdr:cNvPr id="41810638" name="Line 7"/>
        <xdr:cNvSpPr>
          <a:spLocks noChangeShapeType="1"/>
        </xdr:cNvSpPr>
      </xdr:nvSpPr>
      <xdr:spPr bwMode="gray">
        <a:xfrm>
          <a:off x="2181225" y="12153900"/>
          <a:ext cx="19050" cy="0"/>
        </a:xfrm>
        <a:prstGeom prst="line">
          <a:avLst/>
        </a:prstGeom>
        <a:noFill/>
        <a:ln w="19050">
          <a:solidFill>
            <a:srgbClr val="CC0000"/>
          </a:solidFill>
          <a:round/>
          <a:headEnd/>
          <a:tailEnd type="stealth"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969696"/>
                </a:outerShdw>
              </a:effectLst>
            </a14:hiddenEffects>
          </a:ext>
        </a:extLst>
      </xdr:spPr>
    </xdr:sp>
    <xdr:clientData/>
  </xdr:twoCellAnchor>
  <xdr:twoCellAnchor>
    <xdr:from>
      <xdr:col>2</xdr:col>
      <xdr:colOff>2571750</xdr:colOff>
      <xdr:row>81</xdr:row>
      <xdr:rowOff>19050</xdr:rowOff>
    </xdr:from>
    <xdr:to>
      <xdr:col>7</xdr:col>
      <xdr:colOff>9525</xdr:colOff>
      <xdr:row>81</xdr:row>
      <xdr:rowOff>19050</xdr:rowOff>
    </xdr:to>
    <xdr:sp macro="" textlink="">
      <xdr:nvSpPr>
        <xdr:cNvPr id="41810639" name="Line 8"/>
        <xdr:cNvSpPr>
          <a:spLocks noChangeShapeType="1"/>
        </xdr:cNvSpPr>
      </xdr:nvSpPr>
      <xdr:spPr bwMode="gray">
        <a:xfrm>
          <a:off x="2181225" y="12687300"/>
          <a:ext cx="9525" cy="0"/>
        </a:xfrm>
        <a:prstGeom prst="line">
          <a:avLst/>
        </a:prstGeom>
        <a:noFill/>
        <a:ln w="19050">
          <a:solidFill>
            <a:srgbClr val="CC0000"/>
          </a:solidFill>
          <a:round/>
          <a:headEnd/>
          <a:tailEnd type="stealth"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969696"/>
                </a:outerShdw>
              </a:effectLst>
            </a14:hiddenEffects>
          </a:ext>
        </a:extLst>
      </xdr:spPr>
    </xdr:sp>
    <xdr:clientData/>
  </xdr:twoCellAnchor>
  <xdr:twoCellAnchor>
    <xdr:from>
      <xdr:col>7</xdr:col>
      <xdr:colOff>95250</xdr:colOff>
      <xdr:row>73</xdr:row>
      <xdr:rowOff>104775</xdr:rowOff>
    </xdr:from>
    <xdr:to>
      <xdr:col>19</xdr:col>
      <xdr:colOff>432440</xdr:colOff>
      <xdr:row>75</xdr:row>
      <xdr:rowOff>123825</xdr:rowOff>
    </xdr:to>
    <xdr:sp macro="" textlink="">
      <xdr:nvSpPr>
        <xdr:cNvPr id="58377" name="Text Box 9"/>
        <xdr:cNvSpPr txBox="1">
          <a:spLocks noChangeArrowheads="1"/>
        </xdr:cNvSpPr>
      </xdr:nvSpPr>
      <xdr:spPr bwMode="gray">
        <a:xfrm>
          <a:off x="3657600" y="11477625"/>
          <a:ext cx="8448675" cy="342900"/>
        </a:xfrm>
        <a:prstGeom prst="rect">
          <a:avLst/>
        </a:prstGeom>
        <a:noFill/>
        <a:ln>
          <a:noFill/>
        </a:ln>
        <a:effectLst/>
        <a:extLst>
          <a:ext uri="{909E8E84-426E-40DD-AFC4-6F175D3DCCD1}">
            <a14:hiddenFill xmlns:a14="http://schemas.microsoft.com/office/drawing/2010/main">
              <a:solidFill>
                <a:srgbClr val="2270AB"/>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45720" tIns="45720" rIns="45720" bIns="45720" anchor="t" upright="1"/>
        <a:lstStyle/>
        <a:p>
          <a:pPr algn="l" rtl="0">
            <a:defRPr sz="1000"/>
          </a:pPr>
          <a:r>
            <a:rPr lang="en-US" sz="900" b="1" i="0" u="none" strike="noStrike" baseline="0">
              <a:solidFill>
                <a:srgbClr val="2270AB"/>
              </a:solidFill>
              <a:latin typeface="Verdana"/>
              <a:ea typeface="Verdana"/>
              <a:cs typeface="Verdana"/>
            </a:rPr>
            <a:t>Reduces equity value dollar for dollar as a debt-like liability</a:t>
          </a:r>
          <a:endParaRPr lang="en-US" sz="1200" b="0" i="0" u="none" strike="noStrike" baseline="0">
            <a:solidFill>
              <a:srgbClr val="2270AB"/>
            </a:solidFill>
            <a:latin typeface="Arial"/>
            <a:ea typeface="Verdana"/>
            <a:cs typeface="Arial"/>
          </a:endParaRPr>
        </a:p>
        <a:p>
          <a:pPr algn="l" rtl="0">
            <a:defRPr sz="1000"/>
          </a:pPr>
          <a:endParaRPr lang="en-US" sz="1200" b="0" i="0" u="none" strike="noStrike" baseline="0">
            <a:solidFill>
              <a:srgbClr val="2270AB"/>
            </a:solidFill>
            <a:latin typeface="Arial"/>
            <a:cs typeface="Arial"/>
          </a:endParaRPr>
        </a:p>
      </xdr:txBody>
    </xdr:sp>
    <xdr:clientData/>
  </xdr:twoCellAnchor>
  <xdr:twoCellAnchor>
    <xdr:from>
      <xdr:col>7</xdr:col>
      <xdr:colOff>95250</xdr:colOff>
      <xdr:row>76</xdr:row>
      <xdr:rowOff>87630</xdr:rowOff>
    </xdr:from>
    <xdr:to>
      <xdr:col>19</xdr:col>
      <xdr:colOff>184803</xdr:colOff>
      <xdr:row>79</xdr:row>
      <xdr:rowOff>85819</xdr:rowOff>
    </xdr:to>
    <xdr:sp macro="" textlink="">
      <xdr:nvSpPr>
        <xdr:cNvPr id="58378" name="Text Box 10"/>
        <xdr:cNvSpPr txBox="1">
          <a:spLocks noChangeArrowheads="1"/>
        </xdr:cNvSpPr>
      </xdr:nvSpPr>
      <xdr:spPr bwMode="gray">
        <a:xfrm>
          <a:off x="3657600" y="11953875"/>
          <a:ext cx="8210550" cy="476250"/>
        </a:xfrm>
        <a:prstGeom prst="rect">
          <a:avLst/>
        </a:prstGeom>
        <a:noFill/>
        <a:ln>
          <a:noFill/>
        </a:ln>
        <a:effectLst/>
        <a:extLst>
          <a:ext uri="{909E8E84-426E-40DD-AFC4-6F175D3DCCD1}">
            <a14:hiddenFill xmlns:a14="http://schemas.microsoft.com/office/drawing/2010/main">
              <a:solidFill>
                <a:srgbClr val="2270AB"/>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45720" tIns="45720" rIns="45720" bIns="45720" anchor="t" upright="1"/>
        <a:lstStyle/>
        <a:p>
          <a:pPr algn="l" rtl="0">
            <a:defRPr sz="1000"/>
          </a:pPr>
          <a:r>
            <a:rPr lang="en-US" sz="900" b="1" i="0" u="none" strike="noStrike" baseline="0">
              <a:solidFill>
                <a:srgbClr val="2270AB"/>
              </a:solidFill>
              <a:latin typeface="Verdana"/>
              <a:ea typeface="Verdana"/>
              <a:cs typeface="Verdana"/>
            </a:rPr>
            <a:t>Use in projections of earnings and operating cash flow as a proxy for contributions</a:t>
          </a:r>
          <a:r>
            <a:rPr lang="en-US" sz="900" b="1" i="0" u="none" strike="noStrike" baseline="30000">
              <a:solidFill>
                <a:srgbClr val="2270AB"/>
              </a:solidFill>
              <a:latin typeface="Verdana"/>
              <a:ea typeface="Verdana"/>
              <a:cs typeface="Verdana"/>
            </a:rPr>
            <a:t>(1)</a:t>
          </a:r>
          <a:endParaRPr lang="en-US" sz="1200" b="0" i="0" u="none" strike="noStrike" baseline="0">
            <a:solidFill>
              <a:srgbClr val="2270AB"/>
            </a:solidFill>
            <a:latin typeface="Arial"/>
            <a:ea typeface="Verdana"/>
            <a:cs typeface="Arial"/>
          </a:endParaRPr>
        </a:p>
        <a:p>
          <a:pPr algn="l" rtl="0">
            <a:defRPr sz="1000"/>
          </a:pPr>
          <a:endParaRPr lang="en-US" sz="1200" b="0" i="0" u="none" strike="noStrike" baseline="0">
            <a:solidFill>
              <a:srgbClr val="2270AB"/>
            </a:solidFill>
            <a:latin typeface="Arial"/>
            <a:cs typeface="Arial"/>
          </a:endParaRPr>
        </a:p>
      </xdr:txBody>
    </xdr:sp>
    <xdr:clientData/>
  </xdr:twoCellAnchor>
  <xdr:oneCellAnchor>
    <xdr:from>
      <xdr:col>7</xdr:col>
      <xdr:colOff>66675</xdr:colOff>
      <xdr:row>80</xdr:row>
      <xdr:rowOff>49530</xdr:rowOff>
    </xdr:from>
    <xdr:ext cx="3869201" cy="232628"/>
    <xdr:sp macro="" textlink="">
      <xdr:nvSpPr>
        <xdr:cNvPr id="58379" name="Text Box 11"/>
        <xdr:cNvSpPr txBox="1">
          <a:spLocks noChangeArrowheads="1"/>
        </xdr:cNvSpPr>
      </xdr:nvSpPr>
      <xdr:spPr bwMode="gray">
        <a:xfrm>
          <a:off x="2247900" y="12555855"/>
          <a:ext cx="3869201" cy="232628"/>
        </a:xfrm>
        <a:prstGeom prst="rect">
          <a:avLst/>
        </a:prstGeom>
        <a:noFill/>
        <a:ln>
          <a:noFill/>
        </a:ln>
        <a:effectLst/>
        <a:extLst>
          <a:ext uri="{909E8E84-426E-40DD-AFC4-6F175D3DCCD1}">
            <a14:hiddenFill xmlns:a14="http://schemas.microsoft.com/office/drawing/2010/main">
              <a:solidFill>
                <a:srgbClr val="2270AB"/>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969696"/>
                </a:outerShdw>
              </a:effectLst>
            </a14:hiddenEffects>
          </a:ext>
        </a:extLst>
      </xdr:spPr>
      <xdr:txBody>
        <a:bodyPr wrap="none" lIns="45720" tIns="45720" rIns="45720" bIns="45720" anchor="t" upright="1">
          <a:spAutoFit/>
        </a:bodyPr>
        <a:lstStyle/>
        <a:p>
          <a:pPr algn="l" rtl="0">
            <a:defRPr sz="1000"/>
          </a:pPr>
          <a:r>
            <a:rPr lang="en-US" sz="900" b="1" i="0" u="none" strike="noStrike" baseline="0">
              <a:solidFill>
                <a:srgbClr val="2270AB"/>
              </a:solidFill>
              <a:latin typeface="Verdana"/>
              <a:ea typeface="Verdana"/>
              <a:cs typeface="Verdana"/>
            </a:rPr>
            <a:t>Use in projections of net income in equity-level valuations</a:t>
          </a:r>
        </a:p>
      </xdr:txBody>
    </xdr:sp>
    <xdr:clientData/>
  </xdr:oneCellAnchor>
  <xdr:twoCellAnchor>
    <xdr:from>
      <xdr:col>1</xdr:col>
      <xdr:colOff>247650</xdr:colOff>
      <xdr:row>82</xdr:row>
      <xdr:rowOff>104775</xdr:rowOff>
    </xdr:from>
    <xdr:to>
      <xdr:col>19</xdr:col>
      <xdr:colOff>436249</xdr:colOff>
      <xdr:row>84</xdr:row>
      <xdr:rowOff>114300</xdr:rowOff>
    </xdr:to>
    <xdr:sp macro="" textlink="">
      <xdr:nvSpPr>
        <xdr:cNvPr id="58380" name="Text Box 12"/>
        <xdr:cNvSpPr txBox="1">
          <a:spLocks noChangeArrowheads="1"/>
        </xdr:cNvSpPr>
      </xdr:nvSpPr>
      <xdr:spPr bwMode="gray">
        <a:xfrm>
          <a:off x="342900" y="12934950"/>
          <a:ext cx="11782425" cy="333375"/>
        </a:xfrm>
        <a:prstGeom prst="rect">
          <a:avLst/>
        </a:prstGeom>
        <a:noFill/>
        <a:ln>
          <a:noFill/>
        </a:ln>
        <a:effectLst/>
        <a:extLst>
          <a:ext uri="{909E8E84-426E-40DD-AFC4-6F175D3DCCD1}">
            <a14:hiddenFill xmlns:a14="http://schemas.microsoft.com/office/drawing/2010/main">
              <a:solidFill>
                <a:srgbClr val="2270AB"/>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969696"/>
                </a:outerShdw>
              </a:effectLst>
            </a14:hiddenEffects>
          </a:ext>
        </a:extLst>
      </xdr:spPr>
      <xdr:txBody>
        <a:bodyPr vertOverflow="clip" wrap="square" lIns="45720" tIns="45720" rIns="45720" bIns="45720" anchor="t" upright="1"/>
        <a:lstStyle/>
        <a:p>
          <a:pPr algn="l" rtl="0">
            <a:defRPr sz="1000"/>
          </a:pPr>
          <a:r>
            <a:rPr lang="en-US" sz="900" b="1" i="0" u="none" strike="noStrike" baseline="30000">
              <a:solidFill>
                <a:srgbClr val="2270AB"/>
              </a:solidFill>
              <a:latin typeface="Verdana"/>
              <a:ea typeface="Verdana"/>
              <a:cs typeface="Verdana"/>
            </a:rPr>
            <a:t>(1)</a:t>
          </a:r>
          <a:r>
            <a:rPr lang="en-US" sz="900" b="1" i="0" u="none" strike="noStrike" baseline="0">
              <a:solidFill>
                <a:srgbClr val="2270AB"/>
              </a:solidFill>
              <a:latin typeface="Verdana"/>
              <a:ea typeface="Verdana"/>
              <a:cs typeface="Verdana"/>
            </a:rPr>
            <a:t>Projections of pension contributions are relevant only if large cash outflows would constrain business activities</a:t>
          </a:r>
        </a:p>
      </xdr:txBody>
    </xdr:sp>
    <xdr:clientData/>
  </xdr:twoCellAnchor>
  <mc:AlternateContent xmlns:mc="http://schemas.openxmlformats.org/markup-compatibility/2006">
    <mc:Choice xmlns:a14="http://schemas.microsoft.com/office/drawing/2010/main" Requires="a14">
      <xdr:twoCellAnchor editAs="oneCell">
        <xdr:from>
          <xdr:col>20</xdr:col>
          <xdr:colOff>209550</xdr:colOff>
          <xdr:row>0</xdr:row>
          <xdr:rowOff>66675</xdr:rowOff>
        </xdr:from>
        <xdr:to>
          <xdr:col>22</xdr:col>
          <xdr:colOff>180975</xdr:colOff>
          <xdr:row>1</xdr:row>
          <xdr:rowOff>133350</xdr:rowOff>
        </xdr:to>
        <xdr:sp macro="" textlink="">
          <xdr:nvSpPr>
            <xdr:cNvPr id="58381" name="CommandButton1" hidden="1">
              <a:extLst>
                <a:ext uri="{63B3BB69-23CF-44E3-9099-C40C66FF867C}">
                  <a14:compatExt spid="_x0000_s58381"/>
                </a:ext>
              </a:extLst>
            </xdr:cNvPr>
            <xdr:cNvSpPr/>
          </xdr:nvSpPr>
          <xdr:spPr>
            <a:xfrm>
              <a:off x="0" y="0"/>
              <a:ext cx="0" cy="0"/>
            </a:xfrm>
            <a:prstGeom prst="rect">
              <a:avLst/>
            </a:prstGeom>
          </xdr:spPr>
        </xdr:sp>
        <xdr:clientData/>
      </xdr:twoCellAnchor>
    </mc:Choice>
    <mc:Fallback/>
  </mc:AlternateContent>
  <xdr:twoCellAnchor>
    <xdr:from>
      <xdr:col>20</xdr:col>
      <xdr:colOff>114300</xdr:colOff>
      <xdr:row>32</xdr:row>
      <xdr:rowOff>9525</xdr:rowOff>
    </xdr:from>
    <xdr:to>
      <xdr:col>25</xdr:col>
      <xdr:colOff>361950</xdr:colOff>
      <xdr:row>45</xdr:row>
      <xdr:rowOff>152400</xdr:rowOff>
    </xdr:to>
    <xdr:graphicFrame macro="">
      <xdr:nvGraphicFramePr>
        <xdr:cNvPr id="41810644"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85725</xdr:colOff>
      <xdr:row>16</xdr:row>
      <xdr:rowOff>38100</xdr:rowOff>
    </xdr:from>
    <xdr:to>
      <xdr:col>25</xdr:col>
      <xdr:colOff>342900</xdr:colOff>
      <xdr:row>31</xdr:row>
      <xdr:rowOff>19050</xdr:rowOff>
    </xdr:to>
    <xdr:graphicFrame macro="">
      <xdr:nvGraphicFramePr>
        <xdr:cNvPr id="41810645"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23</xdr:col>
          <xdr:colOff>76200</xdr:colOff>
          <xdr:row>0</xdr:row>
          <xdr:rowOff>57150</xdr:rowOff>
        </xdr:from>
        <xdr:to>
          <xdr:col>26</xdr:col>
          <xdr:colOff>0</xdr:colOff>
          <xdr:row>1</xdr:row>
          <xdr:rowOff>133350</xdr:rowOff>
        </xdr:to>
        <xdr:sp macro="" textlink="">
          <xdr:nvSpPr>
            <xdr:cNvPr id="58384" name="CommandButton2" hidden="1">
              <a:extLst>
                <a:ext uri="{63B3BB69-23CF-44E3-9099-C40C66FF867C}">
                  <a14:compatExt spid="_x0000_s583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476250</xdr:colOff>
          <xdr:row>0</xdr:row>
          <xdr:rowOff>85725</xdr:rowOff>
        </xdr:from>
        <xdr:to>
          <xdr:col>13</xdr:col>
          <xdr:colOff>657225</xdr:colOff>
          <xdr:row>1</xdr:row>
          <xdr:rowOff>171450</xdr:rowOff>
        </xdr:to>
        <xdr:sp macro="" textlink="">
          <xdr:nvSpPr>
            <xdr:cNvPr id="58415" name="ComboBox1" hidden="1">
              <a:extLst>
                <a:ext uri="{63B3BB69-23CF-44E3-9099-C40C66FF867C}">
                  <a14:compatExt spid="_x0000_s58415"/>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20</xdr:col>
      <xdr:colOff>171450</xdr:colOff>
      <xdr:row>17</xdr:row>
      <xdr:rowOff>19050</xdr:rowOff>
    </xdr:from>
    <xdr:to>
      <xdr:col>24</xdr:col>
      <xdr:colOff>200025</xdr:colOff>
      <xdr:row>31</xdr:row>
      <xdr:rowOff>152400</xdr:rowOff>
    </xdr:to>
    <xdr:graphicFrame macro="">
      <xdr:nvGraphicFramePr>
        <xdr:cNvPr id="2678026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476250</xdr:colOff>
          <xdr:row>0</xdr:row>
          <xdr:rowOff>57150</xdr:rowOff>
        </xdr:from>
        <xdr:to>
          <xdr:col>14</xdr:col>
          <xdr:colOff>0</xdr:colOff>
          <xdr:row>1</xdr:row>
          <xdr:rowOff>180975</xdr:rowOff>
        </xdr:to>
        <xdr:sp macro="" textlink="">
          <xdr:nvSpPr>
            <xdr:cNvPr id="60418" name="ComboBox1" hidden="1">
              <a:extLst>
                <a:ext uri="{63B3BB69-23CF-44E3-9099-C40C66FF867C}">
                  <a14:compatExt spid="_x0000_s60418"/>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 Id="rId2" Target="../drawings/drawing2.xml" Type="http://schemas.openxmlformats.org/officeDocument/2006/relationships/drawing"/>
<Relationship Id="rId3" Target="../drawings/vmlDrawing2.vml" Type="http://schemas.openxmlformats.org/officeDocument/2006/relationships/vmlDrawing"/>
<Relationship Id="rId4" Target="../comments2.xml" Type="http://schemas.openxmlformats.org/officeDocument/2006/relationships/comment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drawing3.xml" Type="http://schemas.openxmlformats.org/officeDocument/2006/relationships/drawing"/>
<Relationship Id="rId3" Target="../drawings/vmlDrawing3.vml" Type="http://schemas.openxmlformats.org/officeDocument/2006/relationships/vmlDrawing"/>
<Relationship Id="rId4"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 Id="rId2" Target="../drawings/vmlDrawing4.vml" Type="http://schemas.openxmlformats.org/officeDocument/2006/relationships/vmlDrawing"/>
<Relationship Id="rId3"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yes"?>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yes"?>
<Relationships xmlns="http://schemas.openxmlformats.org/package/2006/relationships">
<Relationship Id="rId1" Target="../printerSettings/printerSettings9.bin" Type="http://schemas.openxmlformats.org/officeDocument/2006/relationships/printerSettings"/>
<Relationship Id="rId2" Target="../drawings/drawing4.xml" Type="http://schemas.openxmlformats.org/officeDocument/2006/relationships/drawing"/>
</Relationships>

</file>

<file path=xl/worksheets/_rels/sheet10.xml.rels><?xml version="1.0" encoding="UTF-8" standalone="yes"?>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yes"?>
<Relationships xmlns="http://schemas.openxmlformats.org/package/2006/relationships">
<Relationship Id="rId1" Target="../printerSettings/printerSettings11.bin" Type="http://schemas.openxmlformats.org/officeDocument/2006/relationships/printerSettings"/>
<Relationship Id="rId2" Target="../drawings/vmlDrawing5.vml" Type="http://schemas.openxmlformats.org/officeDocument/2006/relationships/vmlDrawing"/>
<Relationship Id="rId3" Target="../comments5.xml" Type="http://schemas.openxmlformats.org/officeDocument/2006/relationships/comments"/>
</Relationships>

</file>

<file path=xl/worksheets/_rels/sheet12.xml.rels><?xml version="1.0" encoding="UTF-8" standalone="yes"?>
<Relationships xmlns="http://schemas.openxmlformats.org/package/2006/relationships">
<Relationship Id="rId1" Target="../printerSettings/printerSettings12.bin" Type="http://schemas.openxmlformats.org/officeDocument/2006/relationships/printerSettings"/>
<Relationship Id="rId10" Target="../comments6.xml" Type="http://schemas.openxmlformats.org/officeDocument/2006/relationships/comments"/>
<Relationship Id="rId2" Target="../drawings/drawing5.xml" Type="http://schemas.openxmlformats.org/officeDocument/2006/relationships/drawing"/>
<Relationship Id="rId3" Target="../drawings/vmlDrawing6.vml" Type="http://schemas.openxmlformats.org/officeDocument/2006/relationships/vmlDrawing"/>
<Relationship Id="rId4" Target="../activeX/activeX1.xml" Type="http://schemas.openxmlformats.org/officeDocument/2006/relationships/control"/>
<Relationship Id="rId5" Target="../media/image5.emf" Type="http://schemas.openxmlformats.org/officeDocument/2006/relationships/image"/>
<Relationship Id="rId6" Target="../activeX/activeX2.xml" Type="http://schemas.openxmlformats.org/officeDocument/2006/relationships/control"/>
<Relationship Id="rId7" Target="../media/image6.emf" Type="http://schemas.openxmlformats.org/officeDocument/2006/relationships/image"/>
<Relationship Id="rId8" Target="../activeX/activeX3.xml" Type="http://schemas.openxmlformats.org/officeDocument/2006/relationships/control"/>
<Relationship Id="rId9" Target="../media/image7.emf" Type="http://schemas.openxmlformats.org/officeDocument/2006/relationships/image"/>
</Relationships>

</file>

<file path=xl/worksheets/_rels/sheet13.xml.rels><?xml version="1.0" encoding="UTF-8" standalone="yes"?>
<Relationships xmlns="http://schemas.openxmlformats.org/package/2006/relationships">
<Relationship Id="rId1" Target="../printerSettings/printerSettings13.bin" Type="http://schemas.openxmlformats.org/officeDocument/2006/relationships/printerSettings"/>
<Relationship Id="rId2" Target="../drawings/drawing6.xml" Type="http://schemas.openxmlformats.org/officeDocument/2006/relationships/drawing"/>
<Relationship Id="rId3" Target="../drawings/vmlDrawing7.vml" Type="http://schemas.openxmlformats.org/officeDocument/2006/relationships/vmlDrawing"/>
<Relationship Id="rId4" Target="../activeX/activeX4.xml" Type="http://schemas.openxmlformats.org/officeDocument/2006/relationships/control"/>
<Relationship Id="rId5" Target="../media/image8.emf" Type="http://schemas.openxmlformats.org/officeDocument/2006/relationships/image"/>
<Relationship Id="rId6" Target="../comments7.xml" Type="http://schemas.openxmlformats.org/officeDocument/2006/relationships/comments"/>
</Relationships>

</file>

<file path=xl/worksheets/_rels/sheet14.xml.rels><?xml version="1.0" encoding="UTF-8" standalone="yes"?>
<Relationships xmlns="http://schemas.openxmlformats.org/package/2006/relationships">
<Relationship Id="rId1" Target="../printerSettings/printerSettings14.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400"/>
  <sheetViews>
    <sheetView showGridLines="0" tabSelected="1" workbookViewId="0">
      <selection activeCell="Z1" sqref="Z1"/>
    </sheetView>
  </sheetViews>
  <sheetFormatPr defaultRowHeight="12.75"/>
  <cols>
    <col min="1" max="1" width="25.7109375" style="1581" customWidth="1"/>
    <col min="2" max="5" width="9.140625" style="1581"/>
    <col min="6" max="6" width="18.7109375" style="1581" customWidth="1"/>
    <col min="7" max="256" width="9.140625" style="1581"/>
    <col min="257" max="257" width="100.7109375" style="1581" customWidth="1"/>
    <col min="258" max="512" width="9.140625" style="1581"/>
    <col min="513" max="513" width="100.7109375" style="1581" customWidth="1"/>
    <col min="514" max="768" width="9.140625" style="1581"/>
    <col min="769" max="769" width="100.7109375" style="1581" customWidth="1"/>
    <col min="770" max="1024" width="9.140625" style="1581"/>
    <col min="1025" max="1025" width="100.7109375" style="1581" customWidth="1"/>
    <col min="1026" max="1280" width="9.140625" style="1581"/>
    <col min="1281" max="1281" width="100.7109375" style="1581" customWidth="1"/>
    <col min="1282" max="1536" width="9.140625" style="1581"/>
    <col min="1537" max="1537" width="100.7109375" style="1581" customWidth="1"/>
    <col min="1538" max="1792" width="9.140625" style="1581"/>
    <col min="1793" max="1793" width="100.7109375" style="1581" customWidth="1"/>
    <col min="1794" max="2048" width="9.140625" style="1581"/>
    <col min="2049" max="2049" width="100.7109375" style="1581" customWidth="1"/>
    <col min="2050" max="2304" width="9.140625" style="1581"/>
    <col min="2305" max="2305" width="100.7109375" style="1581" customWidth="1"/>
    <col min="2306" max="2560" width="9.140625" style="1581"/>
    <col min="2561" max="2561" width="100.7109375" style="1581" customWidth="1"/>
    <col min="2562" max="2816" width="9.140625" style="1581"/>
    <col min="2817" max="2817" width="100.7109375" style="1581" customWidth="1"/>
    <col min="2818" max="3072" width="9.140625" style="1581"/>
    <col min="3073" max="3073" width="100.7109375" style="1581" customWidth="1"/>
    <col min="3074" max="3328" width="9.140625" style="1581"/>
    <col min="3329" max="3329" width="100.7109375" style="1581" customWidth="1"/>
    <col min="3330" max="3584" width="9.140625" style="1581"/>
    <col min="3585" max="3585" width="100.7109375" style="1581" customWidth="1"/>
    <col min="3586" max="3840" width="9.140625" style="1581"/>
    <col min="3841" max="3841" width="100.7109375" style="1581" customWidth="1"/>
    <col min="3842" max="4096" width="9.140625" style="1581"/>
    <col min="4097" max="4097" width="100.7109375" style="1581" customWidth="1"/>
    <col min="4098" max="4352" width="9.140625" style="1581"/>
    <col min="4353" max="4353" width="100.7109375" style="1581" customWidth="1"/>
    <col min="4354" max="4608" width="9.140625" style="1581"/>
    <col min="4609" max="4609" width="100.7109375" style="1581" customWidth="1"/>
    <col min="4610" max="4864" width="9.140625" style="1581"/>
    <col min="4865" max="4865" width="100.7109375" style="1581" customWidth="1"/>
    <col min="4866" max="5120" width="9.140625" style="1581"/>
    <col min="5121" max="5121" width="100.7109375" style="1581" customWidth="1"/>
    <col min="5122" max="5376" width="9.140625" style="1581"/>
    <col min="5377" max="5377" width="100.7109375" style="1581" customWidth="1"/>
    <col min="5378" max="5632" width="9.140625" style="1581"/>
    <col min="5633" max="5633" width="100.7109375" style="1581" customWidth="1"/>
    <col min="5634" max="5888" width="9.140625" style="1581"/>
    <col min="5889" max="5889" width="100.7109375" style="1581" customWidth="1"/>
    <col min="5890" max="6144" width="9.140625" style="1581"/>
    <col min="6145" max="6145" width="100.7109375" style="1581" customWidth="1"/>
    <col min="6146" max="6400" width="9.140625" style="1581"/>
    <col min="6401" max="6401" width="100.7109375" style="1581" customWidth="1"/>
    <col min="6402" max="6656" width="9.140625" style="1581"/>
    <col min="6657" max="6657" width="100.7109375" style="1581" customWidth="1"/>
    <col min="6658" max="6912" width="9.140625" style="1581"/>
    <col min="6913" max="6913" width="100.7109375" style="1581" customWidth="1"/>
    <col min="6914" max="7168" width="9.140625" style="1581"/>
    <col min="7169" max="7169" width="100.7109375" style="1581" customWidth="1"/>
    <col min="7170" max="7424" width="9.140625" style="1581"/>
    <col min="7425" max="7425" width="100.7109375" style="1581" customWidth="1"/>
    <col min="7426" max="7680" width="9.140625" style="1581"/>
    <col min="7681" max="7681" width="100.7109375" style="1581" customWidth="1"/>
    <col min="7682" max="7936" width="9.140625" style="1581"/>
    <col min="7937" max="7937" width="100.7109375" style="1581" customWidth="1"/>
    <col min="7938" max="8192" width="9.140625" style="1581"/>
    <col min="8193" max="8193" width="100.7109375" style="1581" customWidth="1"/>
    <col min="8194" max="8448" width="9.140625" style="1581"/>
    <col min="8449" max="8449" width="100.7109375" style="1581" customWidth="1"/>
    <col min="8450" max="8704" width="9.140625" style="1581"/>
    <col min="8705" max="8705" width="100.7109375" style="1581" customWidth="1"/>
    <col min="8706" max="8960" width="9.140625" style="1581"/>
    <col min="8961" max="8961" width="100.7109375" style="1581" customWidth="1"/>
    <col min="8962" max="9216" width="9.140625" style="1581"/>
    <col min="9217" max="9217" width="100.7109375" style="1581" customWidth="1"/>
    <col min="9218" max="9472" width="9.140625" style="1581"/>
    <col min="9473" max="9473" width="100.7109375" style="1581" customWidth="1"/>
    <col min="9474" max="9728" width="9.140625" style="1581"/>
    <col min="9729" max="9729" width="100.7109375" style="1581" customWidth="1"/>
    <col min="9730" max="9984" width="9.140625" style="1581"/>
    <col min="9985" max="9985" width="100.7109375" style="1581" customWidth="1"/>
    <col min="9986" max="10240" width="9.140625" style="1581"/>
    <col min="10241" max="10241" width="100.7109375" style="1581" customWidth="1"/>
    <col min="10242" max="10496" width="9.140625" style="1581"/>
    <col min="10497" max="10497" width="100.7109375" style="1581" customWidth="1"/>
    <col min="10498" max="10752" width="9.140625" style="1581"/>
    <col min="10753" max="10753" width="100.7109375" style="1581" customWidth="1"/>
    <col min="10754" max="11008" width="9.140625" style="1581"/>
    <col min="11009" max="11009" width="100.7109375" style="1581" customWidth="1"/>
    <col min="11010" max="11264" width="9.140625" style="1581"/>
    <col min="11265" max="11265" width="100.7109375" style="1581" customWidth="1"/>
    <col min="11266" max="11520" width="9.140625" style="1581"/>
    <col min="11521" max="11521" width="100.7109375" style="1581" customWidth="1"/>
    <col min="11522" max="11776" width="9.140625" style="1581"/>
    <col min="11777" max="11777" width="100.7109375" style="1581" customWidth="1"/>
    <col min="11778" max="12032" width="9.140625" style="1581"/>
    <col min="12033" max="12033" width="100.7109375" style="1581" customWidth="1"/>
    <col min="12034" max="12288" width="9.140625" style="1581"/>
    <col min="12289" max="12289" width="100.7109375" style="1581" customWidth="1"/>
    <col min="12290" max="12544" width="9.140625" style="1581"/>
    <col min="12545" max="12545" width="100.7109375" style="1581" customWidth="1"/>
    <col min="12546" max="12800" width="9.140625" style="1581"/>
    <col min="12801" max="12801" width="100.7109375" style="1581" customWidth="1"/>
    <col min="12802" max="13056" width="9.140625" style="1581"/>
    <col min="13057" max="13057" width="100.7109375" style="1581" customWidth="1"/>
    <col min="13058" max="13312" width="9.140625" style="1581"/>
    <col min="13313" max="13313" width="100.7109375" style="1581" customWidth="1"/>
    <col min="13314" max="13568" width="9.140625" style="1581"/>
    <col min="13569" max="13569" width="100.7109375" style="1581" customWidth="1"/>
    <col min="13570" max="13824" width="9.140625" style="1581"/>
    <col min="13825" max="13825" width="100.7109375" style="1581" customWidth="1"/>
    <col min="13826" max="14080" width="9.140625" style="1581"/>
    <col min="14081" max="14081" width="100.7109375" style="1581" customWidth="1"/>
    <col min="14082" max="14336" width="9.140625" style="1581"/>
    <col min="14337" max="14337" width="100.7109375" style="1581" customWidth="1"/>
    <col min="14338" max="14592" width="9.140625" style="1581"/>
    <col min="14593" max="14593" width="100.7109375" style="1581" customWidth="1"/>
    <col min="14594" max="14848" width="9.140625" style="1581"/>
    <col min="14849" max="14849" width="100.7109375" style="1581" customWidth="1"/>
    <col min="14850" max="15104" width="9.140625" style="1581"/>
    <col min="15105" max="15105" width="100.7109375" style="1581" customWidth="1"/>
    <col min="15106" max="15360" width="9.140625" style="1581"/>
    <col min="15361" max="15361" width="100.7109375" style="1581" customWidth="1"/>
    <col min="15362" max="15616" width="9.140625" style="1581"/>
    <col min="15617" max="15617" width="100.7109375" style="1581" customWidth="1"/>
    <col min="15618" max="15872" width="9.140625" style="1581"/>
    <col min="15873" max="15873" width="100.7109375" style="1581" customWidth="1"/>
    <col min="15874" max="16128" width="9.140625" style="1581"/>
    <col min="16129" max="16129" width="100.7109375" style="1581" customWidth="1"/>
    <col min="16130" max="16384" width="9.140625" style="1581"/>
  </cols>
  <sheetData>
    <row r="1" spans="1:8" ht="30" customHeight="1">
      <c r="A1" s="1579"/>
      <c r="B1" s="1580"/>
      <c r="C1" s="1580"/>
      <c r="D1" s="1580"/>
      <c r="E1" s="1580"/>
      <c r="F1" s="1580"/>
      <c r="G1" s="1580"/>
      <c r="H1" s="1580"/>
    </row>
    <row r="2" spans="1:8" ht="14.25">
      <c r="A2" s="1582" t="s">
        <v>1022</v>
      </c>
      <c r="B2" s="1580"/>
      <c r="C2" s="1580"/>
      <c r="D2" s="1580"/>
      <c r="E2" s="1580"/>
      <c r="F2" s="1580"/>
      <c r="G2" s="1580"/>
      <c r="H2" s="1580"/>
    </row>
    <row r="3" spans="1:8" ht="14.25">
      <c r="A3" s="1582" t="s">
        <v>1023</v>
      </c>
      <c r="B3" s="1580"/>
      <c r="C3" s="1580"/>
      <c r="D3" s="1580"/>
      <c r="E3" s="1580"/>
      <c r="F3" s="1580"/>
      <c r="G3" s="1580"/>
      <c r="H3" s="1580"/>
    </row>
    <row r="4" spans="1:8" ht="14.25">
      <c r="A4" s="1582" t="s">
        <v>1024</v>
      </c>
      <c r="B4" s="1580"/>
      <c r="C4" s="1580"/>
      <c r="D4" s="1580"/>
      <c r="E4" s="1580"/>
      <c r="F4" s="1580"/>
      <c r="G4" s="1580"/>
      <c r="H4" s="1580"/>
    </row>
    <row r="5" spans="1:8" ht="14.25">
      <c r="A5" s="1582" t="s">
        <v>1025</v>
      </c>
      <c r="B5" s="1580"/>
      <c r="C5" s="1580"/>
      <c r="D5" s="1580"/>
      <c r="E5" s="1580"/>
      <c r="F5" s="1580"/>
      <c r="G5" s="1580"/>
      <c r="H5" s="1580"/>
    </row>
    <row r="6" spans="1:8" ht="14.25">
      <c r="A6" s="1582"/>
      <c r="B6" s="1580"/>
      <c r="C6" s="1580"/>
      <c r="D6" s="1580"/>
      <c r="E6" s="1580"/>
      <c r="F6" s="1580"/>
      <c r="G6" s="1580"/>
      <c r="H6" s="1580"/>
    </row>
    <row r="7" spans="1:8">
      <c r="A7" s="1579" t="s">
        <v>1026</v>
      </c>
      <c r="B7" s="1580"/>
      <c r="C7" s="1580"/>
      <c r="D7" s="1580"/>
      <c r="E7" s="1580"/>
      <c r="F7" s="1580"/>
      <c r="G7" s="1580"/>
      <c r="H7" s="1580"/>
    </row>
    <row r="8" spans="1:8">
      <c r="A8" s="1579" t="s">
        <v>1027</v>
      </c>
      <c r="B8" s="1580"/>
      <c r="C8" s="1580"/>
      <c r="D8" s="1580"/>
      <c r="E8" s="1580"/>
      <c r="F8" s="1580"/>
      <c r="G8" s="1580"/>
      <c r="H8" s="1580"/>
    </row>
    <row r="9" spans="1:8">
      <c r="A9" s="1579"/>
      <c r="B9" s="1580"/>
      <c r="C9" s="1580"/>
      <c r="D9" s="1580"/>
      <c r="E9" s="1580"/>
      <c r="F9" s="1580"/>
      <c r="G9" s="1580"/>
      <c r="H9" s="1580"/>
    </row>
    <row r="10" spans="1:8">
      <c r="A10" s="1583" t="s">
        <v>1028</v>
      </c>
      <c r="B10" s="1580"/>
      <c r="C10" s="1580"/>
      <c r="D10" s="1580"/>
      <c r="E10" s="1580"/>
      <c r="F10" s="1580"/>
      <c r="G10" s="1580"/>
      <c r="H10" s="1580"/>
    </row>
    <row r="11" spans="1:8">
      <c r="A11" s="1583" t="s">
        <v>1029</v>
      </c>
      <c r="B11" s="1580"/>
      <c r="C11" s="1580"/>
      <c r="D11" s="1580"/>
      <c r="E11" s="1580"/>
      <c r="F11" s="1580"/>
      <c r="G11" s="1580"/>
      <c r="H11" s="1580"/>
    </row>
    <row r="12" spans="1:8">
      <c r="A12" s="1583" t="s">
        <v>1030</v>
      </c>
      <c r="B12" s="1580"/>
      <c r="C12" s="1580"/>
      <c r="D12" s="1580"/>
      <c r="E12" s="1580"/>
      <c r="F12" s="1580"/>
      <c r="G12" s="1580"/>
      <c r="H12" s="1580"/>
    </row>
    <row r="13" spans="1:8">
      <c r="A13" s="1583" t="s">
        <v>1031</v>
      </c>
      <c r="B13" s="1580"/>
      <c r="C13" s="1580"/>
      <c r="D13" s="1580"/>
      <c r="E13" s="1580"/>
      <c r="F13" s="1580"/>
      <c r="G13" s="1580"/>
      <c r="H13" s="1580"/>
    </row>
    <row r="14" spans="1:8">
      <c r="A14" s="1583" t="s">
        <v>1032</v>
      </c>
      <c r="B14" s="1580"/>
      <c r="C14" s="1580"/>
      <c r="D14" s="1580"/>
      <c r="E14" s="1580"/>
      <c r="F14" s="1580"/>
      <c r="G14" s="1580"/>
      <c r="H14" s="1580"/>
    </row>
    <row r="15" spans="1:8">
      <c r="A15" s="1583" t="s">
        <v>1033</v>
      </c>
      <c r="B15" s="1580"/>
      <c r="C15" s="1580"/>
      <c r="D15" s="1580"/>
      <c r="E15" s="1580"/>
      <c r="F15" s="1580"/>
      <c r="G15" s="1580"/>
      <c r="H15" s="1580"/>
    </row>
    <row r="16" spans="1:8">
      <c r="A16" s="1583"/>
      <c r="B16" s="1580"/>
      <c r="C16" s="1580"/>
      <c r="D16" s="1580"/>
      <c r="E16" s="1580"/>
      <c r="F16" s="1580"/>
      <c r="G16" s="1580"/>
      <c r="H16" s="1580"/>
    </row>
    <row r="17" spans="1:8">
      <c r="A17" s="1583" t="s">
        <v>1019</v>
      </c>
      <c r="B17" s="1580"/>
      <c r="C17" s="1580"/>
      <c r="D17" s="1580"/>
      <c r="E17" s="1580"/>
      <c r="F17" s="1580"/>
      <c r="G17" s="1580"/>
      <c r="H17" s="1580"/>
    </row>
    <row r="18" spans="1:8">
      <c r="A18" s="1583"/>
      <c r="B18" s="1580"/>
      <c r="C18" s="1580"/>
      <c r="D18" s="1580"/>
      <c r="E18" s="1580"/>
      <c r="F18" s="1580"/>
      <c r="G18" s="1580"/>
      <c r="H18" s="1580"/>
    </row>
    <row r="19" spans="1:8">
      <c r="A19" s="1583" t="s">
        <v>1020</v>
      </c>
      <c r="B19" s="1580"/>
      <c r="C19" s="1580"/>
      <c r="D19" s="1580"/>
      <c r="E19" s="1580"/>
      <c r="F19" s="1580"/>
      <c r="G19" s="1580"/>
      <c r="H19" s="1580"/>
    </row>
    <row r="20" spans="1:8">
      <c r="A20" s="1579"/>
      <c r="B20" s="1580"/>
      <c r="C20" s="1580"/>
      <c r="D20" s="1580"/>
      <c r="E20" s="1580"/>
      <c r="F20" s="1580"/>
      <c r="G20" s="1580"/>
      <c r="H20" s="1580"/>
    </row>
    <row r="21" spans="1:8">
      <c r="A21" s="1584" t="s">
        <v>1021</v>
      </c>
      <c r="B21" s="1580"/>
      <c r="C21" s="1580"/>
      <c r="D21" s="1580"/>
      <c r="E21" s="1580"/>
      <c r="F21" s="1580"/>
      <c r="G21" s="1580"/>
      <c r="H21" s="1580"/>
    </row>
    <row r="22" spans="1:8">
      <c r="A22" s="1585"/>
      <c r="B22" s="1585"/>
      <c r="C22" s="1585"/>
      <c r="D22" s="1585"/>
      <c r="E22" s="1585"/>
      <c r="F22" s="1585"/>
      <c r="G22" s="1585"/>
      <c r="H22" s="1585"/>
    </row>
    <row r="23" spans="1:8">
      <c r="A23" s="1586" t="s">
        <v>1318</v>
      </c>
      <c r="B23" s="1585"/>
      <c r="C23" s="1585"/>
      <c r="D23" s="1585"/>
      <c r="E23" s="1585"/>
      <c r="F23" s="1585"/>
      <c r="G23" s="1585"/>
      <c r="H23" s="1585"/>
    </row>
    <row r="24" spans="1:8">
      <c r="A24" s="1586" t="s">
        <v>1319</v>
      </c>
      <c r="B24" s="1585"/>
      <c r="C24" s="1585"/>
      <c r="D24" s="1585"/>
      <c r="E24" s="1585"/>
      <c r="F24" s="1585"/>
      <c r="G24" s="1585"/>
      <c r="H24" s="1585"/>
    </row>
    <row r="25" spans="1:8">
      <c r="A25" s="1586" t="s">
        <v>1320</v>
      </c>
      <c r="B25" s="1585"/>
      <c r="C25" s="1585"/>
      <c r="D25" s="1585"/>
      <c r="E25" s="1585"/>
      <c r="F25" s="1585"/>
      <c r="G25" s="1585"/>
      <c r="H25" s="1585"/>
    </row>
    <row r="26" spans="1:8">
      <c r="A26" s="1586" t="s">
        <v>1321</v>
      </c>
      <c r="B26" s="1585"/>
      <c r="C26" s="1585"/>
      <c r="D26" s="1585"/>
      <c r="E26" s="1585"/>
      <c r="F26" s="1585"/>
      <c r="G26" s="1585"/>
      <c r="H26" s="1585"/>
    </row>
    <row r="27" spans="1:8">
      <c r="A27" s="1585"/>
      <c r="B27" s="1585"/>
      <c r="C27" s="1585"/>
      <c r="D27" s="1585"/>
      <c r="E27" s="1585"/>
      <c r="F27" s="1585"/>
      <c r="G27" s="1585"/>
      <c r="H27" s="1585"/>
    </row>
    <row r="28" spans="1:8">
      <c r="A28" s="1585"/>
      <c r="B28" s="1585"/>
      <c r="C28" s="1585"/>
      <c r="D28" s="1585"/>
      <c r="E28" s="1585"/>
      <c r="F28" s="1585"/>
      <c r="G28" s="1585"/>
      <c r="H28" s="1585"/>
    </row>
    <row r="29" spans="1:8">
      <c r="A29" s="1586" t="s">
        <v>1313</v>
      </c>
      <c r="B29" s="1585"/>
      <c r="C29" s="1585"/>
      <c r="D29" s="1585"/>
      <c r="E29" s="1585"/>
      <c r="F29" s="1585"/>
      <c r="G29" s="1585"/>
      <c r="H29" s="1585"/>
    </row>
    <row r="30" spans="1:8">
      <c r="A30" s="1586" t="s">
        <v>1314</v>
      </c>
      <c r="B30" s="1585"/>
      <c r="C30" s="1585"/>
      <c r="D30" s="1585"/>
      <c r="E30" s="1585"/>
      <c r="F30" s="1585"/>
      <c r="G30" s="1585"/>
      <c r="H30" s="1585"/>
    </row>
    <row r="31" spans="1:8">
      <c r="A31" s="1586" t="s">
        <v>1315</v>
      </c>
      <c r="B31" s="1585"/>
      <c r="C31" s="1585"/>
      <c r="D31" s="1585"/>
      <c r="E31" s="1585"/>
      <c r="F31" s="1585"/>
      <c r="G31" s="1585"/>
      <c r="H31" s="1585"/>
    </row>
    <row r="32" spans="1:8">
      <c r="A32" s="1586" t="s">
        <v>1316</v>
      </c>
      <c r="B32" s="1585"/>
      <c r="C32" s="1585"/>
      <c r="D32" s="1585"/>
      <c r="E32" s="1585"/>
      <c r="F32" s="1585"/>
      <c r="G32" s="1585"/>
      <c r="H32" s="1585"/>
    </row>
    <row r="33" spans="1:8">
      <c r="A33" s="1586" t="s">
        <v>1317</v>
      </c>
      <c r="B33" s="1585"/>
      <c r="C33" s="1585"/>
      <c r="D33" s="1585"/>
      <c r="E33" s="1585"/>
      <c r="F33" s="1585"/>
      <c r="G33" s="1585"/>
      <c r="H33" s="1585"/>
    </row>
    <row r="34" spans="1:8">
      <c r="A34" s="1585"/>
      <c r="B34" s="1585"/>
      <c r="C34" s="1585"/>
      <c r="D34" s="1585"/>
      <c r="E34" s="1585"/>
      <c r="F34" s="1585"/>
      <c r="G34" s="1585"/>
      <c r="H34" s="1585"/>
    </row>
    <row r="35" spans="1:8">
      <c r="A35" s="1586" t="s">
        <v>1309</v>
      </c>
      <c r="B35" s="1585"/>
      <c r="C35" s="1585"/>
      <c r="D35" s="1585"/>
      <c r="E35" s="1585"/>
      <c r="F35" s="1585"/>
      <c r="G35" s="1585"/>
      <c r="H35" s="1585"/>
    </row>
    <row r="36" spans="1:8">
      <c r="A36" s="1586" t="s">
        <v>1310</v>
      </c>
      <c r="B36" s="1585"/>
      <c r="C36" s="1585"/>
      <c r="D36" s="1585"/>
      <c r="E36" s="1585"/>
      <c r="F36" s="1585"/>
      <c r="G36" s="1585"/>
      <c r="H36" s="1585"/>
    </row>
    <row r="37" spans="1:8">
      <c r="A37" s="1586" t="s">
        <v>1311</v>
      </c>
      <c r="B37" s="1585"/>
      <c r="C37" s="1585"/>
      <c r="D37" s="1585"/>
      <c r="E37" s="1585"/>
      <c r="F37" s="1585"/>
      <c r="G37" s="1585"/>
      <c r="H37" s="1585"/>
    </row>
    <row r="38" spans="1:8">
      <c r="A38" s="1586" t="s">
        <v>1312</v>
      </c>
      <c r="B38" s="1585"/>
      <c r="C38" s="1585"/>
      <c r="D38" s="1585"/>
      <c r="E38" s="1585"/>
      <c r="F38" s="1585"/>
      <c r="G38" s="1585"/>
      <c r="H38" s="1585"/>
    </row>
    <row r="39" spans="1:8">
      <c r="A39" s="1585"/>
      <c r="B39" s="1585"/>
      <c r="C39" s="1585"/>
      <c r="D39" s="1585"/>
      <c r="E39" s="1585"/>
      <c r="F39" s="1585"/>
      <c r="G39" s="1585"/>
      <c r="H39" s="1585"/>
    </row>
    <row r="40" spans="1:8">
      <c r="A40" s="1586" t="s">
        <v>1303</v>
      </c>
      <c r="B40" s="1585"/>
      <c r="C40" s="1585"/>
      <c r="D40" s="1585"/>
      <c r="E40" s="1585"/>
      <c r="F40" s="1585"/>
      <c r="G40" s="1585"/>
      <c r="H40" s="1585"/>
    </row>
    <row r="41" spans="1:8">
      <c r="A41" s="1586" t="s">
        <v>1304</v>
      </c>
      <c r="B41" s="1585"/>
      <c r="C41" s="1585"/>
      <c r="D41" s="1585"/>
      <c r="E41" s="1585"/>
      <c r="F41" s="1585"/>
      <c r="G41" s="1585"/>
      <c r="H41" s="1585"/>
    </row>
    <row r="42" spans="1:8">
      <c r="A42" s="1586" t="s">
        <v>1305</v>
      </c>
      <c r="B42" s="1585"/>
      <c r="C42" s="1585"/>
      <c r="D42" s="1585"/>
      <c r="E42" s="1585"/>
      <c r="F42" s="1585"/>
      <c r="G42" s="1585"/>
      <c r="H42" s="1585"/>
    </row>
    <row r="43" spans="1:8">
      <c r="A43" s="1586" t="s">
        <v>1306</v>
      </c>
      <c r="B43" s="1585"/>
      <c r="C43" s="1585"/>
      <c r="D43" s="1585"/>
      <c r="E43" s="1585"/>
      <c r="F43" s="1585"/>
      <c r="G43" s="1585"/>
      <c r="H43" s="1585"/>
    </row>
    <row r="44" spans="1:8">
      <c r="A44" s="1586" t="s">
        <v>1307</v>
      </c>
      <c r="B44" s="1585"/>
      <c r="C44" s="1585"/>
      <c r="D44" s="1585"/>
      <c r="E44" s="1585"/>
      <c r="F44" s="1585"/>
      <c r="G44" s="1585"/>
      <c r="H44" s="1585"/>
    </row>
    <row r="45" spans="1:8">
      <c r="A45" s="1586" t="s">
        <v>1308</v>
      </c>
      <c r="B45" s="1585"/>
      <c r="C45" s="1585"/>
      <c r="D45" s="1585"/>
      <c r="E45" s="1585"/>
      <c r="F45" s="1585"/>
      <c r="G45" s="1585"/>
      <c r="H45" s="1585"/>
    </row>
    <row r="46" spans="1:8">
      <c r="A46" s="1585"/>
      <c r="B46" s="1585"/>
      <c r="C46" s="1585"/>
      <c r="D46" s="1585"/>
      <c r="E46" s="1585"/>
      <c r="F46" s="1585"/>
      <c r="G46" s="1585"/>
      <c r="H46" s="1585"/>
    </row>
    <row r="47" spans="1:8" ht="15.75">
      <c r="A47" s="1587" t="s">
        <v>1034</v>
      </c>
      <c r="B47" s="1585"/>
      <c r="C47" s="1585"/>
      <c r="D47" s="1585"/>
      <c r="E47" s="1585"/>
      <c r="F47" s="1585"/>
      <c r="G47" s="1585"/>
      <c r="H47" s="1585"/>
    </row>
    <row r="48" spans="1:8">
      <c r="A48" s="1585"/>
      <c r="B48" s="1585"/>
      <c r="C48" s="1585"/>
      <c r="D48" s="1585"/>
      <c r="E48" s="1585"/>
      <c r="F48" s="1585"/>
      <c r="G48" s="1585"/>
      <c r="H48" s="1585"/>
    </row>
    <row r="49" spans="1:8">
      <c r="A49" s="1586" t="s">
        <v>1299</v>
      </c>
      <c r="B49" s="1585"/>
      <c r="C49" s="1585"/>
      <c r="D49" s="1585"/>
      <c r="E49" s="1585"/>
      <c r="F49" s="1585"/>
      <c r="G49" s="1585"/>
      <c r="H49" s="1585"/>
    </row>
    <row r="50" spans="1:8">
      <c r="A50" s="1586" t="s">
        <v>1300</v>
      </c>
      <c r="B50" s="1585"/>
      <c r="C50" s="1585"/>
      <c r="D50" s="1585"/>
      <c r="E50" s="1585"/>
      <c r="F50" s="1585"/>
      <c r="G50" s="1585"/>
      <c r="H50" s="1585"/>
    </row>
    <row r="51" spans="1:8">
      <c r="A51" s="1586" t="s">
        <v>1301</v>
      </c>
      <c r="B51" s="1585"/>
      <c r="C51" s="1585"/>
      <c r="D51" s="1585"/>
      <c r="E51" s="1585"/>
      <c r="F51" s="1585"/>
      <c r="G51" s="1585"/>
      <c r="H51" s="1585"/>
    </row>
    <row r="52" spans="1:8">
      <c r="A52" s="1586" t="s">
        <v>1302</v>
      </c>
      <c r="B52" s="1585"/>
      <c r="C52" s="1585"/>
      <c r="D52" s="1585"/>
      <c r="E52" s="1585"/>
      <c r="F52" s="1585"/>
      <c r="G52" s="1585"/>
      <c r="H52" s="1585"/>
    </row>
    <row r="53" spans="1:8">
      <c r="A53" s="1585"/>
      <c r="B53" s="1585"/>
      <c r="C53" s="1585"/>
      <c r="D53" s="1585"/>
      <c r="E53" s="1585"/>
      <c r="F53" s="1585"/>
      <c r="G53" s="1585"/>
      <c r="H53" s="1585"/>
    </row>
    <row r="54" spans="1:8">
      <c r="A54" s="1586" t="s">
        <v>1035</v>
      </c>
      <c r="B54" s="1585"/>
      <c r="C54" s="1585"/>
      <c r="D54" s="1585"/>
      <c r="E54" s="1585"/>
      <c r="F54" s="1585"/>
      <c r="G54" s="1585"/>
      <c r="H54" s="1585"/>
    </row>
    <row r="55" spans="1:8">
      <c r="A55" s="1585"/>
      <c r="B55" s="1585"/>
      <c r="C55" s="1585"/>
      <c r="D55" s="1585"/>
      <c r="E55" s="1585"/>
      <c r="F55" s="1585"/>
      <c r="G55" s="1585"/>
      <c r="H55" s="1585"/>
    </row>
    <row r="56" spans="1:8" ht="15.75">
      <c r="A56" s="1587" t="s">
        <v>1036</v>
      </c>
      <c r="B56" s="1585"/>
      <c r="C56" s="1585"/>
      <c r="D56" s="1585"/>
      <c r="E56" s="1585"/>
      <c r="F56" s="1585"/>
      <c r="G56" s="1585"/>
      <c r="H56" s="1585"/>
    </row>
    <row r="57" spans="1:8">
      <c r="A57" s="1585"/>
      <c r="B57" s="1585"/>
      <c r="C57" s="1585"/>
      <c r="D57" s="1585"/>
      <c r="E57" s="1585"/>
      <c r="F57" s="1585"/>
      <c r="G57" s="1585"/>
      <c r="H57" s="1585"/>
    </row>
    <row r="58" spans="1:8">
      <c r="A58" s="1586" t="s">
        <v>1297</v>
      </c>
      <c r="B58" s="1585"/>
      <c r="C58" s="1585"/>
      <c r="D58" s="1585"/>
      <c r="E58" s="1585"/>
      <c r="F58" s="1585"/>
      <c r="G58" s="1585"/>
      <c r="H58" s="1585"/>
    </row>
    <row r="59" spans="1:8">
      <c r="A59" s="1586" t="s">
        <v>1298</v>
      </c>
      <c r="B59" s="1585"/>
      <c r="C59" s="1585"/>
      <c r="D59" s="1585"/>
      <c r="E59" s="1585"/>
      <c r="F59" s="1585"/>
      <c r="G59" s="1585"/>
      <c r="H59" s="1585"/>
    </row>
    <row r="60" spans="1:8">
      <c r="A60" s="1585"/>
      <c r="B60" s="1585"/>
      <c r="C60" s="1585"/>
      <c r="D60" s="1585"/>
      <c r="E60" s="1585"/>
      <c r="F60" s="1585"/>
      <c r="G60" s="1585"/>
      <c r="H60" s="1585"/>
    </row>
    <row r="61" spans="1:8" ht="15.75">
      <c r="A61" s="1587" t="s">
        <v>1037</v>
      </c>
      <c r="B61" s="1585"/>
      <c r="C61" s="1585"/>
      <c r="D61" s="1585"/>
      <c r="E61" s="1585"/>
      <c r="F61" s="1585"/>
      <c r="G61" s="1585"/>
      <c r="H61" s="1585"/>
    </row>
    <row r="62" spans="1:8">
      <c r="A62" s="1585"/>
      <c r="B62" s="1585"/>
      <c r="C62" s="1585"/>
      <c r="D62" s="1585"/>
      <c r="E62" s="1585"/>
      <c r="F62" s="1585"/>
      <c r="G62" s="1585"/>
      <c r="H62" s="1585"/>
    </row>
    <row r="63" spans="1:8">
      <c r="A63" s="1586" t="s">
        <v>1295</v>
      </c>
      <c r="B63" s="1585"/>
      <c r="C63" s="1585"/>
      <c r="D63" s="1585"/>
      <c r="E63" s="1585"/>
      <c r="F63" s="1585"/>
      <c r="G63" s="1585"/>
      <c r="H63" s="1585"/>
    </row>
    <row r="64" spans="1:8">
      <c r="A64" s="1586" t="s">
        <v>1296</v>
      </c>
      <c r="B64" s="1585"/>
      <c r="C64" s="1585"/>
      <c r="D64" s="1585"/>
      <c r="E64" s="1585"/>
      <c r="F64" s="1585"/>
      <c r="G64" s="1585"/>
      <c r="H64" s="1585"/>
    </row>
    <row r="65" spans="1:8">
      <c r="A65" s="1585"/>
      <c r="B65" s="1585"/>
      <c r="C65" s="1585"/>
      <c r="D65" s="1585"/>
      <c r="E65" s="1585"/>
      <c r="F65" s="1585"/>
      <c r="G65" s="1585"/>
      <c r="H65" s="1585"/>
    </row>
    <row r="66" spans="1:8">
      <c r="A66" s="1586" t="s">
        <v>1293</v>
      </c>
      <c r="B66" s="1585"/>
      <c r="C66" s="1585"/>
      <c r="D66" s="1585"/>
      <c r="E66" s="1585"/>
      <c r="F66" s="1585"/>
      <c r="G66" s="1585"/>
      <c r="H66" s="1585"/>
    </row>
    <row r="67" spans="1:8">
      <c r="A67" s="1586" t="s">
        <v>1294</v>
      </c>
      <c r="B67" s="1585"/>
      <c r="C67" s="1585"/>
      <c r="D67" s="1585"/>
      <c r="E67" s="1585"/>
      <c r="F67" s="1585"/>
      <c r="G67" s="1585"/>
      <c r="H67" s="1585"/>
    </row>
    <row r="68" spans="1:8">
      <c r="A68" s="1585"/>
      <c r="B68" s="1585"/>
      <c r="C68" s="1585"/>
      <c r="D68" s="1585"/>
      <c r="E68" s="1585"/>
      <c r="F68" s="1585"/>
      <c r="G68" s="1585"/>
      <c r="H68" s="1585"/>
    </row>
    <row r="69" spans="1:8">
      <c r="A69" s="1586" t="s">
        <v>1291</v>
      </c>
      <c r="B69" s="1585"/>
      <c r="C69" s="1585"/>
      <c r="D69" s="1585"/>
      <c r="E69" s="1585"/>
      <c r="F69" s="1585"/>
      <c r="G69" s="1585"/>
      <c r="H69" s="1585"/>
    </row>
    <row r="70" spans="1:8">
      <c r="A70" s="1586" t="s">
        <v>1292</v>
      </c>
      <c r="B70" s="1585"/>
      <c r="C70" s="1585"/>
      <c r="D70" s="1585"/>
      <c r="E70" s="1585"/>
      <c r="F70" s="1585"/>
      <c r="G70" s="1585"/>
      <c r="H70" s="1585"/>
    </row>
    <row r="71" spans="1:8">
      <c r="A71" s="1585"/>
      <c r="B71" s="1585"/>
      <c r="C71" s="1585"/>
      <c r="D71" s="1585"/>
      <c r="E71" s="1585"/>
      <c r="F71" s="1585"/>
      <c r="G71" s="1585"/>
      <c r="H71" s="1585"/>
    </row>
    <row r="72" spans="1:8">
      <c r="A72" s="1586" t="s">
        <v>1289</v>
      </c>
      <c r="B72" s="1585"/>
      <c r="C72" s="1585"/>
      <c r="D72" s="1585"/>
      <c r="E72" s="1585"/>
      <c r="F72" s="1585"/>
      <c r="G72" s="1585"/>
      <c r="H72" s="1585"/>
    </row>
    <row r="73" spans="1:8">
      <c r="A73" s="1586" t="s">
        <v>1290</v>
      </c>
      <c r="B73" s="1585"/>
      <c r="C73" s="1585"/>
      <c r="D73" s="1585"/>
      <c r="E73" s="1585"/>
      <c r="F73" s="1585"/>
      <c r="G73" s="1585"/>
      <c r="H73" s="1585"/>
    </row>
    <row r="74" spans="1:8">
      <c r="A74" s="1585"/>
      <c r="B74" s="1585"/>
      <c r="C74" s="1585"/>
      <c r="D74" s="1585"/>
      <c r="E74" s="1585"/>
      <c r="F74" s="1585"/>
      <c r="G74" s="1585"/>
      <c r="H74" s="1585"/>
    </row>
    <row r="75" spans="1:8">
      <c r="A75" s="1586" t="s">
        <v>1287</v>
      </c>
      <c r="B75" s="1585"/>
      <c r="C75" s="1585"/>
      <c r="D75" s="1585"/>
      <c r="E75" s="1585"/>
      <c r="F75" s="1585"/>
      <c r="G75" s="1585"/>
      <c r="H75" s="1585"/>
    </row>
    <row r="76" spans="1:8">
      <c r="A76" s="1586" t="s">
        <v>1288</v>
      </c>
      <c r="B76" s="1585"/>
      <c r="C76" s="1585"/>
      <c r="D76" s="1585"/>
      <c r="E76" s="1585"/>
      <c r="F76" s="1585"/>
      <c r="G76" s="1585"/>
      <c r="H76" s="1585"/>
    </row>
    <row r="77" spans="1:8">
      <c r="A77" s="1585"/>
      <c r="B77" s="1585"/>
      <c r="C77" s="1585"/>
      <c r="D77" s="1585"/>
      <c r="E77" s="1585"/>
      <c r="F77" s="1585"/>
      <c r="G77" s="1585"/>
      <c r="H77" s="1585"/>
    </row>
    <row r="78" spans="1:8">
      <c r="A78" s="1586" t="s">
        <v>1285</v>
      </c>
      <c r="B78" s="1585"/>
      <c r="C78" s="1585"/>
      <c r="D78" s="1585"/>
      <c r="E78" s="1585"/>
      <c r="F78" s="1585"/>
      <c r="G78" s="1585"/>
      <c r="H78" s="1585"/>
    </row>
    <row r="79" spans="1:8">
      <c r="A79" s="1586" t="s">
        <v>1286</v>
      </c>
      <c r="B79" s="1585"/>
      <c r="C79" s="1585"/>
      <c r="D79" s="1585"/>
      <c r="E79" s="1585"/>
      <c r="F79" s="1585"/>
      <c r="G79" s="1585"/>
      <c r="H79" s="1585"/>
    </row>
    <row r="80" spans="1:8">
      <c r="A80" s="1585"/>
      <c r="B80" s="1585"/>
      <c r="C80" s="1585"/>
      <c r="D80" s="1585"/>
      <c r="E80" s="1585"/>
      <c r="F80" s="1585"/>
      <c r="G80" s="1585"/>
      <c r="H80" s="1585"/>
    </row>
    <row r="81" spans="1:8">
      <c r="A81" s="1586" t="s">
        <v>1282</v>
      </c>
      <c r="B81" s="1585"/>
      <c r="C81" s="1585"/>
      <c r="D81" s="1585"/>
      <c r="E81" s="1585"/>
      <c r="F81" s="1585"/>
      <c r="G81" s="1585"/>
      <c r="H81" s="1585"/>
    </row>
    <row r="82" spans="1:8">
      <c r="A82" s="1586" t="s">
        <v>1283</v>
      </c>
      <c r="B82" s="1585"/>
      <c r="C82" s="1585"/>
      <c r="D82" s="1585"/>
      <c r="E82" s="1585"/>
      <c r="F82" s="1585"/>
      <c r="G82" s="1585"/>
      <c r="H82" s="1585"/>
    </row>
    <row r="83" spans="1:8">
      <c r="A83" s="1586" t="s">
        <v>1284</v>
      </c>
      <c r="B83" s="1585"/>
      <c r="C83" s="1585"/>
      <c r="D83" s="1585"/>
      <c r="E83" s="1585"/>
      <c r="F83" s="1585"/>
      <c r="G83" s="1585"/>
      <c r="H83" s="1585"/>
    </row>
    <row r="84" spans="1:8">
      <c r="A84" s="1585"/>
      <c r="B84" s="1585"/>
      <c r="C84" s="1585"/>
      <c r="D84" s="1585"/>
      <c r="E84" s="1585"/>
      <c r="F84" s="1585"/>
      <c r="G84" s="1585"/>
      <c r="H84" s="1585"/>
    </row>
    <row r="85" spans="1:8">
      <c r="A85" s="1586" t="s">
        <v>1038</v>
      </c>
      <c r="B85" s="1585"/>
      <c r="C85" s="1585"/>
      <c r="D85" s="1585"/>
      <c r="E85" s="1585"/>
      <c r="F85" s="1585"/>
      <c r="G85" s="1585"/>
      <c r="H85" s="1585"/>
    </row>
    <row r="86" spans="1:8">
      <c r="A86" s="1585"/>
      <c r="B86" s="1585"/>
      <c r="C86" s="1585"/>
      <c r="D86" s="1585"/>
      <c r="E86" s="1585"/>
      <c r="F86" s="1585"/>
      <c r="G86" s="1585"/>
      <c r="H86" s="1585"/>
    </row>
    <row r="87" spans="1:8">
      <c r="A87" s="1586" t="s">
        <v>1277</v>
      </c>
      <c r="B87" s="1585"/>
      <c r="C87" s="1585"/>
      <c r="D87" s="1585"/>
      <c r="E87" s="1585"/>
      <c r="F87" s="1585"/>
      <c r="G87" s="1585"/>
      <c r="H87" s="1585"/>
    </row>
    <row r="88" spans="1:8">
      <c r="A88" s="1586" t="s">
        <v>1278</v>
      </c>
      <c r="B88" s="1585"/>
      <c r="C88" s="1585"/>
      <c r="D88" s="1585"/>
      <c r="E88" s="1585"/>
      <c r="F88" s="1585"/>
      <c r="G88" s="1585"/>
      <c r="H88" s="1585"/>
    </row>
    <row r="89" spans="1:8">
      <c r="A89" s="1586" t="s">
        <v>1279</v>
      </c>
      <c r="B89" s="1585"/>
      <c r="C89" s="1585"/>
      <c r="D89" s="1585"/>
      <c r="E89" s="1585"/>
      <c r="F89" s="1585"/>
      <c r="G89" s="1585"/>
      <c r="H89" s="1585"/>
    </row>
    <row r="90" spans="1:8">
      <c r="A90" s="1586" t="s">
        <v>1280</v>
      </c>
      <c r="B90" s="1585"/>
      <c r="C90" s="1585"/>
      <c r="D90" s="1585"/>
      <c r="E90" s="1585"/>
      <c r="F90" s="1585"/>
      <c r="G90" s="1585"/>
      <c r="H90" s="1585"/>
    </row>
    <row r="91" spans="1:8">
      <c r="A91" s="1586" t="s">
        <v>1281</v>
      </c>
      <c r="B91" s="1585"/>
      <c r="C91" s="1585"/>
      <c r="D91" s="1585"/>
      <c r="E91" s="1585"/>
      <c r="F91" s="1585"/>
      <c r="G91" s="1585"/>
      <c r="H91" s="1585"/>
    </row>
    <row r="92" spans="1:8">
      <c r="A92" s="1586" t="s">
        <v>1164</v>
      </c>
      <c r="B92" s="1585"/>
      <c r="C92" s="1585"/>
      <c r="D92" s="1585"/>
      <c r="E92" s="1585"/>
      <c r="F92" s="1585"/>
      <c r="G92" s="1585"/>
      <c r="H92" s="1585"/>
    </row>
    <row r="93" spans="1:8">
      <c r="A93" s="1585"/>
      <c r="B93" s="1585"/>
      <c r="C93" s="1585"/>
      <c r="D93" s="1585"/>
      <c r="E93" s="1585"/>
      <c r="F93" s="1585"/>
      <c r="G93" s="1585"/>
      <c r="H93" s="1585"/>
    </row>
    <row r="94" spans="1:8">
      <c r="A94" s="1586" t="s">
        <v>1270</v>
      </c>
      <c r="B94" s="1585"/>
      <c r="C94" s="1585"/>
      <c r="D94" s="1585"/>
      <c r="E94" s="1585"/>
      <c r="F94" s="1585"/>
      <c r="G94" s="1585"/>
      <c r="H94" s="1585"/>
    </row>
    <row r="95" spans="1:8">
      <c r="A95" s="1586" t="s">
        <v>1271</v>
      </c>
      <c r="B95" s="1585"/>
      <c r="C95" s="1585"/>
      <c r="D95" s="1585"/>
      <c r="E95" s="1585"/>
      <c r="F95" s="1585"/>
      <c r="G95" s="1585"/>
      <c r="H95" s="1585"/>
    </row>
    <row r="96" spans="1:8">
      <c r="A96" s="1586" t="s">
        <v>1272</v>
      </c>
      <c r="B96" s="1585"/>
      <c r="C96" s="1585"/>
      <c r="D96" s="1585"/>
      <c r="E96" s="1585"/>
      <c r="F96" s="1585"/>
      <c r="G96" s="1585"/>
      <c r="H96" s="1585"/>
    </row>
    <row r="97" spans="1:8">
      <c r="A97" s="1586" t="s">
        <v>1273</v>
      </c>
      <c r="B97" s="1585"/>
      <c r="C97" s="1585"/>
      <c r="D97" s="1585"/>
      <c r="E97" s="1585"/>
      <c r="F97" s="1585"/>
      <c r="G97" s="1585"/>
      <c r="H97" s="1585"/>
    </row>
    <row r="98" spans="1:8">
      <c r="A98" s="1586" t="s">
        <v>1274</v>
      </c>
      <c r="B98" s="1585"/>
      <c r="C98" s="1585"/>
      <c r="D98" s="1585"/>
      <c r="E98" s="1585"/>
      <c r="F98" s="1585"/>
      <c r="G98" s="1585"/>
      <c r="H98" s="1585"/>
    </row>
    <row r="99" spans="1:8">
      <c r="A99" s="1586" t="s">
        <v>1275</v>
      </c>
      <c r="B99" s="1585"/>
      <c r="C99" s="1585"/>
      <c r="D99" s="1585"/>
      <c r="E99" s="1585"/>
      <c r="F99" s="1585"/>
      <c r="G99" s="1585"/>
      <c r="H99" s="1585"/>
    </row>
    <row r="100" spans="1:8">
      <c r="A100" s="1586" t="s">
        <v>1276</v>
      </c>
      <c r="B100" s="1585"/>
      <c r="C100" s="1585"/>
      <c r="D100" s="1585"/>
      <c r="E100" s="1585"/>
      <c r="F100" s="1585"/>
      <c r="G100" s="1585"/>
      <c r="H100" s="1585"/>
    </row>
    <row r="101" spans="1:8">
      <c r="A101" s="1585"/>
      <c r="B101" s="1585"/>
      <c r="C101" s="1585"/>
      <c r="D101" s="1585"/>
      <c r="E101" s="1585"/>
      <c r="F101" s="1585"/>
      <c r="G101" s="1585"/>
      <c r="H101" s="1585"/>
    </row>
    <row r="102" spans="1:8">
      <c r="A102" s="1586" t="s">
        <v>1268</v>
      </c>
      <c r="B102" s="1585"/>
      <c r="C102" s="1585"/>
      <c r="D102" s="1585"/>
      <c r="E102" s="1585"/>
      <c r="F102" s="1585"/>
      <c r="G102" s="1585"/>
      <c r="H102" s="1585"/>
    </row>
    <row r="103" spans="1:8">
      <c r="A103" s="1586" t="s">
        <v>1269</v>
      </c>
      <c r="B103" s="1585"/>
      <c r="C103" s="1585"/>
      <c r="D103" s="1585"/>
      <c r="E103" s="1585"/>
      <c r="F103" s="1585"/>
      <c r="G103" s="1585"/>
      <c r="H103" s="1585"/>
    </row>
    <row r="104" spans="1:8">
      <c r="A104" s="1585"/>
      <c r="B104" s="1585"/>
      <c r="C104" s="1585"/>
      <c r="D104" s="1585"/>
      <c r="E104" s="1585"/>
      <c r="F104" s="1585"/>
      <c r="G104" s="1585"/>
      <c r="H104" s="1585"/>
    </row>
    <row r="105" spans="1:8" ht="15.75">
      <c r="A105" s="1587" t="s">
        <v>1039</v>
      </c>
      <c r="B105" s="1585"/>
      <c r="C105" s="1585"/>
      <c r="D105" s="1585"/>
      <c r="E105" s="1585"/>
      <c r="F105" s="1585"/>
      <c r="G105" s="1585"/>
      <c r="H105" s="1585"/>
    </row>
    <row r="106" spans="1:8">
      <c r="A106" s="1585"/>
      <c r="B106" s="1585"/>
      <c r="C106" s="1585"/>
      <c r="D106" s="1585"/>
      <c r="E106" s="1585"/>
      <c r="F106" s="1585"/>
      <c r="G106" s="1585"/>
      <c r="H106" s="1585"/>
    </row>
    <row r="107" spans="1:8">
      <c r="A107" s="1586" t="s">
        <v>1259</v>
      </c>
      <c r="B107" s="1585"/>
      <c r="C107" s="1585"/>
      <c r="D107" s="1585"/>
      <c r="E107" s="1585"/>
      <c r="F107" s="1585"/>
      <c r="G107" s="1585"/>
      <c r="H107" s="1585"/>
    </row>
    <row r="108" spans="1:8">
      <c r="A108" s="1586" t="s">
        <v>1260</v>
      </c>
      <c r="B108" s="1585"/>
      <c r="C108" s="1585"/>
      <c r="D108" s="1585"/>
      <c r="E108" s="1585"/>
      <c r="F108" s="1585"/>
      <c r="G108" s="1585"/>
      <c r="H108" s="1585"/>
    </row>
    <row r="109" spans="1:8">
      <c r="A109" s="1586" t="s">
        <v>1261</v>
      </c>
      <c r="B109" s="1585"/>
      <c r="C109" s="1585"/>
      <c r="D109" s="1585"/>
      <c r="E109" s="1585"/>
      <c r="F109" s="1585"/>
      <c r="G109" s="1585"/>
      <c r="H109" s="1585"/>
    </row>
    <row r="110" spans="1:8">
      <c r="A110" s="1586" t="s">
        <v>1262</v>
      </c>
      <c r="B110" s="1585"/>
      <c r="C110" s="1585"/>
      <c r="D110" s="1585"/>
      <c r="E110" s="1585"/>
      <c r="F110" s="1585"/>
      <c r="G110" s="1585"/>
      <c r="H110" s="1585"/>
    </row>
    <row r="111" spans="1:8">
      <c r="A111" s="1586" t="s">
        <v>1263</v>
      </c>
      <c r="B111" s="1585"/>
      <c r="C111" s="1585"/>
      <c r="D111" s="1585"/>
      <c r="E111" s="1585"/>
      <c r="F111" s="1585"/>
      <c r="G111" s="1585"/>
      <c r="H111" s="1585"/>
    </row>
    <row r="112" spans="1:8">
      <c r="A112" s="1586" t="s">
        <v>1264</v>
      </c>
      <c r="B112" s="1585"/>
      <c r="C112" s="1585"/>
      <c r="D112" s="1585"/>
      <c r="E112" s="1585"/>
      <c r="F112" s="1585"/>
      <c r="G112" s="1585"/>
      <c r="H112" s="1585"/>
    </row>
    <row r="113" spans="1:8">
      <c r="A113" s="1586" t="s">
        <v>1265</v>
      </c>
      <c r="B113" s="1585"/>
      <c r="C113" s="1585"/>
      <c r="D113" s="1585"/>
      <c r="E113" s="1585"/>
      <c r="F113" s="1585"/>
      <c r="G113" s="1585"/>
      <c r="H113" s="1585"/>
    </row>
    <row r="114" spans="1:8">
      <c r="A114" s="1586" t="s">
        <v>1266</v>
      </c>
      <c r="B114" s="1585"/>
      <c r="C114" s="1585"/>
      <c r="D114" s="1585"/>
      <c r="E114" s="1585"/>
      <c r="F114" s="1585"/>
      <c r="G114" s="1585"/>
      <c r="H114" s="1585"/>
    </row>
    <row r="115" spans="1:8">
      <c r="A115" s="1586" t="s">
        <v>1267</v>
      </c>
      <c r="B115" s="1585"/>
      <c r="C115" s="1585"/>
      <c r="D115" s="1585"/>
      <c r="E115" s="1585"/>
      <c r="F115" s="1585"/>
      <c r="G115" s="1585"/>
      <c r="H115" s="1585"/>
    </row>
    <row r="116" spans="1:8">
      <c r="A116" s="1585"/>
      <c r="B116" s="1585"/>
      <c r="C116" s="1585"/>
      <c r="D116" s="1585"/>
      <c r="E116" s="1585"/>
      <c r="F116" s="1585"/>
      <c r="G116" s="1585"/>
      <c r="H116" s="1585"/>
    </row>
    <row r="117" spans="1:8" ht="15.75">
      <c r="A117" s="1588" t="s">
        <v>1040</v>
      </c>
      <c r="B117" s="1588"/>
      <c r="C117" s="1588"/>
      <c r="D117" s="1588"/>
      <c r="E117" s="1588"/>
      <c r="F117" s="1588"/>
      <c r="G117" s="1588"/>
      <c r="H117" s="1588"/>
    </row>
    <row r="118" spans="1:8">
      <c r="A118" s="1589" t="s">
        <v>1041</v>
      </c>
      <c r="B118" s="1589"/>
      <c r="C118" s="1589"/>
      <c r="D118" s="1589"/>
      <c r="E118" s="1589"/>
      <c r="F118" s="1589"/>
      <c r="G118" s="1589"/>
      <c r="H118" s="1589"/>
    </row>
    <row r="119" spans="1:8">
      <c r="A119" s="1590"/>
      <c r="B119" s="1590"/>
      <c r="C119" s="1590"/>
      <c r="D119" s="1590"/>
      <c r="E119" s="1590"/>
      <c r="F119" s="1590"/>
      <c r="G119" s="1590"/>
      <c r="H119" s="1590"/>
    </row>
    <row r="120" spans="1:8">
      <c r="A120" s="1589" t="s">
        <v>1257</v>
      </c>
      <c r="B120" s="1589"/>
      <c r="C120" s="1589"/>
      <c r="D120" s="1589"/>
      <c r="E120" s="1589"/>
      <c r="F120" s="1589"/>
      <c r="G120" s="1589"/>
      <c r="H120" s="1589"/>
    </row>
    <row r="121" spans="1:8">
      <c r="A121" s="1586" t="s">
        <v>1258</v>
      </c>
      <c r="B121" s="1586"/>
      <c r="C121" s="1586"/>
      <c r="D121" s="1586"/>
      <c r="E121" s="1586"/>
      <c r="F121" s="1586"/>
      <c r="G121" s="1586"/>
      <c r="H121" s="1586"/>
    </row>
    <row r="122" spans="1:8">
      <c r="A122" s="1590"/>
      <c r="B122" s="1590"/>
      <c r="C122" s="1590"/>
      <c r="D122" s="1590"/>
      <c r="E122" s="1590"/>
      <c r="F122" s="1590"/>
      <c r="G122" s="1590"/>
      <c r="H122" s="1590"/>
    </row>
    <row r="123" spans="1:8">
      <c r="A123" s="1589" t="s">
        <v>1250</v>
      </c>
      <c r="B123" s="1589"/>
      <c r="C123" s="1589"/>
      <c r="D123" s="1589"/>
      <c r="E123" s="1589"/>
      <c r="F123" s="1589"/>
      <c r="G123" s="1589"/>
      <c r="H123" s="1589"/>
    </row>
    <row r="124" spans="1:8">
      <c r="A124" s="1586" t="s">
        <v>1251</v>
      </c>
      <c r="B124" s="1586"/>
      <c r="C124" s="1586"/>
      <c r="D124" s="1586"/>
      <c r="E124" s="1586"/>
      <c r="F124" s="1586"/>
      <c r="G124" s="1586"/>
      <c r="H124" s="1586"/>
    </row>
    <row r="125" spans="1:8">
      <c r="A125" s="1586" t="s">
        <v>1252</v>
      </c>
      <c r="B125" s="1586"/>
      <c r="C125" s="1586"/>
      <c r="D125" s="1586"/>
      <c r="E125" s="1586"/>
      <c r="F125" s="1586"/>
      <c r="G125" s="1586"/>
      <c r="H125" s="1586"/>
    </row>
    <row r="126" spans="1:8">
      <c r="A126" s="1586" t="s">
        <v>1253</v>
      </c>
      <c r="B126" s="1586"/>
      <c r="C126" s="1586"/>
      <c r="D126" s="1586"/>
      <c r="E126" s="1586"/>
      <c r="F126" s="1586"/>
      <c r="G126" s="1586"/>
      <c r="H126" s="1586"/>
    </row>
    <row r="127" spans="1:8">
      <c r="A127" s="1586" t="s">
        <v>1254</v>
      </c>
      <c r="B127" s="1586"/>
      <c r="C127" s="1586"/>
      <c r="D127" s="1586"/>
      <c r="E127" s="1586"/>
      <c r="F127" s="1586"/>
      <c r="G127" s="1586"/>
      <c r="H127" s="1586"/>
    </row>
    <row r="128" spans="1:8">
      <c r="A128" s="1586" t="s">
        <v>1255</v>
      </c>
      <c r="B128" s="1586"/>
      <c r="C128" s="1586"/>
      <c r="D128" s="1586"/>
      <c r="E128" s="1586"/>
      <c r="F128" s="1586"/>
      <c r="G128" s="1586"/>
      <c r="H128" s="1586"/>
    </row>
    <row r="129" spans="1:8">
      <c r="A129" s="1586" t="s">
        <v>1256</v>
      </c>
      <c r="B129" s="1586"/>
      <c r="C129" s="1586"/>
      <c r="D129" s="1586"/>
      <c r="E129" s="1586"/>
      <c r="F129" s="1586"/>
      <c r="G129" s="1586"/>
      <c r="H129" s="1586"/>
    </row>
    <row r="130" spans="1:8">
      <c r="A130" s="1591"/>
      <c r="B130" s="1591"/>
      <c r="C130" s="1591"/>
      <c r="D130" s="1591"/>
      <c r="E130" s="1591"/>
      <c r="F130" s="1591"/>
      <c r="G130" s="1591"/>
      <c r="H130" s="1591"/>
    </row>
    <row r="131" spans="1:8">
      <c r="A131" s="1592"/>
      <c r="B131" s="1593" t="s">
        <v>1042</v>
      </c>
      <c r="C131" s="1594"/>
      <c r="D131" s="1593" t="s">
        <v>1043</v>
      </c>
      <c r="E131" s="1595"/>
      <c r="F131" s="1594"/>
      <c r="G131" s="1593" t="s">
        <v>1044</v>
      </c>
      <c r="H131" s="1594"/>
    </row>
    <row r="132" spans="1:8">
      <c r="A132" s="1592" t="s">
        <v>1045</v>
      </c>
      <c r="B132" s="1592" t="s">
        <v>568</v>
      </c>
      <c r="C132" s="1592" t="s">
        <v>1046</v>
      </c>
      <c r="D132" s="1592" t="s">
        <v>568</v>
      </c>
      <c r="E132" s="1592" t="s">
        <v>1047</v>
      </c>
      <c r="F132" s="1592" t="s">
        <v>1048</v>
      </c>
      <c r="G132" s="1592" t="s">
        <v>568</v>
      </c>
      <c r="H132" s="1592" t="s">
        <v>1049</v>
      </c>
    </row>
    <row r="133" spans="1:8">
      <c r="A133" s="1592" t="s">
        <v>1050</v>
      </c>
      <c r="B133" s="1592">
        <v>1189</v>
      </c>
      <c r="C133" s="1596">
        <v>0.38</v>
      </c>
      <c r="D133" s="1592">
        <v>315</v>
      </c>
      <c r="E133" s="1596">
        <v>0.41</v>
      </c>
      <c r="F133" s="1596">
        <v>0.26</v>
      </c>
      <c r="G133" s="1592">
        <v>555</v>
      </c>
      <c r="H133" s="1596">
        <v>0.39</v>
      </c>
    </row>
    <row r="134" spans="1:8">
      <c r="A134" s="1592" t="s">
        <v>1051</v>
      </c>
      <c r="B134" s="1592">
        <v>1355</v>
      </c>
      <c r="C134" s="1596">
        <v>0.43</v>
      </c>
      <c r="D134" s="1592">
        <v>364</v>
      </c>
      <c r="E134" s="1596">
        <v>0.47</v>
      </c>
      <c r="F134" s="1596">
        <v>0.27</v>
      </c>
      <c r="G134" s="1592">
        <v>644</v>
      </c>
      <c r="H134" s="1596">
        <v>0.45</v>
      </c>
    </row>
    <row r="135" spans="1:8">
      <c r="A135" s="1592" t="s">
        <v>1052</v>
      </c>
      <c r="B135" s="1592">
        <v>53</v>
      </c>
      <c r="C135" s="1596">
        <v>0.02</v>
      </c>
      <c r="D135" s="1592">
        <v>4</v>
      </c>
      <c r="E135" s="1596">
        <v>0.01</v>
      </c>
      <c r="F135" s="1596">
        <v>0.08</v>
      </c>
      <c r="G135" s="1592">
        <v>7</v>
      </c>
      <c r="H135" s="1596">
        <v>0</v>
      </c>
    </row>
    <row r="136" spans="1:8">
      <c r="A136" s="1592" t="s">
        <v>1053</v>
      </c>
      <c r="B136" s="1592">
        <v>545</v>
      </c>
      <c r="C136" s="1596">
        <v>0.17</v>
      </c>
      <c r="D136" s="1592">
        <v>84</v>
      </c>
      <c r="E136" s="1596">
        <v>0.11</v>
      </c>
      <c r="F136" s="1596">
        <v>0.15</v>
      </c>
      <c r="G136" s="1592">
        <v>214</v>
      </c>
      <c r="H136" s="1596">
        <v>0.15</v>
      </c>
    </row>
    <row r="137" spans="1:8">
      <c r="A137" s="1592" t="s">
        <v>595</v>
      </c>
      <c r="B137" s="1597">
        <v>3142</v>
      </c>
      <c r="C137" s="1592"/>
      <c r="D137" s="1592">
        <v>767</v>
      </c>
      <c r="E137" s="1592"/>
      <c r="F137" s="1592"/>
      <c r="G137" s="1592">
        <v>1420</v>
      </c>
      <c r="H137" s="1592"/>
    </row>
    <row r="138" spans="1:8">
      <c r="A138" s="1598"/>
      <c r="B138" s="1598"/>
      <c r="C138" s="1598"/>
      <c r="D138" s="1598"/>
      <c r="E138" s="1598"/>
      <c r="F138" s="1598"/>
      <c r="G138" s="1598"/>
      <c r="H138" s="1598"/>
    </row>
    <row r="139" spans="1:8">
      <c r="A139" s="1589" t="s">
        <v>1246</v>
      </c>
      <c r="B139" s="1589"/>
      <c r="C139" s="1589"/>
      <c r="D139" s="1589"/>
      <c r="E139" s="1589"/>
      <c r="F139" s="1589"/>
      <c r="G139" s="1589"/>
      <c r="H139" s="1589"/>
    </row>
    <row r="140" spans="1:8">
      <c r="A140" s="1586" t="s">
        <v>1247</v>
      </c>
      <c r="B140" s="1586"/>
      <c r="C140" s="1586"/>
      <c r="D140" s="1586"/>
      <c r="E140" s="1586"/>
      <c r="F140" s="1586"/>
      <c r="G140" s="1586"/>
      <c r="H140" s="1586"/>
    </row>
    <row r="141" spans="1:8">
      <c r="A141" s="1586" t="s">
        <v>1248</v>
      </c>
      <c r="B141" s="1586"/>
      <c r="C141" s="1586"/>
      <c r="D141" s="1586"/>
      <c r="E141" s="1586"/>
      <c r="F141" s="1586"/>
      <c r="G141" s="1586"/>
      <c r="H141" s="1586"/>
    </row>
    <row r="142" spans="1:8">
      <c r="A142" s="1586" t="s">
        <v>1249</v>
      </c>
      <c r="B142" s="1586"/>
      <c r="C142" s="1586"/>
      <c r="D142" s="1586"/>
      <c r="E142" s="1586"/>
      <c r="F142" s="1586"/>
      <c r="G142" s="1586"/>
      <c r="H142" s="1586"/>
    </row>
    <row r="143" spans="1:8">
      <c r="A143" s="1585"/>
      <c r="B143" s="1585"/>
      <c r="C143" s="1585"/>
      <c r="D143" s="1585"/>
      <c r="E143" s="1585"/>
      <c r="F143" s="1585"/>
      <c r="G143" s="1585"/>
      <c r="H143" s="1585"/>
    </row>
    <row r="144" spans="1:8" ht="15.75">
      <c r="A144" s="1587" t="s">
        <v>1054</v>
      </c>
      <c r="B144" s="1585"/>
      <c r="C144" s="1585"/>
      <c r="D144" s="1585"/>
      <c r="E144" s="1585"/>
      <c r="F144" s="1585"/>
      <c r="G144" s="1585"/>
      <c r="H144" s="1585"/>
    </row>
    <row r="145" spans="1:8">
      <c r="A145" s="1585"/>
      <c r="B145" s="1585"/>
      <c r="C145" s="1585"/>
      <c r="D145" s="1585"/>
      <c r="E145" s="1585"/>
      <c r="F145" s="1585"/>
      <c r="G145" s="1585"/>
      <c r="H145" s="1585"/>
    </row>
    <row r="146" spans="1:8">
      <c r="A146" s="1586" t="s">
        <v>1244</v>
      </c>
      <c r="B146" s="1585"/>
      <c r="C146" s="1585"/>
      <c r="D146" s="1585"/>
      <c r="E146" s="1585"/>
      <c r="F146" s="1585"/>
      <c r="G146" s="1585"/>
      <c r="H146" s="1585"/>
    </row>
    <row r="147" spans="1:8">
      <c r="A147" s="1586" t="s">
        <v>1245</v>
      </c>
      <c r="B147" s="1585"/>
      <c r="C147" s="1585"/>
      <c r="D147" s="1585"/>
      <c r="E147" s="1585"/>
      <c r="F147" s="1585"/>
      <c r="G147" s="1585"/>
      <c r="H147" s="1585"/>
    </row>
    <row r="148" spans="1:8">
      <c r="A148" s="1585"/>
      <c r="B148" s="1585"/>
      <c r="C148" s="1585"/>
      <c r="D148" s="1585"/>
      <c r="E148" s="1585"/>
      <c r="F148" s="1585"/>
      <c r="G148" s="1585"/>
      <c r="H148" s="1585"/>
    </row>
    <row r="149" spans="1:8">
      <c r="A149" s="1586" t="s">
        <v>1241</v>
      </c>
      <c r="B149" s="1585"/>
      <c r="C149" s="1585"/>
      <c r="D149" s="1585"/>
      <c r="E149" s="1585"/>
      <c r="F149" s="1585"/>
      <c r="G149" s="1585"/>
      <c r="H149" s="1585"/>
    </row>
    <row r="150" spans="1:8">
      <c r="A150" s="1586" t="s">
        <v>1242</v>
      </c>
      <c r="B150" s="1585"/>
      <c r="C150" s="1585"/>
      <c r="D150" s="1585"/>
      <c r="E150" s="1585"/>
      <c r="F150" s="1585"/>
      <c r="G150" s="1585"/>
      <c r="H150" s="1585"/>
    </row>
    <row r="151" spans="1:8">
      <c r="A151" s="1586" t="s">
        <v>1243</v>
      </c>
      <c r="B151" s="1585"/>
      <c r="C151" s="1585"/>
      <c r="D151" s="1585"/>
      <c r="E151" s="1585"/>
      <c r="F151" s="1585"/>
      <c r="G151" s="1585"/>
      <c r="H151" s="1585"/>
    </row>
    <row r="152" spans="1:8">
      <c r="A152" s="1585"/>
      <c r="B152" s="1585"/>
      <c r="C152" s="1585"/>
      <c r="D152" s="1585"/>
      <c r="E152" s="1585"/>
      <c r="F152" s="1585"/>
      <c r="G152" s="1585"/>
      <c r="H152" s="1585"/>
    </row>
    <row r="153" spans="1:8">
      <c r="A153" s="1586" t="s">
        <v>1238</v>
      </c>
      <c r="B153" s="1585"/>
      <c r="C153" s="1585"/>
      <c r="D153" s="1585"/>
      <c r="E153" s="1585"/>
      <c r="F153" s="1585"/>
      <c r="G153" s="1585"/>
      <c r="H153" s="1585"/>
    </row>
    <row r="154" spans="1:8">
      <c r="A154" s="1586" t="s">
        <v>1239</v>
      </c>
      <c r="B154" s="1585"/>
      <c r="C154" s="1585"/>
      <c r="D154" s="1585"/>
      <c r="E154" s="1585"/>
      <c r="F154" s="1585"/>
      <c r="G154" s="1585"/>
      <c r="H154" s="1585"/>
    </row>
    <row r="155" spans="1:8">
      <c r="A155" s="1586" t="s">
        <v>1240</v>
      </c>
      <c r="B155" s="1585"/>
      <c r="C155" s="1585"/>
      <c r="D155" s="1585"/>
      <c r="E155" s="1585"/>
      <c r="F155" s="1585"/>
      <c r="G155" s="1585"/>
      <c r="H155" s="1585"/>
    </row>
    <row r="156" spans="1:8">
      <c r="A156" s="1585"/>
      <c r="B156" s="1585"/>
      <c r="C156" s="1585"/>
      <c r="D156" s="1585"/>
      <c r="E156" s="1585"/>
      <c r="F156" s="1585"/>
      <c r="G156" s="1585"/>
      <c r="H156" s="1585"/>
    </row>
    <row r="157" spans="1:8">
      <c r="A157" s="1586" t="s">
        <v>1235</v>
      </c>
      <c r="B157" s="1585"/>
      <c r="C157" s="1585"/>
      <c r="D157" s="1585"/>
      <c r="E157" s="1585"/>
      <c r="F157" s="1585"/>
      <c r="G157" s="1585"/>
      <c r="H157" s="1585"/>
    </row>
    <row r="158" spans="1:8">
      <c r="A158" s="1586" t="s">
        <v>1236</v>
      </c>
      <c r="B158" s="1585"/>
      <c r="C158" s="1585"/>
      <c r="D158" s="1585"/>
      <c r="E158" s="1585"/>
      <c r="F158" s="1585"/>
      <c r="G158" s="1585"/>
      <c r="H158" s="1585"/>
    </row>
    <row r="159" spans="1:8">
      <c r="A159" s="1586" t="s">
        <v>1237</v>
      </c>
      <c r="B159" s="1585"/>
      <c r="C159" s="1585"/>
      <c r="D159" s="1585"/>
      <c r="E159" s="1585"/>
      <c r="F159" s="1585"/>
      <c r="G159" s="1585"/>
      <c r="H159" s="1585"/>
    </row>
    <row r="160" spans="1:8">
      <c r="A160" s="1585"/>
      <c r="B160" s="1585"/>
      <c r="C160" s="1585"/>
      <c r="D160" s="1585"/>
      <c r="E160" s="1585"/>
      <c r="F160" s="1585"/>
      <c r="G160" s="1585"/>
      <c r="H160" s="1585"/>
    </row>
    <row r="161" spans="1:8">
      <c r="A161" s="1586" t="s">
        <v>1233</v>
      </c>
      <c r="B161" s="1585"/>
      <c r="C161" s="1585"/>
      <c r="D161" s="1585"/>
      <c r="E161" s="1585"/>
      <c r="F161" s="1585"/>
      <c r="G161" s="1585"/>
      <c r="H161" s="1585"/>
    </row>
    <row r="162" spans="1:8">
      <c r="A162" s="1586" t="s">
        <v>1234</v>
      </c>
      <c r="B162" s="1585"/>
      <c r="C162" s="1585"/>
      <c r="D162" s="1585"/>
      <c r="E162" s="1585"/>
      <c r="F162" s="1585"/>
      <c r="G162" s="1585"/>
      <c r="H162" s="1585"/>
    </row>
    <row r="163" spans="1:8">
      <c r="A163" s="1585"/>
      <c r="B163" s="1585"/>
      <c r="C163" s="1585"/>
      <c r="D163" s="1585"/>
      <c r="E163" s="1585"/>
      <c r="F163" s="1585"/>
      <c r="G163" s="1585"/>
      <c r="H163" s="1585"/>
    </row>
    <row r="164" spans="1:8" ht="15.75">
      <c r="A164" s="1587" t="s">
        <v>1055</v>
      </c>
      <c r="B164" s="1585"/>
      <c r="C164" s="1585"/>
      <c r="D164" s="1585"/>
      <c r="E164" s="1585"/>
      <c r="F164" s="1585"/>
      <c r="G164" s="1585"/>
      <c r="H164" s="1585"/>
    </row>
    <row r="165" spans="1:8">
      <c r="A165" s="1585"/>
      <c r="B165" s="1585"/>
      <c r="C165" s="1585"/>
      <c r="D165" s="1585"/>
      <c r="E165" s="1585"/>
      <c r="F165" s="1585"/>
      <c r="G165" s="1585"/>
      <c r="H165" s="1585"/>
    </row>
    <row r="166" spans="1:8">
      <c r="A166" s="1586" t="s">
        <v>1231</v>
      </c>
      <c r="B166" s="1585"/>
      <c r="C166" s="1585"/>
      <c r="D166" s="1585"/>
      <c r="E166" s="1585"/>
      <c r="F166" s="1585"/>
      <c r="G166" s="1585"/>
      <c r="H166" s="1585"/>
    </row>
    <row r="167" spans="1:8">
      <c r="A167" s="1586" t="s">
        <v>1232</v>
      </c>
      <c r="B167" s="1585"/>
      <c r="C167" s="1585"/>
      <c r="D167" s="1585"/>
      <c r="E167" s="1585"/>
      <c r="F167" s="1585"/>
      <c r="G167" s="1585"/>
      <c r="H167" s="1585"/>
    </row>
    <row r="168" spans="1:8">
      <c r="A168" s="1585"/>
      <c r="B168" s="1585"/>
      <c r="C168" s="1585"/>
      <c r="D168" s="1585"/>
      <c r="E168" s="1585"/>
      <c r="F168" s="1585"/>
      <c r="G168" s="1585"/>
      <c r="H168" s="1585"/>
    </row>
    <row r="169" spans="1:8">
      <c r="A169" s="1586" t="s">
        <v>1229</v>
      </c>
      <c r="B169" s="1585"/>
      <c r="C169" s="1585"/>
      <c r="D169" s="1585"/>
      <c r="E169" s="1585"/>
      <c r="F169" s="1585"/>
      <c r="G169" s="1585"/>
      <c r="H169" s="1585"/>
    </row>
    <row r="170" spans="1:8">
      <c r="A170" s="1586" t="s">
        <v>1230</v>
      </c>
      <c r="B170" s="1585"/>
      <c r="C170" s="1585"/>
      <c r="D170" s="1585"/>
      <c r="E170" s="1585"/>
      <c r="F170" s="1585"/>
      <c r="G170" s="1585"/>
      <c r="H170" s="1585"/>
    </row>
    <row r="171" spans="1:8">
      <c r="A171" s="1585"/>
      <c r="B171" s="1585"/>
      <c r="C171" s="1585"/>
      <c r="D171" s="1585"/>
      <c r="E171" s="1585"/>
      <c r="F171" s="1585"/>
      <c r="G171" s="1585"/>
      <c r="H171" s="1585"/>
    </row>
    <row r="172" spans="1:8">
      <c r="A172" s="1586" t="s">
        <v>1227</v>
      </c>
      <c r="B172" s="1585"/>
      <c r="C172" s="1585"/>
      <c r="D172" s="1585"/>
      <c r="E172" s="1585"/>
      <c r="F172" s="1585"/>
      <c r="G172" s="1585"/>
      <c r="H172" s="1585"/>
    </row>
    <row r="173" spans="1:8">
      <c r="A173" s="1586" t="s">
        <v>1228</v>
      </c>
      <c r="B173" s="1585"/>
      <c r="C173" s="1585"/>
      <c r="D173" s="1585"/>
      <c r="E173" s="1585"/>
      <c r="F173" s="1585"/>
      <c r="G173" s="1585"/>
      <c r="H173" s="1585"/>
    </row>
    <row r="174" spans="1:8">
      <c r="A174" s="1585"/>
      <c r="B174" s="1585"/>
      <c r="C174" s="1585"/>
      <c r="D174" s="1585"/>
      <c r="E174" s="1585"/>
      <c r="F174" s="1585"/>
      <c r="G174" s="1585"/>
      <c r="H174" s="1585"/>
    </row>
    <row r="175" spans="1:8">
      <c r="A175" s="1586" t="s">
        <v>1224</v>
      </c>
      <c r="B175" s="1585"/>
      <c r="C175" s="1585"/>
      <c r="D175" s="1585"/>
      <c r="E175" s="1585"/>
      <c r="F175" s="1585"/>
      <c r="G175" s="1585"/>
      <c r="H175" s="1585"/>
    </row>
    <row r="176" spans="1:8">
      <c r="A176" s="1586" t="s">
        <v>1225</v>
      </c>
      <c r="B176" s="1585"/>
      <c r="C176" s="1585"/>
      <c r="D176" s="1585"/>
      <c r="E176" s="1585"/>
      <c r="F176" s="1585"/>
      <c r="G176" s="1585"/>
      <c r="H176" s="1585"/>
    </row>
    <row r="177" spans="1:8">
      <c r="A177" s="1586" t="s">
        <v>1226</v>
      </c>
      <c r="B177" s="1585"/>
      <c r="C177" s="1585"/>
      <c r="D177" s="1585"/>
      <c r="E177" s="1585"/>
      <c r="F177" s="1585"/>
      <c r="G177" s="1585"/>
      <c r="H177" s="1585"/>
    </row>
    <row r="178" spans="1:8">
      <c r="A178" s="1585"/>
      <c r="B178" s="1585"/>
      <c r="C178" s="1585"/>
      <c r="D178" s="1585"/>
      <c r="E178" s="1585"/>
      <c r="F178" s="1585"/>
      <c r="G178" s="1585"/>
      <c r="H178" s="1585"/>
    </row>
    <row r="179" spans="1:8">
      <c r="A179" s="1585"/>
      <c r="B179" s="1585"/>
      <c r="C179" s="1585"/>
      <c r="D179" s="1585"/>
      <c r="E179" s="1585"/>
      <c r="F179" s="1585"/>
      <c r="G179" s="1585"/>
      <c r="H179" s="1585"/>
    </row>
    <row r="180" spans="1:8">
      <c r="A180" s="1586" t="s">
        <v>1056</v>
      </c>
      <c r="B180" s="1585"/>
      <c r="C180" s="1585"/>
      <c r="D180" s="1585"/>
      <c r="E180" s="1585"/>
      <c r="F180" s="1585"/>
      <c r="G180" s="1585"/>
      <c r="H180" s="1585"/>
    </row>
    <row r="181" spans="1:8">
      <c r="A181" s="1585"/>
      <c r="B181" s="1585"/>
      <c r="C181" s="1585"/>
      <c r="D181" s="1585"/>
      <c r="E181" s="1585"/>
      <c r="F181" s="1585"/>
      <c r="G181" s="1585"/>
      <c r="H181" s="1585"/>
    </row>
    <row r="182" spans="1:8" ht="15.75">
      <c r="A182" s="1587" t="s">
        <v>1057</v>
      </c>
      <c r="B182" s="1585"/>
      <c r="C182" s="1585"/>
      <c r="D182" s="1585"/>
      <c r="E182" s="1585"/>
      <c r="F182" s="1585"/>
      <c r="G182" s="1585"/>
      <c r="H182" s="1585"/>
    </row>
    <row r="183" spans="1:8">
      <c r="A183" s="1585"/>
      <c r="B183" s="1585"/>
      <c r="C183" s="1585"/>
      <c r="D183" s="1585"/>
      <c r="E183" s="1585"/>
      <c r="F183" s="1585"/>
      <c r="G183" s="1585"/>
      <c r="H183" s="1585"/>
    </row>
    <row r="184" spans="1:8">
      <c r="A184" s="1585"/>
      <c r="B184" s="1585"/>
      <c r="C184" s="1585"/>
      <c r="D184" s="1585"/>
      <c r="E184" s="1585"/>
      <c r="F184" s="1585"/>
      <c r="G184" s="1585"/>
      <c r="H184" s="1585"/>
    </row>
    <row r="185" spans="1:8">
      <c r="A185" s="1585"/>
      <c r="B185" s="1585"/>
      <c r="C185" s="1585"/>
      <c r="D185" s="1585"/>
      <c r="E185" s="1585"/>
      <c r="F185" s="1585"/>
      <c r="G185" s="1585"/>
      <c r="H185" s="1585"/>
    </row>
    <row r="186" spans="1:8">
      <c r="A186" s="1585"/>
      <c r="B186" s="1585"/>
      <c r="C186" s="1585"/>
      <c r="D186" s="1585"/>
      <c r="E186" s="1585"/>
      <c r="F186" s="1585"/>
      <c r="G186" s="1585"/>
      <c r="H186" s="1585"/>
    </row>
    <row r="187" spans="1:8">
      <c r="A187" s="1585"/>
      <c r="B187" s="1585"/>
      <c r="C187" s="1585"/>
      <c r="D187" s="1585"/>
      <c r="E187" s="1585"/>
      <c r="F187" s="1585"/>
      <c r="G187" s="1585"/>
      <c r="H187" s="1585"/>
    </row>
    <row r="188" spans="1:8">
      <c r="A188" s="1585"/>
      <c r="B188" s="1585"/>
      <c r="C188" s="1585"/>
      <c r="D188" s="1585"/>
      <c r="E188" s="1585"/>
      <c r="F188" s="1585"/>
      <c r="G188" s="1585"/>
      <c r="H188" s="1585"/>
    </row>
    <row r="189" spans="1:8">
      <c r="A189" s="1585"/>
      <c r="B189" s="1585"/>
      <c r="C189" s="1585"/>
      <c r="D189" s="1585"/>
      <c r="E189" s="1585"/>
      <c r="F189" s="1585"/>
      <c r="G189" s="1585"/>
      <c r="H189" s="1585"/>
    </row>
    <row r="190" spans="1:8">
      <c r="A190" s="1585"/>
      <c r="B190" s="1585"/>
      <c r="C190" s="1585"/>
      <c r="D190" s="1585"/>
      <c r="E190" s="1585"/>
      <c r="F190" s="1585"/>
      <c r="G190" s="1585"/>
      <c r="H190" s="1585"/>
    </row>
    <row r="191" spans="1:8">
      <c r="A191" s="1585"/>
      <c r="B191" s="1585"/>
      <c r="C191" s="1585"/>
      <c r="D191" s="1585"/>
      <c r="E191" s="1585"/>
      <c r="F191" s="1585"/>
      <c r="G191" s="1585"/>
      <c r="H191" s="1585"/>
    </row>
    <row r="192" spans="1:8">
      <c r="A192" s="1585"/>
      <c r="B192" s="1585"/>
      <c r="C192" s="1585"/>
      <c r="D192" s="1585"/>
      <c r="E192" s="1585"/>
      <c r="F192" s="1585"/>
      <c r="G192" s="1585"/>
      <c r="H192" s="1585"/>
    </row>
    <row r="193" spans="1:8">
      <c r="A193" s="1585"/>
      <c r="B193" s="1585"/>
      <c r="C193" s="1585"/>
      <c r="D193" s="1585"/>
      <c r="E193" s="1585"/>
      <c r="F193" s="1585"/>
      <c r="G193" s="1585"/>
      <c r="H193" s="1585"/>
    </row>
    <row r="194" spans="1:8">
      <c r="A194" s="1585"/>
      <c r="B194" s="1585"/>
      <c r="C194" s="1585"/>
      <c r="D194" s="1585"/>
      <c r="E194" s="1585"/>
      <c r="F194" s="1585"/>
      <c r="G194" s="1585"/>
      <c r="H194" s="1585"/>
    </row>
    <row r="195" spans="1:8">
      <c r="A195" s="1585"/>
      <c r="B195" s="1585"/>
      <c r="C195" s="1585"/>
      <c r="D195" s="1585"/>
      <c r="E195" s="1585"/>
      <c r="F195" s="1585"/>
      <c r="G195" s="1585"/>
      <c r="H195" s="1585"/>
    </row>
    <row r="196" spans="1:8">
      <c r="A196" s="1585"/>
      <c r="B196" s="1585"/>
      <c r="C196" s="1585"/>
      <c r="D196" s="1585"/>
      <c r="E196" s="1585"/>
      <c r="F196" s="1585"/>
      <c r="G196" s="1585"/>
      <c r="H196" s="1585"/>
    </row>
    <row r="197" spans="1:8">
      <c r="A197" s="1585"/>
      <c r="B197" s="1585"/>
      <c r="C197" s="1585"/>
      <c r="D197" s="1585"/>
      <c r="E197" s="1585"/>
      <c r="F197" s="1585"/>
      <c r="G197" s="1585"/>
      <c r="H197" s="1585"/>
    </row>
    <row r="198" spans="1:8">
      <c r="A198" s="1585"/>
      <c r="B198" s="1585"/>
      <c r="C198" s="1585"/>
      <c r="D198" s="1585"/>
      <c r="E198" s="1585"/>
      <c r="F198" s="1585"/>
      <c r="G198" s="1585"/>
      <c r="H198" s="1585"/>
    </row>
    <row r="199" spans="1:8">
      <c r="A199" s="1585"/>
      <c r="B199" s="1585"/>
      <c r="C199" s="1585"/>
      <c r="D199" s="1585"/>
      <c r="E199" s="1585"/>
      <c r="F199" s="1585"/>
      <c r="G199" s="1585"/>
      <c r="H199" s="1585"/>
    </row>
    <row r="200" spans="1:8">
      <c r="A200" s="1585"/>
      <c r="B200" s="1585"/>
      <c r="C200" s="1585"/>
      <c r="D200" s="1585"/>
      <c r="E200" s="1585"/>
      <c r="F200" s="1585"/>
      <c r="G200" s="1585"/>
      <c r="H200" s="1585"/>
    </row>
    <row r="201" spans="1:8">
      <c r="A201" s="1585"/>
      <c r="B201" s="1585"/>
      <c r="C201" s="1585"/>
      <c r="D201" s="1585"/>
      <c r="E201" s="1585"/>
      <c r="F201" s="1585"/>
      <c r="G201" s="1585"/>
      <c r="H201" s="1585"/>
    </row>
    <row r="202" spans="1:8">
      <c r="A202" s="1585"/>
      <c r="B202" s="1585"/>
      <c r="C202" s="1585"/>
      <c r="D202" s="1585"/>
      <c r="E202" s="1585"/>
      <c r="F202" s="1585"/>
      <c r="G202" s="1585"/>
      <c r="H202" s="1585"/>
    </row>
    <row r="203" spans="1:8">
      <c r="A203" s="1585"/>
      <c r="B203" s="1585"/>
      <c r="C203" s="1585"/>
      <c r="D203" s="1585"/>
      <c r="E203" s="1585"/>
      <c r="F203" s="1585"/>
      <c r="G203" s="1585"/>
      <c r="H203" s="1585"/>
    </row>
    <row r="204" spans="1:8">
      <c r="A204" s="1585"/>
      <c r="B204" s="1585"/>
      <c r="C204" s="1585"/>
      <c r="D204" s="1585"/>
      <c r="E204" s="1585"/>
      <c r="F204" s="1585"/>
      <c r="G204" s="1585"/>
      <c r="H204" s="1585"/>
    </row>
    <row r="205" spans="1:8">
      <c r="A205" s="1585"/>
      <c r="B205" s="1585"/>
      <c r="C205" s="1585"/>
      <c r="D205" s="1585"/>
      <c r="E205" s="1585"/>
      <c r="F205" s="1585"/>
      <c r="G205" s="1585"/>
      <c r="H205" s="1585"/>
    </row>
    <row r="206" spans="1:8">
      <c r="A206" s="1585"/>
      <c r="B206" s="1585"/>
      <c r="C206" s="1585"/>
      <c r="D206" s="1585"/>
      <c r="E206" s="1585"/>
      <c r="F206" s="1585"/>
      <c r="G206" s="1585"/>
      <c r="H206" s="1585"/>
    </row>
    <row r="207" spans="1:8">
      <c r="A207" s="1585"/>
      <c r="B207" s="1585"/>
      <c r="C207" s="1585"/>
      <c r="D207" s="1585"/>
      <c r="E207" s="1585"/>
      <c r="F207" s="1585"/>
      <c r="G207" s="1585"/>
      <c r="H207" s="1585"/>
    </row>
    <row r="208" spans="1:8">
      <c r="A208" s="1585"/>
      <c r="B208" s="1585"/>
      <c r="C208" s="1585"/>
      <c r="D208" s="1585"/>
      <c r="E208" s="1585"/>
      <c r="F208" s="1585"/>
      <c r="G208" s="1585"/>
      <c r="H208" s="1585"/>
    </row>
    <row r="209" spans="1:8" ht="15.75">
      <c r="A209" s="1587" t="s">
        <v>1058</v>
      </c>
      <c r="B209" s="1585"/>
      <c r="C209" s="1585"/>
      <c r="D209" s="1585"/>
      <c r="E209" s="1585"/>
      <c r="F209" s="1585"/>
      <c r="G209" s="1585"/>
      <c r="H209" s="1585"/>
    </row>
    <row r="210" spans="1:8">
      <c r="A210" s="1585"/>
      <c r="B210" s="1585"/>
      <c r="C210" s="1585"/>
      <c r="D210" s="1585"/>
      <c r="E210" s="1585"/>
      <c r="F210" s="1585"/>
      <c r="G210" s="1585"/>
      <c r="H210" s="1585"/>
    </row>
    <row r="211" spans="1:8">
      <c r="A211" s="1586" t="s">
        <v>1219</v>
      </c>
      <c r="B211" s="1585"/>
      <c r="C211" s="1585"/>
      <c r="D211" s="1585"/>
      <c r="E211" s="1585"/>
      <c r="F211" s="1585"/>
      <c r="G211" s="1585"/>
      <c r="H211" s="1585"/>
    </row>
    <row r="212" spans="1:8">
      <c r="A212" s="1586" t="s">
        <v>1220</v>
      </c>
      <c r="B212" s="1585"/>
      <c r="C212" s="1585"/>
      <c r="D212" s="1585"/>
      <c r="E212" s="1585"/>
      <c r="F212" s="1585"/>
      <c r="G212" s="1585"/>
      <c r="H212" s="1585"/>
    </row>
    <row r="213" spans="1:8">
      <c r="A213" s="1586" t="s">
        <v>1221</v>
      </c>
      <c r="B213" s="1585"/>
      <c r="C213" s="1585"/>
      <c r="D213" s="1585"/>
      <c r="E213" s="1585"/>
      <c r="F213" s="1585"/>
      <c r="G213" s="1585"/>
      <c r="H213" s="1585"/>
    </row>
    <row r="214" spans="1:8">
      <c r="A214" s="1586" t="s">
        <v>1222</v>
      </c>
      <c r="B214" s="1585"/>
      <c r="C214" s="1585"/>
      <c r="D214" s="1585"/>
      <c r="E214" s="1585"/>
      <c r="F214" s="1585"/>
      <c r="G214" s="1585"/>
      <c r="H214" s="1585"/>
    </row>
    <row r="215" spans="1:8">
      <c r="A215" s="1586" t="s">
        <v>1223</v>
      </c>
      <c r="B215" s="1585"/>
      <c r="C215" s="1585"/>
      <c r="D215" s="1585"/>
      <c r="E215" s="1585"/>
      <c r="F215" s="1585"/>
      <c r="G215" s="1585"/>
      <c r="H215" s="1585"/>
    </row>
    <row r="216" spans="1:8">
      <c r="A216" s="1585"/>
      <c r="B216" s="1585"/>
      <c r="C216" s="1585"/>
      <c r="D216" s="1585"/>
      <c r="E216" s="1585"/>
      <c r="F216" s="1585"/>
      <c r="G216" s="1585"/>
      <c r="H216" s="1585"/>
    </row>
    <row r="217" spans="1:8">
      <c r="A217" s="1586" t="s">
        <v>1216</v>
      </c>
      <c r="B217" s="1585"/>
      <c r="C217" s="1585"/>
      <c r="D217" s="1585"/>
      <c r="E217" s="1585"/>
      <c r="F217" s="1585"/>
      <c r="G217" s="1585"/>
      <c r="H217" s="1585"/>
    </row>
    <row r="218" spans="1:8">
      <c r="A218" s="1586" t="s">
        <v>1217</v>
      </c>
      <c r="B218" s="1585"/>
      <c r="C218" s="1585"/>
      <c r="D218" s="1585"/>
      <c r="E218" s="1585"/>
      <c r="F218" s="1585"/>
      <c r="G218" s="1585"/>
      <c r="H218" s="1585"/>
    </row>
    <row r="219" spans="1:8">
      <c r="A219" s="1586" t="s">
        <v>1218</v>
      </c>
      <c r="B219" s="1585"/>
      <c r="C219" s="1585"/>
      <c r="D219" s="1585"/>
      <c r="E219" s="1585"/>
      <c r="F219" s="1585"/>
      <c r="G219" s="1585"/>
      <c r="H219" s="1585"/>
    </row>
    <row r="220" spans="1:8" ht="15.75">
      <c r="A220" s="1587" t="s">
        <v>1059</v>
      </c>
      <c r="B220" s="1585"/>
      <c r="C220" s="1585"/>
      <c r="D220" s="1585"/>
      <c r="E220" s="1585"/>
      <c r="F220" s="1585"/>
      <c r="G220" s="1585"/>
      <c r="H220" s="1585"/>
    </row>
    <row r="221" spans="1:8">
      <c r="A221" s="1585"/>
      <c r="B221" s="1585"/>
      <c r="C221" s="1585"/>
      <c r="D221" s="1585"/>
      <c r="E221" s="1585"/>
      <c r="F221" s="1585"/>
      <c r="G221" s="1585"/>
      <c r="H221" s="1585"/>
    </row>
    <row r="222" spans="1:8">
      <c r="A222" s="1586" t="s">
        <v>1214</v>
      </c>
      <c r="B222" s="1585"/>
      <c r="C222" s="1585"/>
      <c r="D222" s="1585"/>
      <c r="E222" s="1585"/>
      <c r="F222" s="1585"/>
      <c r="G222" s="1585"/>
      <c r="H222" s="1585"/>
    </row>
    <row r="223" spans="1:8">
      <c r="A223" s="1586" t="s">
        <v>1215</v>
      </c>
      <c r="B223" s="1585"/>
      <c r="C223" s="1585"/>
      <c r="D223" s="1585"/>
      <c r="E223" s="1585"/>
      <c r="F223" s="1585"/>
      <c r="G223" s="1585"/>
      <c r="H223" s="1585"/>
    </row>
    <row r="224" spans="1:8">
      <c r="A224" s="1585"/>
      <c r="B224" s="1585"/>
      <c r="C224" s="1585"/>
      <c r="D224" s="1585"/>
      <c r="E224" s="1585"/>
      <c r="F224" s="1585"/>
      <c r="G224" s="1585"/>
      <c r="H224" s="1585"/>
    </row>
    <row r="225" spans="1:8">
      <c r="A225" s="1586" t="s">
        <v>1207</v>
      </c>
      <c r="B225" s="1585"/>
      <c r="C225" s="1585"/>
      <c r="D225" s="1585"/>
      <c r="E225" s="1585"/>
      <c r="F225" s="1585"/>
      <c r="G225" s="1585"/>
      <c r="H225" s="1585"/>
    </row>
    <row r="226" spans="1:8">
      <c r="A226" s="1586" t="s">
        <v>1208</v>
      </c>
      <c r="B226" s="1585"/>
      <c r="C226" s="1585"/>
      <c r="D226" s="1585"/>
      <c r="E226" s="1585"/>
      <c r="F226" s="1585"/>
      <c r="G226" s="1585"/>
      <c r="H226" s="1585"/>
    </row>
    <row r="227" spans="1:8">
      <c r="A227" s="1586" t="s">
        <v>1209</v>
      </c>
      <c r="B227" s="1585"/>
      <c r="C227" s="1585"/>
      <c r="D227" s="1585"/>
      <c r="E227" s="1585"/>
      <c r="F227" s="1585"/>
      <c r="G227" s="1585"/>
      <c r="H227" s="1585"/>
    </row>
    <row r="228" spans="1:8">
      <c r="A228" s="1586" t="s">
        <v>1210</v>
      </c>
      <c r="B228" s="1585"/>
      <c r="C228" s="1585"/>
      <c r="D228" s="1585"/>
      <c r="E228" s="1585"/>
      <c r="F228" s="1585"/>
      <c r="G228" s="1585"/>
      <c r="H228" s="1585"/>
    </row>
    <row r="229" spans="1:8">
      <c r="A229" s="1586" t="s">
        <v>1211</v>
      </c>
      <c r="B229" s="1585"/>
      <c r="C229" s="1585"/>
      <c r="D229" s="1585"/>
      <c r="E229" s="1585"/>
      <c r="F229" s="1585"/>
      <c r="G229" s="1585"/>
      <c r="H229" s="1585"/>
    </row>
    <row r="230" spans="1:8">
      <c r="A230" s="1586" t="s">
        <v>1212</v>
      </c>
      <c r="B230" s="1585"/>
      <c r="C230" s="1585"/>
      <c r="D230" s="1585"/>
      <c r="E230" s="1585"/>
      <c r="F230" s="1585"/>
      <c r="G230" s="1585"/>
      <c r="H230" s="1585"/>
    </row>
    <row r="231" spans="1:8">
      <c r="A231" s="1586" t="s">
        <v>1213</v>
      </c>
      <c r="B231" s="1585"/>
      <c r="C231" s="1585"/>
      <c r="D231" s="1585"/>
      <c r="E231" s="1585"/>
      <c r="F231" s="1585"/>
      <c r="G231" s="1585"/>
      <c r="H231" s="1585"/>
    </row>
    <row r="232" spans="1:8">
      <c r="A232" s="1585"/>
      <c r="B232" s="1585"/>
      <c r="C232" s="1585"/>
      <c r="D232" s="1585"/>
      <c r="E232" s="1585"/>
      <c r="F232" s="1585"/>
      <c r="G232" s="1585"/>
      <c r="H232" s="1585"/>
    </row>
    <row r="233" spans="1:8">
      <c r="A233" s="1586" t="s">
        <v>1204</v>
      </c>
      <c r="B233" s="1585"/>
      <c r="C233" s="1585"/>
      <c r="D233" s="1585"/>
      <c r="E233" s="1585"/>
      <c r="F233" s="1585"/>
      <c r="G233" s="1585"/>
      <c r="H233" s="1585"/>
    </row>
    <row r="234" spans="1:8">
      <c r="A234" s="1586" t="s">
        <v>1205</v>
      </c>
      <c r="B234" s="1585"/>
      <c r="C234" s="1585"/>
      <c r="D234" s="1585"/>
      <c r="E234" s="1585"/>
      <c r="F234" s="1585"/>
      <c r="G234" s="1585"/>
      <c r="H234" s="1585"/>
    </row>
    <row r="235" spans="1:8">
      <c r="A235" s="1586" t="s">
        <v>1206</v>
      </c>
      <c r="B235" s="1585"/>
      <c r="C235" s="1585"/>
      <c r="D235" s="1585"/>
      <c r="E235" s="1585"/>
      <c r="F235" s="1585"/>
      <c r="G235" s="1585"/>
      <c r="H235" s="1585"/>
    </row>
    <row r="236" spans="1:8">
      <c r="A236" s="1585"/>
      <c r="B236" s="1585"/>
      <c r="C236" s="1585"/>
      <c r="D236" s="1585"/>
      <c r="E236" s="1585"/>
      <c r="F236" s="1585"/>
      <c r="G236" s="1585"/>
      <c r="H236" s="1585"/>
    </row>
    <row r="237" spans="1:8">
      <c r="A237" s="1586" t="s">
        <v>1199</v>
      </c>
      <c r="B237" s="1585"/>
      <c r="C237" s="1585"/>
      <c r="D237" s="1585"/>
      <c r="E237" s="1585"/>
      <c r="F237" s="1585"/>
      <c r="G237" s="1585"/>
      <c r="H237" s="1585"/>
    </row>
    <row r="238" spans="1:8">
      <c r="A238" s="1586" t="s">
        <v>1200</v>
      </c>
      <c r="B238" s="1585"/>
      <c r="C238" s="1585"/>
      <c r="D238" s="1585"/>
      <c r="E238" s="1585"/>
      <c r="F238" s="1585"/>
      <c r="G238" s="1585"/>
      <c r="H238" s="1585"/>
    </row>
    <row r="239" spans="1:8">
      <c r="A239" s="1586" t="s">
        <v>1201</v>
      </c>
      <c r="B239" s="1585"/>
      <c r="C239" s="1585"/>
      <c r="D239" s="1585"/>
      <c r="E239" s="1585"/>
      <c r="F239" s="1585"/>
      <c r="G239" s="1585"/>
      <c r="H239" s="1585"/>
    </row>
    <row r="240" spans="1:8">
      <c r="A240" s="1586" t="s">
        <v>1202</v>
      </c>
      <c r="B240" s="1585"/>
      <c r="C240" s="1585"/>
      <c r="D240" s="1585"/>
      <c r="E240" s="1585"/>
      <c r="F240" s="1585"/>
      <c r="G240" s="1585"/>
      <c r="H240" s="1585"/>
    </row>
    <row r="241" spans="1:8">
      <c r="A241" s="1586" t="s">
        <v>1203</v>
      </c>
      <c r="B241" s="1585"/>
      <c r="C241" s="1585"/>
      <c r="D241" s="1585"/>
      <c r="E241" s="1585"/>
      <c r="F241" s="1585"/>
      <c r="G241" s="1585"/>
      <c r="H241" s="1585"/>
    </row>
    <row r="242" spans="1:8">
      <c r="A242" s="1585"/>
      <c r="B242" s="1585"/>
      <c r="C242" s="1585"/>
      <c r="D242" s="1585"/>
      <c r="E242" s="1585"/>
      <c r="F242" s="1585"/>
      <c r="G242" s="1585"/>
      <c r="H242" s="1585"/>
    </row>
    <row r="243" spans="1:8">
      <c r="A243" s="1586" t="s">
        <v>1193</v>
      </c>
      <c r="B243" s="1585"/>
      <c r="C243" s="1585"/>
      <c r="D243" s="1585"/>
      <c r="E243" s="1585"/>
      <c r="F243" s="1585"/>
      <c r="G243" s="1585"/>
      <c r="H243" s="1585"/>
    </row>
    <row r="244" spans="1:8">
      <c r="A244" s="1586" t="s">
        <v>1194</v>
      </c>
      <c r="B244" s="1585"/>
      <c r="C244" s="1585"/>
      <c r="D244" s="1585"/>
      <c r="E244" s="1585"/>
      <c r="F244" s="1585"/>
      <c r="G244" s="1585"/>
      <c r="H244" s="1585"/>
    </row>
    <row r="245" spans="1:8">
      <c r="A245" s="1586" t="s">
        <v>1195</v>
      </c>
      <c r="B245" s="1585"/>
      <c r="C245" s="1585"/>
      <c r="D245" s="1585"/>
      <c r="E245" s="1585"/>
      <c r="F245" s="1585"/>
      <c r="G245" s="1585"/>
      <c r="H245" s="1585"/>
    </row>
    <row r="246" spans="1:8">
      <c r="A246" s="1586" t="s">
        <v>1196</v>
      </c>
      <c r="B246" s="1585"/>
      <c r="C246" s="1585"/>
      <c r="D246" s="1585"/>
      <c r="E246" s="1585"/>
      <c r="F246" s="1585"/>
      <c r="G246" s="1585"/>
      <c r="H246" s="1585"/>
    </row>
    <row r="247" spans="1:8">
      <c r="A247" s="1586" t="s">
        <v>1197</v>
      </c>
      <c r="B247" s="1585"/>
      <c r="C247" s="1585"/>
      <c r="D247" s="1585"/>
      <c r="E247" s="1585"/>
      <c r="F247" s="1585"/>
      <c r="G247" s="1585"/>
      <c r="H247" s="1585"/>
    </row>
    <row r="248" spans="1:8">
      <c r="A248" s="1586" t="s">
        <v>1198</v>
      </c>
      <c r="B248" s="1585"/>
      <c r="C248" s="1585"/>
      <c r="D248" s="1585"/>
      <c r="E248" s="1585"/>
      <c r="F248" s="1585"/>
      <c r="G248" s="1585"/>
      <c r="H248" s="1585"/>
    </row>
    <row r="249" spans="1:8">
      <c r="A249" s="1585"/>
      <c r="B249" s="1585"/>
      <c r="C249" s="1585"/>
      <c r="D249" s="1585"/>
      <c r="E249" s="1585"/>
      <c r="F249" s="1585"/>
      <c r="G249" s="1585"/>
      <c r="H249" s="1585"/>
    </row>
    <row r="250" spans="1:8">
      <c r="A250" s="1586" t="s">
        <v>1183</v>
      </c>
      <c r="B250" s="1585"/>
      <c r="C250" s="1585"/>
      <c r="D250" s="1585"/>
      <c r="E250" s="1585"/>
      <c r="F250" s="1585"/>
      <c r="G250" s="1585"/>
      <c r="H250" s="1585"/>
    </row>
    <row r="251" spans="1:8">
      <c r="A251" s="1586" t="s">
        <v>1184</v>
      </c>
      <c r="B251" s="1585"/>
      <c r="C251" s="1585"/>
      <c r="D251" s="1585"/>
      <c r="E251" s="1585"/>
      <c r="F251" s="1585"/>
      <c r="G251" s="1585"/>
      <c r="H251" s="1585"/>
    </row>
    <row r="252" spans="1:8">
      <c r="A252" s="1586" t="s">
        <v>1185</v>
      </c>
      <c r="B252" s="1585"/>
      <c r="C252" s="1585"/>
      <c r="D252" s="1585"/>
      <c r="E252" s="1585"/>
      <c r="F252" s="1585"/>
      <c r="G252" s="1585"/>
      <c r="H252" s="1585"/>
    </row>
    <row r="253" spans="1:8">
      <c r="A253" s="1586" t="s">
        <v>1186</v>
      </c>
      <c r="B253" s="1585"/>
      <c r="C253" s="1585"/>
      <c r="D253" s="1585"/>
      <c r="E253" s="1585"/>
      <c r="F253" s="1585"/>
      <c r="G253" s="1585"/>
      <c r="H253" s="1585"/>
    </row>
    <row r="254" spans="1:8">
      <c r="A254" s="1586" t="s">
        <v>1187</v>
      </c>
      <c r="B254" s="1585"/>
      <c r="C254" s="1585"/>
      <c r="D254" s="1585"/>
      <c r="E254" s="1585"/>
      <c r="F254" s="1585"/>
      <c r="G254" s="1585"/>
      <c r="H254" s="1585"/>
    </row>
    <row r="255" spans="1:8">
      <c r="A255" s="1586" t="s">
        <v>1188</v>
      </c>
      <c r="B255" s="1585"/>
      <c r="C255" s="1585"/>
      <c r="D255" s="1585"/>
      <c r="E255" s="1585"/>
      <c r="F255" s="1585"/>
      <c r="G255" s="1585"/>
      <c r="H255" s="1585"/>
    </row>
    <row r="256" spans="1:8">
      <c r="A256" s="1586" t="s">
        <v>1189</v>
      </c>
      <c r="B256" s="1585"/>
      <c r="C256" s="1585"/>
      <c r="D256" s="1585"/>
      <c r="E256" s="1585"/>
      <c r="F256" s="1585"/>
      <c r="G256" s="1585"/>
      <c r="H256" s="1585"/>
    </row>
    <row r="257" spans="1:8">
      <c r="A257" s="1586" t="s">
        <v>1190</v>
      </c>
      <c r="B257" s="1585"/>
      <c r="C257" s="1585"/>
      <c r="D257" s="1585"/>
      <c r="E257" s="1585"/>
      <c r="F257" s="1585"/>
      <c r="G257" s="1585"/>
      <c r="H257" s="1585"/>
    </row>
    <row r="258" spans="1:8">
      <c r="A258" s="1586" t="s">
        <v>1191</v>
      </c>
      <c r="B258" s="1585"/>
      <c r="C258" s="1585"/>
      <c r="D258" s="1585"/>
      <c r="E258" s="1585"/>
      <c r="F258" s="1585"/>
      <c r="G258" s="1585"/>
      <c r="H258" s="1585"/>
    </row>
    <row r="259" spans="1:8">
      <c r="A259" s="1586" t="s">
        <v>1192</v>
      </c>
      <c r="B259" s="1585"/>
      <c r="C259" s="1585"/>
      <c r="D259" s="1585"/>
      <c r="E259" s="1585"/>
      <c r="F259" s="1585"/>
      <c r="G259" s="1585"/>
      <c r="H259" s="1585"/>
    </row>
    <row r="260" spans="1:8">
      <c r="A260" s="1585"/>
      <c r="B260" s="1585"/>
      <c r="C260" s="1585"/>
      <c r="D260" s="1585"/>
      <c r="E260" s="1585"/>
      <c r="F260" s="1585"/>
      <c r="G260" s="1585"/>
      <c r="H260" s="1585"/>
    </row>
    <row r="261" spans="1:8">
      <c r="A261" s="1586" t="s">
        <v>1181</v>
      </c>
      <c r="B261" s="1585"/>
      <c r="C261" s="1585"/>
      <c r="D261" s="1585"/>
      <c r="E261" s="1585"/>
      <c r="F261" s="1585"/>
      <c r="G261" s="1585"/>
      <c r="H261" s="1585"/>
    </row>
    <row r="262" spans="1:8">
      <c r="A262" s="1586" t="s">
        <v>1182</v>
      </c>
      <c r="B262" s="1585"/>
      <c r="C262" s="1585"/>
      <c r="D262" s="1585"/>
      <c r="E262" s="1585"/>
      <c r="F262" s="1585"/>
      <c r="G262" s="1585"/>
      <c r="H262" s="1585"/>
    </row>
    <row r="263" spans="1:8">
      <c r="A263" s="1585"/>
      <c r="B263" s="1585"/>
      <c r="C263" s="1585"/>
      <c r="D263" s="1585"/>
      <c r="E263" s="1585"/>
      <c r="F263" s="1585"/>
      <c r="G263" s="1585"/>
      <c r="H263" s="1585"/>
    </row>
    <row r="264" spans="1:8">
      <c r="A264" s="1586" t="s">
        <v>1165</v>
      </c>
      <c r="B264" s="1585"/>
      <c r="C264" s="1585"/>
      <c r="D264" s="1585"/>
      <c r="E264" s="1585"/>
      <c r="F264" s="1585"/>
      <c r="G264" s="1585"/>
      <c r="H264" s="1585"/>
    </row>
    <row r="265" spans="1:8">
      <c r="A265" s="1586" t="s">
        <v>1166</v>
      </c>
      <c r="B265" s="1585"/>
      <c r="C265" s="1585"/>
      <c r="D265" s="1585"/>
      <c r="E265" s="1585"/>
      <c r="F265" s="1585"/>
      <c r="G265" s="1585"/>
      <c r="H265" s="1585"/>
    </row>
    <row r="266" spans="1:8">
      <c r="A266" s="1586" t="s">
        <v>1167</v>
      </c>
      <c r="B266" s="1585"/>
      <c r="C266" s="1585"/>
      <c r="D266" s="1585"/>
      <c r="E266" s="1585"/>
      <c r="F266" s="1585"/>
      <c r="G266" s="1585"/>
      <c r="H266" s="1585"/>
    </row>
    <row r="267" spans="1:8">
      <c r="A267" s="1586" t="s">
        <v>1168</v>
      </c>
      <c r="B267" s="1585"/>
      <c r="C267" s="1585"/>
      <c r="D267" s="1585"/>
      <c r="E267" s="1585"/>
      <c r="F267" s="1585"/>
      <c r="G267" s="1585"/>
      <c r="H267" s="1585"/>
    </row>
    <row r="268" spans="1:8">
      <c r="A268" s="1586" t="s">
        <v>1169</v>
      </c>
      <c r="B268" s="1585"/>
      <c r="C268" s="1585"/>
      <c r="D268" s="1585"/>
      <c r="E268" s="1585"/>
      <c r="F268" s="1585"/>
      <c r="G268" s="1585"/>
      <c r="H268" s="1585"/>
    </row>
    <row r="269" spans="1:8">
      <c r="A269" s="1586" t="s">
        <v>1170</v>
      </c>
      <c r="B269" s="1585"/>
      <c r="C269" s="1585"/>
      <c r="D269" s="1585"/>
      <c r="E269" s="1585"/>
      <c r="F269" s="1585"/>
      <c r="G269" s="1585"/>
      <c r="H269" s="1585"/>
    </row>
    <row r="270" spans="1:8">
      <c r="A270" s="1586" t="s">
        <v>1171</v>
      </c>
      <c r="B270" s="1585"/>
      <c r="C270" s="1585"/>
      <c r="D270" s="1585"/>
      <c r="E270" s="1585"/>
      <c r="F270" s="1585"/>
      <c r="G270" s="1585"/>
      <c r="H270" s="1585"/>
    </row>
    <row r="271" spans="1:8">
      <c r="A271" s="1586" t="s">
        <v>1172</v>
      </c>
      <c r="B271" s="1585"/>
      <c r="C271" s="1585"/>
      <c r="D271" s="1585"/>
      <c r="E271" s="1585"/>
      <c r="F271" s="1585"/>
      <c r="G271" s="1585"/>
      <c r="H271" s="1585"/>
    </row>
    <row r="272" spans="1:8">
      <c r="A272" s="1586" t="s">
        <v>1173</v>
      </c>
      <c r="B272" s="1585"/>
      <c r="C272" s="1585"/>
      <c r="D272" s="1585"/>
      <c r="E272" s="1585"/>
      <c r="F272" s="1585"/>
      <c r="G272" s="1585"/>
      <c r="H272" s="1585"/>
    </row>
    <row r="273" spans="1:8">
      <c r="A273" s="1586" t="s">
        <v>1174</v>
      </c>
      <c r="B273" s="1585"/>
      <c r="C273" s="1585"/>
      <c r="D273" s="1585"/>
      <c r="E273" s="1585"/>
      <c r="F273" s="1585"/>
      <c r="G273" s="1585"/>
      <c r="H273" s="1585"/>
    </row>
    <row r="274" spans="1:8">
      <c r="A274" s="1586" t="s">
        <v>1175</v>
      </c>
      <c r="B274" s="1585"/>
      <c r="C274" s="1585"/>
      <c r="D274" s="1585"/>
      <c r="E274" s="1585"/>
      <c r="F274" s="1585"/>
      <c r="G274" s="1585"/>
      <c r="H274" s="1585"/>
    </row>
    <row r="275" spans="1:8">
      <c r="A275" s="1586" t="s">
        <v>1176</v>
      </c>
      <c r="B275" s="1585"/>
      <c r="C275" s="1585"/>
      <c r="D275" s="1585"/>
      <c r="E275" s="1585"/>
      <c r="F275" s="1585"/>
      <c r="G275" s="1585"/>
      <c r="H275" s="1585"/>
    </row>
    <row r="276" spans="1:8">
      <c r="A276" s="1586" t="s">
        <v>1177</v>
      </c>
      <c r="B276" s="1585"/>
      <c r="C276" s="1585"/>
      <c r="D276" s="1585"/>
      <c r="E276" s="1585"/>
      <c r="F276" s="1585"/>
      <c r="G276" s="1585"/>
      <c r="H276" s="1585"/>
    </row>
    <row r="277" spans="1:8">
      <c r="A277" s="1586" t="s">
        <v>1178</v>
      </c>
      <c r="B277" s="1585"/>
      <c r="C277" s="1585"/>
      <c r="D277" s="1585"/>
      <c r="E277" s="1585"/>
      <c r="F277" s="1585"/>
      <c r="G277" s="1585"/>
      <c r="H277" s="1585"/>
    </row>
    <row r="278" spans="1:8">
      <c r="A278" s="1586" t="s">
        <v>1179</v>
      </c>
      <c r="B278" s="1585"/>
      <c r="C278" s="1585"/>
      <c r="D278" s="1585"/>
      <c r="E278" s="1585"/>
      <c r="F278" s="1585"/>
      <c r="G278" s="1585"/>
      <c r="H278" s="1585"/>
    </row>
    <row r="279" spans="1:8">
      <c r="A279" s="1586" t="s">
        <v>1180</v>
      </c>
      <c r="B279" s="1585"/>
      <c r="C279" s="1585"/>
      <c r="D279" s="1585"/>
      <c r="E279" s="1585"/>
      <c r="F279" s="1585"/>
      <c r="G279" s="1585"/>
      <c r="H279" s="1585"/>
    </row>
    <row r="280" spans="1:8">
      <c r="A280" s="1585"/>
      <c r="B280" s="1585"/>
      <c r="C280" s="1585"/>
      <c r="D280" s="1585"/>
      <c r="E280" s="1585"/>
      <c r="F280" s="1585"/>
      <c r="G280" s="1585"/>
      <c r="H280" s="1585"/>
    </row>
    <row r="281" spans="1:8">
      <c r="A281" s="1586" t="s">
        <v>1158</v>
      </c>
      <c r="B281" s="1585"/>
      <c r="C281" s="1585"/>
      <c r="D281" s="1585"/>
      <c r="E281" s="1585"/>
      <c r="F281" s="1585"/>
      <c r="G281" s="1585"/>
      <c r="H281" s="1585"/>
    </row>
    <row r="282" spans="1:8">
      <c r="A282" s="1586" t="s">
        <v>1159</v>
      </c>
      <c r="B282" s="1585"/>
      <c r="C282" s="1585"/>
      <c r="D282" s="1585"/>
      <c r="E282" s="1585"/>
      <c r="F282" s="1585"/>
      <c r="G282" s="1585"/>
      <c r="H282" s="1585"/>
    </row>
    <row r="283" spans="1:8">
      <c r="A283" s="1586" t="s">
        <v>1160</v>
      </c>
      <c r="B283" s="1585"/>
      <c r="C283" s="1585"/>
      <c r="D283" s="1585"/>
      <c r="E283" s="1585"/>
      <c r="F283" s="1585"/>
      <c r="G283" s="1585"/>
      <c r="H283" s="1585"/>
    </row>
    <row r="284" spans="1:8">
      <c r="A284" s="1586" t="s">
        <v>1161</v>
      </c>
      <c r="B284" s="1585"/>
      <c r="C284" s="1585"/>
      <c r="D284" s="1585"/>
      <c r="E284" s="1585"/>
      <c r="F284" s="1585"/>
      <c r="G284" s="1585"/>
      <c r="H284" s="1585"/>
    </row>
    <row r="285" spans="1:8">
      <c r="A285" s="1586" t="s">
        <v>1162</v>
      </c>
      <c r="B285" s="1585"/>
      <c r="C285" s="1585"/>
      <c r="D285" s="1585"/>
      <c r="E285" s="1585"/>
      <c r="F285" s="1585"/>
      <c r="G285" s="1585"/>
      <c r="H285" s="1585"/>
    </row>
    <row r="286" spans="1:8">
      <c r="A286" s="1586" t="s">
        <v>1163</v>
      </c>
      <c r="B286" s="1585"/>
      <c r="C286" s="1585"/>
      <c r="D286" s="1585"/>
      <c r="E286" s="1585"/>
      <c r="F286" s="1585"/>
      <c r="G286" s="1585"/>
      <c r="H286" s="1585"/>
    </row>
    <row r="287" spans="1:8">
      <c r="A287" s="1586" t="s">
        <v>1164</v>
      </c>
      <c r="B287" s="1585"/>
      <c r="C287" s="1585"/>
      <c r="D287" s="1585"/>
      <c r="E287" s="1585"/>
      <c r="F287" s="1585"/>
      <c r="G287" s="1585"/>
      <c r="H287" s="1585"/>
    </row>
    <row r="288" spans="1:8">
      <c r="A288" s="1585"/>
      <c r="B288" s="1585"/>
      <c r="C288" s="1585"/>
      <c r="D288" s="1585"/>
      <c r="E288" s="1585"/>
      <c r="F288" s="1585"/>
      <c r="G288" s="1585"/>
      <c r="H288" s="1585"/>
    </row>
    <row r="289" spans="1:8">
      <c r="A289" s="1586" t="s">
        <v>1149</v>
      </c>
      <c r="B289" s="1585"/>
      <c r="C289" s="1585"/>
      <c r="D289" s="1585"/>
      <c r="E289" s="1585"/>
      <c r="F289" s="1585"/>
      <c r="G289" s="1585"/>
      <c r="H289" s="1585"/>
    </row>
    <row r="290" spans="1:8">
      <c r="A290" s="1586" t="s">
        <v>1150</v>
      </c>
      <c r="B290" s="1585"/>
      <c r="C290" s="1585"/>
      <c r="D290" s="1585"/>
      <c r="E290" s="1585"/>
      <c r="F290" s="1585"/>
      <c r="G290" s="1585"/>
      <c r="H290" s="1585"/>
    </row>
    <row r="291" spans="1:8">
      <c r="A291" s="1586" t="s">
        <v>1151</v>
      </c>
      <c r="B291" s="1585"/>
      <c r="C291" s="1585"/>
      <c r="D291" s="1585"/>
      <c r="E291" s="1585"/>
      <c r="F291" s="1585"/>
      <c r="G291" s="1585"/>
      <c r="H291" s="1585"/>
    </row>
    <row r="292" spans="1:8">
      <c r="A292" s="1586" t="s">
        <v>1152</v>
      </c>
      <c r="B292" s="1585"/>
      <c r="C292" s="1585"/>
      <c r="D292" s="1585"/>
      <c r="E292" s="1585"/>
      <c r="F292" s="1585"/>
      <c r="G292" s="1585"/>
      <c r="H292" s="1585"/>
    </row>
    <row r="293" spans="1:8">
      <c r="A293" s="1586" t="s">
        <v>1153</v>
      </c>
      <c r="B293" s="1585"/>
      <c r="C293" s="1585"/>
      <c r="D293" s="1585"/>
      <c r="E293" s="1585"/>
      <c r="F293" s="1585"/>
      <c r="G293" s="1585"/>
      <c r="H293" s="1585"/>
    </row>
    <row r="294" spans="1:8">
      <c r="A294" s="1586" t="s">
        <v>1154</v>
      </c>
      <c r="B294" s="1585"/>
      <c r="C294" s="1585"/>
      <c r="D294" s="1585"/>
      <c r="E294" s="1585"/>
      <c r="F294" s="1585"/>
      <c r="G294" s="1585"/>
      <c r="H294" s="1585"/>
    </row>
    <row r="295" spans="1:8">
      <c r="A295" s="1586" t="s">
        <v>1155</v>
      </c>
      <c r="B295" s="1585"/>
      <c r="C295" s="1585"/>
      <c r="D295" s="1585"/>
      <c r="E295" s="1585"/>
      <c r="F295" s="1585"/>
      <c r="G295" s="1585"/>
      <c r="H295" s="1585"/>
    </row>
    <row r="296" spans="1:8">
      <c r="A296" s="1586" t="s">
        <v>1156</v>
      </c>
      <c r="B296" s="1585"/>
      <c r="C296" s="1585"/>
      <c r="D296" s="1585"/>
      <c r="E296" s="1585"/>
      <c r="F296" s="1585"/>
      <c r="G296" s="1585"/>
      <c r="H296" s="1585"/>
    </row>
    <row r="297" spans="1:8">
      <c r="A297" s="1586" t="s">
        <v>1157</v>
      </c>
      <c r="B297" s="1585"/>
      <c r="C297" s="1585"/>
      <c r="D297" s="1585"/>
      <c r="E297" s="1585"/>
      <c r="F297" s="1585"/>
      <c r="G297" s="1585"/>
      <c r="H297" s="1585"/>
    </row>
    <row r="298" spans="1:8">
      <c r="A298" s="1585"/>
      <c r="B298" s="1585"/>
      <c r="C298" s="1585"/>
      <c r="D298" s="1585"/>
      <c r="E298" s="1585"/>
      <c r="F298" s="1585"/>
      <c r="G298" s="1585"/>
      <c r="H298" s="1585"/>
    </row>
    <row r="299" spans="1:8">
      <c r="A299" s="1586" t="s">
        <v>1142</v>
      </c>
      <c r="B299" s="1585"/>
      <c r="C299" s="1585"/>
      <c r="D299" s="1585"/>
      <c r="E299" s="1585"/>
      <c r="F299" s="1585"/>
      <c r="G299" s="1585"/>
      <c r="H299" s="1585"/>
    </row>
    <row r="300" spans="1:8">
      <c r="A300" s="1586" t="s">
        <v>1143</v>
      </c>
      <c r="B300" s="1585"/>
      <c r="C300" s="1585"/>
      <c r="D300" s="1585"/>
      <c r="E300" s="1585"/>
      <c r="F300" s="1585"/>
      <c r="G300" s="1585"/>
      <c r="H300" s="1585"/>
    </row>
    <row r="301" spans="1:8">
      <c r="A301" s="1586" t="s">
        <v>1144</v>
      </c>
      <c r="B301" s="1585"/>
      <c r="C301" s="1585"/>
      <c r="D301" s="1585"/>
      <c r="E301" s="1585"/>
      <c r="F301" s="1585"/>
      <c r="G301" s="1585"/>
      <c r="H301" s="1585"/>
    </row>
    <row r="302" spans="1:8">
      <c r="A302" s="1586" t="s">
        <v>1145</v>
      </c>
      <c r="B302" s="1585"/>
      <c r="C302" s="1585"/>
      <c r="D302" s="1585"/>
      <c r="E302" s="1585"/>
      <c r="F302" s="1585"/>
      <c r="G302" s="1585"/>
      <c r="H302" s="1585"/>
    </row>
    <row r="303" spans="1:8">
      <c r="A303" s="1586" t="s">
        <v>1146</v>
      </c>
      <c r="B303" s="1585"/>
      <c r="C303" s="1585"/>
      <c r="D303" s="1585"/>
      <c r="E303" s="1585"/>
      <c r="F303" s="1585"/>
      <c r="G303" s="1585"/>
      <c r="H303" s="1585"/>
    </row>
    <row r="304" spans="1:8">
      <c r="A304" s="1586" t="s">
        <v>1147</v>
      </c>
      <c r="B304" s="1585"/>
      <c r="C304" s="1585"/>
      <c r="D304" s="1585"/>
      <c r="E304" s="1585"/>
      <c r="F304" s="1585"/>
      <c r="G304" s="1585"/>
      <c r="H304" s="1585"/>
    </row>
    <row r="305" spans="1:8">
      <c r="A305" s="1586" t="s">
        <v>1148</v>
      </c>
      <c r="B305" s="1585"/>
      <c r="C305" s="1585"/>
      <c r="D305" s="1585"/>
      <c r="E305" s="1585"/>
      <c r="F305" s="1585"/>
      <c r="G305" s="1585"/>
      <c r="H305" s="1585"/>
    </row>
    <row r="306" spans="1:8">
      <c r="A306" s="1585"/>
      <c r="B306" s="1585"/>
      <c r="C306" s="1585"/>
      <c r="D306" s="1585"/>
      <c r="E306" s="1585"/>
      <c r="F306" s="1585"/>
      <c r="G306" s="1585"/>
      <c r="H306" s="1585"/>
    </row>
    <row r="307" spans="1:8">
      <c r="A307" s="1586" t="s">
        <v>1139</v>
      </c>
      <c r="B307" s="1585"/>
      <c r="C307" s="1585"/>
      <c r="D307" s="1585"/>
      <c r="E307" s="1585"/>
      <c r="F307" s="1585"/>
      <c r="G307" s="1585"/>
      <c r="H307" s="1585"/>
    </row>
    <row r="308" spans="1:8">
      <c r="A308" s="1586" t="s">
        <v>1140</v>
      </c>
      <c r="B308" s="1585"/>
      <c r="C308" s="1585"/>
      <c r="D308" s="1585"/>
      <c r="E308" s="1585"/>
      <c r="F308" s="1585"/>
      <c r="G308" s="1585"/>
      <c r="H308" s="1585"/>
    </row>
    <row r="309" spans="1:8">
      <c r="A309" s="1586" t="s">
        <v>1141</v>
      </c>
      <c r="B309" s="1585"/>
      <c r="C309" s="1585"/>
      <c r="D309" s="1585"/>
      <c r="E309" s="1585"/>
      <c r="F309" s="1585"/>
      <c r="G309" s="1585"/>
      <c r="H309" s="1585"/>
    </row>
    <row r="310" spans="1:8">
      <c r="A310" s="1585"/>
      <c r="B310" s="1585"/>
      <c r="C310" s="1585"/>
      <c r="D310" s="1585"/>
      <c r="E310" s="1585"/>
      <c r="F310" s="1585"/>
      <c r="G310" s="1585"/>
      <c r="H310" s="1585"/>
    </row>
    <row r="311" spans="1:8">
      <c r="A311" s="1586" t="s">
        <v>1137</v>
      </c>
      <c r="B311" s="1585"/>
      <c r="C311" s="1585"/>
      <c r="D311" s="1585"/>
      <c r="E311" s="1585"/>
      <c r="F311" s="1585"/>
      <c r="G311" s="1585"/>
      <c r="H311" s="1585"/>
    </row>
    <row r="312" spans="1:8">
      <c r="A312" s="1586" t="s">
        <v>1138</v>
      </c>
      <c r="B312" s="1585"/>
      <c r="C312" s="1585"/>
      <c r="D312" s="1585"/>
      <c r="E312" s="1585"/>
      <c r="F312" s="1585"/>
      <c r="G312" s="1585"/>
      <c r="H312" s="1585"/>
    </row>
    <row r="313" spans="1:8">
      <c r="A313" s="1585"/>
      <c r="B313" s="1585"/>
      <c r="C313" s="1585"/>
      <c r="D313" s="1585"/>
      <c r="E313" s="1585"/>
      <c r="F313" s="1585"/>
      <c r="G313" s="1585"/>
      <c r="H313" s="1585"/>
    </row>
    <row r="314" spans="1:8">
      <c r="A314" s="1586" t="s">
        <v>1124</v>
      </c>
      <c r="B314" s="1585"/>
      <c r="C314" s="1585"/>
      <c r="D314" s="1585"/>
      <c r="E314" s="1585"/>
      <c r="F314" s="1585"/>
      <c r="G314" s="1585"/>
      <c r="H314" s="1585"/>
    </row>
    <row r="315" spans="1:8">
      <c r="A315" s="1586" t="s">
        <v>1125</v>
      </c>
      <c r="B315" s="1585"/>
      <c r="C315" s="1585"/>
      <c r="D315" s="1585"/>
      <c r="E315" s="1585"/>
      <c r="F315" s="1585"/>
      <c r="G315" s="1585"/>
      <c r="H315" s="1585"/>
    </row>
    <row r="316" spans="1:8">
      <c r="A316" s="1586" t="s">
        <v>1126</v>
      </c>
      <c r="B316" s="1585"/>
      <c r="C316" s="1585"/>
      <c r="D316" s="1585"/>
      <c r="E316" s="1585"/>
      <c r="F316" s="1585"/>
      <c r="G316" s="1585"/>
      <c r="H316" s="1585"/>
    </row>
    <row r="317" spans="1:8">
      <c r="A317" s="1586" t="s">
        <v>1127</v>
      </c>
      <c r="B317" s="1585"/>
      <c r="C317" s="1585"/>
      <c r="D317" s="1585"/>
      <c r="E317" s="1585"/>
      <c r="F317" s="1585"/>
      <c r="G317" s="1585"/>
      <c r="H317" s="1585"/>
    </row>
    <row r="318" spans="1:8">
      <c r="A318" s="1586" t="s">
        <v>1128</v>
      </c>
      <c r="B318" s="1585"/>
      <c r="C318" s="1585"/>
      <c r="D318" s="1585"/>
      <c r="E318" s="1585"/>
      <c r="F318" s="1585"/>
      <c r="G318" s="1585"/>
      <c r="H318" s="1585"/>
    </row>
    <row r="319" spans="1:8">
      <c r="A319" s="1586" t="s">
        <v>1129</v>
      </c>
      <c r="B319" s="1585"/>
      <c r="C319" s="1585"/>
      <c r="D319" s="1585"/>
      <c r="E319" s="1585"/>
      <c r="F319" s="1585"/>
      <c r="G319" s="1585"/>
      <c r="H319" s="1585"/>
    </row>
    <row r="320" spans="1:8">
      <c r="A320" s="1586" t="s">
        <v>1130</v>
      </c>
      <c r="B320" s="1585"/>
      <c r="C320" s="1585"/>
      <c r="D320" s="1585"/>
      <c r="E320" s="1585"/>
      <c r="F320" s="1585"/>
      <c r="G320" s="1585"/>
      <c r="H320" s="1585"/>
    </row>
    <row r="321" spans="1:8">
      <c r="A321" s="1586" t="s">
        <v>1131</v>
      </c>
      <c r="B321" s="1585"/>
      <c r="C321" s="1585"/>
      <c r="D321" s="1585"/>
      <c r="E321" s="1585"/>
      <c r="F321" s="1585"/>
      <c r="G321" s="1585"/>
      <c r="H321" s="1585"/>
    </row>
    <row r="322" spans="1:8">
      <c r="A322" s="1586" t="s">
        <v>1132</v>
      </c>
      <c r="B322" s="1585"/>
      <c r="C322" s="1585"/>
      <c r="D322" s="1585"/>
      <c r="E322" s="1585"/>
      <c r="F322" s="1585"/>
      <c r="G322" s="1585"/>
      <c r="H322" s="1585"/>
    </row>
    <row r="323" spans="1:8">
      <c r="A323" s="1586" t="s">
        <v>1133</v>
      </c>
      <c r="B323" s="1585"/>
      <c r="C323" s="1585"/>
      <c r="D323" s="1585"/>
      <c r="E323" s="1585"/>
      <c r="F323" s="1585"/>
      <c r="G323" s="1585"/>
      <c r="H323" s="1585"/>
    </row>
    <row r="324" spans="1:8">
      <c r="A324" s="1586" t="s">
        <v>1134</v>
      </c>
      <c r="B324" s="1585"/>
      <c r="C324" s="1585"/>
      <c r="D324" s="1585"/>
      <c r="E324" s="1585"/>
      <c r="F324" s="1585"/>
      <c r="G324" s="1585"/>
      <c r="H324" s="1585"/>
    </row>
    <row r="325" spans="1:8">
      <c r="A325" s="1586" t="s">
        <v>1135</v>
      </c>
      <c r="B325" s="1585"/>
      <c r="C325" s="1585"/>
      <c r="D325" s="1585"/>
      <c r="E325" s="1585"/>
      <c r="F325" s="1585"/>
      <c r="G325" s="1585"/>
      <c r="H325" s="1585"/>
    </row>
    <row r="326" spans="1:8">
      <c r="A326" s="1586" t="s">
        <v>1136</v>
      </c>
      <c r="B326" s="1585"/>
      <c r="C326" s="1585"/>
      <c r="D326" s="1585"/>
      <c r="E326" s="1585"/>
      <c r="F326" s="1585"/>
      <c r="G326" s="1585"/>
      <c r="H326" s="1585"/>
    </row>
    <row r="327" spans="1:8">
      <c r="A327" s="1585"/>
      <c r="B327" s="1585"/>
      <c r="C327" s="1585"/>
      <c r="D327" s="1585"/>
      <c r="E327" s="1585"/>
      <c r="F327" s="1585"/>
      <c r="G327" s="1585"/>
      <c r="H327" s="1585"/>
    </row>
    <row r="328" spans="1:8">
      <c r="A328" s="1586" t="s">
        <v>1116</v>
      </c>
      <c r="B328" s="1585"/>
      <c r="C328" s="1585"/>
      <c r="D328" s="1585"/>
      <c r="E328" s="1585"/>
      <c r="F328" s="1585"/>
      <c r="G328" s="1585"/>
      <c r="H328" s="1585"/>
    </row>
    <row r="329" spans="1:8">
      <c r="A329" s="1586" t="s">
        <v>1117</v>
      </c>
      <c r="B329" s="1585"/>
      <c r="C329" s="1585"/>
      <c r="D329" s="1585"/>
      <c r="E329" s="1585"/>
      <c r="F329" s="1585"/>
      <c r="G329" s="1585"/>
      <c r="H329" s="1585"/>
    </row>
    <row r="330" spans="1:8">
      <c r="A330" s="1586" t="s">
        <v>1118</v>
      </c>
      <c r="B330" s="1585"/>
      <c r="C330" s="1585"/>
      <c r="D330" s="1585"/>
      <c r="E330" s="1585"/>
      <c r="F330" s="1585"/>
      <c r="G330" s="1585"/>
      <c r="H330" s="1585"/>
    </row>
    <row r="331" spans="1:8">
      <c r="A331" s="1586" t="s">
        <v>1119</v>
      </c>
      <c r="B331" s="1585"/>
      <c r="C331" s="1585"/>
      <c r="D331" s="1585"/>
      <c r="E331" s="1585"/>
      <c r="F331" s="1585"/>
      <c r="G331" s="1585"/>
      <c r="H331" s="1585"/>
    </row>
    <row r="332" spans="1:8">
      <c r="A332" s="1586" t="s">
        <v>1120</v>
      </c>
      <c r="B332" s="1585"/>
      <c r="C332" s="1585"/>
      <c r="D332" s="1585"/>
      <c r="E332" s="1585"/>
      <c r="F332" s="1585"/>
      <c r="G332" s="1585"/>
      <c r="H332" s="1585"/>
    </row>
    <row r="333" spans="1:8">
      <c r="A333" s="1586" t="s">
        <v>1121</v>
      </c>
      <c r="B333" s="1585"/>
      <c r="C333" s="1585"/>
      <c r="D333" s="1585"/>
      <c r="E333" s="1585"/>
      <c r="F333" s="1585"/>
      <c r="G333" s="1585"/>
      <c r="H333" s="1585"/>
    </row>
    <row r="334" spans="1:8">
      <c r="A334" s="1586" t="s">
        <v>1122</v>
      </c>
      <c r="B334" s="1585"/>
      <c r="C334" s="1585"/>
      <c r="D334" s="1585"/>
      <c r="E334" s="1585"/>
      <c r="F334" s="1585"/>
      <c r="G334" s="1585"/>
      <c r="H334" s="1585"/>
    </row>
    <row r="335" spans="1:8">
      <c r="A335" s="1586" t="s">
        <v>1123</v>
      </c>
      <c r="B335" s="1585"/>
      <c r="C335" s="1585"/>
      <c r="D335" s="1585"/>
      <c r="E335" s="1585"/>
      <c r="F335" s="1585"/>
      <c r="G335" s="1585"/>
      <c r="H335" s="1585"/>
    </row>
    <row r="336" spans="1:8">
      <c r="A336" s="1585"/>
      <c r="B336" s="1585"/>
      <c r="C336" s="1585"/>
      <c r="D336" s="1585"/>
      <c r="E336" s="1585"/>
      <c r="F336" s="1585"/>
      <c r="G336" s="1585"/>
      <c r="H336" s="1585"/>
    </row>
    <row r="337" spans="1:8">
      <c r="A337" s="1586" t="s">
        <v>1081</v>
      </c>
      <c r="B337" s="1585"/>
      <c r="C337" s="1585"/>
      <c r="D337" s="1585"/>
      <c r="E337" s="1585"/>
      <c r="F337" s="1585"/>
      <c r="G337" s="1585"/>
      <c r="H337" s="1585"/>
    </row>
    <row r="338" spans="1:8">
      <c r="A338" s="1586" t="s">
        <v>1082</v>
      </c>
      <c r="B338" s="1585"/>
      <c r="C338" s="1585"/>
      <c r="D338" s="1585"/>
      <c r="E338" s="1585"/>
      <c r="F338" s="1585"/>
      <c r="G338" s="1585"/>
      <c r="H338" s="1585"/>
    </row>
    <row r="339" spans="1:8">
      <c r="A339" s="1586" t="s">
        <v>1083</v>
      </c>
      <c r="B339" s="1585"/>
      <c r="C339" s="1585"/>
      <c r="D339" s="1585"/>
      <c r="E339" s="1585"/>
      <c r="F339" s="1585"/>
      <c r="G339" s="1585"/>
      <c r="H339" s="1585"/>
    </row>
    <row r="340" spans="1:8">
      <c r="A340" s="1586" t="s">
        <v>1084</v>
      </c>
      <c r="B340" s="1585"/>
      <c r="C340" s="1585"/>
      <c r="D340" s="1585"/>
      <c r="E340" s="1585"/>
      <c r="F340" s="1585"/>
      <c r="G340" s="1585"/>
      <c r="H340" s="1585"/>
    </row>
    <row r="341" spans="1:8">
      <c r="A341" s="1586" t="s">
        <v>1085</v>
      </c>
      <c r="B341" s="1585"/>
      <c r="C341" s="1585"/>
      <c r="D341" s="1585"/>
      <c r="E341" s="1585"/>
      <c r="F341" s="1585"/>
      <c r="G341" s="1585"/>
      <c r="H341" s="1585"/>
    </row>
    <row r="342" spans="1:8">
      <c r="A342" s="1586" t="s">
        <v>1086</v>
      </c>
      <c r="B342" s="1585"/>
      <c r="C342" s="1585"/>
      <c r="D342" s="1585"/>
      <c r="E342" s="1585"/>
      <c r="F342" s="1585"/>
      <c r="G342" s="1585"/>
      <c r="H342" s="1585"/>
    </row>
    <row r="343" spans="1:8">
      <c r="A343" s="1586" t="s">
        <v>1087</v>
      </c>
      <c r="B343" s="1585"/>
      <c r="C343" s="1585"/>
      <c r="D343" s="1585"/>
      <c r="E343" s="1585"/>
      <c r="F343" s="1585"/>
      <c r="G343" s="1585"/>
      <c r="H343" s="1585"/>
    </row>
    <row r="344" spans="1:8">
      <c r="A344" s="1586" t="s">
        <v>1088</v>
      </c>
      <c r="B344" s="1585"/>
      <c r="C344" s="1585"/>
      <c r="D344" s="1585"/>
      <c r="E344" s="1585"/>
      <c r="F344" s="1585"/>
      <c r="G344" s="1585"/>
      <c r="H344" s="1585"/>
    </row>
    <row r="345" spans="1:8">
      <c r="A345" s="1586" t="s">
        <v>1089</v>
      </c>
      <c r="B345" s="1585"/>
      <c r="C345" s="1585"/>
      <c r="D345" s="1585"/>
      <c r="E345" s="1585"/>
      <c r="F345" s="1585"/>
      <c r="G345" s="1585"/>
      <c r="H345" s="1585"/>
    </row>
    <row r="346" spans="1:8">
      <c r="A346" s="1586" t="s">
        <v>1090</v>
      </c>
      <c r="B346" s="1585"/>
      <c r="C346" s="1585"/>
      <c r="D346" s="1585"/>
      <c r="E346" s="1585"/>
      <c r="F346" s="1585"/>
      <c r="G346" s="1585"/>
      <c r="H346" s="1585"/>
    </row>
    <row r="347" spans="1:8">
      <c r="A347" s="1586" t="s">
        <v>1091</v>
      </c>
      <c r="B347" s="1585"/>
      <c r="C347" s="1585"/>
      <c r="D347" s="1585"/>
      <c r="E347" s="1585"/>
      <c r="F347" s="1585"/>
      <c r="G347" s="1585"/>
      <c r="H347" s="1585"/>
    </row>
    <row r="348" spans="1:8">
      <c r="A348" s="1586" t="s">
        <v>1092</v>
      </c>
      <c r="B348" s="1585"/>
      <c r="C348" s="1585"/>
      <c r="D348" s="1585"/>
      <c r="E348" s="1585"/>
      <c r="F348" s="1585"/>
      <c r="G348" s="1585"/>
      <c r="H348" s="1585"/>
    </row>
    <row r="349" spans="1:8">
      <c r="A349" s="1586" t="s">
        <v>1093</v>
      </c>
      <c r="B349" s="1585"/>
      <c r="C349" s="1585"/>
      <c r="D349" s="1585"/>
      <c r="E349" s="1585"/>
      <c r="F349" s="1585"/>
      <c r="G349" s="1585"/>
      <c r="H349" s="1585"/>
    </row>
    <row r="350" spans="1:8">
      <c r="A350" s="1586" t="s">
        <v>1094</v>
      </c>
      <c r="B350" s="1585"/>
      <c r="C350" s="1585"/>
      <c r="D350" s="1585"/>
      <c r="E350" s="1585"/>
      <c r="F350" s="1585"/>
      <c r="G350" s="1585"/>
      <c r="H350" s="1585"/>
    </row>
    <row r="351" spans="1:8">
      <c r="A351" s="1586" t="s">
        <v>1095</v>
      </c>
      <c r="B351" s="1585"/>
      <c r="C351" s="1585"/>
      <c r="D351" s="1585"/>
      <c r="E351" s="1585"/>
      <c r="F351" s="1585"/>
      <c r="G351" s="1585"/>
      <c r="H351" s="1585"/>
    </row>
    <row r="352" spans="1:8">
      <c r="A352" s="1586" t="s">
        <v>1096</v>
      </c>
      <c r="B352" s="1585"/>
      <c r="C352" s="1585"/>
      <c r="D352" s="1585"/>
      <c r="E352" s="1585"/>
      <c r="F352" s="1585"/>
      <c r="G352" s="1585"/>
      <c r="H352" s="1585"/>
    </row>
    <row r="353" spans="1:8">
      <c r="A353" s="1586" t="s">
        <v>1097</v>
      </c>
      <c r="B353" s="1585"/>
      <c r="C353" s="1585"/>
      <c r="D353" s="1585"/>
      <c r="E353" s="1585"/>
      <c r="F353" s="1585"/>
      <c r="G353" s="1585"/>
      <c r="H353" s="1585"/>
    </row>
    <row r="354" spans="1:8">
      <c r="A354" s="1586" t="s">
        <v>1098</v>
      </c>
      <c r="B354" s="1585"/>
      <c r="C354" s="1585"/>
      <c r="D354" s="1585"/>
      <c r="E354" s="1585"/>
      <c r="F354" s="1585"/>
      <c r="G354" s="1585"/>
      <c r="H354" s="1585"/>
    </row>
    <row r="355" spans="1:8">
      <c r="A355" s="1586" t="s">
        <v>1099</v>
      </c>
      <c r="B355" s="1585"/>
      <c r="C355" s="1585"/>
      <c r="D355" s="1585"/>
      <c r="E355" s="1585"/>
      <c r="F355" s="1585"/>
      <c r="G355" s="1585"/>
      <c r="H355" s="1585"/>
    </row>
    <row r="356" spans="1:8">
      <c r="A356" s="1586" t="s">
        <v>1100</v>
      </c>
      <c r="B356" s="1585"/>
      <c r="C356" s="1585"/>
      <c r="D356" s="1585"/>
      <c r="E356" s="1585"/>
      <c r="F356" s="1585"/>
      <c r="G356" s="1585"/>
      <c r="H356" s="1585"/>
    </row>
    <row r="357" spans="1:8">
      <c r="A357" s="1586" t="s">
        <v>1101</v>
      </c>
      <c r="B357" s="1585"/>
      <c r="C357" s="1585"/>
      <c r="D357" s="1585"/>
      <c r="E357" s="1585"/>
      <c r="F357" s="1585"/>
      <c r="G357" s="1585"/>
      <c r="H357" s="1585"/>
    </row>
    <row r="358" spans="1:8">
      <c r="A358" s="1586" t="s">
        <v>1102</v>
      </c>
      <c r="B358" s="1585"/>
      <c r="C358" s="1585"/>
      <c r="D358" s="1585"/>
      <c r="E358" s="1585"/>
      <c r="F358" s="1585"/>
      <c r="G358" s="1585"/>
      <c r="H358" s="1585"/>
    </row>
    <row r="359" spans="1:8">
      <c r="A359" s="1586" t="s">
        <v>1103</v>
      </c>
      <c r="B359" s="1585"/>
      <c r="C359" s="1585"/>
      <c r="D359" s="1585"/>
      <c r="E359" s="1585"/>
      <c r="F359" s="1585"/>
      <c r="G359" s="1585"/>
      <c r="H359" s="1585"/>
    </row>
    <row r="360" spans="1:8">
      <c r="A360" s="1586" t="s">
        <v>1104</v>
      </c>
      <c r="B360" s="1585"/>
      <c r="C360" s="1585"/>
      <c r="D360" s="1585"/>
      <c r="E360" s="1585"/>
      <c r="F360" s="1585"/>
      <c r="G360" s="1585"/>
      <c r="H360" s="1585"/>
    </row>
    <row r="361" spans="1:8">
      <c r="A361" s="1586" t="s">
        <v>1105</v>
      </c>
      <c r="B361" s="1585"/>
      <c r="C361" s="1585"/>
      <c r="D361" s="1585"/>
      <c r="E361" s="1585"/>
      <c r="F361" s="1585"/>
      <c r="G361" s="1585"/>
      <c r="H361" s="1585"/>
    </row>
    <row r="362" spans="1:8">
      <c r="A362" s="1586" t="s">
        <v>1106</v>
      </c>
      <c r="B362" s="1585"/>
      <c r="C362" s="1585"/>
      <c r="D362" s="1585"/>
      <c r="E362" s="1585"/>
      <c r="F362" s="1585"/>
      <c r="G362" s="1585"/>
      <c r="H362" s="1585"/>
    </row>
    <row r="363" spans="1:8">
      <c r="A363" s="1586" t="s">
        <v>1107</v>
      </c>
      <c r="B363" s="1585"/>
      <c r="C363" s="1585"/>
      <c r="D363" s="1585"/>
      <c r="E363" s="1585"/>
      <c r="F363" s="1585"/>
      <c r="G363" s="1585"/>
      <c r="H363" s="1585"/>
    </row>
    <row r="364" spans="1:8">
      <c r="A364" s="1586" t="s">
        <v>1108</v>
      </c>
      <c r="B364" s="1585"/>
      <c r="C364" s="1585"/>
      <c r="D364" s="1585"/>
      <c r="E364" s="1585"/>
      <c r="F364" s="1585"/>
      <c r="G364" s="1585"/>
      <c r="H364" s="1585"/>
    </row>
    <row r="365" spans="1:8">
      <c r="A365" s="1586" t="s">
        <v>1109</v>
      </c>
      <c r="B365" s="1585"/>
      <c r="C365" s="1585"/>
      <c r="D365" s="1585"/>
      <c r="E365" s="1585"/>
      <c r="F365" s="1585"/>
      <c r="G365" s="1585"/>
      <c r="H365" s="1585"/>
    </row>
    <row r="366" spans="1:8">
      <c r="A366" s="1586" t="s">
        <v>1110</v>
      </c>
      <c r="B366" s="1585"/>
      <c r="C366" s="1585"/>
      <c r="D366" s="1585"/>
      <c r="E366" s="1585"/>
      <c r="F366" s="1585"/>
      <c r="G366" s="1585"/>
      <c r="H366" s="1585"/>
    </row>
    <row r="367" spans="1:8">
      <c r="A367" s="1586" t="s">
        <v>1111</v>
      </c>
      <c r="B367" s="1585"/>
      <c r="C367" s="1585"/>
      <c r="D367" s="1585"/>
      <c r="E367" s="1585"/>
      <c r="F367" s="1585"/>
      <c r="G367" s="1585"/>
      <c r="H367" s="1585"/>
    </row>
    <row r="368" spans="1:8">
      <c r="A368" s="1586" t="s">
        <v>1112</v>
      </c>
      <c r="B368" s="1585"/>
      <c r="C368" s="1585"/>
      <c r="D368" s="1585"/>
      <c r="E368" s="1585"/>
      <c r="F368" s="1585"/>
      <c r="G368" s="1585"/>
      <c r="H368" s="1585"/>
    </row>
    <row r="369" spans="1:8">
      <c r="A369" s="1586" t="s">
        <v>1113</v>
      </c>
      <c r="B369" s="1585"/>
      <c r="C369" s="1585"/>
      <c r="D369" s="1585"/>
      <c r="E369" s="1585"/>
      <c r="F369" s="1585"/>
      <c r="G369" s="1585"/>
      <c r="H369" s="1585"/>
    </row>
    <row r="370" spans="1:8">
      <c r="A370" s="1586" t="s">
        <v>1114</v>
      </c>
      <c r="B370" s="1585"/>
      <c r="C370" s="1585"/>
      <c r="D370" s="1585"/>
      <c r="E370" s="1585"/>
      <c r="F370" s="1585"/>
      <c r="G370" s="1585"/>
      <c r="H370" s="1585"/>
    </row>
    <row r="371" spans="1:8">
      <c r="A371" s="1586" t="s">
        <v>1115</v>
      </c>
      <c r="B371" s="1585"/>
      <c r="C371" s="1585"/>
      <c r="D371" s="1585"/>
      <c r="E371" s="1585"/>
      <c r="F371" s="1585"/>
      <c r="G371" s="1585"/>
      <c r="H371" s="1585"/>
    </row>
    <row r="372" spans="1:8">
      <c r="A372" s="1585"/>
      <c r="B372" s="1585"/>
      <c r="C372" s="1585"/>
      <c r="D372" s="1585"/>
      <c r="E372" s="1585"/>
      <c r="F372" s="1585"/>
      <c r="G372" s="1585"/>
      <c r="H372" s="1585"/>
    </row>
    <row r="373" spans="1:8">
      <c r="A373" s="1586" t="s">
        <v>1073</v>
      </c>
      <c r="B373" s="1585"/>
      <c r="C373" s="1585"/>
      <c r="D373" s="1585"/>
      <c r="E373" s="1585"/>
      <c r="F373" s="1585"/>
      <c r="G373" s="1585"/>
      <c r="H373" s="1585"/>
    </row>
    <row r="374" spans="1:8">
      <c r="A374" s="1586" t="s">
        <v>1077</v>
      </c>
      <c r="B374" s="1585"/>
      <c r="C374" s="1585"/>
      <c r="D374" s="1585"/>
      <c r="E374" s="1585"/>
      <c r="F374" s="1585"/>
      <c r="G374" s="1585"/>
      <c r="H374" s="1585"/>
    </row>
    <row r="375" spans="1:8">
      <c r="A375" s="1586" t="s">
        <v>1078</v>
      </c>
      <c r="B375" s="1585"/>
      <c r="C375" s="1585"/>
      <c r="D375" s="1585"/>
      <c r="E375" s="1585"/>
      <c r="F375" s="1585"/>
      <c r="G375" s="1585"/>
      <c r="H375" s="1585"/>
    </row>
    <row r="376" spans="1:8">
      <c r="A376" s="1586" t="s">
        <v>1079</v>
      </c>
      <c r="B376" s="1585"/>
      <c r="C376" s="1585"/>
      <c r="D376" s="1585"/>
      <c r="E376" s="1585"/>
      <c r="F376" s="1585"/>
      <c r="G376" s="1585"/>
      <c r="H376" s="1585"/>
    </row>
    <row r="377" spans="1:8">
      <c r="A377" s="1586" t="s">
        <v>1080</v>
      </c>
      <c r="B377" s="1585"/>
      <c r="C377" s="1585"/>
      <c r="D377" s="1585"/>
      <c r="E377" s="1585"/>
      <c r="F377" s="1585"/>
      <c r="G377" s="1585"/>
      <c r="H377" s="1585"/>
    </row>
    <row r="378" spans="1:8">
      <c r="A378" s="1585"/>
      <c r="B378" s="1585"/>
      <c r="C378" s="1585"/>
      <c r="D378" s="1585"/>
      <c r="E378" s="1585"/>
      <c r="F378" s="1585"/>
      <c r="G378" s="1585"/>
      <c r="H378" s="1585"/>
    </row>
    <row r="379" spans="1:8">
      <c r="A379" s="1586" t="s">
        <v>1073</v>
      </c>
      <c r="B379" s="1585"/>
      <c r="C379" s="1585"/>
      <c r="D379" s="1585"/>
      <c r="E379" s="1585"/>
      <c r="F379" s="1585"/>
      <c r="G379" s="1585"/>
      <c r="H379" s="1585"/>
    </row>
    <row r="380" spans="1:8">
      <c r="A380" s="1586" t="s">
        <v>1074</v>
      </c>
      <c r="B380" s="1585"/>
      <c r="C380" s="1585"/>
      <c r="D380" s="1585"/>
      <c r="E380" s="1585"/>
      <c r="F380" s="1585"/>
      <c r="G380" s="1585"/>
      <c r="H380" s="1585"/>
    </row>
    <row r="381" spans="1:8">
      <c r="A381" s="1586" t="s">
        <v>1075</v>
      </c>
      <c r="B381" s="1585"/>
      <c r="C381" s="1585"/>
      <c r="D381" s="1585"/>
      <c r="E381" s="1585"/>
      <c r="F381" s="1585"/>
      <c r="G381" s="1585"/>
      <c r="H381" s="1585"/>
    </row>
    <row r="382" spans="1:8">
      <c r="A382" s="1586" t="s">
        <v>1076</v>
      </c>
      <c r="B382" s="1585"/>
      <c r="C382" s="1585"/>
      <c r="D382" s="1585"/>
      <c r="E382" s="1585"/>
      <c r="F382" s="1585"/>
      <c r="G382" s="1585"/>
      <c r="H382" s="1585"/>
    </row>
    <row r="383" spans="1:8">
      <c r="A383" s="1585"/>
      <c r="B383" s="1585"/>
      <c r="C383" s="1585"/>
      <c r="D383" s="1585"/>
      <c r="E383" s="1585"/>
      <c r="F383" s="1585"/>
      <c r="G383" s="1585"/>
      <c r="H383" s="1585"/>
    </row>
    <row r="384" spans="1:8">
      <c r="A384" s="1586" t="s">
        <v>1067</v>
      </c>
      <c r="B384" s="1585"/>
      <c r="C384" s="1585"/>
      <c r="D384" s="1585"/>
      <c r="E384" s="1585"/>
      <c r="F384" s="1585"/>
      <c r="G384" s="1585"/>
      <c r="H384" s="1585"/>
    </row>
    <row r="385" spans="1:8">
      <c r="A385" s="1586" t="s">
        <v>1068</v>
      </c>
      <c r="B385" s="1585"/>
      <c r="C385" s="1585"/>
      <c r="D385" s="1585"/>
      <c r="E385" s="1585"/>
      <c r="F385" s="1585"/>
      <c r="G385" s="1585"/>
      <c r="H385" s="1585"/>
    </row>
    <row r="386" spans="1:8">
      <c r="A386" s="1586" t="s">
        <v>1069</v>
      </c>
      <c r="B386" s="1585"/>
      <c r="C386" s="1585"/>
      <c r="D386" s="1585"/>
      <c r="E386" s="1585"/>
      <c r="F386" s="1585"/>
      <c r="G386" s="1585"/>
      <c r="H386" s="1585"/>
    </row>
    <row r="387" spans="1:8">
      <c r="A387" s="1586" t="s">
        <v>1070</v>
      </c>
      <c r="B387" s="1585"/>
      <c r="C387" s="1585"/>
      <c r="D387" s="1585"/>
      <c r="E387" s="1585"/>
      <c r="F387" s="1585"/>
      <c r="G387" s="1585"/>
      <c r="H387" s="1585"/>
    </row>
    <row r="388" spans="1:8">
      <c r="A388" s="1586" t="s">
        <v>1071</v>
      </c>
      <c r="B388" s="1585"/>
      <c r="C388" s="1585"/>
      <c r="D388" s="1585"/>
      <c r="E388" s="1585"/>
      <c r="F388" s="1585"/>
      <c r="G388" s="1585"/>
      <c r="H388" s="1585"/>
    </row>
    <row r="389" spans="1:8">
      <c r="A389" s="1586" t="s">
        <v>1072</v>
      </c>
      <c r="B389" s="1585"/>
      <c r="C389" s="1585"/>
      <c r="D389" s="1585"/>
      <c r="E389" s="1585"/>
      <c r="F389" s="1585"/>
      <c r="G389" s="1585"/>
      <c r="H389" s="1585"/>
    </row>
    <row r="390" spans="1:8">
      <c r="A390" s="1585"/>
      <c r="B390" s="1585"/>
      <c r="C390" s="1585"/>
      <c r="D390" s="1585"/>
      <c r="E390" s="1585"/>
      <c r="F390" s="1585"/>
      <c r="G390" s="1585"/>
      <c r="H390" s="1585"/>
    </row>
    <row r="391" spans="1:8">
      <c r="A391" s="1586" t="s">
        <v>1062</v>
      </c>
      <c r="B391" s="1585"/>
      <c r="C391" s="1585"/>
      <c r="D391" s="1585"/>
      <c r="E391" s="1585"/>
      <c r="F391" s="1585"/>
      <c r="G391" s="1585"/>
      <c r="H391" s="1585"/>
    </row>
    <row r="392" spans="1:8">
      <c r="A392" s="1586" t="s">
        <v>1063</v>
      </c>
      <c r="B392" s="1585"/>
      <c r="C392" s="1585"/>
      <c r="D392" s="1585"/>
      <c r="E392" s="1585"/>
      <c r="F392" s="1585"/>
      <c r="G392" s="1585"/>
      <c r="H392" s="1585"/>
    </row>
    <row r="393" spans="1:8">
      <c r="A393" s="1586" t="s">
        <v>1064</v>
      </c>
      <c r="B393" s="1585"/>
      <c r="C393" s="1585"/>
      <c r="D393" s="1585"/>
      <c r="E393" s="1585"/>
      <c r="F393" s="1585"/>
      <c r="G393" s="1585"/>
      <c r="H393" s="1585"/>
    </row>
    <row r="394" spans="1:8">
      <c r="A394" s="1586" t="s">
        <v>1065</v>
      </c>
      <c r="B394" s="1585"/>
      <c r="C394" s="1585"/>
      <c r="D394" s="1585"/>
      <c r="E394" s="1585"/>
      <c r="F394" s="1585"/>
      <c r="G394" s="1585"/>
      <c r="H394" s="1585"/>
    </row>
    <row r="395" spans="1:8">
      <c r="A395" s="1586" t="s">
        <v>1066</v>
      </c>
      <c r="B395" s="1585"/>
      <c r="C395" s="1585"/>
      <c r="D395" s="1585"/>
      <c r="E395" s="1585"/>
      <c r="F395" s="1585"/>
      <c r="G395" s="1585"/>
      <c r="H395" s="1585"/>
    </row>
    <row r="396" spans="1:8">
      <c r="A396" s="1585"/>
      <c r="B396" s="1585"/>
      <c r="C396" s="1585"/>
      <c r="D396" s="1585"/>
      <c r="E396" s="1585"/>
      <c r="F396" s="1585"/>
      <c r="G396" s="1585"/>
      <c r="H396" s="1585"/>
    </row>
    <row r="397" spans="1:8">
      <c r="A397" s="1586" t="s">
        <v>1060</v>
      </c>
      <c r="B397" s="1585"/>
      <c r="C397" s="1585"/>
      <c r="D397" s="1585"/>
      <c r="E397" s="1585"/>
      <c r="F397" s="1585"/>
      <c r="G397" s="1585"/>
      <c r="H397" s="1585"/>
    </row>
    <row r="398" spans="1:8">
      <c r="A398" s="1586" t="s">
        <v>1061</v>
      </c>
      <c r="B398" s="1585"/>
      <c r="C398" s="1585"/>
      <c r="D398" s="1585"/>
      <c r="E398" s="1585"/>
      <c r="F398" s="1585"/>
      <c r="G398" s="1585"/>
      <c r="H398" s="1585"/>
    </row>
    <row r="400" spans="1:8">
      <c r="A400" s="1581" t="s">
        <v>1322</v>
      </c>
    </row>
  </sheetData>
  <mergeCells count="12">
    <mergeCell ref="A138:H138"/>
    <mergeCell ref="A139:H139"/>
    <mergeCell ref="B131:C131"/>
    <mergeCell ref="D131:F131"/>
    <mergeCell ref="G131:H131"/>
    <mergeCell ref="A117:H117"/>
    <mergeCell ref="A118:H118"/>
    <mergeCell ref="A119:H119"/>
    <mergeCell ref="A120:H120"/>
    <mergeCell ref="A122:H122"/>
    <mergeCell ref="A123:H123"/>
    <mergeCell ref="A130:H130"/>
  </mergeCells>
  <pageMargins left="0.5" right="0.5" top="0.5" bottom="0.5" header="0.5" footer="0.5"/>
  <pageSetup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P61"/>
  <sheetViews>
    <sheetView showGridLines="0" zoomScale="85" zoomScaleNormal="85" workbookViewId="0">
      <selection activeCell="J25" sqref="J25"/>
    </sheetView>
  </sheetViews>
  <sheetFormatPr defaultRowHeight="12.75"/>
  <cols>
    <col min="1" max="1" width="2.140625" customWidth="1"/>
    <col min="2" max="2" width="26.42578125" customWidth="1"/>
    <col min="3" max="3" width="8.42578125" bestFit="1" customWidth="1"/>
    <col min="4" max="4" width="9.7109375" bestFit="1" customWidth="1"/>
    <col min="5" max="8" width="8.140625" customWidth="1"/>
    <col min="9" max="9" width="2.140625" customWidth="1"/>
    <col min="10" max="10" width="25.7109375" customWidth="1"/>
    <col min="11" max="16" width="7.7109375" customWidth="1"/>
  </cols>
  <sheetData>
    <row r="1" spans="1:16">
      <c r="A1" s="1"/>
      <c r="B1" s="2"/>
      <c r="C1" s="2"/>
      <c r="D1" s="2"/>
      <c r="E1" s="2"/>
      <c r="F1" s="2"/>
      <c r="G1" s="2"/>
      <c r="H1" s="2"/>
      <c r="I1" s="2"/>
      <c r="J1" s="3"/>
      <c r="K1" s="4"/>
      <c r="L1" s="4"/>
      <c r="M1" s="4"/>
      <c r="N1" s="4"/>
      <c r="O1" s="4"/>
      <c r="P1" s="4"/>
    </row>
    <row r="2" spans="1:16" ht="15.75">
      <c r="A2" s="1"/>
      <c r="B2" s="6" t="s">
        <v>573</v>
      </c>
      <c r="C2" s="7"/>
      <c r="D2" s="7"/>
      <c r="E2" s="7"/>
      <c r="F2" s="7"/>
      <c r="G2" s="7"/>
      <c r="H2" s="7"/>
      <c r="I2" s="8"/>
      <c r="J2" s="8"/>
      <c r="K2" s="8"/>
      <c r="L2" s="8"/>
      <c r="M2" s="8"/>
      <c r="N2" s="8"/>
      <c r="O2" s="8"/>
      <c r="P2" s="8"/>
    </row>
    <row r="3" spans="1:16" ht="15.75">
      <c r="A3" s="1"/>
      <c r="B3" s="9" t="s">
        <v>574</v>
      </c>
      <c r="C3" s="10"/>
      <c r="D3" s="10"/>
      <c r="E3" s="10"/>
      <c r="F3" s="10"/>
      <c r="G3" s="10"/>
      <c r="H3" s="10"/>
      <c r="I3" s="2"/>
      <c r="J3" s="2"/>
      <c r="K3" s="2"/>
      <c r="L3" s="2"/>
      <c r="M3" s="2"/>
      <c r="N3" s="2"/>
      <c r="O3" s="2"/>
      <c r="P3" s="2"/>
    </row>
    <row r="4" spans="1:16">
      <c r="A4" s="1"/>
      <c r="B4" s="11"/>
      <c r="C4" s="12"/>
      <c r="D4" s="12"/>
      <c r="E4" s="12"/>
      <c r="F4" s="12"/>
      <c r="G4" s="12"/>
      <c r="H4" s="12"/>
      <c r="I4" s="13"/>
      <c r="J4" s="14"/>
      <c r="K4" s="14"/>
      <c r="L4" s="14"/>
      <c r="M4" s="14"/>
      <c r="N4" s="14"/>
      <c r="O4" s="14"/>
      <c r="P4" s="14"/>
    </row>
    <row r="5" spans="1:16">
      <c r="A5" s="1"/>
      <c r="B5" s="792" t="s">
        <v>575</v>
      </c>
      <c r="C5" s="793"/>
      <c r="D5" s="793"/>
      <c r="E5" s="794"/>
      <c r="F5" s="794"/>
      <c r="G5" s="794"/>
      <c r="H5" s="794"/>
      <c r="I5" s="13"/>
      <c r="J5" s="792" t="s">
        <v>576</v>
      </c>
      <c r="K5" s="793"/>
      <c r="L5" s="793"/>
      <c r="M5" s="794"/>
      <c r="N5" s="794"/>
      <c r="O5" s="794"/>
      <c r="P5" s="794"/>
    </row>
    <row r="6" spans="1:16">
      <c r="A6" s="1"/>
      <c r="B6" s="15" t="s">
        <v>577</v>
      </c>
      <c r="C6" s="655">
        <v>2014</v>
      </c>
      <c r="D6" s="655">
        <v>2015</v>
      </c>
      <c r="E6" s="655">
        <v>2016</v>
      </c>
      <c r="F6" s="655">
        <v>2017</v>
      </c>
      <c r="G6" s="655" t="s">
        <v>949</v>
      </c>
      <c r="H6" s="655" t="s">
        <v>973</v>
      </c>
      <c r="I6" s="13"/>
      <c r="J6" s="15" t="s">
        <v>578</v>
      </c>
      <c r="K6" s="16">
        <f t="shared" ref="K6:P6" si="0">C6</f>
        <v>2014</v>
      </c>
      <c r="L6" s="16">
        <f t="shared" si="0"/>
        <v>2015</v>
      </c>
      <c r="M6" s="16">
        <f t="shared" si="0"/>
        <v>2016</v>
      </c>
      <c r="N6" s="16">
        <f t="shared" si="0"/>
        <v>2017</v>
      </c>
      <c r="O6" s="16" t="str">
        <f t="shared" si="0"/>
        <v>2018e</v>
      </c>
      <c r="P6" s="16" t="str">
        <f t="shared" si="0"/>
        <v>2019e</v>
      </c>
    </row>
    <row r="7" spans="1:16">
      <c r="A7" s="1"/>
      <c r="B7" s="11" t="s">
        <v>579</v>
      </c>
      <c r="C7" s="17"/>
      <c r="D7" s="17"/>
      <c r="E7" s="17"/>
      <c r="F7" s="17"/>
      <c r="G7" s="17"/>
      <c r="H7" s="17"/>
      <c r="I7" s="8"/>
      <c r="J7" s="11" t="s">
        <v>580</v>
      </c>
      <c r="K7" s="18">
        <f>Financials!$BM$14</f>
        <v>17507</v>
      </c>
      <c r="L7" s="18">
        <f>Financials!$BR$14</f>
        <v>11574</v>
      </c>
      <c r="M7" s="18">
        <f>Financials!$BW$14</f>
        <v>10261</v>
      </c>
      <c r="N7" s="18">
        <f>Financials!$CB$14</f>
        <v>12250</v>
      </c>
      <c r="O7" s="18">
        <f>Financials!$CG$14</f>
        <v>14096.400941527243</v>
      </c>
      <c r="P7" s="18">
        <f>Financials!$CL$14</f>
        <v>15045.003231514875</v>
      </c>
    </row>
    <row r="8" spans="1:16">
      <c r="A8" s="19"/>
      <c r="B8" s="20" t="s">
        <v>581</v>
      </c>
      <c r="C8" s="21">
        <f>Operations!$BM$51</f>
        <v>771.57901926948523</v>
      </c>
      <c r="D8" s="21">
        <f>Operations!$BR$51</f>
        <v>694.76613816534541</v>
      </c>
      <c r="E8" s="21">
        <f>Operations!$BW$51</f>
        <v>665.14959381810979</v>
      </c>
      <c r="F8" s="21">
        <f>Operations!$CB$51</f>
        <v>726.63052493172859</v>
      </c>
      <c r="G8" s="21">
        <f>Operations!$CG$51</f>
        <v>791.74194264468736</v>
      </c>
      <c r="H8" s="21">
        <f>Operations!$CL$51</f>
        <v>818.44806600725542</v>
      </c>
      <c r="I8" s="22"/>
      <c r="J8" s="23" t="s">
        <v>582</v>
      </c>
      <c r="K8" s="21">
        <f>Financials!$BM$18</f>
        <v>15461</v>
      </c>
      <c r="L8" s="21">
        <f>Financials!$BR$18</f>
        <v>10916</v>
      </c>
      <c r="M8" s="21">
        <f>Financials!$BW$18</f>
        <v>9398</v>
      </c>
      <c r="N8" s="21">
        <f>Financials!$CB$18</f>
        <v>10744</v>
      </c>
      <c r="O8" s="21">
        <f>Financials!$CG$18</f>
        <v>11894.967624113897</v>
      </c>
      <c r="P8" s="21">
        <f>Financials!$CL$18</f>
        <v>12623.285333992193</v>
      </c>
    </row>
    <row r="9" spans="1:16">
      <c r="A9" s="19"/>
      <c r="B9" s="20" t="s">
        <v>583</v>
      </c>
      <c r="C9" s="21">
        <f>Operations!$BM$116</f>
        <v>1538.1009174311926</v>
      </c>
      <c r="D9" s="21">
        <f>Operations!$BR$116</f>
        <v>1464.3490725126476</v>
      </c>
      <c r="E9" s="21">
        <f>Operations!$BW$116</f>
        <v>1070.7325000000001</v>
      </c>
      <c r="F9" s="21">
        <f>Operations!$CB$116</f>
        <v>1306.4476744186047</v>
      </c>
      <c r="G9" s="21">
        <f>Operations!$CG$116</f>
        <v>1584.0876258817473</v>
      </c>
      <c r="H9" s="21">
        <f>Operations!$CL$116</f>
        <v>1584.0876258817477</v>
      </c>
      <c r="I9" s="22"/>
      <c r="J9" s="23" t="s">
        <v>584</v>
      </c>
      <c r="K9" s="21">
        <f>Financials!$BM$25</f>
        <v>627</v>
      </c>
      <c r="L9" s="21">
        <f>Financials!$BR$25</f>
        <v>547</v>
      </c>
      <c r="M9" s="21">
        <f>Financials!$BW$25</f>
        <v>507</v>
      </c>
      <c r="N9" s="21">
        <f>Financials!$CB$25</f>
        <v>501</v>
      </c>
      <c r="O9" s="21">
        <f>Financials!$CG$25</f>
        <v>495</v>
      </c>
      <c r="P9" s="21">
        <f>Financials!$CL$25</f>
        <v>495</v>
      </c>
    </row>
    <row r="10" spans="1:16">
      <c r="A10" s="24"/>
      <c r="B10" s="20" t="s">
        <v>585</v>
      </c>
      <c r="C10" s="21">
        <f>Operations!$BM$155</f>
        <v>668</v>
      </c>
      <c r="D10" s="21">
        <f>Operations!$BR$155</f>
        <v>514</v>
      </c>
      <c r="E10" s="21">
        <f>Operations!$BW$155</f>
        <v>482.5</v>
      </c>
      <c r="F10" s="21">
        <f>Operations!$CB$155</f>
        <v>621.75</v>
      </c>
      <c r="G10" s="21">
        <f>Operations!$CG$155</f>
        <v>719.38231830640291</v>
      </c>
      <c r="H10" s="21">
        <f>Operations!$CL$155</f>
        <v>719.38231830640291</v>
      </c>
      <c r="I10" s="22"/>
      <c r="J10" s="25" t="s">
        <v>586</v>
      </c>
      <c r="K10" s="26">
        <f>Financials!$BM$23</f>
        <v>523</v>
      </c>
      <c r="L10" s="26">
        <f>Financials!$BR$23</f>
        <v>415</v>
      </c>
      <c r="M10" s="26">
        <f>Financials!$BW$23</f>
        <v>255</v>
      </c>
      <c r="N10" s="26">
        <f>Financials!$CB$23</f>
        <v>375</v>
      </c>
      <c r="O10" s="26">
        <f>Financials!$CG$23</f>
        <v>422.8920282458173</v>
      </c>
      <c r="P10" s="26">
        <f>Financials!$CL$23</f>
        <v>451.35009694544624</v>
      </c>
    </row>
    <row r="11" spans="1:16">
      <c r="A11" s="1"/>
      <c r="B11" s="20" t="s">
        <v>587</v>
      </c>
      <c r="C11" s="21">
        <f>Operations!$BM$196</f>
        <v>817.1620694871666</v>
      </c>
      <c r="D11" s="21">
        <f>Operations!$BR$196</f>
        <v>672.3490897476845</v>
      </c>
      <c r="E11" s="21">
        <f>Operations!$BW$196</f>
        <v>621.19891253585968</v>
      </c>
      <c r="F11" s="21">
        <f>Operations!$CB$196</f>
        <v>721.22399406332454</v>
      </c>
      <c r="G11" s="21">
        <f>Operations!$CG$196</f>
        <v>809.66506137396527</v>
      </c>
      <c r="H11" s="21">
        <f>Operations!$CL$196</f>
        <v>827.98194789089143</v>
      </c>
      <c r="I11" s="22"/>
      <c r="J11" s="11" t="s">
        <v>588</v>
      </c>
      <c r="K11" s="18">
        <f>Financials!$BM$101</f>
        <v>1678</v>
      </c>
      <c r="L11" s="18">
        <f>Financials!$BR$101</f>
        <v>202</v>
      </c>
      <c r="M11" s="18">
        <f>Financials!$BW$101</f>
        <v>510</v>
      </c>
      <c r="N11" s="18">
        <f>Financials!$CB$101</f>
        <v>1087</v>
      </c>
      <c r="O11" s="18">
        <f>Financials!$CG$101</f>
        <v>1738.5412891675294</v>
      </c>
      <c r="P11" s="18">
        <f>Financials!$CL$101</f>
        <v>1930.367800577236</v>
      </c>
    </row>
    <row r="12" spans="1:16">
      <c r="A12" s="1"/>
      <c r="B12" s="27"/>
      <c r="C12" s="28"/>
      <c r="D12" s="28"/>
      <c r="E12" s="28"/>
      <c r="F12" s="28"/>
      <c r="G12" s="28"/>
      <c r="H12" s="28"/>
      <c r="I12" s="22"/>
      <c r="J12" s="11" t="s">
        <v>589</v>
      </c>
      <c r="K12" s="18">
        <f>Financials!$BM$39</f>
        <v>1051</v>
      </c>
      <c r="L12" s="18">
        <f>Financials!$BR$39</f>
        <v>-345</v>
      </c>
      <c r="M12" s="18">
        <f>Financials!$BW$39</f>
        <v>3</v>
      </c>
      <c r="N12" s="18">
        <f>Financials!$CB$39</f>
        <v>586</v>
      </c>
      <c r="O12" s="18">
        <f>Financials!$CG$39</f>
        <v>1243.5412891675294</v>
      </c>
      <c r="P12" s="18">
        <f>Financials!$CL$39</f>
        <v>1435.367800577236</v>
      </c>
    </row>
    <row r="13" spans="1:16">
      <c r="A13" s="1"/>
      <c r="B13" s="29" t="s">
        <v>590</v>
      </c>
      <c r="C13" s="21"/>
      <c r="D13" s="21"/>
      <c r="E13" s="21"/>
      <c r="F13" s="21"/>
      <c r="G13" s="21"/>
      <c r="H13" s="21"/>
      <c r="I13" s="22"/>
      <c r="J13" s="25" t="s">
        <v>591</v>
      </c>
      <c r="K13" s="21">
        <f>Financials!$BM$48</f>
        <v>808</v>
      </c>
      <c r="L13" s="21">
        <f>Financials!$BR$48</f>
        <v>-566</v>
      </c>
      <c r="M13" s="21">
        <f>Financials!$BW$48</f>
        <v>-224</v>
      </c>
      <c r="N13" s="21">
        <f>Financials!$CB$48</f>
        <v>336</v>
      </c>
      <c r="O13" s="21">
        <f>Financials!$CG$48</f>
        <v>972.27648597264556</v>
      </c>
      <c r="P13" s="21">
        <f>Financials!$CL$48</f>
        <v>1167.1162108603494</v>
      </c>
    </row>
    <row r="14" spans="1:16">
      <c r="A14" s="1"/>
      <c r="B14" s="20" t="s">
        <v>581</v>
      </c>
      <c r="C14" s="21">
        <f>Operations!$BM$34</f>
        <v>13908</v>
      </c>
      <c r="D14" s="21">
        <f>Operations!$BR$34</f>
        <v>10596</v>
      </c>
      <c r="E14" s="21">
        <f>Operations!$BW$34</f>
        <v>10094</v>
      </c>
      <c r="F14" s="21">
        <f>Operations!$CB$34</f>
        <v>9887</v>
      </c>
      <c r="G14" s="21">
        <f>Operations!$CG$34</f>
        <v>10483.450000000001</v>
      </c>
      <c r="H14" s="21">
        <f>Operations!$CL$34</f>
        <v>11255.27389</v>
      </c>
      <c r="I14" s="22"/>
      <c r="J14" s="23" t="s">
        <v>592</v>
      </c>
      <c r="K14" s="21">
        <f>Financials!$BM$51</f>
        <v>145</v>
      </c>
      <c r="L14" s="21">
        <f>Financials!$BR$51</f>
        <v>183</v>
      </c>
      <c r="M14" s="21">
        <f>Financials!$BW$51</f>
        <v>24</v>
      </c>
      <c r="N14" s="21">
        <f>Financials!$CB$51</f>
        <v>-5</v>
      </c>
      <c r="O14" s="21">
        <f>Financials!$CG$51</f>
        <v>77.880787974320938</v>
      </c>
      <c r="P14" s="21">
        <f>Financials!$CL$51</f>
        <v>85.039629041244368</v>
      </c>
    </row>
    <row r="15" spans="1:16">
      <c r="A15" s="1"/>
      <c r="B15" s="20" t="s">
        <v>583</v>
      </c>
      <c r="C15" s="21">
        <f>Operations!$BM$100</f>
        <v>1744</v>
      </c>
      <c r="D15" s="21">
        <f>Operations!$BR$100</f>
        <v>593</v>
      </c>
      <c r="E15" s="21">
        <f>Operations!$BW$100</f>
        <v>400</v>
      </c>
      <c r="F15" s="21">
        <f>Operations!$CB$100</f>
        <v>688</v>
      </c>
      <c r="G15" s="21">
        <f>Operations!$CG$100</f>
        <v>777.15000000000009</v>
      </c>
      <c r="H15" s="21">
        <f>Operations!$CL$100</f>
        <v>800.46450000000004</v>
      </c>
      <c r="I15" s="22"/>
      <c r="J15" s="23" t="s">
        <v>593</v>
      </c>
      <c r="K15" s="21">
        <f>Financials!$BM$54</f>
        <v>0</v>
      </c>
      <c r="L15" s="21">
        <f>Financials!$BR$54</f>
        <v>0</v>
      </c>
      <c r="M15" s="21">
        <f>Financials!$BW$54</f>
        <v>0</v>
      </c>
      <c r="N15" s="21">
        <f>Financials!$CB$54</f>
        <v>0</v>
      </c>
      <c r="O15" s="21">
        <f>Financials!$CG$54</f>
        <v>0</v>
      </c>
      <c r="P15" s="21">
        <f>Financials!$CL$54</f>
        <v>0</v>
      </c>
    </row>
    <row r="16" spans="1:16">
      <c r="A16" s="1"/>
      <c r="B16" s="20" t="s">
        <v>585</v>
      </c>
      <c r="C16" s="21">
        <f>Operations!$BM$141</f>
        <v>4179</v>
      </c>
      <c r="D16" s="21">
        <f>Operations!$BR$141</f>
        <v>4466</v>
      </c>
      <c r="E16" s="21">
        <f>Operations!$BW$141</f>
        <v>4495</v>
      </c>
      <c r="F16" s="21">
        <f>Operations!$CB$141</f>
        <v>4585</v>
      </c>
      <c r="G16" s="21">
        <f>Operations!$CG$141</f>
        <v>4585</v>
      </c>
      <c r="H16" s="21">
        <f>Operations!$CL$141</f>
        <v>4585</v>
      </c>
      <c r="I16" s="22"/>
      <c r="J16" s="23" t="s">
        <v>594</v>
      </c>
      <c r="K16" s="21">
        <f>Financials!$BM$59</f>
        <v>663</v>
      </c>
      <c r="L16" s="21">
        <f>Financials!$BR$59</f>
        <v>-749</v>
      </c>
      <c r="M16" s="21">
        <f>Financials!$BW$59</f>
        <v>-248</v>
      </c>
      <c r="N16" s="21">
        <f>Financials!$CB$59</f>
        <v>341</v>
      </c>
      <c r="O16" s="21">
        <f>Financials!$CG$59</f>
        <v>894.39569799832464</v>
      </c>
      <c r="P16" s="21">
        <f>Financials!$CL$59</f>
        <v>1082.0765818191051</v>
      </c>
    </row>
    <row r="17" spans="1:16">
      <c r="A17" s="1"/>
      <c r="B17" s="20" t="s">
        <v>595</v>
      </c>
      <c r="C17" s="21">
        <f>Operations!$BM$195</f>
        <v>19831</v>
      </c>
      <c r="D17" s="21">
        <f>Operations!$BR$195</f>
        <v>15655</v>
      </c>
      <c r="E17" s="21">
        <f>Operations!$BW$195</f>
        <v>14989</v>
      </c>
      <c r="F17" s="21">
        <f>Operations!$CB$195</f>
        <v>15160</v>
      </c>
      <c r="G17" s="21">
        <f>Operations!$CG$195</f>
        <v>15845.6</v>
      </c>
      <c r="H17" s="21">
        <f>Operations!$CL$195</f>
        <v>16640.738389999999</v>
      </c>
      <c r="I17" s="22"/>
      <c r="J17" s="30" t="s">
        <v>596</v>
      </c>
      <c r="K17" s="31">
        <f>Financials!$BM$64</f>
        <v>4.4608261178918198</v>
      </c>
      <c r="L17" s="31">
        <f>Financials!$BR$64</f>
        <v>-5.1268361465905512</v>
      </c>
      <c r="M17" s="31">
        <f>Financials!$BW$64</f>
        <v>-1.5834706100192826</v>
      </c>
      <c r="N17" s="31">
        <f>Financials!$CB$64</f>
        <v>1.9292631789372743</v>
      </c>
      <c r="O17" s="31">
        <f>Financials!$CG$64</f>
        <v>5.1109942426425823</v>
      </c>
      <c r="P17" s="31">
        <f>Financials!$CL$64</f>
        <v>6.1834903635529015</v>
      </c>
    </row>
    <row r="18" spans="1:16">
      <c r="A18" s="1"/>
      <c r="B18" s="32" t="s">
        <v>597</v>
      </c>
      <c r="C18" s="33">
        <f>Operations!$BM$37</f>
        <v>0.79852905123244333</v>
      </c>
      <c r="D18" s="33">
        <f>Operations!$BR$37</f>
        <v>0.60374360527070481</v>
      </c>
      <c r="E18" s="33">
        <f>Operations!$BW$37</f>
        <v>0.62967380802145478</v>
      </c>
      <c r="F18" s="33">
        <f>Operations!$CB$37</f>
        <v>0.63738308493958062</v>
      </c>
      <c r="G18" s="33">
        <f>Operations!$CG$37</f>
        <v>0.67834088235294132</v>
      </c>
      <c r="H18" s="33">
        <f>Operations!$CL$37</f>
        <v>0.72828242817647071</v>
      </c>
      <c r="I18" s="22"/>
      <c r="J18" s="34" t="s">
        <v>598</v>
      </c>
      <c r="K18" s="35">
        <f>Financials!$BM$94</f>
        <v>0.68628094121412608</v>
      </c>
      <c r="L18" s="35">
        <f>Financials!$BR$94</f>
        <v>-11.239339055676483</v>
      </c>
      <c r="M18" s="35">
        <f>Financials!$BW$94</f>
        <v>-2.8093833403567916</v>
      </c>
      <c r="N18" s="35">
        <f>Financials!$CB$94</f>
        <v>2.1895156898789594</v>
      </c>
      <c r="O18" s="35">
        <f>Financials!$CG$94</f>
        <v>5.1109942426425823</v>
      </c>
      <c r="P18" s="35">
        <f>Financials!$CL$94</f>
        <v>6.1834903635529015</v>
      </c>
    </row>
    <row r="19" spans="1:16">
      <c r="A19" s="1"/>
      <c r="B19" s="20"/>
      <c r="C19" s="36"/>
      <c r="D19" s="36"/>
      <c r="E19" s="36"/>
      <c r="F19" s="36"/>
      <c r="G19" s="36"/>
      <c r="H19" s="36"/>
      <c r="I19" s="8"/>
      <c r="J19" s="19"/>
      <c r="K19" s="37"/>
      <c r="L19" s="37"/>
      <c r="M19" s="37"/>
      <c r="N19" s="37"/>
      <c r="O19" s="37"/>
      <c r="P19" s="37"/>
    </row>
    <row r="20" spans="1:16">
      <c r="A20" s="1"/>
      <c r="B20" s="792" t="s">
        <v>599</v>
      </c>
      <c r="C20" s="795"/>
      <c r="D20" s="795"/>
      <c r="E20" s="795"/>
      <c r="F20" s="796"/>
      <c r="G20" s="796"/>
      <c r="H20" s="796"/>
      <c r="I20" s="8"/>
      <c r="J20" s="792" t="s">
        <v>600</v>
      </c>
      <c r="K20" s="795"/>
      <c r="L20" s="795"/>
      <c r="M20" s="795"/>
      <c r="N20" s="796"/>
      <c r="O20" s="796"/>
      <c r="P20" s="796"/>
    </row>
    <row r="21" spans="1:16">
      <c r="A21" s="1"/>
      <c r="B21" s="15" t="str">
        <f>+J6</f>
        <v>Year End December (US$M)</v>
      </c>
      <c r="C21" s="16">
        <f t="shared" ref="C21:H21" si="1">+C6</f>
        <v>2014</v>
      </c>
      <c r="D21" s="16">
        <f t="shared" si="1"/>
        <v>2015</v>
      </c>
      <c r="E21" s="16">
        <f t="shared" si="1"/>
        <v>2016</v>
      </c>
      <c r="F21" s="16">
        <f t="shared" si="1"/>
        <v>2017</v>
      </c>
      <c r="G21" s="16" t="str">
        <f t="shared" si="1"/>
        <v>2018e</v>
      </c>
      <c r="H21" s="16" t="str">
        <f t="shared" si="1"/>
        <v>2019e</v>
      </c>
      <c r="I21" s="8"/>
      <c r="J21" s="15" t="str">
        <f>+$J$6</f>
        <v>Year End December (US$M)</v>
      </c>
      <c r="K21" s="16">
        <f t="shared" ref="K21:P21" si="2">+K6</f>
        <v>2014</v>
      </c>
      <c r="L21" s="16">
        <f t="shared" si="2"/>
        <v>2015</v>
      </c>
      <c r="M21" s="16">
        <f t="shared" si="2"/>
        <v>2016</v>
      </c>
      <c r="N21" s="16">
        <f t="shared" si="2"/>
        <v>2017</v>
      </c>
      <c r="O21" s="16" t="str">
        <f t="shared" si="2"/>
        <v>2018e</v>
      </c>
      <c r="P21" s="16" t="str">
        <f t="shared" si="2"/>
        <v>2019e</v>
      </c>
    </row>
    <row r="22" spans="1:16">
      <c r="A22" s="1"/>
      <c r="B22" s="20" t="s">
        <v>601</v>
      </c>
      <c r="C22" s="21">
        <f>Financials!$BM$32</f>
        <v>709</v>
      </c>
      <c r="D22" s="21">
        <f>Financials!$BR$32</f>
        <v>-237</v>
      </c>
      <c r="E22" s="21">
        <f>Financials!$BW$32</f>
        <v>-3</v>
      </c>
      <c r="F22" s="21">
        <f>Financials!$CB$32</f>
        <v>380</v>
      </c>
      <c r="G22" s="21">
        <f>Financials!$CG$32</f>
        <v>762.36969559771535</v>
      </c>
      <c r="H22" s="21">
        <f>Financials!$CL$32</f>
        <v>925.08480168749998</v>
      </c>
      <c r="I22" s="8"/>
      <c r="J22" s="38" t="s">
        <v>602</v>
      </c>
      <c r="K22" s="39">
        <f>Financials!$BM$121</f>
        <v>1354</v>
      </c>
      <c r="L22" s="39">
        <f>Financials!$BR$121</f>
        <v>755</v>
      </c>
      <c r="M22" s="39">
        <f>Financials!$BW$121</f>
        <v>1515</v>
      </c>
      <c r="N22" s="39">
        <f>Financials!$CB$121</f>
        <v>1553</v>
      </c>
      <c r="O22" s="39">
        <f>Financials!$CG$121</f>
        <v>1799.935359927933</v>
      </c>
      <c r="P22" s="39">
        <f>Financials!$CL$121</f>
        <v>2142.9895091421022</v>
      </c>
    </row>
    <row r="23" spans="1:16" ht="12.75" customHeight="1">
      <c r="A23" s="1"/>
      <c r="B23" s="20" t="s">
        <v>583</v>
      </c>
      <c r="C23" s="21">
        <f>Financials!$BM$34</f>
        <v>261</v>
      </c>
      <c r="D23" s="21">
        <f>Financials!$BR$34</f>
        <v>-179</v>
      </c>
      <c r="E23" s="21">
        <f>Financials!$BW$34</f>
        <v>-304</v>
      </c>
      <c r="F23" s="21">
        <f>Financials!$CB$34</f>
        <v>-99</v>
      </c>
      <c r="G23" s="21">
        <f>Financials!$CG$34</f>
        <v>64.310698454000061</v>
      </c>
      <c r="H23" s="21">
        <f>Financials!$CL$34</f>
        <v>59.332384407620061</v>
      </c>
      <c r="I23" s="8"/>
      <c r="J23" s="38" t="s">
        <v>603</v>
      </c>
      <c r="K23" s="39">
        <f>+Financials!BM122+Financials!BM123</f>
        <v>1927</v>
      </c>
      <c r="L23" s="39">
        <f>+Financials!BR122+Financials!BR123</f>
        <v>1063</v>
      </c>
      <c r="M23" s="39">
        <f>+Financials!BW122+Financials!BW123</f>
        <v>1248</v>
      </c>
      <c r="N23" s="39">
        <f>+Financials!CB122+Financials!CB123</f>
        <v>1379</v>
      </c>
      <c r="O23" s="39">
        <f>+Financials!CG122+Financials!CG123</f>
        <v>1697.664283688769</v>
      </c>
      <c r="P23" s="39">
        <f>+Financials!CL122+Financials!CL123</f>
        <v>1876.2989491286849</v>
      </c>
    </row>
    <row r="24" spans="1:16" ht="12.75" customHeight="1">
      <c r="A24" s="1"/>
      <c r="B24" s="20" t="s">
        <v>585</v>
      </c>
      <c r="C24" s="21">
        <f>Financials!$BM$33</f>
        <v>116</v>
      </c>
      <c r="D24" s="21">
        <f>Financials!$BR$33</f>
        <v>81</v>
      </c>
      <c r="E24" s="21">
        <f>Financials!$BW$33</f>
        <v>185</v>
      </c>
      <c r="F24" s="21">
        <f>Financials!$CB$33</f>
        <v>327</v>
      </c>
      <c r="G24" s="21">
        <f>Financials!$CG$33</f>
        <v>370.860895115814</v>
      </c>
      <c r="H24" s="21">
        <f>Financials!$CL$33</f>
        <v>404.95061448211607</v>
      </c>
      <c r="I24" s="8"/>
      <c r="J24" s="25" t="s">
        <v>604</v>
      </c>
      <c r="K24" s="39">
        <f>Financials!$BM$124</f>
        <v>2496</v>
      </c>
      <c r="L24" s="39">
        <f>Financials!$BR$124</f>
        <v>2074</v>
      </c>
      <c r="M24" s="39">
        <f>Financials!$BW$124</f>
        <v>1573</v>
      </c>
      <c r="N24" s="39">
        <f>Financials!$CB$124</f>
        <v>1738</v>
      </c>
      <c r="O24" s="39">
        <f>Financials!$CG$124</f>
        <v>2132.5493597966679</v>
      </c>
      <c r="P24" s="39">
        <f>Financials!$CL$124</f>
        <v>2118.0389908046704</v>
      </c>
    </row>
    <row r="25" spans="1:16" ht="12.75" customHeight="1">
      <c r="A25" s="1"/>
      <c r="B25" s="40" t="s">
        <v>605</v>
      </c>
      <c r="C25" s="41">
        <f>+Financials!BM35+Financials!BM36+Financials!BM37</f>
        <v>-35</v>
      </c>
      <c r="D25" s="41">
        <f>+Financials!BR35+Financials!BR36+Financials!BR37</f>
        <v>-10</v>
      </c>
      <c r="E25" s="41">
        <f>+Financials!BW35+Financials!BW36+Financials!BW37</f>
        <v>125</v>
      </c>
      <c r="F25" s="41">
        <f>+Financials!CB35+Financials!CB36+Financials!CB37</f>
        <v>-22</v>
      </c>
      <c r="G25" s="41">
        <f>+Financials!CG35+Financials!CG36+Financials!CG37</f>
        <v>46</v>
      </c>
      <c r="H25" s="41">
        <f>+Financials!CL35+Financials!CL36+Financials!CL37</f>
        <v>46</v>
      </c>
      <c r="I25" s="8"/>
      <c r="J25" s="38" t="s">
        <v>606</v>
      </c>
      <c r="K25" s="39">
        <f>Financials!BM134+Financials!BM135</f>
        <v>204</v>
      </c>
      <c r="L25" s="39">
        <f>Financials!BR134+Financials!BR135</f>
        <v>196</v>
      </c>
      <c r="M25" s="39">
        <f>Financials!BW134+Financials!BW135</f>
        <v>175</v>
      </c>
      <c r="N25" s="39">
        <f>Financials!CB134+Financials!CB135</f>
        <v>167</v>
      </c>
      <c r="O25" s="39">
        <f>Financials!CG134+Financials!CG135</f>
        <v>167</v>
      </c>
      <c r="P25" s="39">
        <f>Financials!CL134+Financials!CL135</f>
        <v>167</v>
      </c>
    </row>
    <row r="26" spans="1:16">
      <c r="A26" s="1"/>
      <c r="B26" s="8"/>
      <c r="C26" s="42"/>
      <c r="D26" s="42"/>
      <c r="E26" s="42"/>
      <c r="F26" s="42"/>
      <c r="G26" s="42"/>
      <c r="H26" s="42"/>
      <c r="I26" s="8"/>
      <c r="J26" s="38" t="s">
        <v>607</v>
      </c>
      <c r="K26" s="39">
        <f>Financials!$BM$132</f>
        <v>4574</v>
      </c>
      <c r="L26" s="39">
        <f>Financials!$BR$132</f>
        <v>4411</v>
      </c>
      <c r="M26" s="39">
        <f>Financials!$BW$132</f>
        <v>3979</v>
      </c>
      <c r="N26" s="39">
        <f>Financials!$CB$132</f>
        <v>4280</v>
      </c>
      <c r="O26" s="39">
        <f>Financials!$CG$132</f>
        <v>4635</v>
      </c>
      <c r="P26" s="39">
        <f>Financials!$CL$132</f>
        <v>5290</v>
      </c>
    </row>
    <row r="27" spans="1:16">
      <c r="A27" s="1"/>
      <c r="B27" s="792" t="s">
        <v>608</v>
      </c>
      <c r="C27" s="795"/>
      <c r="D27" s="795"/>
      <c r="E27" s="796"/>
      <c r="F27" s="796"/>
      <c r="G27" s="796"/>
      <c r="H27" s="796"/>
      <c r="I27" s="8"/>
      <c r="J27" s="38" t="s">
        <v>609</v>
      </c>
      <c r="K27" s="39">
        <f>Financials!BM125+Financials!BM136</f>
        <v>648</v>
      </c>
      <c r="L27" s="39">
        <f>Financials!BR125+Financials!BR136</f>
        <v>15</v>
      </c>
      <c r="M27" s="39">
        <f>Financials!BW125+Financials!BW136</f>
        <v>6</v>
      </c>
      <c r="N27" s="39">
        <f>Financials!CB125+Financials!CB136</f>
        <v>0</v>
      </c>
      <c r="O27" s="39">
        <f>Financials!CG125+Financials!CG136</f>
        <v>0</v>
      </c>
      <c r="P27" s="39">
        <f>Financials!CL125+Financials!CL136</f>
        <v>0</v>
      </c>
    </row>
    <row r="28" spans="1:16">
      <c r="A28" s="1"/>
      <c r="B28" s="15" t="str">
        <f>+B6</f>
        <v>Year End December</v>
      </c>
      <c r="C28" s="754" t="str">
        <f>ROUNDUP(MONTH(C60)/3,0)&amp;"Q"&amp;(YEAR(C60)-2000)</f>
        <v>3Q17</v>
      </c>
      <c r="D28" s="754" t="str">
        <f>ROUNDUP(MONTH(D60)/3,0)&amp;"Q"&amp;(YEAR(D60)-2000)</f>
        <v>4Q17</v>
      </c>
      <c r="E28" s="754" t="str">
        <f t="shared" ref="E28:H28" si="3">ROUNDUP(MONTH(E60)/3,0)&amp;"Q"&amp;(YEAR(E60)-2000)&amp;"e"</f>
        <v>1Q18e</v>
      </c>
      <c r="F28" s="754" t="str">
        <f t="shared" si="3"/>
        <v>2Q18e</v>
      </c>
      <c r="G28" s="754" t="str">
        <f t="shared" si="3"/>
        <v>3Q18e</v>
      </c>
      <c r="H28" s="754" t="str">
        <f t="shared" si="3"/>
        <v>4Q18e</v>
      </c>
      <c r="I28" s="8"/>
      <c r="J28" s="38" t="s">
        <v>613</v>
      </c>
      <c r="K28" s="39">
        <f>K29-SUM(K22:K27)</f>
        <v>1111</v>
      </c>
      <c r="L28" s="39">
        <f t="shared" ref="L28:P28" si="4">L29-SUM(L22:L27)</f>
        <v>676</v>
      </c>
      <c r="M28" s="39">
        <f t="shared" si="4"/>
        <v>664</v>
      </c>
      <c r="N28" s="39">
        <f t="shared" si="4"/>
        <v>745</v>
      </c>
      <c r="O28" s="39">
        <f t="shared" si="4"/>
        <v>745</v>
      </c>
      <c r="P28" s="39">
        <f t="shared" si="4"/>
        <v>745</v>
      </c>
    </row>
    <row r="29" spans="1:16">
      <c r="A29" s="1"/>
      <c r="B29" s="43" t="s">
        <v>614</v>
      </c>
      <c r="C29" s="44"/>
      <c r="D29" s="5"/>
      <c r="E29" s="5"/>
      <c r="F29" s="44"/>
      <c r="G29" s="44"/>
      <c r="H29" s="44"/>
      <c r="I29" s="8"/>
      <c r="J29" s="45" t="s">
        <v>615</v>
      </c>
      <c r="K29" s="46">
        <f>Financials!$BM$139</f>
        <v>12314</v>
      </c>
      <c r="L29" s="46">
        <f>Financials!$BR$139</f>
        <v>9190</v>
      </c>
      <c r="M29" s="46">
        <f>Financials!$BW$139</f>
        <v>9160</v>
      </c>
      <c r="N29" s="46">
        <f>Financials!$CB$139</f>
        <v>9862</v>
      </c>
      <c r="O29" s="46">
        <f>Financials!$CG$139</f>
        <v>11177.149003413369</v>
      </c>
      <c r="P29" s="46">
        <f>Financials!$CL$139</f>
        <v>12339.327449075457</v>
      </c>
    </row>
    <row r="30" spans="1:16">
      <c r="A30" s="1"/>
      <c r="B30" s="47" t="s">
        <v>616</v>
      </c>
      <c r="C30" s="48">
        <f>Operations!BZ196</f>
        <v>737.3419388830348</v>
      </c>
      <c r="D30" s="48">
        <f>Operations!CA196</f>
        <v>722.52130131680872</v>
      </c>
      <c r="E30" s="48">
        <f>Operations!CC196</f>
        <v>764.05568534074712</v>
      </c>
      <c r="F30" s="48">
        <f>Operations!CD196</f>
        <v>818.6593580965482</v>
      </c>
      <c r="G30" s="48">
        <f>Operations!CE196</f>
        <v>834.13263976836492</v>
      </c>
      <c r="H30" s="48">
        <f>Operations!CF196</f>
        <v>816.83855741727757</v>
      </c>
      <c r="I30" s="22"/>
      <c r="J30" s="27"/>
      <c r="K30" s="28"/>
      <c r="L30" s="28"/>
      <c r="M30" s="28"/>
      <c r="N30" s="28"/>
      <c r="O30" s="28"/>
      <c r="P30" s="28"/>
    </row>
    <row r="31" spans="1:16">
      <c r="A31" s="1"/>
      <c r="B31" s="47" t="s">
        <v>617</v>
      </c>
      <c r="C31" s="48">
        <f>Operations!BZ195</f>
        <v>3796</v>
      </c>
      <c r="D31" s="48">
        <f>Operations!CA195</f>
        <v>3873</v>
      </c>
      <c r="E31" s="48">
        <f>Operations!CC195</f>
        <v>3688.24</v>
      </c>
      <c r="F31" s="48">
        <f>Operations!CD195</f>
        <v>3894.97</v>
      </c>
      <c r="G31" s="48">
        <f>Operations!CE195</f>
        <v>4087.4</v>
      </c>
      <c r="H31" s="48">
        <f>Operations!CF195</f>
        <v>4174.99</v>
      </c>
      <c r="I31" s="22"/>
      <c r="J31" s="38" t="s">
        <v>618</v>
      </c>
      <c r="K31" s="21">
        <f>Financials!$BM$149</f>
        <v>378</v>
      </c>
      <c r="L31" s="21">
        <f>Financials!$BR$149</f>
        <v>45</v>
      </c>
      <c r="M31" s="21">
        <f>Financials!$BW$149</f>
        <v>50</v>
      </c>
      <c r="N31" s="21">
        <f>Financials!$CB$149</f>
        <v>3</v>
      </c>
      <c r="O31" s="21">
        <f>Financials!$CG$149</f>
        <v>0</v>
      </c>
      <c r="P31" s="21">
        <f>Financials!$CL$149</f>
        <v>0</v>
      </c>
    </row>
    <row r="32" spans="1:16">
      <c r="A32" s="1"/>
      <c r="B32" s="20" t="s">
        <v>597</v>
      </c>
      <c r="C32" s="49">
        <f>Operations!BZ37</f>
        <v>0.66</v>
      </c>
      <c r="D32" s="49">
        <f>Operations!CA37</f>
        <v>0.6</v>
      </c>
      <c r="E32" s="49">
        <f>Operations!CC37</f>
        <v>0.62843388235294118</v>
      </c>
      <c r="F32" s="49">
        <f>Operations!CD37</f>
        <v>0.65274517647058816</v>
      </c>
      <c r="G32" s="49">
        <f>Operations!CE37</f>
        <v>0.72429176470588241</v>
      </c>
      <c r="H32" s="49">
        <f>Operations!CF37</f>
        <v>0.70789270588235309</v>
      </c>
      <c r="I32" s="8"/>
      <c r="J32" s="38" t="s">
        <v>619</v>
      </c>
      <c r="K32" s="21">
        <f>Financials!$BM$154</f>
        <v>3120</v>
      </c>
      <c r="L32" s="21">
        <f>Financials!$BR$154</f>
        <v>3116</v>
      </c>
      <c r="M32" s="21">
        <f>Financials!$BW$154</f>
        <v>2981</v>
      </c>
      <c r="N32" s="21">
        <f>Financials!$CB$154</f>
        <v>2700</v>
      </c>
      <c r="O32" s="21">
        <f>Financials!$CG$154</f>
        <v>2703</v>
      </c>
      <c r="P32" s="21">
        <f>Financials!$CL$154</f>
        <v>2703</v>
      </c>
    </row>
    <row r="33" spans="1:16">
      <c r="A33" s="1"/>
      <c r="B33" s="43" t="s">
        <v>620</v>
      </c>
      <c r="C33" s="50"/>
      <c r="D33" s="50"/>
      <c r="E33" s="50"/>
      <c r="F33" s="50"/>
      <c r="G33" s="50"/>
      <c r="H33" s="50"/>
      <c r="I33" s="8"/>
      <c r="J33" s="38" t="s">
        <v>621</v>
      </c>
      <c r="K33" s="21">
        <f>Financials!BM142+Financials!BM143</f>
        <v>2002</v>
      </c>
      <c r="L33" s="21">
        <f>Financials!BR142+Financials!BR143</f>
        <v>1493</v>
      </c>
      <c r="M33" s="21">
        <f>Financials!BW142+Financials!BW143</f>
        <v>1668</v>
      </c>
      <c r="N33" s="21">
        <f>Financials!CB142+Financials!CB143</f>
        <v>2170</v>
      </c>
      <c r="O33" s="21">
        <f>Financials!CG142+Financials!CG143</f>
        <v>2492.5651232150453</v>
      </c>
      <c r="P33" s="21">
        <f>Financials!CL142+Financials!CL143</f>
        <v>2475.0855527205281</v>
      </c>
    </row>
    <row r="34" spans="1:16">
      <c r="A34" s="1"/>
      <c r="B34" s="51" t="s">
        <v>580</v>
      </c>
      <c r="C34" s="48">
        <f>Financials!BZ14</f>
        <v>3248</v>
      </c>
      <c r="D34" s="48">
        <f>Financials!CA14</f>
        <v>3133</v>
      </c>
      <c r="E34" s="48">
        <f>Financials!CC14</f>
        <v>3135.5207409011568</v>
      </c>
      <c r="F34" s="48">
        <f>Financials!CD14</f>
        <v>3506.1536400053119</v>
      </c>
      <c r="G34" s="48">
        <f>Financials!CE14</f>
        <v>3726.9337517892145</v>
      </c>
      <c r="H34" s="48">
        <f>Financials!CF14</f>
        <v>3727.7928088315593</v>
      </c>
      <c r="I34" s="8"/>
      <c r="J34" s="38" t="s">
        <v>622</v>
      </c>
      <c r="K34" s="21">
        <f>+Financials!BM147+Financials!BM155</f>
        <v>0</v>
      </c>
      <c r="L34" s="21">
        <f>+Financials!BR147+Financials!BR155</f>
        <v>29</v>
      </c>
      <c r="M34" s="21">
        <f>+Financials!BW147+Financials!BW155</f>
        <v>28</v>
      </c>
      <c r="N34" s="21">
        <f>+Financials!CB147+Financials!CB155</f>
        <v>6</v>
      </c>
      <c r="O34" s="21">
        <f>+Financials!CG147+Financials!CG155</f>
        <v>52.691575000000029</v>
      </c>
      <c r="P34" s="21">
        <f>+Financials!CL147+Financials!CL155</f>
        <v>99.709860387500072</v>
      </c>
    </row>
    <row r="35" spans="1:16">
      <c r="A35" s="1"/>
      <c r="B35" s="47" t="s">
        <v>588</v>
      </c>
      <c r="C35" s="48">
        <f>Financials!BZ101</f>
        <v>342</v>
      </c>
      <c r="D35" s="48">
        <f>Financials!CA101</f>
        <v>309</v>
      </c>
      <c r="E35" s="48">
        <f>Financials!CC101</f>
        <v>259.78647160509468</v>
      </c>
      <c r="F35" s="48">
        <f>Financials!CD101</f>
        <v>460.24419251949911</v>
      </c>
      <c r="G35" s="48">
        <f>Financials!CE101</f>
        <v>542.18315384058383</v>
      </c>
      <c r="H35" s="48">
        <f>Financials!CF101</f>
        <v>476.32747120235166</v>
      </c>
      <c r="I35" s="8"/>
      <c r="J35" s="38" t="s">
        <v>623</v>
      </c>
      <c r="K35" s="39">
        <f>K37-K36-SUM(K31:K34)</f>
        <v>3015</v>
      </c>
      <c r="L35" s="39">
        <f t="shared" ref="L35:P35" si="5">L37-L36-SUM(L31:L34)</f>
        <v>2071</v>
      </c>
      <c r="M35" s="39">
        <f t="shared" si="5"/>
        <v>2159</v>
      </c>
      <c r="N35" s="39">
        <f t="shared" si="5"/>
        <v>1663</v>
      </c>
      <c r="O35" s="39">
        <f t="shared" si="5"/>
        <v>1589.5955000000004</v>
      </c>
      <c r="P35" s="39">
        <f t="shared" si="5"/>
        <v>1515.2575417500002</v>
      </c>
    </row>
    <row r="36" spans="1:16">
      <c r="A36" s="1"/>
      <c r="B36" s="47" t="s">
        <v>589</v>
      </c>
      <c r="C36" s="48">
        <f>Financials!BZ98</f>
        <v>224</v>
      </c>
      <c r="D36" s="48">
        <f>Financials!CA98</f>
        <v>184</v>
      </c>
      <c r="E36" s="48">
        <f>Financials!CC98</f>
        <v>127.7864716050947</v>
      </c>
      <c r="F36" s="48">
        <f>Financials!CD98</f>
        <v>336.24419251949911</v>
      </c>
      <c r="G36" s="48">
        <f>Financials!CE98</f>
        <v>418.18315384058388</v>
      </c>
      <c r="H36" s="48">
        <f>Financials!CF98</f>
        <v>361.32747120235166</v>
      </c>
      <c r="I36" s="8"/>
      <c r="J36" s="52" t="s">
        <v>625</v>
      </c>
      <c r="K36" s="39">
        <f>Financials!$BM$172-Financials!$BM$170</f>
        <v>3799</v>
      </c>
      <c r="L36" s="39">
        <f>Financials!$BR$172-Financials!$BR$170</f>
        <v>2436</v>
      </c>
      <c r="M36" s="39">
        <f>Financials!$BW$172-Financials!$BW$170</f>
        <v>2274</v>
      </c>
      <c r="N36" s="39">
        <f>Financials!$CB$172-Financials!$CB$170</f>
        <v>3320</v>
      </c>
      <c r="O36" s="39">
        <f>Financials!$CG$172-Financials!$CG$170</f>
        <v>4339.2968051983244</v>
      </c>
      <c r="P36" s="39">
        <f>Financials!$CL$172-Financials!$CL$170</f>
        <v>5546.2744942174295</v>
      </c>
    </row>
    <row r="37" spans="1:16">
      <c r="A37" s="1"/>
      <c r="B37" s="47" t="s">
        <v>596</v>
      </c>
      <c r="C37" s="53">
        <f>Financials!BZ64</f>
        <v>0.91226400126923679</v>
      </c>
      <c r="D37" s="53">
        <f>Financials!CA64</f>
        <v>0.76745104678065568</v>
      </c>
      <c r="E37" s="53">
        <f>Financials!CC64</f>
        <v>0.22229558605702299</v>
      </c>
      <c r="F37" s="53">
        <f>Financials!CD64</f>
        <v>1.4474911380518656</v>
      </c>
      <c r="G37" s="53">
        <f>Financials!CE64</f>
        <v>1.9108476890797164</v>
      </c>
      <c r="H37" s="53">
        <f>Financials!CF64</f>
        <v>1.5303598294539769</v>
      </c>
      <c r="I37" s="8"/>
      <c r="J37" s="54" t="s">
        <v>626</v>
      </c>
      <c r="K37" s="55">
        <f>K29</f>
        <v>12314</v>
      </c>
      <c r="L37" s="55">
        <f t="shared" ref="L37:P37" si="6">L29</f>
        <v>9190</v>
      </c>
      <c r="M37" s="55">
        <f t="shared" si="6"/>
        <v>9160</v>
      </c>
      <c r="N37" s="55">
        <f t="shared" si="6"/>
        <v>9862</v>
      </c>
      <c r="O37" s="55">
        <f t="shared" si="6"/>
        <v>11177.149003413369</v>
      </c>
      <c r="P37" s="55">
        <f t="shared" si="6"/>
        <v>12339.327449075457</v>
      </c>
    </row>
    <row r="38" spans="1:16">
      <c r="A38" s="1"/>
      <c r="B38" s="56" t="s">
        <v>598</v>
      </c>
      <c r="C38" s="35">
        <f>Financials!BZ94</f>
        <v>0.83293669681104232</v>
      </c>
      <c r="D38" s="35">
        <f>Financials!CA94</f>
        <v>0.89724056204503133</v>
      </c>
      <c r="E38" s="35">
        <f>Financials!CC94</f>
        <v>0.22229558605702299</v>
      </c>
      <c r="F38" s="35">
        <f>Financials!CD94</f>
        <v>1.4474911380518656</v>
      </c>
      <c r="G38" s="35">
        <f>Financials!CE94</f>
        <v>1.9108476890797164</v>
      </c>
      <c r="H38" s="35">
        <f>Financials!CF94</f>
        <v>1.5303598294539769</v>
      </c>
      <c r="I38" s="8"/>
      <c r="J38" s="57"/>
      <c r="K38" s="58"/>
      <c r="L38" s="58"/>
      <c r="M38" s="58"/>
      <c r="N38" s="58"/>
      <c r="O38" s="58"/>
      <c r="P38" s="58"/>
    </row>
    <row r="39" spans="1:16">
      <c r="A39" s="1"/>
      <c r="B39" s="8"/>
      <c r="C39" s="59"/>
      <c r="D39" s="59"/>
      <c r="E39" s="59"/>
      <c r="F39" s="59"/>
      <c r="G39" s="59"/>
      <c r="H39" s="59"/>
      <c r="I39" s="8"/>
      <c r="J39" s="792" t="s">
        <v>627</v>
      </c>
      <c r="K39" s="795"/>
      <c r="L39" s="795"/>
      <c r="M39" s="796"/>
      <c r="N39" s="796"/>
      <c r="O39" s="796"/>
      <c r="P39" s="796"/>
    </row>
    <row r="40" spans="1:16">
      <c r="A40" s="1"/>
      <c r="B40" s="792" t="s">
        <v>628</v>
      </c>
      <c r="C40" s="795"/>
      <c r="D40" s="795"/>
      <c r="E40" s="795"/>
      <c r="F40" s="796"/>
      <c r="G40" s="796"/>
      <c r="H40" s="796"/>
      <c r="I40" s="8"/>
      <c r="J40" s="15" t="str">
        <f>+$J$6</f>
        <v>Year End December (US$M)</v>
      </c>
      <c r="K40" s="16">
        <f t="shared" ref="K40:P40" si="7">+K21</f>
        <v>2014</v>
      </c>
      <c r="L40" s="16">
        <f t="shared" si="7"/>
        <v>2015</v>
      </c>
      <c r="M40" s="16">
        <f t="shared" si="7"/>
        <v>2016</v>
      </c>
      <c r="N40" s="16">
        <f t="shared" si="7"/>
        <v>2017</v>
      </c>
      <c r="O40" s="16" t="str">
        <f t="shared" si="7"/>
        <v>2018e</v>
      </c>
      <c r="P40" s="16" t="str">
        <f t="shared" si="7"/>
        <v>2019e</v>
      </c>
    </row>
    <row r="41" spans="1:16">
      <c r="A41" s="1"/>
      <c r="B41" s="15" t="str">
        <f>+$B$28</f>
        <v>Year End December</v>
      </c>
      <c r="C41" s="16">
        <f t="shared" ref="C41:H41" si="8">+C21</f>
        <v>2014</v>
      </c>
      <c r="D41" s="16">
        <f t="shared" si="8"/>
        <v>2015</v>
      </c>
      <c r="E41" s="16">
        <f t="shared" si="8"/>
        <v>2016</v>
      </c>
      <c r="F41" s="16">
        <f t="shared" si="8"/>
        <v>2017</v>
      </c>
      <c r="G41" s="16" t="str">
        <f t="shared" si="8"/>
        <v>2018e</v>
      </c>
      <c r="H41" s="16" t="str">
        <f t="shared" si="8"/>
        <v>2019e</v>
      </c>
      <c r="I41" s="8"/>
      <c r="J41" s="23" t="s">
        <v>629</v>
      </c>
      <c r="K41" s="21">
        <f>Financials!$BM$217</f>
        <v>102</v>
      </c>
      <c r="L41" s="21">
        <f>Financials!$BR$217</f>
        <v>-1642</v>
      </c>
      <c r="M41" s="21">
        <f>Financials!$BW$217</f>
        <v>-440</v>
      </c>
      <c r="N41" s="21">
        <f>Financials!$CB$217</f>
        <v>387</v>
      </c>
      <c r="O41" s="21">
        <f>Financials!$CG$217</f>
        <v>894.39569799832464</v>
      </c>
      <c r="P41" s="21">
        <f>Financials!$CL$217</f>
        <v>1082.0765818191051</v>
      </c>
    </row>
    <row r="42" spans="1:16">
      <c r="A42" s="1"/>
      <c r="B42" s="23" t="s">
        <v>630</v>
      </c>
      <c r="C42" s="39">
        <f>Financials!$BM$67</f>
        <v>148.62717857142857</v>
      </c>
      <c r="D42" s="39">
        <f>Financials!$BR$67</f>
        <v>146.09399999999999</v>
      </c>
      <c r="E42" s="39">
        <f>Financials!$BW$67</f>
        <v>156.61799999999999</v>
      </c>
      <c r="F42" s="39">
        <f>Financials!$CB$67</f>
        <v>176.75141666666664</v>
      </c>
      <c r="G42" s="39">
        <f>Financials!$CG$67</f>
        <v>174.99446399999999</v>
      </c>
      <c r="H42" s="39">
        <f>Financials!$CL$67</f>
        <v>174.99446399999999</v>
      </c>
      <c r="I42" s="8"/>
      <c r="J42" s="23" t="s">
        <v>584</v>
      </c>
      <c r="K42" s="21">
        <f>K9</f>
        <v>627</v>
      </c>
      <c r="L42" s="21">
        <f t="shared" ref="L42:P42" si="9">L9</f>
        <v>547</v>
      </c>
      <c r="M42" s="21">
        <f t="shared" si="9"/>
        <v>507</v>
      </c>
      <c r="N42" s="21">
        <f t="shared" si="9"/>
        <v>501</v>
      </c>
      <c r="O42" s="21">
        <f t="shared" si="9"/>
        <v>495</v>
      </c>
      <c r="P42" s="21">
        <f t="shared" si="9"/>
        <v>495</v>
      </c>
    </row>
    <row r="43" spans="1:16">
      <c r="A43" s="1"/>
      <c r="B43" s="23" t="s">
        <v>596</v>
      </c>
      <c r="C43" s="60">
        <f>K17</f>
        <v>4.4608261178918198</v>
      </c>
      <c r="D43" s="60">
        <f t="shared" ref="D43:H43" si="10">L17</f>
        <v>-5.1268361465905512</v>
      </c>
      <c r="E43" s="60">
        <f t="shared" si="10"/>
        <v>-1.5834706100192826</v>
      </c>
      <c r="F43" s="60">
        <f t="shared" si="10"/>
        <v>1.9292631789372743</v>
      </c>
      <c r="G43" s="60">
        <f t="shared" si="10"/>
        <v>5.1109942426425823</v>
      </c>
      <c r="H43" s="60">
        <f t="shared" si="10"/>
        <v>6.1834903635529015</v>
      </c>
      <c r="I43" s="8"/>
      <c r="J43" s="23" t="s">
        <v>605</v>
      </c>
      <c r="K43" s="21">
        <f>K45-K44-K42-K41</f>
        <v>397</v>
      </c>
      <c r="L43" s="21">
        <f t="shared" ref="L43:P43" si="11">L45-L44-L42-L41</f>
        <v>897</v>
      </c>
      <c r="M43" s="21">
        <f t="shared" si="11"/>
        <v>54</v>
      </c>
      <c r="N43" s="21">
        <f t="shared" si="11"/>
        <v>-106</v>
      </c>
      <c r="O43" s="21">
        <f t="shared" si="11"/>
        <v>133.18707499999994</v>
      </c>
      <c r="P43" s="21">
        <f t="shared" si="11"/>
        <v>132.58032713750003</v>
      </c>
    </row>
    <row r="44" spans="1:16">
      <c r="A44" s="1"/>
      <c r="B44" s="23" t="s">
        <v>631</v>
      </c>
      <c r="C44" s="61">
        <f>Financials!$BM$65</f>
        <v>-6.9121991686131805</v>
      </c>
      <c r="D44" s="61">
        <f>Financials!$BR$65</f>
        <v>-2.1493019479121696</v>
      </c>
      <c r="E44" s="61">
        <f>Financials!$BW$65</f>
        <v>-0.69114078064064477</v>
      </c>
      <c r="F44" s="61">
        <f>Financials!$CB$65</f>
        <v>-2.21837637322096</v>
      </c>
      <c r="G44" s="61">
        <f>Financials!$CG$65</f>
        <v>1.6491949353731772</v>
      </c>
      <c r="H44" s="61">
        <f>Financials!$CL$65</f>
        <v>0.20984099570337156</v>
      </c>
      <c r="I44" s="8"/>
      <c r="J44" s="38" t="s">
        <v>633</v>
      </c>
      <c r="K44" s="21">
        <f>Financials!$BM$228</f>
        <v>366</v>
      </c>
      <c r="L44" s="21">
        <f>Financials!$BR$228</f>
        <v>557</v>
      </c>
      <c r="M44" s="21">
        <f>Financials!$BW$228</f>
        <v>606</v>
      </c>
      <c r="N44" s="21">
        <f>Financials!$CB$228</f>
        <v>20</v>
      </c>
      <c r="O44" s="21">
        <f>Financials!$CG$228</f>
        <v>-390.6485202703916</v>
      </c>
      <c r="P44" s="21">
        <f>Financials!$CL$228</f>
        <v>-181.60386694243562</v>
      </c>
    </row>
    <row r="45" spans="1:16">
      <c r="A45" s="1"/>
      <c r="B45" s="23" t="s">
        <v>634</v>
      </c>
      <c r="C45" s="62">
        <f t="shared" ref="C45:G45" si="12">C61/C43</f>
        <v>7.9604089156431801</v>
      </c>
      <c r="D45" s="62">
        <f t="shared" si="12"/>
        <v>-6.9262989853137515</v>
      </c>
      <c r="E45" s="62">
        <f t="shared" si="12"/>
        <v>-22.425424112903226</v>
      </c>
      <c r="F45" s="62">
        <f t="shared" si="12"/>
        <v>18.405990632942324</v>
      </c>
      <c r="G45" s="62">
        <f t="shared" si="12"/>
        <v>6.9477675603171782</v>
      </c>
      <c r="H45" s="62">
        <f t="shared" ref="H45" si="13">H61/H43</f>
        <v>5.7427113025525456</v>
      </c>
      <c r="I45" s="8"/>
      <c r="J45" s="63" t="s">
        <v>635</v>
      </c>
      <c r="K45" s="18">
        <f>Financials!$BM$233</f>
        <v>1492</v>
      </c>
      <c r="L45" s="18">
        <f>Financials!$BR$233</f>
        <v>359</v>
      </c>
      <c r="M45" s="18">
        <f>Financials!$BW$233</f>
        <v>727</v>
      </c>
      <c r="N45" s="18">
        <f>Financials!$CB$233</f>
        <v>802</v>
      </c>
      <c r="O45" s="18">
        <f>Financials!$CG$233</f>
        <v>1131.934252727933</v>
      </c>
      <c r="P45" s="18">
        <f>Financials!$CL$233</f>
        <v>1528.0530420141695</v>
      </c>
    </row>
    <row r="46" spans="1:16">
      <c r="A46" s="1"/>
      <c r="B46" s="23" t="s">
        <v>636</v>
      </c>
      <c r="C46" s="62">
        <f t="shared" ref="C46:H46" si="14">C61/(K36/C42)</f>
        <v>1.389247462772158</v>
      </c>
      <c r="D46" s="62">
        <f t="shared" si="14"/>
        <v>2.1296379064039406</v>
      </c>
      <c r="E46" s="62">
        <f t="shared" si="14"/>
        <v>2.4456926912928756</v>
      </c>
      <c r="F46" s="62">
        <f t="shared" si="14"/>
        <v>1.8904948210341364</v>
      </c>
      <c r="G46" s="62">
        <f t="shared" si="14"/>
        <v>1.4320415716195727</v>
      </c>
      <c r="H46" s="62">
        <f t="shared" si="14"/>
        <v>1.1204013474484178</v>
      </c>
      <c r="I46" s="64"/>
      <c r="J46" s="27"/>
      <c r="K46" s="5"/>
      <c r="L46" s="5"/>
      <c r="M46" s="5"/>
      <c r="N46" s="5"/>
      <c r="O46" s="5"/>
      <c r="P46" s="5"/>
    </row>
    <row r="47" spans="1:16">
      <c r="A47" s="1"/>
      <c r="B47" s="23" t="s">
        <v>637</v>
      </c>
      <c r="C47" s="39">
        <f>(C42*C61)+C54+Financials!BM170</f>
        <v>7422.7511110714286</v>
      </c>
      <c r="D47" s="39">
        <f>(D42*D61)+D54+Financials!BR170</f>
        <v>7594.7979399999995</v>
      </c>
      <c r="E47" s="39">
        <f>(E42*E61)+E54+Financials!BW170</f>
        <v>7078.5051799999992</v>
      </c>
      <c r="F47" s="39">
        <f>(F42*F61)+F54+Financials!CB170</f>
        <v>7427.4428058333324</v>
      </c>
      <c r="G47" s="39">
        <f>(G42*G61)+G54+Financials!CG170</f>
        <v>7118.1180567120664</v>
      </c>
      <c r="H47" s="39">
        <f>(H42*H61)+H54+Financials!CL170</f>
        <v>6775.0639074978972</v>
      </c>
      <c r="I47" s="8"/>
      <c r="J47" s="65" t="s">
        <v>638</v>
      </c>
      <c r="K47" s="21">
        <f>Financials!$BM$238</f>
        <v>0</v>
      </c>
      <c r="L47" s="21">
        <f>Financials!$BR$238</f>
        <v>-25</v>
      </c>
      <c r="M47" s="21">
        <f>Financials!$BW$238</f>
        <v>0</v>
      </c>
      <c r="N47" s="21">
        <f>Financials!$CB$238</f>
        <v>0</v>
      </c>
      <c r="O47" s="21">
        <f>Financials!$CG$238</f>
        <v>0</v>
      </c>
      <c r="P47" s="21">
        <f>Financials!$CL$238</f>
        <v>0</v>
      </c>
    </row>
    <row r="48" spans="1:16">
      <c r="A48" s="1"/>
      <c r="B48" s="23" t="s">
        <v>639</v>
      </c>
      <c r="C48" s="66">
        <f t="shared" ref="C48:H48" si="15">C47/K11</f>
        <v>4.4235703880044275</v>
      </c>
      <c r="D48" s="66">
        <f t="shared" si="15"/>
        <v>37.598009603960392</v>
      </c>
      <c r="E48" s="66">
        <f t="shared" si="15"/>
        <v>13.879421921568627</v>
      </c>
      <c r="F48" s="66">
        <f t="shared" si="15"/>
        <v>6.8329740624041699</v>
      </c>
      <c r="G48" s="66">
        <f t="shared" si="15"/>
        <v>4.0943048641199971</v>
      </c>
      <c r="H48" s="66">
        <f t="shared" si="15"/>
        <v>3.5097269574595868</v>
      </c>
      <c r="I48" s="8"/>
      <c r="J48" s="38" t="s">
        <v>640</v>
      </c>
      <c r="K48" s="21">
        <f>Financials!$BM$236</f>
        <v>-419</v>
      </c>
      <c r="L48" s="21">
        <f>Financials!$BR$236</f>
        <v>-500</v>
      </c>
      <c r="M48" s="21">
        <f>Financials!$BW$236</f>
        <v>-306</v>
      </c>
      <c r="N48" s="21">
        <f>Financials!$CB$236</f>
        <v>-505</v>
      </c>
      <c r="O48" s="21">
        <f>Financials!$CG$236</f>
        <v>-850</v>
      </c>
      <c r="P48" s="21">
        <f>Financials!$CL$236</f>
        <v>-1150</v>
      </c>
    </row>
    <row r="49" spans="1:16">
      <c r="A49" s="1"/>
      <c r="B49" s="23" t="s">
        <v>641</v>
      </c>
      <c r="C49" s="60">
        <f>Financials!$BM$69</f>
        <v>0.2</v>
      </c>
      <c r="D49" s="60">
        <f>Financials!$BR$69</f>
        <v>0.2</v>
      </c>
      <c r="E49" s="60">
        <f>Financials!$BW$69</f>
        <v>0.2</v>
      </c>
      <c r="F49" s="60">
        <f>Financials!$CB$69</f>
        <v>0.2</v>
      </c>
      <c r="G49" s="60">
        <f>Financials!$CG$69</f>
        <v>0.2</v>
      </c>
      <c r="H49" s="60">
        <f>Financials!$CL$69</f>
        <v>0.2</v>
      </c>
      <c r="I49" s="8"/>
      <c r="J49" s="38" t="s">
        <v>605</v>
      </c>
      <c r="K49" s="21">
        <f>K50-K48-K47</f>
        <v>53</v>
      </c>
      <c r="L49" s="21">
        <f t="shared" ref="L49:P49" si="16">L50-L48-L47</f>
        <v>15</v>
      </c>
      <c r="M49" s="21">
        <f t="shared" si="16"/>
        <v>-12</v>
      </c>
      <c r="N49" s="21">
        <f t="shared" si="16"/>
        <v>116</v>
      </c>
      <c r="O49" s="21">
        <f t="shared" si="16"/>
        <v>0</v>
      </c>
      <c r="P49" s="21">
        <f t="shared" si="16"/>
        <v>0</v>
      </c>
    </row>
    <row r="50" spans="1:16">
      <c r="A50" s="1"/>
      <c r="B50" s="23" t="s">
        <v>642</v>
      </c>
      <c r="C50" s="61">
        <f t="shared" ref="C50:G50" si="17">C49/C43</f>
        <v>4.4834744667097609E-2</v>
      </c>
      <c r="D50" s="61">
        <f t="shared" si="17"/>
        <v>-3.9010413885180242E-2</v>
      </c>
      <c r="E50" s="61">
        <f t="shared" si="17"/>
        <v>-0.12630483870967743</v>
      </c>
      <c r="F50" s="61">
        <f t="shared" si="17"/>
        <v>0.10366652003910068</v>
      </c>
      <c r="G50" s="61">
        <f t="shared" si="17"/>
        <v>3.9131329542760794E-2</v>
      </c>
      <c r="H50" s="61">
        <f t="shared" ref="H50" si="18">H49/H43</f>
        <v>3.2344192072951541E-2</v>
      </c>
      <c r="I50" s="8"/>
      <c r="J50" s="63" t="s">
        <v>643</v>
      </c>
      <c r="K50" s="18">
        <f>Financials!$BM$243</f>
        <v>-366</v>
      </c>
      <c r="L50" s="18">
        <f>Financials!$BR$243</f>
        <v>-510</v>
      </c>
      <c r="M50" s="18">
        <f>Financials!$BW$243</f>
        <v>-318</v>
      </c>
      <c r="N50" s="18">
        <f>Financials!$CB$243</f>
        <v>-389</v>
      </c>
      <c r="O50" s="18">
        <f>Financials!$CG$243</f>
        <v>-850</v>
      </c>
      <c r="P50" s="18">
        <f>Financials!$CL$243</f>
        <v>-1150</v>
      </c>
    </row>
    <row r="51" spans="1:16">
      <c r="A51" s="1"/>
      <c r="B51" s="23" t="s">
        <v>644</v>
      </c>
      <c r="C51" s="61">
        <f t="shared" ref="C51:G51" si="19">+C49/C61</f>
        <v>5.6322162771050418E-3</v>
      </c>
      <c r="D51" s="61">
        <f t="shared" si="19"/>
        <v>5.6322162771050418E-3</v>
      </c>
      <c r="E51" s="61">
        <f t="shared" si="19"/>
        <v>5.6322162771050418E-3</v>
      </c>
      <c r="F51" s="61">
        <f t="shared" si="19"/>
        <v>5.6322162771050418E-3</v>
      </c>
      <c r="G51" s="61">
        <f t="shared" si="19"/>
        <v>5.6322162771050418E-3</v>
      </c>
      <c r="H51" s="61">
        <f t="shared" ref="H51" si="20">+H49/H61</f>
        <v>5.6322162771050418E-3</v>
      </c>
      <c r="I51" s="8"/>
      <c r="J51" s="27"/>
      <c r="K51" s="5"/>
      <c r="L51" s="5"/>
      <c r="M51" s="5"/>
      <c r="N51" s="5"/>
      <c r="O51" s="5"/>
      <c r="P51" s="5"/>
    </row>
    <row r="52" spans="1:16">
      <c r="A52" s="1"/>
      <c r="B52" s="23" t="s">
        <v>645</v>
      </c>
      <c r="C52" s="61">
        <f>K16/Financials!BH172</f>
        <v>0.19796954314720813</v>
      </c>
      <c r="D52" s="61">
        <f>L16/K36</f>
        <v>-0.19715714661753092</v>
      </c>
      <c r="E52" s="61">
        <f t="shared" ref="E52:H52" si="21">M16/L36</f>
        <v>-0.10180623973727422</v>
      </c>
      <c r="F52" s="61">
        <f t="shared" si="21"/>
        <v>0.14995602462620933</v>
      </c>
      <c r="G52" s="61">
        <f t="shared" si="21"/>
        <v>0.26939629457780861</v>
      </c>
      <c r="H52" s="61">
        <f t="shared" si="21"/>
        <v>0.24936680535952635</v>
      </c>
      <c r="I52" s="8"/>
      <c r="J52" s="38" t="s">
        <v>646</v>
      </c>
      <c r="K52" s="21">
        <f>Financials!BM246+Financials!BM247+Financials!BM248</f>
        <v>0</v>
      </c>
      <c r="L52" s="21">
        <f>Financials!BR246+Financials!BR247+Financials!BR248</f>
        <v>0</v>
      </c>
      <c r="M52" s="21">
        <f>Financials!BW246+Financials!BW247+Financials!BW248</f>
        <v>517</v>
      </c>
      <c r="N52" s="21">
        <f>Financials!CB246+Financials!CB247+Financials!CB248</f>
        <v>20</v>
      </c>
      <c r="O52" s="21">
        <f>Financials!CG246+Financials!CG247+Financials!CG248</f>
        <v>0</v>
      </c>
      <c r="P52" s="21">
        <f>Financials!CL246+Financials!CL247+Financials!CL248</f>
        <v>0</v>
      </c>
    </row>
    <row r="53" spans="1:16">
      <c r="A53" s="1"/>
      <c r="B53" s="23" t="s">
        <v>647</v>
      </c>
      <c r="C53" s="61">
        <f>(Financials!BM39*(1-Financials!BM52)/(Financials!BH149+Financials!BH154+Financials!BH172-Financials!BH170-Financials!BH121))</f>
        <v>0.12904269440859992</v>
      </c>
      <c r="D53" s="61">
        <f>(Financials!BR39*(1-Financials!BR52)/(Financials!BM149+Financials!BM154+Financials!BM172-Financials!BM170-Financials!BM121))</f>
        <v>-7.6820786874602004E-2</v>
      </c>
      <c r="E53" s="61">
        <f>(Financials!BW39*(1-Financials!BW52)/(Financials!BR149+Financials!BR154+Financials!BR172-Financials!BR170-Financials!BR121))</f>
        <v>6.8596211718888298E-4</v>
      </c>
      <c r="F53" s="61">
        <f>(Financials!CB39*(1-Financials!CB52)/(Financials!BW149+Financials!BW154+Financials!BW172-Financials!BW170-Financials!BW121))</f>
        <v>0.1569182686267119</v>
      </c>
      <c r="G53" s="61">
        <f>(Financials!CG39*(1-Financials!CG52)/(Financials!CB149+Financials!CB154+Financials!CB172-Financials!CB170-Financials!CB121))</f>
        <v>0.25591315174358598</v>
      </c>
      <c r="H53" s="61">
        <f>(Financials!CL39*(1-Financials!CL52)/(Financials!CG149+Financials!CG154+Financials!CG172-Financials!CG170-Financials!CG121))</f>
        <v>0.25385173466636107</v>
      </c>
      <c r="I53" s="8"/>
      <c r="J53" s="38" t="s">
        <v>648</v>
      </c>
      <c r="K53" s="21">
        <f>Financials!BM249+Financials!BM250+Financials!BM251+Financials!BM252</f>
        <v>-325</v>
      </c>
      <c r="L53" s="21">
        <f>Financials!BR249+Financials!BR250+Financials!BR251+Financials!BR252</f>
        <v>-379</v>
      </c>
      <c r="M53" s="21">
        <f>Financials!BW249+Financials!BW250+Financials!BW251+Financials!BW252</f>
        <v>-112</v>
      </c>
      <c r="N53" s="21">
        <f>Financials!CB249+Financials!CB250+Financials!CB251+Financials!CB252</f>
        <v>-367</v>
      </c>
      <c r="O53" s="21">
        <f>Financials!CG249+Financials!CG250+Financials!CG251+Financials!CG252</f>
        <v>0</v>
      </c>
      <c r="P53" s="21">
        <f>Financials!CL249+Financials!CL250+Financials!CL251+Financials!CL252</f>
        <v>0</v>
      </c>
    </row>
    <row r="54" spans="1:16">
      <c r="A54" s="1"/>
      <c r="B54" s="23" t="s">
        <v>649</v>
      </c>
      <c r="C54" s="67">
        <f t="shared" ref="C54:H54" si="22">K32+K31-K22</f>
        <v>2144</v>
      </c>
      <c r="D54" s="67">
        <f t="shared" si="22"/>
        <v>2406</v>
      </c>
      <c r="E54" s="67">
        <f t="shared" si="22"/>
        <v>1516</v>
      </c>
      <c r="F54" s="67">
        <f t="shared" si="22"/>
        <v>1150</v>
      </c>
      <c r="G54" s="67">
        <f t="shared" si="22"/>
        <v>903.06464007206705</v>
      </c>
      <c r="H54" s="67">
        <f t="shared" si="22"/>
        <v>560.01049085789782</v>
      </c>
      <c r="I54" s="68"/>
      <c r="J54" s="38" t="s">
        <v>605</v>
      </c>
      <c r="K54" s="21"/>
      <c r="L54" s="21"/>
      <c r="M54" s="21"/>
      <c r="N54" s="21"/>
      <c r="O54" s="21"/>
      <c r="P54" s="21"/>
    </row>
    <row r="55" spans="1:16">
      <c r="A55" s="1"/>
      <c r="B55" s="23" t="s">
        <v>650</v>
      </c>
      <c r="C55" s="62">
        <f t="shared" ref="C55:H55" si="23">C54/(C54+K36)</f>
        <v>0.36076055864041728</v>
      </c>
      <c r="D55" s="62">
        <f t="shared" si="23"/>
        <v>0.49690210656753409</v>
      </c>
      <c r="E55" s="62">
        <f t="shared" si="23"/>
        <v>0.4</v>
      </c>
      <c r="F55" s="62">
        <f t="shared" si="23"/>
        <v>0.25727069351230425</v>
      </c>
      <c r="G55" s="62">
        <f t="shared" si="23"/>
        <v>0.17226294857764976</v>
      </c>
      <c r="H55" s="62">
        <f t="shared" si="23"/>
        <v>9.1710506834621563E-2</v>
      </c>
      <c r="I55" s="68"/>
      <c r="J55" s="63" t="s">
        <v>651</v>
      </c>
      <c r="K55" s="18">
        <f>Financials!$BM$257</f>
        <v>-341</v>
      </c>
      <c r="L55" s="18">
        <f>Financials!$BR$257</f>
        <v>-407</v>
      </c>
      <c r="M55" s="18">
        <f>Financials!$BW$257</f>
        <v>359</v>
      </c>
      <c r="N55" s="18">
        <f>Financials!$CB$257</f>
        <v>-392</v>
      </c>
      <c r="O55" s="18">
        <f>Financials!$CG$257</f>
        <v>-34.998892800000171</v>
      </c>
      <c r="P55" s="18">
        <f>Financials!$CL$257</f>
        <v>-34.9988928</v>
      </c>
    </row>
    <row r="56" spans="1:16">
      <c r="A56" s="1"/>
      <c r="B56" s="23" t="s">
        <v>652</v>
      </c>
      <c r="C56" s="62">
        <f t="shared" ref="C56:H56" si="24">C54/K11</f>
        <v>1.2777115613825982</v>
      </c>
      <c r="D56" s="62">
        <f t="shared" si="24"/>
        <v>11.910891089108912</v>
      </c>
      <c r="E56" s="62">
        <f t="shared" si="24"/>
        <v>2.9725490196078432</v>
      </c>
      <c r="F56" s="62">
        <f t="shared" si="24"/>
        <v>1.0579576816927323</v>
      </c>
      <c r="G56" s="62">
        <f t="shared" si="24"/>
        <v>0.51943813224274016</v>
      </c>
      <c r="H56" s="62">
        <f t="shared" si="24"/>
        <v>0.29010559059803964</v>
      </c>
      <c r="I56" s="1"/>
      <c r="J56" s="27"/>
      <c r="K56" s="5"/>
      <c r="L56" s="5"/>
      <c r="M56" s="5"/>
      <c r="N56" s="5"/>
      <c r="O56" s="5"/>
      <c r="P56" s="5"/>
    </row>
    <row r="57" spans="1:16">
      <c r="A57" s="1"/>
      <c r="B57" s="23" t="s">
        <v>653</v>
      </c>
      <c r="C57" s="69">
        <f>Financials!$BM$268</f>
        <v>7.391805291719697</v>
      </c>
      <c r="D57" s="69">
        <f>Financials!$BR$268</f>
        <v>-0.965132038276726</v>
      </c>
      <c r="E57" s="69">
        <f>Financials!$BW$268</f>
        <v>2.6880690597504757</v>
      </c>
      <c r="F57" s="69">
        <f>Financials!$CB$268</f>
        <v>1.6991843057158675</v>
      </c>
      <c r="G57" s="69">
        <f>Financials!$CG$268</f>
        <v>1.6111038388501993</v>
      </c>
      <c r="H57" s="69">
        <f>Financials!$CL$268</f>
        <v>2.1603714390311768</v>
      </c>
      <c r="I57" s="1"/>
      <c r="J57" s="45" t="s">
        <v>654</v>
      </c>
      <c r="K57" s="18">
        <f>Financials!$BM$261</f>
        <v>750</v>
      </c>
      <c r="L57" s="18">
        <f>Financials!$BR$261</f>
        <v>-599</v>
      </c>
      <c r="M57" s="18">
        <f>Financials!$BW$261</f>
        <v>760</v>
      </c>
      <c r="N57" s="18">
        <f>Financials!$CB$261</f>
        <v>38</v>
      </c>
      <c r="O57" s="18">
        <f>Financials!$CG$261</f>
        <v>246.93535992793281</v>
      </c>
      <c r="P57" s="18">
        <f>Financials!$CL$261</f>
        <v>343.05414921416946</v>
      </c>
    </row>
    <row r="58" spans="1:16">
      <c r="A58" s="1"/>
      <c r="B58" s="34" t="s">
        <v>655</v>
      </c>
      <c r="C58" s="70">
        <f t="shared" ref="C58:G58" si="25">(C57)/C61</f>
        <v>0.20816123040607426</v>
      </c>
      <c r="D58" s="70">
        <f t="shared" si="25"/>
        <v>-2.717916187768871E-2</v>
      </c>
      <c r="E58" s="70">
        <f t="shared" si="25"/>
        <v>7.5698931561545363E-2</v>
      </c>
      <c r="F58" s="70">
        <f t="shared" si="25"/>
        <v>4.7850867522271689E-2</v>
      </c>
      <c r="G58" s="70">
        <f t="shared" si="25"/>
        <v>4.537042632639255E-2</v>
      </c>
      <c r="H58" s="70">
        <f t="shared" ref="H58" si="26">(H57)/H61</f>
        <v>6.0838395917521174E-2</v>
      </c>
      <c r="I58" s="27"/>
      <c r="J58" s="71" t="s">
        <v>656</v>
      </c>
      <c r="K58" s="72">
        <f>Financials!$BM$263</f>
        <v>1354</v>
      </c>
      <c r="L58" s="72">
        <f>Financials!$BR$263</f>
        <v>755</v>
      </c>
      <c r="M58" s="72">
        <f>Financials!$BW$263</f>
        <v>1515</v>
      </c>
      <c r="N58" s="72">
        <f>Financials!$CB$263</f>
        <v>1553</v>
      </c>
      <c r="O58" s="72">
        <f>Financials!$CG$263</f>
        <v>1799.9353599279327</v>
      </c>
      <c r="P58" s="72">
        <f>Financials!$CL$263</f>
        <v>2142.9895091421022</v>
      </c>
    </row>
    <row r="59" spans="1:16">
      <c r="A59" s="1"/>
      <c r="B59" s="5"/>
      <c r="C59" s="73"/>
      <c r="D59" s="73"/>
      <c r="E59" s="73"/>
      <c r="F59" s="73"/>
      <c r="G59" s="73"/>
      <c r="H59" s="73"/>
      <c r="I59" s="5"/>
      <c r="J59" s="5"/>
      <c r="K59" s="5"/>
      <c r="L59" s="5"/>
      <c r="M59" s="5"/>
      <c r="N59" s="5"/>
      <c r="O59" s="5"/>
      <c r="P59" s="5"/>
    </row>
    <row r="60" spans="1:16" ht="13.5" thickBot="1">
      <c r="A60" s="1"/>
      <c r="B60" s="609" t="s">
        <v>951</v>
      </c>
      <c r="C60" s="756">
        <v>43008</v>
      </c>
      <c r="D60" s="755">
        <f>DATE(YEAR(C60),MONTH(C60)+4,DAY(C69))</f>
        <v>43100</v>
      </c>
      <c r="E60" s="755">
        <f>DATE(YEAR(D60),MONTH(D60)+4,DAY(D69))</f>
        <v>43190</v>
      </c>
      <c r="F60" s="755">
        <f>DATE(YEAR(E60),MONTH(E60)+4,DAY(E69))</f>
        <v>43281</v>
      </c>
      <c r="G60" s="755">
        <f t="shared" ref="G60" si="27">DATE(YEAR(F60),MONTH(F60)+4,DAY(F69))</f>
        <v>43373</v>
      </c>
      <c r="H60" s="755">
        <f>DATE(YEAR(G60),MONTH(G60)+4,DAY(G69))</f>
        <v>43465</v>
      </c>
      <c r="I60" s="5"/>
      <c r="J60" s="5"/>
      <c r="K60" s="1"/>
      <c r="L60" s="5"/>
      <c r="M60" s="5"/>
      <c r="N60" s="5"/>
      <c r="O60" s="5"/>
      <c r="P60" s="5"/>
    </row>
    <row r="61" spans="1:16" ht="13.5" thickBot="1">
      <c r="A61" s="1"/>
      <c r="B61" s="782" t="s">
        <v>563</v>
      </c>
      <c r="C61" s="610">
        <f>D61</f>
        <v>35.51</v>
      </c>
      <c r="D61" s="610">
        <f>E61</f>
        <v>35.51</v>
      </c>
      <c r="E61" s="610">
        <f>F61</f>
        <v>35.51</v>
      </c>
      <c r="F61" s="610">
        <f>G61</f>
        <v>35.51</v>
      </c>
      <c r="G61" s="610">
        <f t="shared" ref="G61" si="28">H61</f>
        <v>35.51</v>
      </c>
      <c r="H61" s="853">
        <v>35.51</v>
      </c>
      <c r="I61" s="5"/>
      <c r="J61" s="5"/>
      <c r="K61" s="5"/>
      <c r="L61" s="5"/>
      <c r="M61" s="5"/>
      <c r="N61" s="5"/>
      <c r="O61" s="5"/>
      <c r="P61" s="5"/>
    </row>
  </sheetData>
  <phoneticPr fontId="27" type="noConversion"/>
  <conditionalFormatting sqref="K22:O22">
    <cfRule type="cellIs" dxfId="1" priority="2" stopIfTrue="1" operator="lessThan">
      <formula>0</formula>
    </cfRule>
  </conditionalFormatting>
  <conditionalFormatting sqref="P22">
    <cfRule type="cellIs" dxfId="0" priority="1" stopIfTrue="1" operator="lessThan">
      <formula>0</formula>
    </cfRule>
  </conditionalFormatting>
  <pageMargins left="0" right="0" top="0" bottom="0" header="0" footer="0"/>
  <pageSetup paperSize="5" scale="77"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outlinePr summaryBelow="0"/>
    <pageSetUpPr fitToPage="1"/>
  </sheetPr>
  <dimension ref="A1:DH222"/>
  <sheetViews>
    <sheetView showGridLines="0" zoomScaleNormal="100" workbookViewId="0">
      <pane xSplit="3" ySplit="4" topLeftCell="BW5" activePane="bottomRight" state="frozen"/>
      <selection pane="topRight"/>
      <selection pane="bottomLeft"/>
      <selection pane="bottomRight" activeCell="CA4" sqref="CA4"/>
    </sheetView>
  </sheetViews>
  <sheetFormatPr defaultRowHeight="12.75" outlineLevelRow="1" outlineLevelCol="1"/>
  <cols>
    <col min="1" max="2" width="1.42578125" customWidth="1"/>
    <col min="3" max="3" width="24.28515625" customWidth="1"/>
    <col min="4" max="34" width="9.140625" hidden="1" customWidth="1" outlineLevel="1"/>
    <col min="35" max="35" width="9.140625" customWidth="1" collapsed="1"/>
    <col min="36" max="39" width="9.140625" hidden="1" customWidth="1" outlineLevel="1"/>
    <col min="40" max="40" width="9.140625" customWidth="1" collapsed="1"/>
    <col min="41" max="44" width="9.140625" hidden="1" customWidth="1" outlineLevel="1"/>
    <col min="45" max="45" width="9.140625" customWidth="1" collapsed="1"/>
    <col min="46" max="49" width="9.140625" hidden="1" customWidth="1" outlineLevel="1"/>
    <col min="50" max="50" width="9.140625" customWidth="1" collapsed="1"/>
    <col min="51" max="54" width="9.140625" hidden="1" customWidth="1" outlineLevel="1"/>
    <col min="55" max="55" width="9.140625" customWidth="1" collapsed="1"/>
    <col min="56" max="59" width="9.140625" hidden="1" customWidth="1" outlineLevel="1"/>
    <col min="60" max="60" width="9.140625" customWidth="1" collapsed="1"/>
    <col min="61" max="64" width="9.140625" hidden="1" customWidth="1" outlineLevel="1"/>
    <col min="65" max="65" width="9.140625" customWidth="1" collapsed="1"/>
    <col min="66" max="69" width="9.140625" hidden="1" customWidth="1" outlineLevel="1"/>
    <col min="70" max="70" width="9.140625" customWidth="1" collapsed="1"/>
    <col min="71" max="74" width="9.140625" hidden="1" customWidth="1" outlineLevel="1"/>
    <col min="75" max="75" width="9.140625" customWidth="1" collapsed="1"/>
    <col min="76" max="79" width="9.140625" customWidth="1" outlineLevel="1"/>
    <col min="80" max="80" width="9.140625" customWidth="1"/>
    <col min="81" max="84" width="9.140625" customWidth="1" outlineLevel="1"/>
    <col min="85" max="85" width="9.140625" customWidth="1"/>
    <col min="86" max="89" width="9.140625" hidden="1" customWidth="1" outlineLevel="1"/>
    <col min="90" max="90" width="9.140625" customWidth="1" collapsed="1"/>
    <col min="91" max="94" width="9.140625" hidden="1" customWidth="1" outlineLevel="1"/>
    <col min="95" max="95" width="9.140625" customWidth="1" collapsed="1"/>
    <col min="96" max="96" width="8.85546875" style="1001"/>
    <col min="100" max="100" width="19.42578125" bestFit="1" customWidth="1"/>
    <col min="101" max="101" width="10.85546875" bestFit="1" customWidth="1"/>
    <col min="102" max="102" width="36.28515625" bestFit="1" customWidth="1"/>
    <col min="103" max="103" width="9.85546875" bestFit="1" customWidth="1"/>
    <col min="104" max="104" width="15.140625" bestFit="1" customWidth="1"/>
    <col min="105" max="105" width="8.28515625" bestFit="1" customWidth="1"/>
  </cols>
  <sheetData>
    <row r="1" spans="1:99" ht="13.5" customHeight="1">
      <c r="A1" s="74" t="str">
        <f>Financials!A2</f>
        <v>US Steel Corporation</v>
      </c>
      <c r="B1" s="74"/>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1526"/>
      <c r="CD1" s="1526"/>
      <c r="CE1" s="1526"/>
      <c r="CF1" s="1526"/>
      <c r="CG1" s="1526"/>
      <c r="CH1" s="1526"/>
      <c r="CI1" s="1526"/>
      <c r="CJ1" s="1526"/>
      <c r="CK1" s="1526"/>
      <c r="CL1" s="1526"/>
      <c r="CM1" s="1526"/>
      <c r="CN1" s="1526"/>
      <c r="CO1" s="1526"/>
      <c r="CP1" s="1526"/>
      <c r="CQ1" s="1526"/>
      <c r="CR1" s="81"/>
      <c r="CS1" s="75"/>
      <c r="CT1" s="75"/>
      <c r="CU1" s="75"/>
    </row>
    <row r="2" spans="1:99" ht="13.5" customHeight="1">
      <c r="A2" s="74" t="s">
        <v>657</v>
      </c>
      <c r="B2" s="74"/>
      <c r="C2" s="75"/>
      <c r="D2" s="75"/>
      <c r="E2" s="75"/>
      <c r="F2" s="75"/>
      <c r="G2" s="75"/>
      <c r="H2" s="75"/>
      <c r="I2" s="75"/>
      <c r="J2" s="75"/>
      <c r="K2" s="759"/>
      <c r="L2" s="759"/>
      <c r="M2" s="759"/>
      <c r="N2" s="759"/>
      <c r="O2" s="759"/>
      <c r="P2" s="759"/>
      <c r="Q2" s="759"/>
      <c r="R2" s="759"/>
      <c r="S2" s="759"/>
      <c r="T2" s="759"/>
      <c r="U2" s="759"/>
      <c r="V2" s="759"/>
      <c r="W2" s="759"/>
      <c r="X2" s="759"/>
      <c r="Y2" s="759"/>
      <c r="Z2" s="759"/>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c r="BL2" s="759"/>
      <c r="BM2" s="759"/>
      <c r="BN2" s="759"/>
      <c r="BO2" s="759"/>
      <c r="BP2" s="759"/>
      <c r="BQ2" s="759"/>
      <c r="BR2" s="759"/>
      <c r="BS2" s="77"/>
      <c r="BT2" s="77"/>
      <c r="BU2" s="77"/>
      <c r="BV2" s="759"/>
      <c r="BW2" s="759"/>
      <c r="BX2" s="759"/>
      <c r="BY2" s="759"/>
      <c r="BZ2" s="759"/>
      <c r="CA2" s="759"/>
      <c r="CB2" s="759"/>
      <c r="CC2" s="1525"/>
      <c r="CD2" s="75"/>
      <c r="CE2" s="759"/>
      <c r="CF2" s="759"/>
      <c r="CG2" s="1529"/>
      <c r="CH2" s="759"/>
      <c r="CI2" s="759"/>
      <c r="CJ2" s="759"/>
      <c r="CK2" s="759"/>
      <c r="CL2" s="1529"/>
      <c r="CM2" s="759"/>
      <c r="CN2" s="759"/>
      <c r="CO2" s="759"/>
      <c r="CP2" s="759"/>
      <c r="CQ2" s="1529"/>
      <c r="CR2" s="81"/>
      <c r="CS2" s="75"/>
      <c r="CT2" s="75"/>
      <c r="CU2" s="75"/>
    </row>
    <row r="3" spans="1:99" ht="13.5" customHeight="1">
      <c r="A3" s="78" t="s">
        <v>941</v>
      </c>
      <c r="B3" s="78"/>
      <c r="C3" s="79"/>
      <c r="D3" s="79"/>
      <c r="E3" s="79"/>
      <c r="F3" s="79"/>
      <c r="G3" s="79"/>
      <c r="H3" s="79"/>
      <c r="I3" s="79"/>
      <c r="J3" s="79"/>
      <c r="K3" s="760"/>
      <c r="L3" s="760"/>
      <c r="M3" s="760"/>
      <c r="N3" s="760"/>
      <c r="O3" s="760"/>
      <c r="P3" s="760"/>
      <c r="Q3" s="760"/>
      <c r="R3" s="760"/>
      <c r="S3" s="760"/>
      <c r="T3" s="760"/>
      <c r="U3" s="760"/>
      <c r="V3" s="760"/>
      <c r="W3" s="760"/>
      <c r="X3" s="760"/>
      <c r="Y3" s="760"/>
      <c r="Z3" s="760"/>
      <c r="AA3" s="760"/>
      <c r="AB3" s="760"/>
      <c r="AC3" s="760"/>
      <c r="AD3" s="760"/>
      <c r="AE3" s="760"/>
      <c r="AF3" s="760"/>
      <c r="AG3" s="760"/>
      <c r="AH3" s="760"/>
      <c r="AI3" s="760"/>
      <c r="AJ3" s="760"/>
      <c r="AK3" s="760"/>
      <c r="AL3" s="760"/>
      <c r="AM3" s="760"/>
      <c r="AN3" s="760"/>
      <c r="AO3" s="760"/>
      <c r="AP3" s="760"/>
      <c r="AQ3" s="760"/>
      <c r="AR3" s="760"/>
      <c r="AS3" s="760"/>
      <c r="AT3" s="760"/>
      <c r="AU3" s="760"/>
      <c r="AV3" s="760"/>
      <c r="AW3" s="760"/>
      <c r="AX3" s="760"/>
      <c r="AY3" s="760"/>
      <c r="AZ3" s="760"/>
      <c r="BA3" s="760"/>
      <c r="BB3" s="760"/>
      <c r="BC3" s="760"/>
      <c r="BD3" s="760"/>
      <c r="BE3" s="760"/>
      <c r="BF3" s="760"/>
      <c r="BG3" s="760"/>
      <c r="BH3" s="760"/>
      <c r="BI3" s="760"/>
      <c r="BJ3" s="760"/>
      <c r="BK3" s="760"/>
      <c r="BL3" s="760"/>
      <c r="BM3" s="760"/>
      <c r="BN3" s="760"/>
      <c r="BO3" s="760"/>
      <c r="BP3" s="760"/>
      <c r="BQ3" s="760"/>
      <c r="BR3" s="760"/>
      <c r="BS3" s="80"/>
      <c r="BT3" s="80"/>
      <c r="BU3" s="80"/>
      <c r="BV3" s="760"/>
      <c r="BW3" s="760"/>
      <c r="BX3" s="760"/>
      <c r="BY3" s="760"/>
      <c r="BZ3" s="760"/>
      <c r="CA3" s="760"/>
      <c r="CB3" s="760"/>
      <c r="CC3" s="760"/>
      <c r="CD3" s="760"/>
      <c r="CE3" s="760"/>
      <c r="CF3" s="760"/>
      <c r="CG3" s="760"/>
      <c r="CH3" s="760"/>
      <c r="CI3" s="760"/>
      <c r="CJ3" s="760"/>
      <c r="CK3" s="760"/>
      <c r="CL3" s="1530"/>
      <c r="CM3" s="760"/>
      <c r="CN3" s="760"/>
      <c r="CO3" s="760"/>
      <c r="CP3" s="760"/>
      <c r="CQ3" s="760"/>
      <c r="CR3" s="137"/>
      <c r="CS3" s="79"/>
      <c r="CT3" s="79"/>
      <c r="CU3" s="79"/>
    </row>
    <row r="4" spans="1:99" ht="13.5" customHeight="1" collapsed="1">
      <c r="A4" s="797"/>
      <c r="B4" s="797"/>
      <c r="C4" s="797"/>
      <c r="D4" s="798">
        <f>Operations!D25</f>
        <v>2001</v>
      </c>
      <c r="E4" s="798">
        <f>Operations!E25</f>
        <v>2002</v>
      </c>
      <c r="F4" s="800" t="str">
        <f>Operations!F25</f>
        <v>1Q</v>
      </c>
      <c r="G4" s="800" t="str">
        <f>Operations!G25</f>
        <v>2Q</v>
      </c>
      <c r="H4" s="800" t="str">
        <f>Operations!H25</f>
        <v>3Q</v>
      </c>
      <c r="I4" s="800" t="str">
        <f>Operations!I25</f>
        <v>4Q</v>
      </c>
      <c r="J4" s="798">
        <v>2003</v>
      </c>
      <c r="K4" s="800" t="s">
        <v>658</v>
      </c>
      <c r="L4" s="800" t="s">
        <v>659</v>
      </c>
      <c r="M4" s="800" t="s">
        <v>660</v>
      </c>
      <c r="N4" s="800" t="s">
        <v>661</v>
      </c>
      <c r="O4" s="799">
        <v>2004</v>
      </c>
      <c r="P4" s="800" t="s">
        <v>658</v>
      </c>
      <c r="Q4" s="800" t="s">
        <v>659</v>
      </c>
      <c r="R4" s="800" t="s">
        <v>660</v>
      </c>
      <c r="S4" s="800" t="s">
        <v>661</v>
      </c>
      <c r="T4" s="799">
        <v>2005</v>
      </c>
      <c r="U4" s="800" t="s">
        <v>658</v>
      </c>
      <c r="V4" s="800" t="s">
        <v>659</v>
      </c>
      <c r="W4" s="800" t="s">
        <v>660</v>
      </c>
      <c r="X4" s="800" t="s">
        <v>661</v>
      </c>
      <c r="Y4" s="799">
        <v>2006</v>
      </c>
      <c r="Z4" s="800" t="s">
        <v>658</v>
      </c>
      <c r="AA4" s="800" t="s">
        <v>659</v>
      </c>
      <c r="AB4" s="800" t="s">
        <v>660</v>
      </c>
      <c r="AC4" s="800" t="s">
        <v>661</v>
      </c>
      <c r="AD4" s="799">
        <v>2007</v>
      </c>
      <c r="AE4" s="800" t="s">
        <v>658</v>
      </c>
      <c r="AF4" s="800" t="s">
        <v>659</v>
      </c>
      <c r="AG4" s="800" t="s">
        <v>660</v>
      </c>
      <c r="AH4" s="800" t="s">
        <v>661</v>
      </c>
      <c r="AI4" s="799">
        <v>2008</v>
      </c>
      <c r="AJ4" s="898" t="s">
        <v>658</v>
      </c>
      <c r="AK4" s="800" t="s">
        <v>659</v>
      </c>
      <c r="AL4" s="800" t="s">
        <v>660</v>
      </c>
      <c r="AM4" s="899" t="s">
        <v>661</v>
      </c>
      <c r="AN4" s="799">
        <v>2009</v>
      </c>
      <c r="AO4" s="898" t="s">
        <v>658</v>
      </c>
      <c r="AP4" s="800" t="s">
        <v>659</v>
      </c>
      <c r="AQ4" s="800" t="s">
        <v>660</v>
      </c>
      <c r="AR4" s="899" t="s">
        <v>661</v>
      </c>
      <c r="AS4" s="799">
        <v>2010</v>
      </c>
      <c r="AT4" s="898" t="s">
        <v>658</v>
      </c>
      <c r="AU4" s="800" t="s">
        <v>659</v>
      </c>
      <c r="AV4" s="800" t="s">
        <v>660</v>
      </c>
      <c r="AW4" s="899" t="s">
        <v>661</v>
      </c>
      <c r="AX4" s="799">
        <v>2011</v>
      </c>
      <c r="AY4" s="898" t="s">
        <v>658</v>
      </c>
      <c r="AZ4" s="800" t="s">
        <v>659</v>
      </c>
      <c r="BA4" s="800" t="s">
        <v>660</v>
      </c>
      <c r="BB4" s="899" t="s">
        <v>661</v>
      </c>
      <c r="BC4" s="799">
        <v>2012</v>
      </c>
      <c r="BD4" s="898" t="s">
        <v>658</v>
      </c>
      <c r="BE4" s="800" t="s">
        <v>659</v>
      </c>
      <c r="BF4" s="800" t="s">
        <v>660</v>
      </c>
      <c r="BG4" s="899" t="s">
        <v>661</v>
      </c>
      <c r="BH4" s="799">
        <v>2013</v>
      </c>
      <c r="BI4" s="898" t="s">
        <v>658</v>
      </c>
      <c r="BJ4" s="800" t="s">
        <v>659</v>
      </c>
      <c r="BK4" s="800" t="s">
        <v>660</v>
      </c>
      <c r="BL4" s="899" t="s">
        <v>661</v>
      </c>
      <c r="BM4" s="799">
        <v>2014</v>
      </c>
      <c r="BN4" s="898" t="s">
        <v>658</v>
      </c>
      <c r="BO4" s="800" t="s">
        <v>659</v>
      </c>
      <c r="BP4" s="800" t="s">
        <v>660</v>
      </c>
      <c r="BQ4" s="899" t="s">
        <v>661</v>
      </c>
      <c r="BR4" s="799">
        <v>2015</v>
      </c>
      <c r="BS4" s="898" t="s">
        <v>658</v>
      </c>
      <c r="BT4" s="800" t="s">
        <v>659</v>
      </c>
      <c r="BU4" s="800" t="s">
        <v>660</v>
      </c>
      <c r="BV4" s="899" t="s">
        <v>661</v>
      </c>
      <c r="BW4" s="799">
        <v>2016</v>
      </c>
      <c r="BX4" s="898" t="s">
        <v>658</v>
      </c>
      <c r="BY4" s="800" t="s">
        <v>659</v>
      </c>
      <c r="BZ4" s="800" t="s">
        <v>660</v>
      </c>
      <c r="CA4" s="899" t="s">
        <v>661</v>
      </c>
      <c r="CB4" s="799">
        <v>2017</v>
      </c>
      <c r="CC4" s="898" t="s">
        <v>963</v>
      </c>
      <c r="CD4" s="800" t="s">
        <v>964</v>
      </c>
      <c r="CE4" s="800" t="s">
        <v>961</v>
      </c>
      <c r="CF4" s="899" t="s">
        <v>962</v>
      </c>
      <c r="CG4" s="1466" t="s">
        <v>965</v>
      </c>
      <c r="CH4" s="898" t="s">
        <v>963</v>
      </c>
      <c r="CI4" s="800" t="s">
        <v>964</v>
      </c>
      <c r="CJ4" s="800" t="s">
        <v>961</v>
      </c>
      <c r="CK4" s="899" t="s">
        <v>962</v>
      </c>
      <c r="CL4" s="799" t="s">
        <v>966</v>
      </c>
      <c r="CM4" s="898" t="s">
        <v>963</v>
      </c>
      <c r="CN4" s="800" t="s">
        <v>964</v>
      </c>
      <c r="CO4" s="800" t="s">
        <v>961</v>
      </c>
      <c r="CP4" s="899" t="s">
        <v>962</v>
      </c>
      <c r="CQ4" s="799" t="s">
        <v>972</v>
      </c>
      <c r="CR4" s="657"/>
      <c r="CS4" s="657"/>
      <c r="CT4" s="657"/>
      <c r="CU4" s="657"/>
    </row>
    <row r="5" spans="1:99" ht="13.5" hidden="1" customHeight="1" outlineLevel="1">
      <c r="A5" s="83"/>
      <c r="B5" s="83"/>
      <c r="C5" s="83"/>
      <c r="D5" s="84"/>
      <c r="E5" s="84"/>
      <c r="F5" s="889"/>
      <c r="G5" s="889"/>
      <c r="H5" s="889"/>
      <c r="I5" s="889"/>
      <c r="J5" s="84"/>
      <c r="K5" s="891"/>
      <c r="L5" s="891"/>
      <c r="M5" s="891"/>
      <c r="N5" s="891"/>
      <c r="O5" s="85"/>
      <c r="P5" s="891"/>
      <c r="Q5" s="891"/>
      <c r="R5" s="891"/>
      <c r="S5" s="891"/>
      <c r="T5" s="85"/>
      <c r="U5" s="891"/>
      <c r="V5" s="891"/>
      <c r="W5" s="891"/>
      <c r="X5" s="891"/>
      <c r="Y5" s="85"/>
      <c r="Z5" s="891"/>
      <c r="AA5" s="891"/>
      <c r="AB5" s="891"/>
      <c r="AC5" s="891"/>
      <c r="AD5" s="85"/>
      <c r="AE5" s="893">
        <v>39538</v>
      </c>
      <c r="AF5" s="893">
        <v>39629</v>
      </c>
      <c r="AG5" s="893">
        <v>39721</v>
      </c>
      <c r="AH5" s="893">
        <v>39813</v>
      </c>
      <c r="AI5" s="656" t="s">
        <v>662</v>
      </c>
      <c r="AJ5" s="900">
        <v>39903</v>
      </c>
      <c r="AK5" s="893">
        <v>39994</v>
      </c>
      <c r="AL5" s="893">
        <v>40086</v>
      </c>
      <c r="AM5" s="901">
        <v>40178</v>
      </c>
      <c r="AN5" s="656" t="s">
        <v>663</v>
      </c>
      <c r="AO5" s="900">
        <v>40268</v>
      </c>
      <c r="AP5" s="893">
        <v>40359</v>
      </c>
      <c r="AQ5" s="893">
        <v>40451</v>
      </c>
      <c r="AR5" s="901">
        <v>40543</v>
      </c>
      <c r="AS5" s="656" t="s">
        <v>664</v>
      </c>
      <c r="AT5" s="900">
        <v>40633</v>
      </c>
      <c r="AU5" s="893">
        <v>40724</v>
      </c>
      <c r="AV5" s="893">
        <v>40816</v>
      </c>
      <c r="AW5" s="901">
        <v>40908</v>
      </c>
      <c r="AX5" s="656" t="s">
        <v>665</v>
      </c>
      <c r="AY5" s="900">
        <v>40999</v>
      </c>
      <c r="AZ5" s="893">
        <v>41090</v>
      </c>
      <c r="BA5" s="893">
        <v>41182</v>
      </c>
      <c r="BB5" s="901">
        <v>41274</v>
      </c>
      <c r="BC5" s="656" t="s">
        <v>666</v>
      </c>
      <c r="BD5" s="900">
        <v>41364</v>
      </c>
      <c r="BE5" s="893">
        <v>41455</v>
      </c>
      <c r="BF5" s="893">
        <v>41547</v>
      </c>
      <c r="BG5" s="901">
        <v>41639</v>
      </c>
      <c r="BH5" s="656" t="s">
        <v>667</v>
      </c>
      <c r="BI5" s="900">
        <v>41729</v>
      </c>
      <c r="BJ5" s="893">
        <v>41820</v>
      </c>
      <c r="BK5" s="893">
        <v>41912</v>
      </c>
      <c r="BL5" s="901">
        <v>42004</v>
      </c>
      <c r="BM5" s="656" t="s">
        <v>668</v>
      </c>
      <c r="BN5" s="900">
        <v>42094</v>
      </c>
      <c r="BO5" s="893">
        <v>42185</v>
      </c>
      <c r="BP5" s="893">
        <v>42277</v>
      </c>
      <c r="BQ5" s="901">
        <v>42369</v>
      </c>
      <c r="BR5" s="656" t="s">
        <v>669</v>
      </c>
      <c r="BS5" s="900">
        <v>42460</v>
      </c>
      <c r="BT5" s="893">
        <v>42551</v>
      </c>
      <c r="BU5" s="893">
        <v>42643</v>
      </c>
      <c r="BV5" s="901">
        <v>42735</v>
      </c>
      <c r="BW5" s="656" t="s">
        <v>325</v>
      </c>
      <c r="BX5" s="900">
        <v>42825</v>
      </c>
      <c r="BY5" s="893">
        <v>42916</v>
      </c>
      <c r="BZ5" s="893">
        <v>43008</v>
      </c>
      <c r="CA5" s="901">
        <v>43100</v>
      </c>
      <c r="CB5" s="656" t="s">
        <v>935</v>
      </c>
      <c r="CC5" s="900">
        <v>43190</v>
      </c>
      <c r="CD5" s="893">
        <v>43281</v>
      </c>
      <c r="CE5" s="893">
        <v>43373</v>
      </c>
      <c r="CF5" s="901">
        <v>43465</v>
      </c>
      <c r="CG5" s="1467" t="s">
        <v>948</v>
      </c>
      <c r="CH5" s="900">
        <v>43555</v>
      </c>
      <c r="CI5" s="893">
        <v>43646</v>
      </c>
      <c r="CJ5" s="893">
        <v>43738</v>
      </c>
      <c r="CK5" s="901">
        <v>43830</v>
      </c>
      <c r="CL5" s="656" t="s">
        <v>952</v>
      </c>
      <c r="CM5" s="900">
        <v>43921</v>
      </c>
      <c r="CN5" s="893">
        <v>44012</v>
      </c>
      <c r="CO5" s="893">
        <v>44104</v>
      </c>
      <c r="CP5" s="901">
        <v>44196</v>
      </c>
      <c r="CQ5" s="656" t="s">
        <v>967</v>
      </c>
      <c r="CR5" s="81"/>
      <c r="CS5" s="81"/>
      <c r="CT5" s="81"/>
      <c r="CU5" s="81"/>
    </row>
    <row r="6" spans="1:99" ht="13.5" customHeight="1">
      <c r="A6" s="797" t="s">
        <v>670</v>
      </c>
      <c r="B6" s="801"/>
      <c r="C6" s="801"/>
      <c r="D6" s="802"/>
      <c r="E6" s="802"/>
      <c r="F6" s="890"/>
      <c r="G6" s="890"/>
      <c r="H6" s="890"/>
      <c r="I6" s="890"/>
      <c r="J6" s="802"/>
      <c r="K6" s="892"/>
      <c r="L6" s="892"/>
      <c r="M6" s="892"/>
      <c r="N6" s="892"/>
      <c r="O6" s="803"/>
      <c r="P6" s="892"/>
      <c r="Q6" s="892"/>
      <c r="R6" s="892"/>
      <c r="S6" s="892"/>
      <c r="T6" s="803"/>
      <c r="U6" s="892"/>
      <c r="V6" s="892"/>
      <c r="W6" s="892"/>
      <c r="X6" s="892"/>
      <c r="Y6" s="803"/>
      <c r="Z6" s="892"/>
      <c r="AA6" s="892"/>
      <c r="AB6" s="892"/>
      <c r="AC6" s="892"/>
      <c r="AD6" s="803"/>
      <c r="AE6" s="894"/>
      <c r="AF6" s="894"/>
      <c r="AG6" s="894"/>
      <c r="AH6" s="894"/>
      <c r="AI6" s="804"/>
      <c r="AJ6" s="902"/>
      <c r="AK6" s="894"/>
      <c r="AL6" s="894"/>
      <c r="AM6" s="903"/>
      <c r="AN6" s="804"/>
      <c r="AO6" s="902"/>
      <c r="AP6" s="894"/>
      <c r="AQ6" s="894"/>
      <c r="AR6" s="903"/>
      <c r="AS6" s="804"/>
      <c r="AT6" s="902"/>
      <c r="AU6" s="894"/>
      <c r="AV6" s="894"/>
      <c r="AW6" s="903"/>
      <c r="AX6" s="804"/>
      <c r="AY6" s="902"/>
      <c r="AZ6" s="894"/>
      <c r="BA6" s="894"/>
      <c r="BB6" s="903"/>
      <c r="BC6" s="804"/>
      <c r="BD6" s="902"/>
      <c r="BE6" s="894"/>
      <c r="BF6" s="894"/>
      <c r="BG6" s="903"/>
      <c r="BH6" s="804"/>
      <c r="BI6" s="902"/>
      <c r="BJ6" s="894"/>
      <c r="BK6" s="894"/>
      <c r="BL6" s="903"/>
      <c r="BM6" s="804"/>
      <c r="BN6" s="902"/>
      <c r="BO6" s="894"/>
      <c r="BP6" s="894"/>
      <c r="BQ6" s="903"/>
      <c r="BR6" s="804"/>
      <c r="BS6" s="902"/>
      <c r="BT6" s="894"/>
      <c r="BU6" s="894"/>
      <c r="BV6" s="903"/>
      <c r="BW6" s="804"/>
      <c r="BX6" s="902"/>
      <c r="BY6" s="894"/>
      <c r="BZ6" s="894"/>
      <c r="CA6" s="903"/>
      <c r="CB6" s="804"/>
      <c r="CC6" s="902"/>
      <c r="CD6" s="894"/>
      <c r="CE6" s="894"/>
      <c r="CF6" s="903"/>
      <c r="CG6" s="1468"/>
      <c r="CH6" s="902"/>
      <c r="CI6" s="894"/>
      <c r="CJ6" s="894"/>
      <c r="CK6" s="903"/>
      <c r="CL6" s="804"/>
      <c r="CM6" s="902"/>
      <c r="CN6" s="894"/>
      <c r="CO6" s="894"/>
      <c r="CP6" s="903"/>
      <c r="CQ6" s="804"/>
      <c r="CR6" s="81"/>
      <c r="CS6" s="75"/>
      <c r="CT6" s="75"/>
      <c r="CU6" s="75"/>
    </row>
    <row r="7" spans="1:99" ht="13.5" customHeight="1">
      <c r="A7" s="87"/>
      <c r="B7" s="87" t="s">
        <v>671</v>
      </c>
      <c r="C7" s="87"/>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904"/>
      <c r="AK7" s="81"/>
      <c r="AL7" s="81"/>
      <c r="AM7" s="905"/>
      <c r="AN7" s="75"/>
      <c r="AO7" s="904"/>
      <c r="AP7" s="81"/>
      <c r="AQ7" s="81"/>
      <c r="AR7" s="905"/>
      <c r="AS7" s="75"/>
      <c r="AT7" s="904"/>
      <c r="AU7" s="81"/>
      <c r="AV7" s="81"/>
      <c r="AW7" s="905"/>
      <c r="AX7" s="75"/>
      <c r="AY7" s="904"/>
      <c r="AZ7" s="81"/>
      <c r="BA7" s="81"/>
      <c r="BB7" s="905"/>
      <c r="BC7" s="75"/>
      <c r="BD7" s="904"/>
      <c r="BE7" s="81"/>
      <c r="BF7" s="81"/>
      <c r="BG7" s="905"/>
      <c r="BH7" s="75"/>
      <c r="BI7" s="904"/>
      <c r="BJ7" s="81"/>
      <c r="BK7" s="81"/>
      <c r="BL7" s="905"/>
      <c r="BM7" s="75"/>
      <c r="BN7" s="904"/>
      <c r="BO7" s="81"/>
      <c r="BP7" s="81"/>
      <c r="BQ7" s="905"/>
      <c r="BR7" s="75"/>
      <c r="BS7" s="939"/>
      <c r="BT7" s="290"/>
      <c r="BU7" s="290"/>
      <c r="BV7" s="940"/>
      <c r="BW7" s="75"/>
      <c r="BX7" s="904"/>
      <c r="BY7" s="81"/>
      <c r="BZ7" s="81"/>
      <c r="CA7" s="905"/>
      <c r="CB7" s="75"/>
      <c r="CC7" s="904"/>
      <c r="CD7" s="81"/>
      <c r="CE7" s="81"/>
      <c r="CF7" s="905"/>
      <c r="CG7" s="1469"/>
      <c r="CH7" s="904"/>
      <c r="CI7" s="81"/>
      <c r="CJ7" s="81"/>
      <c r="CK7" s="905"/>
      <c r="CL7" s="75"/>
      <c r="CM7" s="904"/>
      <c r="CN7" s="81"/>
      <c r="CO7" s="81"/>
      <c r="CP7" s="905"/>
      <c r="CQ7" s="81"/>
      <c r="CR7" s="81"/>
      <c r="CS7" s="75"/>
      <c r="CT7" s="75"/>
      <c r="CU7" s="75"/>
    </row>
    <row r="8" spans="1:99" ht="13.5" customHeight="1">
      <c r="A8" s="75"/>
      <c r="B8" s="75"/>
      <c r="C8" s="75" t="s">
        <v>672</v>
      </c>
      <c r="D8" s="88"/>
      <c r="E8" s="88"/>
      <c r="F8" s="88"/>
      <c r="G8" s="88"/>
      <c r="H8" s="88"/>
      <c r="I8" s="88"/>
      <c r="J8" s="622">
        <v>290.5</v>
      </c>
      <c r="K8" s="89">
        <v>462.33333333333331</v>
      </c>
      <c r="L8" s="89">
        <v>610</v>
      </c>
      <c r="M8" s="89">
        <v>703.33333333333337</v>
      </c>
      <c r="N8" s="89">
        <v>658.33333333333337</v>
      </c>
      <c r="O8" s="89">
        <f>AVERAGE(K8:N8)</f>
        <v>608.5</v>
      </c>
      <c r="P8" s="89">
        <v>631.66666666666663</v>
      </c>
      <c r="Q8" s="89">
        <v>532.5</v>
      </c>
      <c r="R8" s="89">
        <v>461.66666666666669</v>
      </c>
      <c r="S8" s="89">
        <v>550</v>
      </c>
      <c r="T8" s="89">
        <f>AVERAGE(P8:S8)</f>
        <v>543.95833333333326</v>
      </c>
      <c r="U8" s="89">
        <v>550</v>
      </c>
      <c r="V8" s="89">
        <v>591.66666666666663</v>
      </c>
      <c r="W8" s="89">
        <v>621.66666666666663</v>
      </c>
      <c r="X8" s="89">
        <v>563.33333333333337</v>
      </c>
      <c r="Y8" s="89">
        <f>AVERAGE(U8:X8)</f>
        <v>581.66666666666663</v>
      </c>
      <c r="Z8" s="89">
        <v>518.33333333333337</v>
      </c>
      <c r="AA8" s="89">
        <v>553.33333333333337</v>
      </c>
      <c r="AB8" s="89">
        <v>516.66666666666663</v>
      </c>
      <c r="AC8" s="89">
        <v>535</v>
      </c>
      <c r="AD8" s="89">
        <f>AVERAGE(Z8:AC8)</f>
        <v>530.83333333333337</v>
      </c>
      <c r="AE8" s="89">
        <v>691.66666666666663</v>
      </c>
      <c r="AF8" s="89">
        <v>976.66666666666663</v>
      </c>
      <c r="AG8" s="89">
        <v>1051.6666666666667</v>
      </c>
      <c r="AH8" s="89">
        <v>714</v>
      </c>
      <c r="AI8" s="89">
        <f>AVERAGE(AE8:AH8)</f>
        <v>858.5</v>
      </c>
      <c r="AJ8" s="906">
        <v>508.66666666666669</v>
      </c>
      <c r="AK8" s="907">
        <v>399</v>
      </c>
      <c r="AL8" s="907">
        <v>491.33333333333331</v>
      </c>
      <c r="AM8" s="908">
        <v>528</v>
      </c>
      <c r="AN8" s="89">
        <f>AVERAGE(AJ8:AM8)</f>
        <v>481.75</v>
      </c>
      <c r="AO8" s="906">
        <v>592</v>
      </c>
      <c r="AP8" s="907">
        <v>682</v>
      </c>
      <c r="AQ8" s="907">
        <v>582.66666666666663</v>
      </c>
      <c r="AR8" s="908">
        <v>557</v>
      </c>
      <c r="AS8" s="89">
        <f t="shared" ref="AS8:AS13" si="0">AVERAGE(AO8:AR8)</f>
        <v>603.41666666666663</v>
      </c>
      <c r="AT8" s="906">
        <v>795.66666666666663</v>
      </c>
      <c r="AU8" s="907">
        <v>813</v>
      </c>
      <c r="AV8" s="907">
        <v>687.66781577912843</v>
      </c>
      <c r="AW8" s="908">
        <v>657.66666666666663</v>
      </c>
      <c r="AX8" s="89">
        <f t="shared" ref="AX8:AX13" si="1">AVERAGE(AT8:AW8)</f>
        <v>738.50028727811537</v>
      </c>
      <c r="AY8" s="906">
        <v>720.66666666666663</v>
      </c>
      <c r="AZ8" s="907">
        <v>660</v>
      </c>
      <c r="BA8" s="907">
        <v>625.66666666666663</v>
      </c>
      <c r="BB8" s="908">
        <v>619.99869456856368</v>
      </c>
      <c r="BC8" s="89">
        <f t="shared" ref="BC8:BC13" si="2">AVERAGE(AY8:BB8)</f>
        <v>656.58300697547418</v>
      </c>
      <c r="BD8" s="906">
        <v>616.66666666666663</v>
      </c>
      <c r="BE8" s="907">
        <v>592.33333333333337</v>
      </c>
      <c r="BF8" s="907">
        <v>643.66666666666663</v>
      </c>
      <c r="BG8" s="908">
        <v>658.99708081915003</v>
      </c>
      <c r="BH8" s="89">
        <f t="shared" ref="BH8:BH13" si="3">AVERAGE(BD8:BG8)</f>
        <v>627.91593687145416</v>
      </c>
      <c r="BI8" s="906">
        <v>654.66666666666663</v>
      </c>
      <c r="BJ8" s="907">
        <v>671</v>
      </c>
      <c r="BK8" s="907">
        <v>667.66666666666663</v>
      </c>
      <c r="BL8" s="908">
        <v>634.33333333333337</v>
      </c>
      <c r="BM8" s="89">
        <f t="shared" ref="BM8:BM13" si="4">AVERAGE(BI8:BL8)</f>
        <v>656.91666666666663</v>
      </c>
      <c r="BN8" s="906">
        <v>536.33333333333337</v>
      </c>
      <c r="BO8" s="907">
        <v>453.66666666666669</v>
      </c>
      <c r="BP8" s="1047">
        <v>459</v>
      </c>
      <c r="BQ8" s="1048">
        <v>387</v>
      </c>
      <c r="BR8" s="89">
        <f t="shared" ref="BR8:BR13" si="5">AVERAGE(BN8:BQ8)</f>
        <v>459</v>
      </c>
      <c r="BS8" s="906">
        <v>398.33333333333331</v>
      </c>
      <c r="BT8" s="907">
        <v>561.66666666666663</v>
      </c>
      <c r="BU8" s="907">
        <v>592</v>
      </c>
      <c r="BV8" s="908">
        <v>521</v>
      </c>
      <c r="BW8" s="761">
        <f t="shared" ref="BW8:BW13" si="6">AVERAGE(BS8:BV8)</f>
        <v>518.25</v>
      </c>
      <c r="BX8" s="1023">
        <v>622.66666666666663</v>
      </c>
      <c r="BY8" s="941">
        <v>623.59420289855063</v>
      </c>
      <c r="BZ8" s="941">
        <v>621.41847826086962</v>
      </c>
      <c r="CA8" s="1520">
        <v>618.09489302967552</v>
      </c>
      <c r="CB8" s="761">
        <f t="shared" ref="CB8:CB13" si="7">AVERAGE(BX8:CA8)</f>
        <v>621.4435602139406</v>
      </c>
      <c r="CC8" s="1101">
        <v>741.07743412384718</v>
      </c>
      <c r="CD8" s="1083">
        <v>885</v>
      </c>
      <c r="CE8" s="1083">
        <v>830</v>
      </c>
      <c r="CF8" s="1075">
        <v>785</v>
      </c>
      <c r="CG8" s="1470">
        <f t="shared" ref="CG8:CG13" si="8">AVERAGE(CC8:CF8)</f>
        <v>810.26935853096177</v>
      </c>
      <c r="CH8" s="1101">
        <v>800</v>
      </c>
      <c r="CI8" s="1083">
        <v>770</v>
      </c>
      <c r="CJ8" s="1083">
        <v>760</v>
      </c>
      <c r="CK8" s="1075">
        <v>715</v>
      </c>
      <c r="CL8" s="761">
        <f t="shared" ref="CL8:CL13" si="9">AVERAGE(CH8:CK8)</f>
        <v>761.25</v>
      </c>
      <c r="CM8" s="1101">
        <v>660</v>
      </c>
      <c r="CN8" s="1083">
        <v>675</v>
      </c>
      <c r="CO8" s="1083">
        <v>645</v>
      </c>
      <c r="CP8" s="1075">
        <v>645</v>
      </c>
      <c r="CQ8" s="931">
        <f t="shared" ref="CQ8:CQ13" si="10">AVERAGE(CM8:CP8)</f>
        <v>656.25</v>
      </c>
      <c r="CR8" s="1459"/>
      <c r="CS8" s="90"/>
      <c r="CT8" s="90"/>
      <c r="CU8" s="75"/>
    </row>
    <row r="9" spans="1:99" ht="13.5" customHeight="1">
      <c r="A9" s="75"/>
      <c r="B9" s="75"/>
      <c r="C9" s="75" t="s">
        <v>673</v>
      </c>
      <c r="D9" s="88"/>
      <c r="E9" s="88"/>
      <c r="F9" s="88"/>
      <c r="G9" s="88"/>
      <c r="H9" s="88"/>
      <c r="I9" s="88"/>
      <c r="J9" s="622">
        <v>386.25</v>
      </c>
      <c r="K9" s="89">
        <v>538.77777777777771</v>
      </c>
      <c r="L9" s="89">
        <v>696.66666666666663</v>
      </c>
      <c r="M9" s="89">
        <v>796.66666666666663</v>
      </c>
      <c r="N9" s="89">
        <v>750</v>
      </c>
      <c r="O9" s="89">
        <f>AVERAGE(K9:N9)</f>
        <v>695.52777777777771</v>
      </c>
      <c r="P9" s="89">
        <v>710</v>
      </c>
      <c r="Q9" s="89">
        <v>617.5</v>
      </c>
      <c r="R9" s="89">
        <v>556.66666666666663</v>
      </c>
      <c r="S9" s="89">
        <v>640</v>
      </c>
      <c r="T9" s="89">
        <f>AVERAGE(P9:S9)</f>
        <v>631.04166666666663</v>
      </c>
      <c r="U9" s="89">
        <v>640</v>
      </c>
      <c r="V9" s="89">
        <v>685</v>
      </c>
      <c r="W9" s="89">
        <v>716.66666666666663</v>
      </c>
      <c r="X9" s="89">
        <v>658.33333333333337</v>
      </c>
      <c r="Y9" s="89">
        <f>AVERAGE(U9:X9)</f>
        <v>675</v>
      </c>
      <c r="Z9" s="89">
        <v>610</v>
      </c>
      <c r="AA9" s="89">
        <v>628.33333333333337</v>
      </c>
      <c r="AB9" s="89">
        <v>606.66666666666663</v>
      </c>
      <c r="AC9" s="89">
        <v>625</v>
      </c>
      <c r="AD9" s="89">
        <f>AVERAGE(Z9:AC9)</f>
        <v>617.5</v>
      </c>
      <c r="AE9" s="89">
        <v>786.66666666666663</v>
      </c>
      <c r="AF9" s="89">
        <v>1073.3333333333333</v>
      </c>
      <c r="AG9" s="89">
        <v>1145</v>
      </c>
      <c r="AH9" s="89">
        <v>806.66666666666663</v>
      </c>
      <c r="AI9" s="89">
        <f>AVERAGE(AE9:AH9)</f>
        <v>952.91666666666663</v>
      </c>
      <c r="AJ9" s="906">
        <v>596</v>
      </c>
      <c r="AK9" s="907">
        <v>479.66666666666669</v>
      </c>
      <c r="AL9" s="907">
        <v>599</v>
      </c>
      <c r="AM9" s="908">
        <v>638.33333333333337</v>
      </c>
      <c r="AN9" s="89">
        <f>AVERAGE(AJ9:AM9)</f>
        <v>578.25</v>
      </c>
      <c r="AO9" s="906">
        <v>715</v>
      </c>
      <c r="AP9" s="907">
        <v>792</v>
      </c>
      <c r="AQ9" s="907">
        <v>701</v>
      </c>
      <c r="AR9" s="908">
        <v>664.66666666666663</v>
      </c>
      <c r="AS9" s="89">
        <f t="shared" si="0"/>
        <v>718.16666666666663</v>
      </c>
      <c r="AT9" s="906">
        <v>904.33333333333337</v>
      </c>
      <c r="AU9" s="907">
        <v>915.66666666666663</v>
      </c>
      <c r="AV9" s="907">
        <v>800.66527563579177</v>
      </c>
      <c r="AW9" s="908">
        <v>768</v>
      </c>
      <c r="AX9" s="89">
        <f t="shared" si="1"/>
        <v>847.16631890894791</v>
      </c>
      <c r="AY9" s="906">
        <v>824.33333333333337</v>
      </c>
      <c r="AZ9" s="907">
        <v>766.66666666666663</v>
      </c>
      <c r="BA9" s="907">
        <v>735.66666666666663</v>
      </c>
      <c r="BB9" s="908">
        <v>729.33333333333337</v>
      </c>
      <c r="BC9" s="89">
        <f t="shared" si="2"/>
        <v>764</v>
      </c>
      <c r="BD9" s="906">
        <v>725</v>
      </c>
      <c r="BE9" s="907">
        <v>701.66666666666663</v>
      </c>
      <c r="BF9" s="907">
        <v>752.33333333333337</v>
      </c>
      <c r="BG9" s="908">
        <v>770.99659538233448</v>
      </c>
      <c r="BH9" s="89">
        <f t="shared" si="3"/>
        <v>737.49914884558359</v>
      </c>
      <c r="BI9" s="906">
        <v>776.66666666666663</v>
      </c>
      <c r="BJ9" s="907">
        <v>800.33333333333337</v>
      </c>
      <c r="BK9" s="907">
        <v>794.33333333333337</v>
      </c>
      <c r="BL9" s="908">
        <v>760.66666666666663</v>
      </c>
      <c r="BM9" s="89">
        <f t="shared" si="4"/>
        <v>783</v>
      </c>
      <c r="BN9" s="906">
        <v>674</v>
      </c>
      <c r="BO9" s="907">
        <v>574.66666666666663</v>
      </c>
      <c r="BP9" s="1047">
        <v>588</v>
      </c>
      <c r="BQ9" s="1048">
        <v>515.33333333333337</v>
      </c>
      <c r="BR9" s="89">
        <f t="shared" si="5"/>
        <v>588</v>
      </c>
      <c r="BS9" s="906">
        <v>551.66666666666663</v>
      </c>
      <c r="BT9" s="907">
        <v>748.66666666666663</v>
      </c>
      <c r="BU9" s="907">
        <v>809</v>
      </c>
      <c r="BV9" s="908">
        <v>743.66666666666663</v>
      </c>
      <c r="BW9" s="761">
        <f t="shared" si="6"/>
        <v>713.24999999999989</v>
      </c>
      <c r="BX9" s="1023">
        <v>827.66666666666663</v>
      </c>
      <c r="BY9" s="941">
        <v>825.3478260869565</v>
      </c>
      <c r="BZ9" s="941">
        <v>798.19169960474301</v>
      </c>
      <c r="CA9" s="1520">
        <v>803.0874396135265</v>
      </c>
      <c r="CB9" s="761">
        <f t="shared" si="7"/>
        <v>813.5734079929731</v>
      </c>
      <c r="CC9" s="1101">
        <v>887.71307641633723</v>
      </c>
      <c r="CD9" s="1083">
        <v>1015</v>
      </c>
      <c r="CE9" s="1083">
        <v>970</v>
      </c>
      <c r="CF9" s="1075">
        <v>935</v>
      </c>
      <c r="CG9" s="1470">
        <f t="shared" si="8"/>
        <v>951.92826910408428</v>
      </c>
      <c r="CH9" s="1101">
        <v>950</v>
      </c>
      <c r="CI9" s="1083">
        <v>920</v>
      </c>
      <c r="CJ9" s="1083">
        <v>910</v>
      </c>
      <c r="CK9" s="1075">
        <v>865</v>
      </c>
      <c r="CL9" s="761">
        <f t="shared" si="9"/>
        <v>911.25</v>
      </c>
      <c r="CM9" s="1101">
        <v>810</v>
      </c>
      <c r="CN9" s="1083">
        <v>825</v>
      </c>
      <c r="CO9" s="1083">
        <v>795</v>
      </c>
      <c r="CP9" s="1075">
        <v>795</v>
      </c>
      <c r="CQ9" s="931">
        <f t="shared" si="10"/>
        <v>806.25</v>
      </c>
      <c r="CR9" s="1459"/>
      <c r="CS9" s="90"/>
      <c r="CT9" s="90"/>
      <c r="CU9" s="75"/>
    </row>
    <row r="10" spans="1:99" ht="13.5" customHeight="1">
      <c r="A10" s="75"/>
      <c r="B10" s="75"/>
      <c r="C10" s="81" t="s">
        <v>674</v>
      </c>
      <c r="D10" s="88"/>
      <c r="E10" s="88"/>
      <c r="F10" s="88"/>
      <c r="G10" s="88"/>
      <c r="H10" s="88"/>
      <c r="I10" s="88"/>
      <c r="J10" s="622">
        <v>396.75</v>
      </c>
      <c r="K10" s="89">
        <v>548.77777777777771</v>
      </c>
      <c r="L10" s="89">
        <v>720</v>
      </c>
      <c r="M10" s="89">
        <v>863.33333333333337</v>
      </c>
      <c r="N10" s="89">
        <v>805</v>
      </c>
      <c r="O10" s="89">
        <f>AVERAGE(K10:N10)</f>
        <v>734.27777777777783</v>
      </c>
      <c r="P10" s="89">
        <v>756.66666666666663</v>
      </c>
      <c r="Q10" s="89">
        <v>655</v>
      </c>
      <c r="R10" s="89">
        <v>603.33333333333337</v>
      </c>
      <c r="S10" s="89">
        <v>695</v>
      </c>
      <c r="T10" s="89">
        <f>AVERAGE(P10:S10)</f>
        <v>677.5</v>
      </c>
      <c r="U10" s="89">
        <v>703.33333333333337</v>
      </c>
      <c r="V10" s="89">
        <v>783.33333333333337</v>
      </c>
      <c r="W10" s="89">
        <v>826.66666666666663</v>
      </c>
      <c r="X10" s="89">
        <v>765</v>
      </c>
      <c r="Y10" s="89">
        <f>AVERAGE(U10:X10)</f>
        <v>769.58333333333337</v>
      </c>
      <c r="Z10" s="89">
        <v>716.66666666666663</v>
      </c>
      <c r="AA10" s="89">
        <v>726.66666666666663</v>
      </c>
      <c r="AB10" s="89">
        <v>703.33333333333337</v>
      </c>
      <c r="AC10" s="89">
        <v>702</v>
      </c>
      <c r="AD10" s="89">
        <f>AVERAGE(Z10:AC10)</f>
        <v>712.16666666666663</v>
      </c>
      <c r="AE10" s="89">
        <v>857</v>
      </c>
      <c r="AF10" s="89">
        <v>1153</v>
      </c>
      <c r="AG10" s="89">
        <v>1207.3333333333333</v>
      </c>
      <c r="AH10" s="89">
        <v>865</v>
      </c>
      <c r="AI10" s="89">
        <f>AVERAGE(AE10:AH10)</f>
        <v>1020.5833333333333</v>
      </c>
      <c r="AJ10" s="906">
        <v>642.66666666666663</v>
      </c>
      <c r="AK10" s="907">
        <v>519.66666666666663</v>
      </c>
      <c r="AL10" s="907">
        <v>662</v>
      </c>
      <c r="AM10" s="908">
        <v>699</v>
      </c>
      <c r="AN10" s="89">
        <f>AVERAGE(AJ10:AM10)</f>
        <v>630.83333333333326</v>
      </c>
      <c r="AO10" s="906">
        <v>779.66666666666663</v>
      </c>
      <c r="AP10" s="907">
        <v>848</v>
      </c>
      <c r="AQ10" s="907">
        <v>756</v>
      </c>
      <c r="AR10" s="908">
        <v>718</v>
      </c>
      <c r="AS10" s="89">
        <f t="shared" si="0"/>
        <v>775.41666666666663</v>
      </c>
      <c r="AT10" s="906">
        <v>956.33333333333337</v>
      </c>
      <c r="AU10" s="907">
        <v>980</v>
      </c>
      <c r="AV10" s="907">
        <v>867.00063503583408</v>
      </c>
      <c r="AW10" s="908">
        <v>837</v>
      </c>
      <c r="AX10" s="89">
        <f t="shared" si="1"/>
        <v>910.08349209229186</v>
      </c>
      <c r="AY10" s="906">
        <v>888</v>
      </c>
      <c r="AZ10" s="907">
        <v>823.66666666666663</v>
      </c>
      <c r="BA10" s="907">
        <v>796</v>
      </c>
      <c r="BB10" s="908">
        <v>778.99833377093046</v>
      </c>
      <c r="BC10" s="89">
        <f t="shared" si="2"/>
        <v>821.66625010939924</v>
      </c>
      <c r="BD10" s="906">
        <v>781.66666666666663</v>
      </c>
      <c r="BE10" s="907">
        <v>757.33333333333337</v>
      </c>
      <c r="BF10" s="907">
        <v>807.66666666666663</v>
      </c>
      <c r="BG10" s="908">
        <v>827.66301058398369</v>
      </c>
      <c r="BH10" s="89">
        <f t="shared" si="3"/>
        <v>793.58241931266252</v>
      </c>
      <c r="BI10" s="906">
        <v>826.33333333333337</v>
      </c>
      <c r="BJ10" s="907">
        <v>853</v>
      </c>
      <c r="BK10" s="907">
        <v>851.66666666666663</v>
      </c>
      <c r="BL10" s="908">
        <v>829</v>
      </c>
      <c r="BM10" s="89">
        <f t="shared" si="4"/>
        <v>840</v>
      </c>
      <c r="BN10" s="906">
        <v>740.33333333333337</v>
      </c>
      <c r="BO10" s="907">
        <v>652.66666666666663</v>
      </c>
      <c r="BP10" s="1047">
        <v>653.66666666666663</v>
      </c>
      <c r="BQ10" s="1048">
        <v>568.66666666666663</v>
      </c>
      <c r="BR10" s="89">
        <f t="shared" si="5"/>
        <v>653.83333333333326</v>
      </c>
      <c r="BS10" s="906">
        <v>610</v>
      </c>
      <c r="BT10" s="907">
        <v>803</v>
      </c>
      <c r="BU10" s="907">
        <v>864.66666666666663</v>
      </c>
      <c r="BV10" s="908">
        <v>799.66666666666663</v>
      </c>
      <c r="BW10" s="761">
        <f t="shared" si="6"/>
        <v>769.33333333333326</v>
      </c>
      <c r="BX10" s="1023">
        <v>905</v>
      </c>
      <c r="BY10" s="941">
        <v>910.37681159420299</v>
      </c>
      <c r="BZ10" s="941">
        <v>885.73945981554664</v>
      </c>
      <c r="CA10" s="1520">
        <v>878.60110420979981</v>
      </c>
      <c r="CB10" s="761">
        <f t="shared" si="7"/>
        <v>894.92934390488733</v>
      </c>
      <c r="CC10" s="1101">
        <v>929.99057971014497</v>
      </c>
      <c r="CD10" s="1083">
        <v>1120</v>
      </c>
      <c r="CE10" s="1083">
        <v>1080</v>
      </c>
      <c r="CF10" s="1075">
        <v>1040</v>
      </c>
      <c r="CG10" s="1470">
        <f t="shared" si="8"/>
        <v>1042.4976449275364</v>
      </c>
      <c r="CH10" s="1101">
        <v>1050</v>
      </c>
      <c r="CI10" s="1083">
        <v>1015</v>
      </c>
      <c r="CJ10" s="1083">
        <v>1005</v>
      </c>
      <c r="CK10" s="1075">
        <v>960</v>
      </c>
      <c r="CL10" s="761">
        <f t="shared" si="9"/>
        <v>1007.5</v>
      </c>
      <c r="CM10" s="1101">
        <v>900</v>
      </c>
      <c r="CN10" s="1083">
        <v>915</v>
      </c>
      <c r="CO10" s="1083">
        <v>885</v>
      </c>
      <c r="CP10" s="1075">
        <v>885</v>
      </c>
      <c r="CQ10" s="931">
        <f t="shared" si="10"/>
        <v>896.25</v>
      </c>
      <c r="CR10" s="1459"/>
      <c r="CS10" s="90"/>
      <c r="CT10" s="90"/>
      <c r="CU10" s="75"/>
    </row>
    <row r="11" spans="1:99" ht="13.5" customHeight="1">
      <c r="A11" s="75"/>
      <c r="B11" s="75"/>
      <c r="C11" s="75" t="s">
        <v>675</v>
      </c>
      <c r="D11" s="88"/>
      <c r="E11" s="88"/>
      <c r="F11" s="88"/>
      <c r="G11" s="88"/>
      <c r="H11" s="88"/>
      <c r="I11" s="88"/>
      <c r="J11" s="622">
        <v>474.9870422450029</v>
      </c>
      <c r="K11" s="621">
        <v>662.47822230286158</v>
      </c>
      <c r="L11" s="622">
        <v>856.14735855332788</v>
      </c>
      <c r="M11" s="622">
        <v>957.5623695908555</v>
      </c>
      <c r="N11" s="622">
        <v>910.10136381505333</v>
      </c>
      <c r="O11" s="89">
        <f>AVERAGE(K11:N11)</f>
        <v>846.57232856552469</v>
      </c>
      <c r="P11" s="622">
        <v>856.0276996582902</v>
      </c>
      <c r="Q11" s="622">
        <v>760.99290876651844</v>
      </c>
      <c r="R11" s="622">
        <v>683.96655477940067</v>
      </c>
      <c r="S11" s="622">
        <v>756.56203695303759</v>
      </c>
      <c r="T11" s="89">
        <f>AVERAGE(P11:S11)</f>
        <v>764.38730003931175</v>
      </c>
      <c r="U11" s="622">
        <v>777.71175421089242</v>
      </c>
      <c r="V11" s="622">
        <v>841.18515830536148</v>
      </c>
      <c r="W11" s="622">
        <v>872.63418911971939</v>
      </c>
      <c r="X11" s="622">
        <v>843.21742417369751</v>
      </c>
      <c r="Y11" s="89">
        <f>AVERAGE(U11:X11)</f>
        <v>833.6871314524177</v>
      </c>
      <c r="Z11" s="622">
        <v>836.27188605642743</v>
      </c>
      <c r="AA11" s="622">
        <v>882.09743264084193</v>
      </c>
      <c r="AB11" s="622">
        <v>878.06193111373182</v>
      </c>
      <c r="AC11" s="622">
        <v>923.48105476428077</v>
      </c>
      <c r="AD11" s="89">
        <f>AVERAGE(Z11:AC11)</f>
        <v>879.97807614382054</v>
      </c>
      <c r="AE11" s="622">
        <v>1110.0963137681815</v>
      </c>
      <c r="AF11" s="622">
        <v>1479.3704678097311</v>
      </c>
      <c r="AG11" s="622">
        <v>1557.0172971665306</v>
      </c>
      <c r="AH11" s="622">
        <v>1214.7830294233268</v>
      </c>
      <c r="AI11" s="89">
        <f>AVERAGE(AE11:AH11)</f>
        <v>1340.3167770419423</v>
      </c>
      <c r="AJ11" s="909">
        <v>1003.1486891045995</v>
      </c>
      <c r="AK11" s="910">
        <v>885.99888112733981</v>
      </c>
      <c r="AL11" s="910">
        <v>1004.5157398167469</v>
      </c>
      <c r="AM11" s="911">
        <v>1043.8490731500801</v>
      </c>
      <c r="AN11" s="89">
        <f>AVERAGE(AJ11:AM11)</f>
        <v>984.37809579969155</v>
      </c>
      <c r="AO11" s="909">
        <v>1023.4459765943935</v>
      </c>
      <c r="AP11" s="910">
        <v>1118.5898575705344</v>
      </c>
      <c r="AQ11" s="907">
        <f>AQ9+AQ$13/1.1023*1000*0.02</f>
        <v>1073.7037556795067</v>
      </c>
      <c r="AR11" s="908">
        <f>AR9+AR$13/1.1023*1000*0.02</f>
        <v>1134.7102569452634</v>
      </c>
      <c r="AS11" s="89">
        <f t="shared" si="0"/>
        <v>1087.6124616974246</v>
      </c>
      <c r="AT11" s="906">
        <f>AT9+AT$13/1.1023*1000*0.02</f>
        <v>1447.1390401945237</v>
      </c>
      <c r="AU11" s="907">
        <f>AU9+AU$13/1.1023*1000*0.02</f>
        <v>1434.3106960231999</v>
      </c>
      <c r="AV11" s="907">
        <f>AV9+AV$13/1.1023*1000*0.02</f>
        <v>1247.3337752830359</v>
      </c>
      <c r="AW11" s="908">
        <f>AW9+AW$13/1.1023*1000*0.02</f>
        <v>1146.8284861531044</v>
      </c>
      <c r="AX11" s="89">
        <f t="shared" si="1"/>
        <v>1318.902999413466</v>
      </c>
      <c r="AY11" s="906">
        <f>AY9+AY$13/1.1023*1000*0.02</f>
        <v>1240.6014288554643</v>
      </c>
      <c r="AZ11" s="907">
        <f>AZ9+AZ$13/1.1023*1000*0.02</f>
        <v>1139.3767028633808</v>
      </c>
      <c r="BA11" s="907">
        <f>BA9+BA$13/1.1023*1000*0.02</f>
        <v>1085.5856719827755</v>
      </c>
      <c r="BB11" s="908">
        <f>BB9+BB$13/1.1023*1000*0.02</f>
        <v>1120.2168812917116</v>
      </c>
      <c r="BC11" s="89">
        <f t="shared" si="2"/>
        <v>1146.4451712483331</v>
      </c>
      <c r="BD11" s="906">
        <f>BD9+BD$13/1.1023*1000*0.02</f>
        <v>1161.4589494027352</v>
      </c>
      <c r="BE11" s="907">
        <f>BE9+BE$13/1.1023*1000*0.02</f>
        <v>1080.6785130502581</v>
      </c>
      <c r="BF11" s="907">
        <f>BF9+BF$13/1.1023*1000*0.02</f>
        <v>1138.0427840462767</v>
      </c>
      <c r="BG11" s="908">
        <f>BG9+BG$13/1.1023*1000*0.02</f>
        <v>1186.585081153125</v>
      </c>
      <c r="BH11" s="89">
        <f t="shared" si="3"/>
        <v>1141.6913319130988</v>
      </c>
      <c r="BI11" s="906">
        <f>BI9+BI$13/1.1023*1000*0.02</f>
        <v>1187.15500191301</v>
      </c>
      <c r="BJ11" s="907">
        <f>BJ9+BJ$13/1.1023*1000*0.02</f>
        <v>1220.1762533652009</v>
      </c>
      <c r="BK11" s="907">
        <f>BK9+BK$13/1.1023*1000*0.02</f>
        <v>1191.922103210298</v>
      </c>
      <c r="BL11" s="908">
        <f>BL9+BL$13/1.1023*1000*0.02</f>
        <v>1121.1413502718669</v>
      </c>
      <c r="BM11" s="89">
        <f t="shared" si="4"/>
        <v>1180.0986771900939</v>
      </c>
      <c r="BN11" s="906">
        <f>BN9+BN$13/1.1023*1000*0.02</f>
        <v>1007.3710146192994</v>
      </c>
      <c r="BO11" s="907">
        <f>BO9+BO$13/1.1023*1000*0.02</f>
        <v>857.96418942132937</v>
      </c>
      <c r="BP11" s="1047">
        <f>BP9+BP$13/1.1023*1000*0.02</f>
        <v>864.08805255519883</v>
      </c>
      <c r="BQ11" s="1048">
        <f>BQ9+BQ$13/1.1023*1000*0.02</f>
        <v>791.4213858885322</v>
      </c>
      <c r="BR11" s="89">
        <f t="shared" si="5"/>
        <v>880.21116062109002</v>
      </c>
      <c r="BS11" s="906">
        <f>BS9+BS$13/1.1023*1000*0.02</f>
        <v>833.08519823987331</v>
      </c>
      <c r="BT11" s="907">
        <f>BT9+BT$13/1.1023*1000*0.02</f>
        <v>1055.3173156883365</v>
      </c>
      <c r="BU11" s="907">
        <f>BU9+BU$13/1.1023*1000*0.02</f>
        <v>1146.4826775616934</v>
      </c>
      <c r="BV11" s="908">
        <f>BV9+BV$13/1.1023*1000*0.02</f>
        <v>1121.4506629318525</v>
      </c>
      <c r="BW11" s="761">
        <f t="shared" si="6"/>
        <v>1039.0839636054388</v>
      </c>
      <c r="BX11" s="1023">
        <f>BX9+BX$13/1.1023*1000*0.02</f>
        <v>1191.0410629519499</v>
      </c>
      <c r="BY11" s="941">
        <f>BY9+BY$13/1.1023*1000*0.02</f>
        <v>1186.7604234290707</v>
      </c>
      <c r="BZ11" s="941">
        <f>BZ9+BZ$13/1.1023*1000*0.02</f>
        <v>1170.3879889476375</v>
      </c>
      <c r="CA11" s="1520">
        <f>CA9+CA$13/1.1023*1000*0.02</f>
        <v>1175.2837289564209</v>
      </c>
      <c r="CB11" s="761">
        <f t="shared" si="7"/>
        <v>1180.8683010712698</v>
      </c>
      <c r="CC11" s="1101">
        <f>CC9+CC$13/1.1023*1000*0.02</f>
        <v>1259.9093657592316</v>
      </c>
      <c r="CD11" s="1083">
        <f>CD9+CD$13/1.1023*1000*0.02</f>
        <v>1399</v>
      </c>
      <c r="CE11" s="1083">
        <f>CE9+CE$13/1.1023*1000*0.02</f>
        <v>1350</v>
      </c>
      <c r="CF11" s="1075">
        <f>CF9+CF$13/1.1023*1000*0.02</f>
        <v>1315</v>
      </c>
      <c r="CG11" s="1470">
        <f t="shared" si="8"/>
        <v>1330.9773414398078</v>
      </c>
      <c r="CH11" s="1101">
        <f>CH9+CH$13/1.1023*1000*0.02</f>
        <v>1330</v>
      </c>
      <c r="CI11" s="1083">
        <f>CI9+CI$13/1.1023*1000*0.02</f>
        <v>1300</v>
      </c>
      <c r="CJ11" s="1083">
        <f>CJ9+CJ$13/1.1023*1000*0.02</f>
        <v>1290</v>
      </c>
      <c r="CK11" s="1075">
        <f>CK9+CK$13/1.1023*1000*0.02</f>
        <v>1245</v>
      </c>
      <c r="CL11" s="761">
        <f t="shared" si="9"/>
        <v>1291.25</v>
      </c>
      <c r="CM11" s="1101">
        <f>CM9+CM$13/1.1023*1000*0.02</f>
        <v>1230</v>
      </c>
      <c r="CN11" s="1083">
        <f>CN9+CN$13/1.1023*1000*0.02</f>
        <v>1245</v>
      </c>
      <c r="CO11" s="1083">
        <f>CO9+CO$13/1.1023*1000*0.02</f>
        <v>1235</v>
      </c>
      <c r="CP11" s="1075">
        <f>CP9+CP$13/1.1023*1000*0.02</f>
        <v>1235</v>
      </c>
      <c r="CQ11" s="931">
        <f t="shared" si="10"/>
        <v>1236.25</v>
      </c>
      <c r="CR11" s="1459"/>
      <c r="CS11" s="90"/>
      <c r="CT11" s="90"/>
      <c r="CU11" s="75"/>
    </row>
    <row r="12" spans="1:99" ht="13.5" customHeight="1">
      <c r="A12" s="75"/>
      <c r="B12" s="75"/>
      <c r="C12" s="75" t="s">
        <v>676</v>
      </c>
      <c r="D12" s="88"/>
      <c r="E12" s="88"/>
      <c r="F12" s="88"/>
      <c r="G12" s="88"/>
      <c r="H12" s="88"/>
      <c r="I12" s="88"/>
      <c r="J12" s="622">
        <v>224.07693005533883</v>
      </c>
      <c r="K12" s="621">
        <v>349.26970879071035</v>
      </c>
      <c r="L12" s="622">
        <v>465.69294505428041</v>
      </c>
      <c r="M12" s="622">
        <v>480.81284586773108</v>
      </c>
      <c r="N12" s="622">
        <v>498.95672684387188</v>
      </c>
      <c r="O12" s="89">
        <f>AVERAGE(K12:N12)</f>
        <v>448.68305663914839</v>
      </c>
      <c r="P12" s="622">
        <v>492.90876651849157</v>
      </c>
      <c r="Q12" s="622">
        <v>438.4771235900692</v>
      </c>
      <c r="R12" s="622">
        <v>334.14980797725963</v>
      </c>
      <c r="S12" s="622">
        <v>362.87761952281591</v>
      </c>
      <c r="T12" s="89">
        <f>AVERAGE(P12:S12)</f>
        <v>407.10332940215903</v>
      </c>
      <c r="U12" s="622">
        <v>359.85363936012578</v>
      </c>
      <c r="V12" s="622">
        <v>438.4771235900692</v>
      </c>
      <c r="W12" s="622">
        <v>495.93274668118175</v>
      </c>
      <c r="X12" s="622">
        <v>456.62100456620993</v>
      </c>
      <c r="Y12" s="89">
        <f>AVERAGE(U12:X12)</f>
        <v>437.72112854939667</v>
      </c>
      <c r="Z12" s="622">
        <v>441.50110375275932</v>
      </c>
      <c r="AA12" s="622">
        <v>501.980707006562</v>
      </c>
      <c r="AB12" s="622">
        <v>489.88478635580145</v>
      </c>
      <c r="AC12" s="622">
        <v>489.88478635580145</v>
      </c>
      <c r="AD12" s="89">
        <f>AVERAGE(Z12:AC12)</f>
        <v>480.81284586773103</v>
      </c>
      <c r="AE12" s="622">
        <v>544.31642928422389</v>
      </c>
      <c r="AF12" s="622">
        <v>816.47464392633572</v>
      </c>
      <c r="AG12" s="622">
        <v>946.50579092201144</v>
      </c>
      <c r="AH12" s="622">
        <v>559.4363300976745</v>
      </c>
      <c r="AI12" s="89">
        <f>AVERAGE(AE12:AH12)</f>
        <v>716.68329855756133</v>
      </c>
      <c r="AJ12" s="909">
        <v>323.68746862620577</v>
      </c>
      <c r="AK12" s="910">
        <v>118.3</v>
      </c>
      <c r="AL12" s="910">
        <v>293.44766699930449</v>
      </c>
      <c r="AM12" s="911">
        <v>387.069460824337</v>
      </c>
      <c r="AN12" s="89">
        <f>AVERAGE(AJ12:AM12)</f>
        <v>280.6261491124618</v>
      </c>
      <c r="AO12" s="909">
        <v>456.62100456621005</v>
      </c>
      <c r="AP12" s="910">
        <v>547.34040944691401</v>
      </c>
      <c r="AQ12" s="910">
        <v>492.90876651849157</v>
      </c>
      <c r="AR12" s="911">
        <v>483.83682603042121</v>
      </c>
      <c r="AS12" s="89">
        <f t="shared" si="0"/>
        <v>495.17675164050922</v>
      </c>
      <c r="AT12" s="909">
        <v>613.86797302609693</v>
      </c>
      <c r="AU12" s="910">
        <v>669.81160603586443</v>
      </c>
      <c r="AV12" s="910">
        <v>650.15573497837852</v>
      </c>
      <c r="AW12" s="911">
        <v>666.78762587317419</v>
      </c>
      <c r="AX12" s="89">
        <f t="shared" si="1"/>
        <v>650.1557349783784</v>
      </c>
      <c r="AY12" s="909">
        <v>622.93991351416719</v>
      </c>
      <c r="AZ12" s="910">
        <v>559.50951041761164</v>
      </c>
      <c r="BA12" s="910">
        <v>530</v>
      </c>
      <c r="BB12" s="911">
        <v>496.33333333333331</v>
      </c>
      <c r="BC12" s="89">
        <f t="shared" si="2"/>
        <v>552.19568931627805</v>
      </c>
      <c r="BD12" s="909">
        <v>524.35816021046901</v>
      </c>
      <c r="BE12" s="910">
        <v>506.45014968701798</v>
      </c>
      <c r="BF12" s="910">
        <v>544.92122531676193</v>
      </c>
      <c r="BG12" s="911">
        <v>549.75959357706608</v>
      </c>
      <c r="BH12" s="89">
        <f t="shared" si="3"/>
        <v>531.37228219782878</v>
      </c>
      <c r="BI12" s="909">
        <v>539.17411303641575</v>
      </c>
      <c r="BJ12" s="910">
        <v>524.65579858055662</v>
      </c>
      <c r="BK12" s="910">
        <v>511.04801129748739</v>
      </c>
      <c r="BL12" s="911">
        <v>472.0390210860225</v>
      </c>
      <c r="BM12" s="89">
        <f t="shared" si="4"/>
        <v>511.72923600012058</v>
      </c>
      <c r="BN12" s="909">
        <v>399.16538147509749</v>
      </c>
      <c r="BO12" s="910">
        <v>353.80567903474548</v>
      </c>
      <c r="BP12" s="910">
        <v>328.10184765187938</v>
      </c>
      <c r="BQ12" s="911">
        <v>306.93398651304847</v>
      </c>
      <c r="BR12" s="89">
        <f t="shared" si="5"/>
        <v>347.0017236686927</v>
      </c>
      <c r="BS12" s="909">
        <v>297.86204602497804</v>
      </c>
      <c r="BT12" s="910">
        <v>382.53349058030176</v>
      </c>
      <c r="BU12" s="910">
        <v>361.36562944147084</v>
      </c>
      <c r="BV12" s="911">
        <v>390.09344098702712</v>
      </c>
      <c r="BW12" s="761">
        <f t="shared" si="6"/>
        <v>357.96365175844448</v>
      </c>
      <c r="BX12" s="1015">
        <v>452.08503432217481</v>
      </c>
      <c r="BY12" s="941">
        <v>453.16666666666669</v>
      </c>
      <c r="BZ12" s="941">
        <v>460.66666666666669</v>
      </c>
      <c r="CA12" s="1520">
        <v>468.09489302967563</v>
      </c>
      <c r="CB12" s="761">
        <f t="shared" si="7"/>
        <v>458.50331517129598</v>
      </c>
      <c r="CC12" s="1101">
        <v>591.07743412384718</v>
      </c>
      <c r="CD12" s="1083">
        <v>695</v>
      </c>
      <c r="CE12" s="1083">
        <v>680</v>
      </c>
      <c r="CF12" s="1075">
        <v>635</v>
      </c>
      <c r="CG12" s="1470">
        <f t="shared" si="8"/>
        <v>650.26935853096177</v>
      </c>
      <c r="CH12" s="1101">
        <v>650</v>
      </c>
      <c r="CI12" s="1083">
        <v>620</v>
      </c>
      <c r="CJ12" s="1083">
        <v>610</v>
      </c>
      <c r="CK12" s="1075">
        <v>565</v>
      </c>
      <c r="CL12" s="761">
        <f t="shared" si="9"/>
        <v>611.25</v>
      </c>
      <c r="CM12" s="1101">
        <v>510</v>
      </c>
      <c r="CN12" s="1083">
        <v>525</v>
      </c>
      <c r="CO12" s="1083">
        <v>495</v>
      </c>
      <c r="CP12" s="1075">
        <v>495</v>
      </c>
      <c r="CQ12" s="931">
        <f t="shared" si="10"/>
        <v>506.25</v>
      </c>
      <c r="CR12" s="1459"/>
      <c r="CS12" s="90"/>
      <c r="CT12" s="90"/>
      <c r="CU12" s="75"/>
    </row>
    <row r="13" spans="1:99" ht="13.5" customHeight="1">
      <c r="A13" s="75"/>
      <c r="C13" s="75" t="s">
        <v>680</v>
      </c>
      <c r="D13" s="88"/>
      <c r="E13" s="88"/>
      <c r="F13" s="88"/>
      <c r="G13" s="88"/>
      <c r="H13" s="88"/>
      <c r="I13" s="88"/>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906"/>
      <c r="AK13" s="907"/>
      <c r="AL13" s="907"/>
      <c r="AM13" s="908"/>
      <c r="AN13" s="89"/>
      <c r="AO13" s="906">
        <v>17.20555819791425</v>
      </c>
      <c r="AP13" s="907">
        <v>17.804715525860669</v>
      </c>
      <c r="AQ13" s="907">
        <v>20.541567494276006</v>
      </c>
      <c r="AR13" s="908">
        <v>25.906452478204862</v>
      </c>
      <c r="AS13" s="89">
        <f t="shared" si="0"/>
        <v>20.364573424063948</v>
      </c>
      <c r="AT13" s="906">
        <v>29.916736533654504</v>
      </c>
      <c r="AU13" s="907">
        <v>28.585065677985323</v>
      </c>
      <c r="AV13" s="907">
        <v>24.618134358057869</v>
      </c>
      <c r="AW13" s="908">
        <v>20.879132014328349</v>
      </c>
      <c r="AX13" s="89">
        <f t="shared" si="1"/>
        <v>25.999767146006512</v>
      </c>
      <c r="AY13" s="906">
        <v>22.942616084702241</v>
      </c>
      <c r="AZ13" s="907">
        <v>20.5419136449819</v>
      </c>
      <c r="BA13" s="907">
        <v>19.285785977997342</v>
      </c>
      <c r="BB13" s="908">
        <v>21.543546745726019</v>
      </c>
      <c r="BC13" s="89">
        <f t="shared" si="2"/>
        <v>21.078465613351874</v>
      </c>
      <c r="BD13" s="906">
        <v>24.055434996331751</v>
      </c>
      <c r="BE13" s="907">
        <v>20.889237913431646</v>
      </c>
      <c r="BF13" s="907">
        <v>21.258376376043874</v>
      </c>
      <c r="BG13" s="908">
        <v>22.905159393257115</v>
      </c>
      <c r="BH13" s="89">
        <f t="shared" si="3"/>
        <v>22.277052169766094</v>
      </c>
      <c r="BI13" s="906">
        <v>22.624064597102219</v>
      </c>
      <c r="BJ13" s="907">
        <v>23.139642537556377</v>
      </c>
      <c r="BK13" s="907">
        <v>21.913105051768909</v>
      </c>
      <c r="BL13" s="908">
        <v>19.867562186900621</v>
      </c>
      <c r="BM13" s="89">
        <f t="shared" si="4"/>
        <v>21.886093593332028</v>
      </c>
      <c r="BN13" s="906">
        <v>18.373743470742692</v>
      </c>
      <c r="BO13" s="907">
        <v>15.61394296662324</v>
      </c>
      <c r="BP13" s="1047">
        <v>15.216593016579784</v>
      </c>
      <c r="BQ13" s="1048">
        <v>15.216593016579784</v>
      </c>
      <c r="BR13" s="89">
        <f t="shared" si="5"/>
        <v>16.105218117631374</v>
      </c>
      <c r="BS13" s="986">
        <v>15.510382367657289</v>
      </c>
      <c r="BT13" s="987">
        <v>16.901050520829337</v>
      </c>
      <c r="BU13" s="987">
        <v>18.600357773812735</v>
      </c>
      <c r="BV13" s="988">
        <v>20.821564954155715</v>
      </c>
      <c r="BW13" s="89">
        <f t="shared" si="6"/>
        <v>17.95833890411377</v>
      </c>
      <c r="BX13" s="986">
        <v>20.027379851263394</v>
      </c>
      <c r="BY13" s="987">
        <v>19.919255302510624</v>
      </c>
      <c r="BZ13" s="987">
        <v>20.513598487133628</v>
      </c>
      <c r="CA13" s="988">
        <v>20.513598487133628</v>
      </c>
      <c r="CB13" s="89">
        <f t="shared" si="7"/>
        <v>20.243458032010317</v>
      </c>
      <c r="CC13" s="1101">
        <v>20.513598487133628</v>
      </c>
      <c r="CD13" s="1083">
        <v>21.164159999999999</v>
      </c>
      <c r="CE13" s="1083">
        <v>20.9437</v>
      </c>
      <c r="CF13" s="1075">
        <v>20.9437</v>
      </c>
      <c r="CG13" s="1471">
        <f t="shared" si="8"/>
        <v>20.891289621783407</v>
      </c>
      <c r="CH13" s="1101">
        <v>20.9437</v>
      </c>
      <c r="CI13" s="1083">
        <v>20.9437</v>
      </c>
      <c r="CJ13" s="1083">
        <v>20.9437</v>
      </c>
      <c r="CK13" s="1075">
        <v>20.9437</v>
      </c>
      <c r="CL13" s="89">
        <f t="shared" si="9"/>
        <v>20.9437</v>
      </c>
      <c r="CM13" s="1101">
        <v>23.148299999999999</v>
      </c>
      <c r="CN13" s="1083">
        <v>23.148299999999999</v>
      </c>
      <c r="CO13" s="1083">
        <v>24.250599999999999</v>
      </c>
      <c r="CP13" s="1075">
        <v>24.250599999999999</v>
      </c>
      <c r="CQ13" s="907">
        <f t="shared" si="10"/>
        <v>23.699449999999999</v>
      </c>
      <c r="CR13" s="1459"/>
      <c r="CS13" s="90"/>
      <c r="CT13" s="90"/>
      <c r="CU13" s="75"/>
    </row>
    <row r="14" spans="1:99" ht="13.5" customHeight="1">
      <c r="A14" s="87"/>
      <c r="B14" s="87" t="s">
        <v>689</v>
      </c>
      <c r="C14" s="87"/>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904"/>
      <c r="AK14" s="81"/>
      <c r="AL14" s="81"/>
      <c r="AM14" s="905"/>
      <c r="AN14" s="75"/>
      <c r="AO14" s="904"/>
      <c r="AP14" s="81"/>
      <c r="AQ14" s="81"/>
      <c r="AR14" s="905"/>
      <c r="AS14" s="97"/>
      <c r="AT14" s="904"/>
      <c r="AU14" s="81"/>
      <c r="AV14" s="81"/>
      <c r="AW14" s="905"/>
      <c r="AX14" s="97"/>
      <c r="AY14" s="904"/>
      <c r="AZ14" s="81"/>
      <c r="BA14" s="81"/>
      <c r="BB14" s="905"/>
      <c r="BC14" s="97"/>
      <c r="BD14" s="904"/>
      <c r="BE14" s="81"/>
      <c r="BF14" s="81"/>
      <c r="BG14" s="905"/>
      <c r="BH14" s="97"/>
      <c r="BI14" s="904"/>
      <c r="BJ14" s="81"/>
      <c r="BK14" s="81"/>
      <c r="BL14" s="905"/>
      <c r="BM14" s="97"/>
      <c r="BN14" s="904"/>
      <c r="BO14" s="81"/>
      <c r="BP14" s="81"/>
      <c r="BQ14" s="905"/>
      <c r="BR14" s="97"/>
      <c r="BS14" s="904"/>
      <c r="BT14" s="81"/>
      <c r="BU14" s="81"/>
      <c r="BV14" s="1067"/>
      <c r="BW14" s="860"/>
      <c r="BX14" s="1076"/>
      <c r="BY14" s="279"/>
      <c r="BZ14" s="279"/>
      <c r="CA14" s="1067"/>
      <c r="CB14" s="860"/>
      <c r="CC14" s="1076"/>
      <c r="CD14" s="279"/>
      <c r="CE14" s="279"/>
      <c r="CF14" s="1067"/>
      <c r="CG14" s="1472"/>
      <c r="CH14" s="1076"/>
      <c r="CI14" s="279"/>
      <c r="CJ14" s="279"/>
      <c r="CK14" s="1067"/>
      <c r="CL14" s="860"/>
      <c r="CM14" s="1076"/>
      <c r="CN14" s="279"/>
      <c r="CO14" s="279"/>
      <c r="CP14" s="1067"/>
      <c r="CQ14" s="1455"/>
      <c r="CR14" s="81"/>
      <c r="CS14" s="75"/>
      <c r="CT14" s="75"/>
      <c r="CU14" s="75"/>
    </row>
    <row r="15" spans="1:99" ht="13.5" customHeight="1">
      <c r="A15" s="75"/>
      <c r="B15" s="75"/>
      <c r="C15" s="81" t="s">
        <v>677</v>
      </c>
      <c r="D15" s="88"/>
      <c r="E15" s="88"/>
      <c r="F15" s="88"/>
      <c r="G15" s="88"/>
      <c r="H15" s="88"/>
      <c r="I15" s="88"/>
      <c r="J15" s="622">
        <v>882.66666666666663</v>
      </c>
      <c r="K15" s="89">
        <v>929.33333333333337</v>
      </c>
      <c r="L15" s="89">
        <v>1297.3333333333333</v>
      </c>
      <c r="M15" s="89">
        <v>1454.6666666666667</v>
      </c>
      <c r="N15" s="89">
        <v>1480.3333333333333</v>
      </c>
      <c r="O15" s="89">
        <f>AVERAGE(K15:N15)</f>
        <v>1290.4166666666665</v>
      </c>
      <c r="P15" s="89">
        <v>1527</v>
      </c>
      <c r="Q15" s="89">
        <v>1569.6666666666667</v>
      </c>
      <c r="R15" s="89">
        <v>1556</v>
      </c>
      <c r="S15" s="89">
        <v>1553.6666666666667</v>
      </c>
      <c r="T15" s="89">
        <f>AVERAGE(P15:S15)</f>
        <v>1551.5833333333335</v>
      </c>
      <c r="U15" s="89">
        <v>1569.3333333333333</v>
      </c>
      <c r="V15" s="89">
        <v>1565</v>
      </c>
      <c r="W15" s="89">
        <v>1576</v>
      </c>
      <c r="X15" s="89">
        <v>1536</v>
      </c>
      <c r="Y15" s="89">
        <f>AVERAGE(U15:X15)</f>
        <v>1561.5833333333333</v>
      </c>
      <c r="Z15" s="89">
        <v>1517.3333333333333</v>
      </c>
      <c r="AA15" s="89">
        <v>1467.6666666666667</v>
      </c>
      <c r="AB15" s="89">
        <v>1472.3333333333333</v>
      </c>
      <c r="AC15" s="89">
        <v>1470</v>
      </c>
      <c r="AD15" s="89">
        <f>AVERAGE(Z15:AC15)</f>
        <v>1481.8333333333333</v>
      </c>
      <c r="AE15" s="89">
        <v>1499</v>
      </c>
      <c r="AF15" s="89">
        <v>2108</v>
      </c>
      <c r="AG15" s="89">
        <v>3196</v>
      </c>
      <c r="AH15" s="89">
        <v>3086.6666666666665</v>
      </c>
      <c r="AI15" s="89">
        <f>AVERAGE(AE15:AH15)</f>
        <v>2472.4166666666665</v>
      </c>
      <c r="AJ15" s="906">
        <v>2260</v>
      </c>
      <c r="AK15" s="907">
        <v>1563</v>
      </c>
      <c r="AL15" s="907">
        <v>1477</v>
      </c>
      <c r="AM15" s="908">
        <v>1503.3333333333333</v>
      </c>
      <c r="AN15" s="89">
        <f>AVERAGE(AJ15:AM15)</f>
        <v>1700.8333333333333</v>
      </c>
      <c r="AO15" s="906">
        <v>1616.6666666666667</v>
      </c>
      <c r="AP15" s="907">
        <v>1779</v>
      </c>
      <c r="AQ15" s="907">
        <v>1829</v>
      </c>
      <c r="AR15" s="908">
        <v>1767</v>
      </c>
      <c r="AS15" s="89">
        <f>AVERAGE(AO15:AR15)</f>
        <v>1747.9166666666667</v>
      </c>
      <c r="AT15" s="906">
        <v>1757.6666666666667</v>
      </c>
      <c r="AU15" s="907">
        <v>1926.3333333333333</v>
      </c>
      <c r="AV15" s="907">
        <v>1996.6666666666667</v>
      </c>
      <c r="AW15" s="908">
        <v>2040.6666666666667</v>
      </c>
      <c r="AX15" s="89">
        <f>AVERAGE(AT15:AW15)</f>
        <v>1930.3333333333335</v>
      </c>
      <c r="AY15" s="906">
        <v>2028.3333333333333</v>
      </c>
      <c r="AZ15" s="907">
        <v>2000.3333333333333</v>
      </c>
      <c r="BA15" s="907">
        <v>1927</v>
      </c>
      <c r="BB15" s="908">
        <v>1888.6666666666667</v>
      </c>
      <c r="BC15" s="89">
        <f>AVERAGE(AY15:BB15)</f>
        <v>1961.0833333333333</v>
      </c>
      <c r="BD15" s="906">
        <v>1837.6666666666667</v>
      </c>
      <c r="BE15" s="907">
        <v>1759.3333333333333</v>
      </c>
      <c r="BF15" s="907">
        <v>1725.3333333333333</v>
      </c>
      <c r="BG15" s="908">
        <v>1723</v>
      </c>
      <c r="BH15" s="89">
        <f>AVERAGE(BD15:BG15)</f>
        <v>1761.3333333333333</v>
      </c>
      <c r="BI15" s="906">
        <v>1691.6666666666667</v>
      </c>
      <c r="BJ15" s="907">
        <v>1705.3333333333333</v>
      </c>
      <c r="BK15" s="907">
        <v>1792.3333333333333</v>
      </c>
      <c r="BL15" s="908">
        <v>1929.6666666666667</v>
      </c>
      <c r="BM15" s="89">
        <f>AVERAGE(BI15:BL15)</f>
        <v>1779.75</v>
      </c>
      <c r="BN15" s="906">
        <v>1768</v>
      </c>
      <c r="BO15" s="907">
        <v>1593.3333333333333</v>
      </c>
      <c r="BP15" s="907">
        <v>1445</v>
      </c>
      <c r="BQ15" s="908">
        <v>1304.3333333333333</v>
      </c>
      <c r="BR15" s="89">
        <f>AVERAGE(BN15:BQ15)</f>
        <v>1527.6666666666665</v>
      </c>
      <c r="BS15" s="906">
        <v>1213.3333333333333</v>
      </c>
      <c r="BT15" s="907">
        <v>1171.6666666666667</v>
      </c>
      <c r="BU15" s="907">
        <v>1198.3333333333333</v>
      </c>
      <c r="BV15" s="908">
        <v>1182.3333333333333</v>
      </c>
      <c r="BW15" s="761">
        <f>AVERAGE(BS15:BV15)</f>
        <v>1191.4166666666665</v>
      </c>
      <c r="BX15" s="1023">
        <v>1312.3333333333333</v>
      </c>
      <c r="BY15" s="941">
        <v>1504.6666666666667</v>
      </c>
      <c r="BZ15" s="941">
        <v>1509.6666666666667</v>
      </c>
      <c r="CA15" s="1520">
        <v>1524</v>
      </c>
      <c r="CB15" s="761">
        <f>AVERAGE(BX15:CA15)</f>
        <v>1462.6666666666667</v>
      </c>
      <c r="CC15" s="1101">
        <v>1584.6666666666667</v>
      </c>
      <c r="CD15" s="1083">
        <v>1780</v>
      </c>
      <c r="CE15" s="1083">
        <v>1760</v>
      </c>
      <c r="CF15" s="1075">
        <v>1745</v>
      </c>
      <c r="CG15" s="1470">
        <f>AVERAGE(CC15:CF15)</f>
        <v>1717.4166666666667</v>
      </c>
      <c r="CH15" s="1101">
        <v>1755</v>
      </c>
      <c r="CI15" s="1083">
        <v>1760</v>
      </c>
      <c r="CJ15" s="1083">
        <v>1755</v>
      </c>
      <c r="CK15" s="1075">
        <v>1735</v>
      </c>
      <c r="CL15" s="761">
        <f>AVERAGE(CH15:CK15)</f>
        <v>1751.25</v>
      </c>
      <c r="CM15" s="1101">
        <v>1705</v>
      </c>
      <c r="CN15" s="1083">
        <v>1710</v>
      </c>
      <c r="CO15" s="1083">
        <v>1705</v>
      </c>
      <c r="CP15" s="1075">
        <v>1685</v>
      </c>
      <c r="CQ15" s="931">
        <f>AVERAGE(CM15:CP15)</f>
        <v>1701.25</v>
      </c>
      <c r="CR15" s="1459"/>
      <c r="CS15" s="90"/>
      <c r="CT15" s="90"/>
      <c r="CU15" s="75"/>
    </row>
    <row r="16" spans="1:99" ht="13.5" customHeight="1">
      <c r="A16" s="75"/>
      <c r="B16" s="75"/>
      <c r="C16" s="81" t="s">
        <v>678</v>
      </c>
      <c r="D16" s="88"/>
      <c r="E16" s="88"/>
      <c r="F16" s="88"/>
      <c r="G16" s="88"/>
      <c r="H16" s="88"/>
      <c r="I16" s="88"/>
      <c r="J16" s="622">
        <v>789.66666666666663</v>
      </c>
      <c r="K16" s="89">
        <v>831</v>
      </c>
      <c r="L16" s="89">
        <v>1259.3333333333333</v>
      </c>
      <c r="M16" s="89">
        <v>1315.6666666666667</v>
      </c>
      <c r="N16" s="89">
        <v>1318.3333333333333</v>
      </c>
      <c r="O16" s="89">
        <f>AVERAGE(K16:N16)</f>
        <v>1181.0833333333333</v>
      </c>
      <c r="P16" s="89">
        <v>1358.3333333333333</v>
      </c>
      <c r="Q16" s="89">
        <v>1330.3333333333333</v>
      </c>
      <c r="R16" s="89">
        <v>1352</v>
      </c>
      <c r="S16" s="89">
        <v>1358.3333333333333</v>
      </c>
      <c r="T16" s="89">
        <f>AVERAGE(P16:S16)</f>
        <v>1349.75</v>
      </c>
      <c r="U16" s="89">
        <v>1352.3333333333333</v>
      </c>
      <c r="V16" s="89">
        <v>1369.6666666666667</v>
      </c>
      <c r="W16" s="89">
        <v>1385</v>
      </c>
      <c r="X16" s="89">
        <v>1360.6666666666667</v>
      </c>
      <c r="Y16" s="89">
        <f>AVERAGE(U16:X16)</f>
        <v>1366.9166666666667</v>
      </c>
      <c r="Z16" s="89">
        <v>1332.3333333333333</v>
      </c>
      <c r="AA16" s="89">
        <v>1305.3333333333333</v>
      </c>
      <c r="AB16" s="89">
        <v>1276.3333333333333</v>
      </c>
      <c r="AC16" s="89">
        <v>1289</v>
      </c>
      <c r="AD16" s="89">
        <f>AVERAGE(Z16:AC16)</f>
        <v>1300.75</v>
      </c>
      <c r="AE16" s="89">
        <v>1321.3333333333333</v>
      </c>
      <c r="AF16" s="89">
        <v>1921</v>
      </c>
      <c r="AG16" s="89">
        <v>2941.6666666666665</v>
      </c>
      <c r="AH16" s="89">
        <v>2769</v>
      </c>
      <c r="AI16" s="89">
        <f>AVERAGE(AE16:AH16)</f>
        <v>2238.25</v>
      </c>
      <c r="AJ16" s="906">
        <v>2164</v>
      </c>
      <c r="AK16" s="907">
        <v>1602</v>
      </c>
      <c r="AL16" s="907">
        <v>1430</v>
      </c>
      <c r="AM16" s="908">
        <v>1376.3333333333333</v>
      </c>
      <c r="AN16" s="89">
        <f>AVERAGE(AJ16:AM16)</f>
        <v>1643.0833333333333</v>
      </c>
      <c r="AO16" s="906">
        <v>1540</v>
      </c>
      <c r="AP16" s="907">
        <v>1683.6666666666667</v>
      </c>
      <c r="AQ16" s="907">
        <v>1744.3333333333333</v>
      </c>
      <c r="AR16" s="908">
        <v>1677.3333333333333</v>
      </c>
      <c r="AS16" s="89">
        <f>AVERAGE(AO16:AR16)</f>
        <v>1661.3333333333333</v>
      </c>
      <c r="AT16" s="906">
        <v>1691.3333333333333</v>
      </c>
      <c r="AU16" s="907">
        <v>1749.6666666666667</v>
      </c>
      <c r="AV16" s="907">
        <v>1780</v>
      </c>
      <c r="AW16" s="908">
        <v>1759.3333333333333</v>
      </c>
      <c r="AX16" s="89">
        <f>AVERAGE(AT16:AW16)</f>
        <v>1745.0833333333333</v>
      </c>
      <c r="AY16" s="906">
        <v>1699.3333333333333</v>
      </c>
      <c r="AZ16" s="907">
        <v>1624</v>
      </c>
      <c r="BA16" s="907">
        <v>1584</v>
      </c>
      <c r="BB16" s="908">
        <v>1518.6666666666667</v>
      </c>
      <c r="BC16" s="89">
        <f>AVERAGE(AY16:BB16)</f>
        <v>1606.5</v>
      </c>
      <c r="BD16" s="906">
        <v>1475.6666666666667</v>
      </c>
      <c r="BE16" s="907">
        <v>1441.3333333333333</v>
      </c>
      <c r="BF16" s="907">
        <v>1397.3333333333333</v>
      </c>
      <c r="BG16" s="908">
        <v>1406.3333333333333</v>
      </c>
      <c r="BH16" s="89">
        <f>AVERAGE(BD16:BG16)</f>
        <v>1430.1666666666665</v>
      </c>
      <c r="BI16" s="906">
        <v>1395.6666666666667</v>
      </c>
      <c r="BJ16" s="907">
        <v>1436.3333333333333</v>
      </c>
      <c r="BK16" s="907">
        <v>1557.3333333333333</v>
      </c>
      <c r="BL16" s="908">
        <v>1606.6666666666667</v>
      </c>
      <c r="BM16" s="89">
        <f>AVERAGE(BI16:BL16)</f>
        <v>1499</v>
      </c>
      <c r="BN16" s="906">
        <v>1466.6666666666667</v>
      </c>
      <c r="BO16" s="907">
        <v>1296</v>
      </c>
      <c r="BP16" s="907">
        <v>1184.6666666666667</v>
      </c>
      <c r="BQ16" s="908">
        <v>1088</v>
      </c>
      <c r="BR16" s="89">
        <f>AVERAGE(BN16:BQ16)</f>
        <v>1258.8333333333335</v>
      </c>
      <c r="BS16" s="906">
        <v>1034.3333333333333</v>
      </c>
      <c r="BT16" s="907">
        <v>995</v>
      </c>
      <c r="BU16" s="907">
        <v>1011.6666666666666</v>
      </c>
      <c r="BV16" s="908">
        <v>1000.3333333333334</v>
      </c>
      <c r="BW16" s="761">
        <f>AVERAGE(BS16:BV16)</f>
        <v>1010.3333333333334</v>
      </c>
      <c r="BX16" s="1023">
        <v>1117</v>
      </c>
      <c r="BY16" s="941">
        <v>1316.3333333333333</v>
      </c>
      <c r="BZ16" s="941">
        <v>1308.6666666666667</v>
      </c>
      <c r="CA16" s="1520">
        <v>1302.6666666666667</v>
      </c>
      <c r="CB16" s="761">
        <f>AVERAGE(BX16:CA16)</f>
        <v>1261.1666666666667</v>
      </c>
      <c r="CC16" s="1101">
        <v>1352.6666666666667</v>
      </c>
      <c r="CD16" s="1083">
        <v>1535</v>
      </c>
      <c r="CE16" s="1083">
        <v>1505</v>
      </c>
      <c r="CF16" s="1075">
        <v>1485</v>
      </c>
      <c r="CG16" s="1470">
        <f>AVERAGE(CC16:CF16)</f>
        <v>1469.4166666666667</v>
      </c>
      <c r="CH16" s="1101">
        <v>1500</v>
      </c>
      <c r="CI16" s="1083">
        <v>1470</v>
      </c>
      <c r="CJ16" s="1083">
        <v>1460</v>
      </c>
      <c r="CK16" s="1075">
        <v>1415</v>
      </c>
      <c r="CL16" s="761">
        <f>AVERAGE(CH16:CK16)</f>
        <v>1461.25</v>
      </c>
      <c r="CM16" s="1101">
        <v>1360</v>
      </c>
      <c r="CN16" s="1083">
        <v>1375</v>
      </c>
      <c r="CO16" s="1083">
        <v>1345</v>
      </c>
      <c r="CP16" s="1075">
        <v>1345</v>
      </c>
      <c r="CQ16" s="931">
        <f>AVERAGE(CM16:CP16)</f>
        <v>1356.25</v>
      </c>
      <c r="CR16" s="1459"/>
      <c r="CS16" s="90"/>
      <c r="CT16" s="90"/>
      <c r="CU16" s="75"/>
    </row>
    <row r="17" spans="1:110" ht="13.5" customHeight="1">
      <c r="A17" s="87"/>
      <c r="B17" s="87" t="s">
        <v>679</v>
      </c>
      <c r="C17" s="87"/>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904"/>
      <c r="AK17" s="81"/>
      <c r="AL17" s="81"/>
      <c r="AM17" s="905"/>
      <c r="AN17" s="75"/>
      <c r="AO17" s="904"/>
      <c r="AP17" s="81"/>
      <c r="AQ17" s="81"/>
      <c r="AR17" s="905"/>
      <c r="AS17" s="75"/>
      <c r="AT17" s="904"/>
      <c r="AU17" s="81"/>
      <c r="AV17" s="81"/>
      <c r="AW17" s="905"/>
      <c r="AX17" s="75"/>
      <c r="AY17" s="904"/>
      <c r="AZ17" s="81"/>
      <c r="BA17" s="81"/>
      <c r="BB17" s="905"/>
      <c r="BC17" s="75"/>
      <c r="BD17" s="904"/>
      <c r="BE17" s="81"/>
      <c r="BF17" s="81"/>
      <c r="BG17" s="905"/>
      <c r="BH17" s="75"/>
      <c r="BI17" s="904"/>
      <c r="BJ17" s="81"/>
      <c r="BK17" s="81"/>
      <c r="BL17" s="905"/>
      <c r="BM17" s="75"/>
      <c r="BN17" s="904"/>
      <c r="BO17" s="81"/>
      <c r="BP17" s="81"/>
      <c r="BQ17" s="905"/>
      <c r="BR17" s="75"/>
      <c r="BS17" s="904"/>
      <c r="BT17" s="81"/>
      <c r="BU17" s="81"/>
      <c r="BV17" s="1067"/>
      <c r="BW17" s="762"/>
      <c r="BX17" s="1076"/>
      <c r="BY17" s="279"/>
      <c r="BZ17" s="279"/>
      <c r="CA17" s="1067"/>
      <c r="CB17" s="762"/>
      <c r="CC17" s="1076"/>
      <c r="CD17" s="279"/>
      <c r="CE17" s="279"/>
      <c r="CF17" s="1067"/>
      <c r="CG17" s="1473"/>
      <c r="CH17" s="1076"/>
      <c r="CI17" s="279"/>
      <c r="CJ17" s="279"/>
      <c r="CK17" s="1067"/>
      <c r="CL17" s="762"/>
      <c r="CM17" s="1076"/>
      <c r="CN17" s="279"/>
      <c r="CO17" s="279"/>
      <c r="CP17" s="1067"/>
      <c r="CQ17" s="1456"/>
      <c r="CR17" s="81"/>
      <c r="CS17" s="75"/>
      <c r="CT17" s="75"/>
      <c r="CU17" s="75"/>
    </row>
    <row r="18" spans="1:110" ht="13.5" customHeight="1">
      <c r="A18" s="75"/>
      <c r="B18" s="75"/>
      <c r="C18" s="75" t="s">
        <v>672</v>
      </c>
      <c r="D18" s="88"/>
      <c r="E18" s="88"/>
      <c r="F18" s="88"/>
      <c r="G18" s="88"/>
      <c r="H18" s="88"/>
      <c r="I18" s="88"/>
      <c r="J18" s="622">
        <v>238.96704087944198</v>
      </c>
      <c r="K18" s="622">
        <v>389.69870137293185</v>
      </c>
      <c r="L18" s="622">
        <v>474.88933466493029</v>
      </c>
      <c r="M18" s="622">
        <v>531.44783969156367</v>
      </c>
      <c r="N18" s="622">
        <v>603.82081586391757</v>
      </c>
      <c r="O18" s="622">
        <v>499.96417289833585</v>
      </c>
      <c r="P18" s="622">
        <v>617.4398309626223</v>
      </c>
      <c r="Q18" s="622">
        <v>543.11763740101492</v>
      </c>
      <c r="R18" s="622">
        <v>438.694054227533</v>
      </c>
      <c r="S18" s="622">
        <v>435.04539142766782</v>
      </c>
      <c r="T18" s="622">
        <v>508.57422850470948</v>
      </c>
      <c r="U18" s="622">
        <v>451.02378842388737</v>
      </c>
      <c r="V18" s="622">
        <v>540.27771554217043</v>
      </c>
      <c r="W18" s="622">
        <v>561.92697356582073</v>
      </c>
      <c r="X18" s="622">
        <v>561.66809495925838</v>
      </c>
      <c r="Y18" s="622">
        <v>528.7241431227842</v>
      </c>
      <c r="Z18" s="622">
        <v>555.71913717260065</v>
      </c>
      <c r="AA18" s="622">
        <v>602.18397843663251</v>
      </c>
      <c r="AB18" s="622">
        <v>618.37053577719405</v>
      </c>
      <c r="AC18" s="622">
        <v>649.69490431036741</v>
      </c>
      <c r="AD18" s="622">
        <v>606.49213892419868</v>
      </c>
      <c r="AE18" s="622">
        <v>717.65748993676448</v>
      </c>
      <c r="AF18" s="622">
        <v>916.51131154572818</v>
      </c>
      <c r="AG18" s="622">
        <v>1054.3847131178773</v>
      </c>
      <c r="AH18" s="622">
        <v>673.8541266301379</v>
      </c>
      <c r="AI18" s="622">
        <v>840.60191030762689</v>
      </c>
      <c r="AJ18" s="909">
        <v>490.69392760022964</v>
      </c>
      <c r="AK18" s="910">
        <v>465.05467323222973</v>
      </c>
      <c r="AL18" s="910">
        <v>547.80209485474666</v>
      </c>
      <c r="AM18" s="911">
        <v>560.81299804606147</v>
      </c>
      <c r="AN18" s="622">
        <v>516.0909234333169</v>
      </c>
      <c r="AO18" s="909">
        <v>522.60666849222275</v>
      </c>
      <c r="AP18" s="910">
        <v>680.037664333934</v>
      </c>
      <c r="AQ18" s="907">
        <v>655.59499999999991</v>
      </c>
      <c r="AR18" s="908">
        <v>629.96</v>
      </c>
      <c r="AS18" s="89">
        <f t="shared" ref="AS18:AS23" si="11">AVERAGE(AO18:AR18)</f>
        <v>622.04983320653912</v>
      </c>
      <c r="AT18" s="906">
        <v>771.7883333333333</v>
      </c>
      <c r="AU18" s="907">
        <v>772.87666666666667</v>
      </c>
      <c r="AV18" s="907">
        <v>689.85666666666668</v>
      </c>
      <c r="AW18" s="908">
        <v>620.28833333333341</v>
      </c>
      <c r="AX18" s="89">
        <f t="shared" ref="AX18:AX23" si="12">AVERAGE(AT18:AW18)</f>
        <v>713.70249999999999</v>
      </c>
      <c r="AY18" s="906">
        <v>651.60666666666668</v>
      </c>
      <c r="AZ18" s="907">
        <v>633.90666666666664</v>
      </c>
      <c r="BA18" s="907">
        <v>573.92166666666662</v>
      </c>
      <c r="BB18" s="908">
        <v>560.94166666666672</v>
      </c>
      <c r="BC18" s="89">
        <f t="shared" ref="BC18:BC23" si="13">AVERAGE(AY18:BB18)</f>
        <v>605.09416666666664</v>
      </c>
      <c r="BD18" s="906">
        <v>598.68333333333328</v>
      </c>
      <c r="BE18" s="907">
        <v>545.82666666666671</v>
      </c>
      <c r="BF18" s="907">
        <v>528.89666666666665</v>
      </c>
      <c r="BG18" s="908">
        <v>557.005</v>
      </c>
      <c r="BH18" s="89">
        <f t="shared" ref="BH18:BH23" si="14">AVERAGE(BD18:BG18)</f>
        <v>557.60291666666672</v>
      </c>
      <c r="BI18" s="906">
        <v>558.54</v>
      </c>
      <c r="BJ18" s="907">
        <v>531.26499999999999</v>
      </c>
      <c r="BK18" s="907">
        <v>503.75500000000005</v>
      </c>
      <c r="BL18" s="908">
        <v>467.42666666666668</v>
      </c>
      <c r="BM18" s="89">
        <f t="shared" ref="BM18:BM23" si="15">AVERAGE(BI18:BL18)</f>
        <v>515.24666666666667</v>
      </c>
      <c r="BN18" s="906">
        <v>419.26666666666665</v>
      </c>
      <c r="BO18" s="907">
        <v>402.66333333333336</v>
      </c>
      <c r="BP18" s="907">
        <v>378.14999999999992</v>
      </c>
      <c r="BQ18" s="908">
        <v>328.42666666666668</v>
      </c>
      <c r="BR18" s="89">
        <f t="shared" ref="BR18:BR23" si="16">AVERAGE(BN18:BQ18)</f>
        <v>382.12666666666667</v>
      </c>
      <c r="BS18" s="906">
        <v>329.17333333333335</v>
      </c>
      <c r="BT18" s="907">
        <v>422.82</v>
      </c>
      <c r="BU18" s="907">
        <v>431.88333333333338</v>
      </c>
      <c r="BV18" s="908">
        <v>487.82666666666665</v>
      </c>
      <c r="BW18" s="761">
        <f t="shared" ref="BW18:BW23" si="17">AVERAGE(BS18:BV18)</f>
        <v>417.92583333333334</v>
      </c>
      <c r="BX18" s="1023">
        <v>549.59833333333324</v>
      </c>
      <c r="BY18" s="941">
        <v>520.82499999999993</v>
      </c>
      <c r="BZ18" s="941">
        <v>550.50793650793651</v>
      </c>
      <c r="CA18" s="1520">
        <v>574.73968253968246</v>
      </c>
      <c r="CB18" s="761">
        <f t="shared" ref="CB18:CB23" si="18">AVERAGE(BX18:CA18)</f>
        <v>548.91773809523806</v>
      </c>
      <c r="CC18" s="1101">
        <v>625.47905270092224</v>
      </c>
      <c r="CD18" s="1083">
        <v>625</v>
      </c>
      <c r="CE18" s="1083">
        <v>590</v>
      </c>
      <c r="CF18" s="1075">
        <v>560</v>
      </c>
      <c r="CG18" s="1470">
        <f t="shared" ref="CG18:CG23" si="19">AVERAGE(CC18:CF18)</f>
        <v>600.11976317523056</v>
      </c>
      <c r="CH18" s="1101">
        <v>550</v>
      </c>
      <c r="CI18" s="1083">
        <v>550</v>
      </c>
      <c r="CJ18" s="1083">
        <v>520</v>
      </c>
      <c r="CK18" s="1075">
        <v>520</v>
      </c>
      <c r="CL18" s="761">
        <f t="shared" ref="CL18:CL23" si="20">AVERAGE(CH18:CK18)</f>
        <v>535</v>
      </c>
      <c r="CM18" s="1101">
        <v>520</v>
      </c>
      <c r="CN18" s="1083">
        <v>530</v>
      </c>
      <c r="CO18" s="1083">
        <v>515</v>
      </c>
      <c r="CP18" s="1075">
        <v>515</v>
      </c>
      <c r="CQ18" s="931">
        <f t="shared" ref="CQ18:CQ23" si="21">AVERAGE(CM18:CP18)</f>
        <v>520</v>
      </c>
      <c r="CR18" s="1459"/>
      <c r="CS18" s="90"/>
      <c r="CT18" s="90"/>
      <c r="CU18" s="75"/>
    </row>
    <row r="19" spans="1:110" ht="13.5" customHeight="1">
      <c r="A19" s="75"/>
      <c r="B19" s="75"/>
      <c r="C19" s="75" t="s">
        <v>673</v>
      </c>
      <c r="D19" s="88"/>
      <c r="E19" s="88"/>
      <c r="F19" s="88"/>
      <c r="G19" s="88"/>
      <c r="H19" s="88"/>
      <c r="I19" s="88"/>
      <c r="J19" s="622">
        <v>408.24865479309756</v>
      </c>
      <c r="K19" s="622">
        <v>472.69352475512085</v>
      </c>
      <c r="L19" s="622">
        <v>562.22535550125531</v>
      </c>
      <c r="M19" s="622">
        <v>634.01865317687555</v>
      </c>
      <c r="N19" s="622">
        <v>715.14145189444105</v>
      </c>
      <c r="O19" s="622">
        <v>596.01974633192322</v>
      </c>
      <c r="P19" s="622">
        <v>734.66926065324992</v>
      </c>
      <c r="Q19" s="622">
        <v>668.23738457545858</v>
      </c>
      <c r="R19" s="622">
        <v>549.33088992751038</v>
      </c>
      <c r="S19" s="622">
        <v>542.90124756021964</v>
      </c>
      <c r="T19" s="622">
        <v>623.78469567910952</v>
      </c>
      <c r="U19" s="622">
        <v>560.15029131630831</v>
      </c>
      <c r="V19" s="622">
        <v>655.39747066584971</v>
      </c>
      <c r="W19" s="622">
        <v>676.60594776292703</v>
      </c>
      <c r="X19" s="622">
        <v>666.19100964281483</v>
      </c>
      <c r="Y19" s="622">
        <v>639.58617984697503</v>
      </c>
      <c r="Z19" s="622">
        <v>654.82692360503154</v>
      </c>
      <c r="AA19" s="622">
        <v>685.8939223782196</v>
      </c>
      <c r="AB19" s="622">
        <v>699.57070714187614</v>
      </c>
      <c r="AC19" s="622">
        <v>735.00837659354693</v>
      </c>
      <c r="AD19" s="622">
        <v>693.82498242966858</v>
      </c>
      <c r="AE19" s="622">
        <v>799.10472715834283</v>
      </c>
      <c r="AF19" s="622">
        <v>1001.6109072663061</v>
      </c>
      <c r="AG19" s="622">
        <v>1108.4557240469992</v>
      </c>
      <c r="AH19" s="622">
        <v>722.14233334360677</v>
      </c>
      <c r="AI19" s="622">
        <v>907.82842295381374</v>
      </c>
      <c r="AJ19" s="909">
        <v>537.79823006418883</v>
      </c>
      <c r="AK19" s="910">
        <v>509.69772821630454</v>
      </c>
      <c r="AL19" s="910">
        <v>600.38851199796215</v>
      </c>
      <c r="AM19" s="911">
        <v>614.64840052367936</v>
      </c>
      <c r="AN19" s="622">
        <v>565.63321770053369</v>
      </c>
      <c r="AO19" s="909">
        <v>572.77444355055877</v>
      </c>
      <c r="AP19" s="910">
        <v>745.3180723967115</v>
      </c>
      <c r="AQ19" s="907">
        <f>AP19*AQ18/AP18</f>
        <v>718.52902758189111</v>
      </c>
      <c r="AR19" s="908">
        <f>AQ19*AR18/AQ18</f>
        <v>690.43318850126718</v>
      </c>
      <c r="AS19" s="89">
        <f t="shared" si="11"/>
        <v>681.76368300760714</v>
      </c>
      <c r="AT19" s="906">
        <f>AR19*AT18/AR18</f>
        <v>845.87637283543734</v>
      </c>
      <c r="AU19" s="907">
        <f t="shared" ref="AU19:AW20" si="22">AT19*AU18/AT18</f>
        <v>847.06918103514147</v>
      </c>
      <c r="AV19" s="907">
        <f t="shared" si="22"/>
        <v>756.07965263750486</v>
      </c>
      <c r="AW19" s="908">
        <f t="shared" si="22"/>
        <v>679.83308745550551</v>
      </c>
      <c r="AX19" s="89">
        <f t="shared" si="12"/>
        <v>782.21457349089724</v>
      </c>
      <c r="AY19" s="906">
        <f>AW19*AY18/AW18</f>
        <v>714.15783306138337</v>
      </c>
      <c r="AZ19" s="907">
        <f t="shared" ref="AZ19:BB20" si="23">AY19*AZ18/AY18</f>
        <v>694.75871655164872</v>
      </c>
      <c r="BA19" s="907">
        <f t="shared" si="23"/>
        <v>629.01543949874292</v>
      </c>
      <c r="BB19" s="908">
        <f t="shared" si="23"/>
        <v>614.7894207249376</v>
      </c>
      <c r="BC19" s="89">
        <f t="shared" si="13"/>
        <v>663.18035245917827</v>
      </c>
      <c r="BD19" s="906">
        <f>BB19*BD18/BB18</f>
        <v>656.15410936551575</v>
      </c>
      <c r="BE19" s="907">
        <f>BD19*BE18/BD18</f>
        <v>598.22345202185068</v>
      </c>
      <c r="BF19" s="907">
        <f>BE19*BF18/BE18</f>
        <v>579.6682518800535</v>
      </c>
      <c r="BG19" s="908">
        <f>BF19*BG18/BF18</f>
        <v>610.47485262738633</v>
      </c>
      <c r="BH19" s="89">
        <f t="shared" si="14"/>
        <v>611.13016647370159</v>
      </c>
      <c r="BI19" s="906">
        <f>BG19*BI18/BG18</f>
        <v>612.15720538684627</v>
      </c>
      <c r="BJ19" s="907">
        <f t="shared" ref="BJ19:BL20" si="24">BI19*BJ18/BI18</f>
        <v>582.26393404204339</v>
      </c>
      <c r="BK19" s="907">
        <f t="shared" si="24"/>
        <v>552.11310380572718</v>
      </c>
      <c r="BL19" s="908">
        <f t="shared" si="24"/>
        <v>512.29742183183953</v>
      </c>
      <c r="BM19" s="89">
        <f t="shared" si="15"/>
        <v>564.70791626661412</v>
      </c>
      <c r="BN19" s="906">
        <f>BN18*1.16</f>
        <v>486.34933333333328</v>
      </c>
      <c r="BO19" s="907">
        <f t="shared" ref="BO19:BQ20" si="25">BN19*BO18/BN18</f>
        <v>467.08946666666668</v>
      </c>
      <c r="BP19" s="907">
        <f t="shared" si="25"/>
        <v>438.65399999999994</v>
      </c>
      <c r="BQ19" s="908">
        <f t="shared" si="25"/>
        <v>380.97493333333335</v>
      </c>
      <c r="BR19" s="89">
        <f t="shared" si="16"/>
        <v>443.26693333333333</v>
      </c>
      <c r="BS19" s="906">
        <f>BS18*1.16</f>
        <v>381.84106666666668</v>
      </c>
      <c r="BT19" s="907">
        <f t="shared" ref="BT19:BV20" si="26">BS19*BT18/BS18</f>
        <v>490.47120000000001</v>
      </c>
      <c r="BU19" s="907">
        <f t="shared" si="26"/>
        <v>500.98466666666678</v>
      </c>
      <c r="BV19" s="908">
        <f t="shared" si="26"/>
        <v>565.87893333333341</v>
      </c>
      <c r="BW19" s="761">
        <f t="shared" si="17"/>
        <v>484.79396666666673</v>
      </c>
      <c r="BX19" s="906">
        <f>BX18*1.16</f>
        <v>637.53406666666649</v>
      </c>
      <c r="BY19" s="907">
        <f>BY18*1.16</f>
        <v>604.15699999999993</v>
      </c>
      <c r="BZ19" s="907">
        <f>BZ18*1.16</f>
        <v>638.58920634920628</v>
      </c>
      <c r="CA19" s="908">
        <f>CA18*1.16</f>
        <v>666.69803174603157</v>
      </c>
      <c r="CB19" s="761">
        <f t="shared" si="18"/>
        <v>636.74457619047598</v>
      </c>
      <c r="CC19" s="1101">
        <f>CA19*CC18/CA18</f>
        <v>725.55570113306976</v>
      </c>
      <c r="CD19" s="1083">
        <f t="shared" ref="CD19:CD20" si="27">CC19*CD18/CC18</f>
        <v>725</v>
      </c>
      <c r="CE19" s="1083">
        <f t="shared" ref="CE19:CE20" si="28">CD19*CE18/CD18</f>
        <v>684.4</v>
      </c>
      <c r="CF19" s="1075">
        <f t="shared" ref="CF19:CF20" si="29">CE19*CF18/CE18</f>
        <v>649.6</v>
      </c>
      <c r="CG19" s="1470">
        <f t="shared" si="19"/>
        <v>696.13892528326744</v>
      </c>
      <c r="CH19" s="1101">
        <f>CF19*CH18/CF18</f>
        <v>638</v>
      </c>
      <c r="CI19" s="1083">
        <f t="shared" ref="CI19:CK20" si="30">CH19*CI18/CH18</f>
        <v>638</v>
      </c>
      <c r="CJ19" s="1083">
        <f t="shared" si="30"/>
        <v>603.20000000000005</v>
      </c>
      <c r="CK19" s="1075">
        <f t="shared" si="30"/>
        <v>603.20000000000005</v>
      </c>
      <c r="CL19" s="761">
        <f t="shared" si="20"/>
        <v>620.6</v>
      </c>
      <c r="CM19" s="1101">
        <f>CK19*CM18/CK18</f>
        <v>603.20000000000005</v>
      </c>
      <c r="CN19" s="1083">
        <f t="shared" ref="CN19:CN20" si="31">CM19*CN18/CM18</f>
        <v>614.79999999999995</v>
      </c>
      <c r="CO19" s="1083">
        <f t="shared" ref="CO19:CO20" si="32">CN19*CO18/CN18</f>
        <v>597.4</v>
      </c>
      <c r="CP19" s="1075">
        <f t="shared" ref="CP19:CP20" si="33">CO19*CP18/CO18</f>
        <v>597.4</v>
      </c>
      <c r="CQ19" s="931">
        <f t="shared" si="21"/>
        <v>603.20000000000005</v>
      </c>
      <c r="CR19" s="1459"/>
      <c r="CS19" s="90"/>
      <c r="CT19" s="90"/>
      <c r="CU19" s="75"/>
    </row>
    <row r="20" spans="1:110" ht="13.5" customHeight="1">
      <c r="A20" s="75"/>
      <c r="B20" s="75"/>
      <c r="C20" s="81" t="s">
        <v>674</v>
      </c>
      <c r="D20" s="88"/>
      <c r="E20" s="88"/>
      <c r="F20" s="88"/>
      <c r="G20" s="88"/>
      <c r="H20" s="88"/>
      <c r="I20" s="88"/>
      <c r="J20" s="622">
        <v>424.50055921888963</v>
      </c>
      <c r="K20" s="622">
        <v>483.99985403155335</v>
      </c>
      <c r="L20" s="622">
        <v>573.14234624909011</v>
      </c>
      <c r="M20" s="622">
        <v>645.20978122476834</v>
      </c>
      <c r="N20" s="622">
        <v>726.85941358186471</v>
      </c>
      <c r="O20" s="622">
        <v>607.30284877181919</v>
      </c>
      <c r="P20" s="622">
        <v>744.56161599554275</v>
      </c>
      <c r="Q20" s="622">
        <v>670.06125680868547</v>
      </c>
      <c r="R20" s="622">
        <v>554.90836140516342</v>
      </c>
      <c r="S20" s="622">
        <v>560.85045188926904</v>
      </c>
      <c r="T20" s="622">
        <v>632.5954215246652</v>
      </c>
      <c r="U20" s="622">
        <v>578.27319473547425</v>
      </c>
      <c r="V20" s="622">
        <v>756.46867382522123</v>
      </c>
      <c r="W20" s="622">
        <v>802.75281937974398</v>
      </c>
      <c r="X20" s="622">
        <v>797.93744719368726</v>
      </c>
      <c r="Y20" s="622">
        <v>733.8580337835316</v>
      </c>
      <c r="Z20" s="622">
        <v>797.69825239158388</v>
      </c>
      <c r="AA20" s="622">
        <v>828.81759874788554</v>
      </c>
      <c r="AB20" s="622">
        <v>824.39695560295172</v>
      </c>
      <c r="AC20" s="622">
        <v>813.75927408571283</v>
      </c>
      <c r="AD20" s="622">
        <v>816.16802020703335</v>
      </c>
      <c r="AE20" s="622">
        <v>839.43881963049091</v>
      </c>
      <c r="AF20" s="622">
        <v>1048.9066327932221</v>
      </c>
      <c r="AG20" s="622">
        <v>1189.5622404406822</v>
      </c>
      <c r="AH20" s="622">
        <v>794.57464341380989</v>
      </c>
      <c r="AI20" s="622">
        <v>968.12058406955134</v>
      </c>
      <c r="AJ20" s="909">
        <v>608.45079869773645</v>
      </c>
      <c r="AK20" s="910">
        <v>576.65862862846768</v>
      </c>
      <c r="AL20" s="910">
        <v>679.26380049726913</v>
      </c>
      <c r="AM20" s="911">
        <v>695.39706401094361</v>
      </c>
      <c r="AN20" s="622">
        <v>639.94257295860427</v>
      </c>
      <c r="AO20" s="909">
        <v>648.0219684069865</v>
      </c>
      <c r="AP20" s="910">
        <v>843.23330030206739</v>
      </c>
      <c r="AQ20" s="907">
        <f>AP20*AQ19/AP19</f>
        <v>812.92487829037452</v>
      </c>
      <c r="AR20" s="908">
        <f>AQ20*AR19/AQ19</f>
        <v>781.13798355357267</v>
      </c>
      <c r="AS20" s="89">
        <f t="shared" si="11"/>
        <v>771.32953263825027</v>
      </c>
      <c r="AT20" s="906">
        <f>AR20*AT19/AR19</f>
        <v>957.00232146512883</v>
      </c>
      <c r="AU20" s="907">
        <f t="shared" si="22"/>
        <v>958.35183334752492</v>
      </c>
      <c r="AV20" s="907">
        <f t="shared" si="22"/>
        <v>855.40866966313615</v>
      </c>
      <c r="AW20" s="908">
        <f t="shared" si="22"/>
        <v>769.14530751445557</v>
      </c>
      <c r="AX20" s="89">
        <f t="shared" si="12"/>
        <v>884.97703299756131</v>
      </c>
      <c r="AY20" s="906">
        <f>AW20*AY19/AW19</f>
        <v>807.97942356667886</v>
      </c>
      <c r="AZ20" s="907">
        <f t="shared" si="23"/>
        <v>786.03177243184757</v>
      </c>
      <c r="BA20" s="907">
        <f t="shared" si="23"/>
        <v>711.65155472999174</v>
      </c>
      <c r="BB20" s="908">
        <f t="shared" si="23"/>
        <v>695.55661056444899</v>
      </c>
      <c r="BC20" s="89">
        <f t="shared" si="13"/>
        <v>750.30484032324182</v>
      </c>
      <c r="BD20" s="906">
        <f>BB20*BD19/BB19</f>
        <v>742.35553334677013</v>
      </c>
      <c r="BE20" s="907">
        <f>BC20*BE19/BC19</f>
        <v>676.81430847953527</v>
      </c>
      <c r="BF20" s="907">
        <f>BE20*BF19/BE19</f>
        <v>655.82144216808365</v>
      </c>
      <c r="BG20" s="908">
        <f>BF20*BG19/BF19</f>
        <v>690.67522148907494</v>
      </c>
      <c r="BH20" s="89">
        <f t="shared" si="14"/>
        <v>691.41662637086597</v>
      </c>
      <c r="BI20" s="906">
        <f>BG20*BI19/BG19</f>
        <v>692.57859123438368</v>
      </c>
      <c r="BJ20" s="907">
        <f t="shared" si="24"/>
        <v>658.75812882181208</v>
      </c>
      <c r="BK20" s="907">
        <f t="shared" si="24"/>
        <v>624.64627104106626</v>
      </c>
      <c r="BL20" s="908">
        <f t="shared" si="24"/>
        <v>579.5998537354244</v>
      </c>
      <c r="BM20" s="89">
        <f t="shared" si="15"/>
        <v>638.89571120817163</v>
      </c>
      <c r="BN20" s="906">
        <f>BN18*1.19</f>
        <v>498.92733333333331</v>
      </c>
      <c r="BO20" s="907">
        <f t="shared" si="25"/>
        <v>479.16936666666669</v>
      </c>
      <c r="BP20" s="907">
        <f t="shared" si="25"/>
        <v>449.99849999999992</v>
      </c>
      <c r="BQ20" s="908">
        <f t="shared" si="25"/>
        <v>390.82773333333336</v>
      </c>
      <c r="BR20" s="89">
        <f t="shared" si="16"/>
        <v>454.73073333333332</v>
      </c>
      <c r="BS20" s="906">
        <f>BS18*1.19</f>
        <v>391.71626666666668</v>
      </c>
      <c r="BT20" s="907">
        <f t="shared" si="26"/>
        <v>503.15580000000006</v>
      </c>
      <c r="BU20" s="907">
        <f t="shared" si="26"/>
        <v>513.94116666666685</v>
      </c>
      <c r="BV20" s="908">
        <f t="shared" si="26"/>
        <v>580.51373333333356</v>
      </c>
      <c r="BW20" s="761">
        <f t="shared" si="17"/>
        <v>497.33174166666686</v>
      </c>
      <c r="BX20" s="906">
        <f>BX18*1.19</f>
        <v>654.02201666666656</v>
      </c>
      <c r="BY20" s="907">
        <f>BY18*1.19</f>
        <v>619.78174999999987</v>
      </c>
      <c r="BZ20" s="907">
        <f>BZ18*1.19</f>
        <v>655.10444444444443</v>
      </c>
      <c r="CA20" s="908">
        <f>CA18*1.19</f>
        <v>683.94022222222213</v>
      </c>
      <c r="CB20" s="761">
        <f t="shared" si="18"/>
        <v>653.21210833333328</v>
      </c>
      <c r="CC20" s="1101">
        <f>CA20*CC19/CA19</f>
        <v>744.32007271409759</v>
      </c>
      <c r="CD20" s="1083">
        <f t="shared" si="27"/>
        <v>743.75000000000011</v>
      </c>
      <c r="CE20" s="1083">
        <f t="shared" si="28"/>
        <v>702.10000000000014</v>
      </c>
      <c r="CF20" s="1075">
        <f t="shared" si="29"/>
        <v>666.4000000000002</v>
      </c>
      <c r="CG20" s="1470">
        <f t="shared" si="19"/>
        <v>714.14251817852448</v>
      </c>
      <c r="CH20" s="1101">
        <f>CF20*CH19/CF19</f>
        <v>654.50000000000023</v>
      </c>
      <c r="CI20" s="1083">
        <f t="shared" si="30"/>
        <v>654.50000000000023</v>
      </c>
      <c r="CJ20" s="1083">
        <f t="shared" si="30"/>
        <v>618.80000000000018</v>
      </c>
      <c r="CK20" s="1075">
        <f t="shared" si="30"/>
        <v>618.80000000000018</v>
      </c>
      <c r="CL20" s="761">
        <f t="shared" si="20"/>
        <v>636.6500000000002</v>
      </c>
      <c r="CM20" s="1101">
        <f>CK20*CM19/CK19</f>
        <v>618.80000000000018</v>
      </c>
      <c r="CN20" s="1083">
        <f t="shared" si="31"/>
        <v>630.70000000000016</v>
      </c>
      <c r="CO20" s="1083">
        <f t="shared" si="32"/>
        <v>612.85000000000025</v>
      </c>
      <c r="CP20" s="1075">
        <f t="shared" si="33"/>
        <v>612.85000000000025</v>
      </c>
      <c r="CQ20" s="931">
        <f t="shared" si="21"/>
        <v>618.8000000000003</v>
      </c>
      <c r="CR20" s="1459"/>
      <c r="CS20" s="90"/>
      <c r="CT20" s="90"/>
      <c r="CU20" s="75"/>
    </row>
    <row r="21" spans="1:110" ht="13.5" customHeight="1">
      <c r="A21" s="75"/>
      <c r="B21" s="75"/>
      <c r="C21" s="75" t="s">
        <v>675</v>
      </c>
      <c r="D21" s="88"/>
      <c r="E21" s="88"/>
      <c r="F21" s="88"/>
      <c r="G21" s="88"/>
      <c r="H21" s="88"/>
      <c r="I21" s="88"/>
      <c r="J21" s="622">
        <v>496.98569703810045</v>
      </c>
      <c r="K21" s="622">
        <v>596.39396928020483</v>
      </c>
      <c r="L21" s="622">
        <v>721.70604738791656</v>
      </c>
      <c r="M21" s="622">
        <v>794.91435610106441</v>
      </c>
      <c r="N21" s="622">
        <v>875.24281570949438</v>
      </c>
      <c r="O21" s="622">
        <v>747.06429711967007</v>
      </c>
      <c r="P21" s="622">
        <v>880.69696031154012</v>
      </c>
      <c r="Q21" s="622">
        <v>811.73029334197713</v>
      </c>
      <c r="R21" s="622">
        <v>676.63077804024442</v>
      </c>
      <c r="S21" s="622">
        <v>659.46328451325724</v>
      </c>
      <c r="T21" s="622">
        <v>757.13032905175476</v>
      </c>
      <c r="U21" s="622">
        <v>697.86204552720073</v>
      </c>
      <c r="V21" s="622">
        <v>811.58262897121119</v>
      </c>
      <c r="W21" s="622">
        <v>832.5734702159798</v>
      </c>
      <c r="X21" s="622">
        <v>851.07510048317886</v>
      </c>
      <c r="Y21" s="622">
        <v>798.27331129939262</v>
      </c>
      <c r="Z21" s="622">
        <v>881.09880966145897</v>
      </c>
      <c r="AA21" s="622">
        <v>939.65802168572816</v>
      </c>
      <c r="AB21" s="622">
        <v>970.96597158894133</v>
      </c>
      <c r="AC21" s="622">
        <v>1033.4894313578277</v>
      </c>
      <c r="AD21" s="622">
        <v>956.30305857348912</v>
      </c>
      <c r="AE21" s="622">
        <v>1122.5343742598579</v>
      </c>
      <c r="AF21" s="622">
        <v>1407.6480417427038</v>
      </c>
      <c r="AG21" s="622">
        <v>1520.4730212135298</v>
      </c>
      <c r="AH21" s="622">
        <v>921.72502408115554</v>
      </c>
      <c r="AI21" s="622">
        <v>1296.2037669315573</v>
      </c>
      <c r="AJ21" s="909">
        <v>719.23703982559687</v>
      </c>
      <c r="AK21" s="910">
        <v>691.13653797771258</v>
      </c>
      <c r="AL21" s="910">
        <v>818.11508371165178</v>
      </c>
      <c r="AM21" s="911">
        <v>886.8066151657913</v>
      </c>
      <c r="AN21" s="622">
        <v>972.97846551570819</v>
      </c>
      <c r="AO21" s="906">
        <f>AO19+AO$13/1.1023*1000*0.02</f>
        <v>884.95004362157852</v>
      </c>
      <c r="AP21" s="907">
        <f>AP19+AP$13/1.1023*1000*0.02</f>
        <v>1068.3647117119735</v>
      </c>
      <c r="AQ21" s="907">
        <f>AQ19+AQ$13/1.1023*1000*0.02</f>
        <v>1091.2327832613978</v>
      </c>
      <c r="AR21" s="908">
        <f>AR19+AR$13/1.1023*1000*0.02</f>
        <v>1160.4767787798639</v>
      </c>
      <c r="AS21" s="89">
        <f t="shared" si="11"/>
        <v>1051.2560793437035</v>
      </c>
      <c r="AT21" s="906">
        <f>AT19+AT$13/1.1023*1000*0.02</f>
        <v>1388.6820796966276</v>
      </c>
      <c r="AU21" s="907">
        <f>AU19+AU$13/1.1023*1000*0.02</f>
        <v>1365.7132103916747</v>
      </c>
      <c r="AV21" s="907">
        <f>AV19+AV$13/1.1023*1000*0.02</f>
        <v>1202.748152284749</v>
      </c>
      <c r="AW21" s="908">
        <f>AW19+AW$13/1.1023*1000*0.02</f>
        <v>1058.6615736086098</v>
      </c>
      <c r="AX21" s="89">
        <f t="shared" si="12"/>
        <v>1253.9512539954153</v>
      </c>
      <c r="AY21" s="906">
        <f>AY19+AY$13/1.1023*1000*0.02</f>
        <v>1130.4259285835142</v>
      </c>
      <c r="AZ21" s="907">
        <f>AZ19+AZ$13/1.1023*1000*0.02</f>
        <v>1067.4687527483629</v>
      </c>
      <c r="BA21" s="907">
        <f>BA19+BA$13/1.1023*1000*0.02</f>
        <v>978.93444481485176</v>
      </c>
      <c r="BB21" s="908">
        <f>BB19+BB$13/1.1023*1000*0.02</f>
        <v>1005.6729686833158</v>
      </c>
      <c r="BC21" s="89">
        <f t="shared" si="13"/>
        <v>1045.6255237075111</v>
      </c>
      <c r="BD21" s="906">
        <f>BD19+BD$13/1.1023*1000*0.02</f>
        <v>1092.613058768251</v>
      </c>
      <c r="BE21" s="907">
        <f>BE19+BE$13/1.1023*1000*0.02</f>
        <v>977.23529840544211</v>
      </c>
      <c r="BF21" s="907">
        <f>BF19+BF$13/1.1023*1000*0.02</f>
        <v>965.3777025929968</v>
      </c>
      <c r="BG21" s="908">
        <f>BG19+BG$13/1.1023*1000*0.02</f>
        <v>1026.0633383981767</v>
      </c>
      <c r="BH21" s="89">
        <f t="shared" si="14"/>
        <v>1015.3223495412167</v>
      </c>
      <c r="BI21" s="906">
        <f>BI19+BI$13/1.1023*1000*0.02</f>
        <v>1022.6455406331897</v>
      </c>
      <c r="BJ21" s="907">
        <f>BJ19+BJ$13/1.1023*1000*0.02</f>
        <v>1002.1068540739109</v>
      </c>
      <c r="BK21" s="907">
        <f>BK19+BK$13/1.1023*1000*0.02</f>
        <v>949.70187368269183</v>
      </c>
      <c r="BL21" s="908">
        <f>BL19+BL$13/1.1023*1000*0.02</f>
        <v>872.77210543703995</v>
      </c>
      <c r="BM21" s="89">
        <f t="shared" si="15"/>
        <v>961.80659345670813</v>
      </c>
      <c r="BN21" s="906">
        <f>BN19+BN$13/1.1023*1000*0.02</f>
        <v>819.72034795263266</v>
      </c>
      <c r="BO21" s="907">
        <f>BO19+BO$13/1.1023*1000*0.02</f>
        <v>750.38698942132942</v>
      </c>
      <c r="BP21" s="907">
        <f>BP19+BP$13/1.1023*1000*0.02</f>
        <v>714.74205255519882</v>
      </c>
      <c r="BQ21" s="908">
        <f>BQ19+BQ$13/1.1023*1000*0.02</f>
        <v>657.06298588853224</v>
      </c>
      <c r="BR21" s="89">
        <f t="shared" si="16"/>
        <v>735.47809395442323</v>
      </c>
      <c r="BS21" s="906">
        <f>BS19+BS$13/1.1023*1000*0.02</f>
        <v>663.25959823987341</v>
      </c>
      <c r="BT21" s="907">
        <f>BT19+BT$13/1.1023*1000*0.02</f>
        <v>797.12184902166996</v>
      </c>
      <c r="BU21" s="907">
        <f>BU19+BU$13/1.1023*1000*0.02</f>
        <v>838.46734422836028</v>
      </c>
      <c r="BV21" s="908">
        <f>BV19+BV$13/1.1023*1000*0.02</f>
        <v>943.66292959851921</v>
      </c>
      <c r="BW21" s="761">
        <f t="shared" si="17"/>
        <v>810.62793027210569</v>
      </c>
      <c r="BX21" s="906">
        <f>BX19+BX$13/1.1023*1000*0.02</f>
        <v>1000.9084629519498</v>
      </c>
      <c r="BY21" s="941">
        <f>BY19+BY$13/1.1023*1000*0.02</f>
        <v>965.56959734211409</v>
      </c>
      <c r="BZ21" s="941">
        <f>BZ19+BZ$13/1.1023*1000*0.02</f>
        <v>1010.7854956921008</v>
      </c>
      <c r="CA21" s="1520">
        <f>CA19+CA$13/1.1023*1000*0.02</f>
        <v>1038.8943210889261</v>
      </c>
      <c r="CB21" s="761">
        <f t="shared" si="18"/>
        <v>1004.0394692687727</v>
      </c>
      <c r="CC21" s="1101">
        <f>CC19+CC$13/1.1023*1000*0.02</f>
        <v>1097.7519904759642</v>
      </c>
      <c r="CD21" s="1083">
        <f>CD19+CD$13/1.1023*1000*0.02</f>
        <v>1109</v>
      </c>
      <c r="CE21" s="1083">
        <f>CE19+CE$13/1.1023*1000*0.02</f>
        <v>1064.4000000000001</v>
      </c>
      <c r="CF21" s="1075">
        <f>CF19+CF$13/1.1023*1000*0.02</f>
        <v>1029.5999999999999</v>
      </c>
      <c r="CG21" s="1470">
        <f t="shared" si="19"/>
        <v>1075.1879976189912</v>
      </c>
      <c r="CH21" s="1101">
        <f>CH19+CH$13/1.1023*1000*0.02</f>
        <v>1018</v>
      </c>
      <c r="CI21" s="1083">
        <f>CI19+CI$13/1.1023*1000*0.02</f>
        <v>1018</v>
      </c>
      <c r="CJ21" s="1083">
        <f>CJ19+CJ$13/1.1023*1000*0.02</f>
        <v>983.2</v>
      </c>
      <c r="CK21" s="1075">
        <f>CK19+CK$13/1.1023*1000*0.02</f>
        <v>983.2</v>
      </c>
      <c r="CL21" s="761">
        <f t="shared" si="20"/>
        <v>1000.5999999999999</v>
      </c>
      <c r="CM21" s="1101">
        <f>CM19+CM$13/1.1023*1000*0.02</f>
        <v>1023.2</v>
      </c>
      <c r="CN21" s="1083">
        <f>CN19+CN$13/1.1023*1000*0.02</f>
        <v>1034.8</v>
      </c>
      <c r="CO21" s="1083">
        <f>CO19+CO$13/1.1023*1000*0.02</f>
        <v>1037.3999999999999</v>
      </c>
      <c r="CP21" s="1075">
        <f>CP19+CP$13/1.1023*1000*0.02</f>
        <v>1037.3999999999999</v>
      </c>
      <c r="CQ21" s="931">
        <f t="shared" si="21"/>
        <v>1033.1999999999998</v>
      </c>
      <c r="CR21" s="1459"/>
      <c r="CS21" s="90"/>
      <c r="CT21" s="90"/>
      <c r="CU21" s="75"/>
    </row>
    <row r="22" spans="1:110" ht="13.5" customHeight="1">
      <c r="A22" s="75"/>
      <c r="B22" s="75"/>
      <c r="C22" s="75" t="s">
        <v>583</v>
      </c>
      <c r="D22" s="88"/>
      <c r="E22" s="88"/>
      <c r="F22" s="88"/>
      <c r="G22" s="88"/>
      <c r="H22" s="88"/>
      <c r="I22" s="88"/>
      <c r="J22" s="622">
        <v>789.66666666666663</v>
      </c>
      <c r="K22" s="622">
        <v>831</v>
      </c>
      <c r="L22" s="622">
        <v>1259.3333333333333</v>
      </c>
      <c r="M22" s="622">
        <v>1315.6666666666667</v>
      </c>
      <c r="N22" s="622">
        <v>1318.3333333333333</v>
      </c>
      <c r="O22" s="622">
        <v>1181.0833333333333</v>
      </c>
      <c r="P22" s="622">
        <v>1358.3333333333333</v>
      </c>
      <c r="Q22" s="622">
        <v>1330.3333333333333</v>
      </c>
      <c r="R22" s="622">
        <v>1352</v>
      </c>
      <c r="S22" s="622">
        <v>1358.3333333333333</v>
      </c>
      <c r="T22" s="622">
        <v>1349.75</v>
      </c>
      <c r="U22" s="622">
        <v>1352.3333333333333</v>
      </c>
      <c r="V22" s="622">
        <v>1369.6666666666667</v>
      </c>
      <c r="W22" s="622">
        <v>1385</v>
      </c>
      <c r="X22" s="622">
        <v>1360.6666666666667</v>
      </c>
      <c r="Y22" s="622">
        <v>1366.9166666666667</v>
      </c>
      <c r="Z22" s="622">
        <v>1332.3333333333333</v>
      </c>
      <c r="AA22" s="622">
        <v>1305.3333333333333</v>
      </c>
      <c r="AB22" s="622">
        <v>1276.3333333333333</v>
      </c>
      <c r="AC22" s="622">
        <v>1289</v>
      </c>
      <c r="AD22" s="622">
        <v>1300.75</v>
      </c>
      <c r="AE22" s="622">
        <v>1321.3333333333333</v>
      </c>
      <c r="AF22" s="622">
        <v>1921</v>
      </c>
      <c r="AG22" s="622">
        <v>2941.6666666666665</v>
      </c>
      <c r="AH22" s="622">
        <v>2769</v>
      </c>
      <c r="AI22" s="622">
        <v>2238.25</v>
      </c>
      <c r="AJ22" s="909">
        <v>2164</v>
      </c>
      <c r="AK22" s="910">
        <v>1602</v>
      </c>
      <c r="AL22" s="910">
        <v>1430</v>
      </c>
      <c r="AM22" s="911">
        <v>1376.3333333333333</v>
      </c>
      <c r="AN22" s="622">
        <v>1643.0833333333333</v>
      </c>
      <c r="AO22" s="909">
        <v>1540</v>
      </c>
      <c r="AP22" s="910">
        <v>1683.6666666666667</v>
      </c>
      <c r="AQ22" s="907">
        <f>AQ16</f>
        <v>1744.3333333333333</v>
      </c>
      <c r="AR22" s="908">
        <f>AR16</f>
        <v>1677.3333333333333</v>
      </c>
      <c r="AS22" s="89">
        <f t="shared" si="11"/>
        <v>1661.3333333333333</v>
      </c>
      <c r="AT22" s="906">
        <f>AT16</f>
        <v>1691.3333333333333</v>
      </c>
      <c r="AU22" s="907">
        <f>AU16</f>
        <v>1749.6666666666667</v>
      </c>
      <c r="AV22" s="907">
        <f>AV16</f>
        <v>1780</v>
      </c>
      <c r="AW22" s="908">
        <f>AW108</f>
        <v>1891.56</v>
      </c>
      <c r="AX22" s="89">
        <f t="shared" si="12"/>
        <v>1778.1399999999999</v>
      </c>
      <c r="AY22" s="906">
        <f>AY108</f>
        <v>1853.9633333333331</v>
      </c>
      <c r="AZ22" s="907">
        <f>AZ108</f>
        <v>1800.8766666666666</v>
      </c>
      <c r="BA22" s="907">
        <f>BA108</f>
        <v>1745.21</v>
      </c>
      <c r="BB22" s="908">
        <f>BB108</f>
        <v>1692.5666666666666</v>
      </c>
      <c r="BC22" s="89">
        <f t="shared" si="13"/>
        <v>1773.1541666666665</v>
      </c>
      <c r="BD22" s="906">
        <f>BD108</f>
        <v>1645.8066666666668</v>
      </c>
      <c r="BE22" s="907">
        <f>BE108</f>
        <v>1590.7933333333333</v>
      </c>
      <c r="BF22" s="907">
        <f>BF108</f>
        <v>1551.4933333333331</v>
      </c>
      <c r="BG22" s="908">
        <f>BG108</f>
        <v>1555.1666666666667</v>
      </c>
      <c r="BH22" s="89">
        <f t="shared" si="14"/>
        <v>1585.8150000000001</v>
      </c>
      <c r="BI22" s="906">
        <f>BI108</f>
        <v>1534.7866666666666</v>
      </c>
      <c r="BJ22" s="907">
        <f>BJ108</f>
        <v>1562.7633333333331</v>
      </c>
      <c r="BK22" s="907">
        <f>BK108</f>
        <v>1667.7833333333331</v>
      </c>
      <c r="BL22" s="908">
        <f>BL108</f>
        <v>1758.4766666666667</v>
      </c>
      <c r="BM22" s="89">
        <f t="shared" si="15"/>
        <v>1630.9524999999999</v>
      </c>
      <c r="BN22" s="906">
        <f>BN108</f>
        <v>1608.2933333333333</v>
      </c>
      <c r="BO22" s="907">
        <f>BO108</f>
        <v>1435.7466666666667</v>
      </c>
      <c r="BP22" s="907">
        <f>BP108</f>
        <v>1307.0233333333333</v>
      </c>
      <c r="BQ22" s="908">
        <f>BQ108</f>
        <v>1189.6766666666665</v>
      </c>
      <c r="BR22" s="89">
        <f t="shared" si="16"/>
        <v>1385.1849999999999</v>
      </c>
      <c r="BS22" s="906">
        <f>BS108</f>
        <v>1118.4633333333334</v>
      </c>
      <c r="BT22" s="907">
        <f>BT108</f>
        <v>1078.0333333333335</v>
      </c>
      <c r="BU22" s="907">
        <f>BU108</f>
        <v>1099.3999999999999</v>
      </c>
      <c r="BV22" s="908">
        <f>BV108</f>
        <v>1085.8733333333334</v>
      </c>
      <c r="BW22" s="761">
        <f t="shared" si="17"/>
        <v>1095.4425000000001</v>
      </c>
      <c r="BX22" s="906">
        <f>BX108</f>
        <v>1208.8066666666664</v>
      </c>
      <c r="BY22" s="941">
        <f>BY108</f>
        <v>1404.85</v>
      </c>
      <c r="BZ22" s="941">
        <f>BZ108</f>
        <v>1403.1366666666668</v>
      </c>
      <c r="CA22" s="1520">
        <f>CA108</f>
        <v>1406.6933333333334</v>
      </c>
      <c r="CB22" s="761">
        <f t="shared" si="18"/>
        <v>1355.8716666666667</v>
      </c>
      <c r="CC22" s="1101">
        <f>CC108</f>
        <v>1461.7066666666667</v>
      </c>
      <c r="CD22" s="1083">
        <f>CD108</f>
        <v>1650.15</v>
      </c>
      <c r="CE22" s="1083">
        <f>CE108</f>
        <v>1624.8500000000001</v>
      </c>
      <c r="CF22" s="1075">
        <f>CF108</f>
        <v>1607.1999999999998</v>
      </c>
      <c r="CG22" s="1470">
        <f t="shared" si="19"/>
        <v>1585.9766666666667</v>
      </c>
      <c r="CH22" s="1101">
        <f>CH108</f>
        <v>1619.85</v>
      </c>
      <c r="CI22" s="1083">
        <f>CI108</f>
        <v>1606.3000000000002</v>
      </c>
      <c r="CJ22" s="1083">
        <f>CJ108</f>
        <v>1598.65</v>
      </c>
      <c r="CK22" s="1075">
        <f>CK108</f>
        <v>1565.4</v>
      </c>
      <c r="CL22" s="761">
        <f t="shared" si="20"/>
        <v>1597.5500000000002</v>
      </c>
      <c r="CM22" s="1101">
        <f>CM108</f>
        <v>1522.1499999999999</v>
      </c>
      <c r="CN22" s="1083">
        <f>CN108</f>
        <v>1532.45</v>
      </c>
      <c r="CO22" s="1083">
        <f>CO108</f>
        <v>1514.2</v>
      </c>
      <c r="CP22" s="1075">
        <f>CP108</f>
        <v>1504.8</v>
      </c>
      <c r="CQ22" s="931">
        <f t="shared" si="21"/>
        <v>1518.4</v>
      </c>
      <c r="CR22" s="1459"/>
      <c r="CS22" s="90"/>
      <c r="CT22" s="90"/>
      <c r="CU22" s="75"/>
    </row>
    <row r="23" spans="1:110" ht="13.5" customHeight="1">
      <c r="A23" s="75"/>
      <c r="B23" s="75"/>
      <c r="C23" s="75" t="s">
        <v>676</v>
      </c>
      <c r="D23" s="88"/>
      <c r="E23" s="88"/>
      <c r="F23" s="88"/>
      <c r="G23" s="88"/>
      <c r="H23" s="88"/>
      <c r="I23" s="88"/>
      <c r="J23" s="622">
        <v>317.21785319023417</v>
      </c>
      <c r="K23" s="622">
        <v>389.69870137293185</v>
      </c>
      <c r="L23" s="622">
        <v>474.88933466493029</v>
      </c>
      <c r="M23" s="622">
        <v>531.44783969156367</v>
      </c>
      <c r="N23" s="622">
        <v>603.82081586391757</v>
      </c>
      <c r="O23" s="622">
        <v>499.96417289833585</v>
      </c>
      <c r="P23" s="622">
        <v>617.4398309626223</v>
      </c>
      <c r="Q23" s="622">
        <v>543.11763740101492</v>
      </c>
      <c r="R23" s="622">
        <v>438.694054227533</v>
      </c>
      <c r="S23" s="622">
        <v>435.04539142766782</v>
      </c>
      <c r="T23" s="622">
        <v>508.57422850470948</v>
      </c>
      <c r="U23" s="622">
        <v>451.02378842388737</v>
      </c>
      <c r="V23" s="622">
        <v>540.27771554217043</v>
      </c>
      <c r="W23" s="622">
        <v>561.92697356582073</v>
      </c>
      <c r="X23" s="622">
        <v>561.66809495925838</v>
      </c>
      <c r="Y23" s="622">
        <v>528.7241431227842</v>
      </c>
      <c r="Z23" s="622">
        <v>555.71913717260065</v>
      </c>
      <c r="AA23" s="622">
        <v>602.18397843663251</v>
      </c>
      <c r="AB23" s="622">
        <v>618.37053577719405</v>
      </c>
      <c r="AC23" s="622">
        <v>649.69490431036741</v>
      </c>
      <c r="AD23" s="622">
        <v>606.49213892419868</v>
      </c>
      <c r="AE23" s="622">
        <v>717.65748993676448</v>
      </c>
      <c r="AF23" s="622">
        <v>916.51131154572818</v>
      </c>
      <c r="AG23" s="622">
        <v>1054.3847131178773</v>
      </c>
      <c r="AH23" s="622">
        <v>673.8541266301379</v>
      </c>
      <c r="AI23" s="622">
        <v>840.60191030762689</v>
      </c>
      <c r="AJ23" s="909">
        <v>490.69392760022964</v>
      </c>
      <c r="AK23" s="910">
        <v>465.05467323222973</v>
      </c>
      <c r="AL23" s="910">
        <v>547.80209485474666</v>
      </c>
      <c r="AM23" s="911">
        <v>560.81299804606147</v>
      </c>
      <c r="AN23" s="622">
        <v>516.0909234333169</v>
      </c>
      <c r="AO23" s="909">
        <v>522.60666849222275</v>
      </c>
      <c r="AP23" s="910">
        <v>680.037664333934</v>
      </c>
      <c r="AQ23" s="907">
        <f>AP23*AQ18/AP18</f>
        <v>655.59499999999991</v>
      </c>
      <c r="AR23" s="908">
        <f>AQ23*AR18/AQ18</f>
        <v>629.96</v>
      </c>
      <c r="AS23" s="89">
        <f t="shared" si="11"/>
        <v>622.04983320653912</v>
      </c>
      <c r="AT23" s="906">
        <f>AR23*AT18/AR18</f>
        <v>771.7883333333333</v>
      </c>
      <c r="AU23" s="907">
        <f>AT23*AU18/AT18</f>
        <v>772.87666666666655</v>
      </c>
      <c r="AV23" s="907">
        <f>AU23*AV18/AU18</f>
        <v>689.85666666666657</v>
      </c>
      <c r="AW23" s="908">
        <f>AV23*AW18/AV18</f>
        <v>620.2883333333333</v>
      </c>
      <c r="AX23" s="89">
        <f t="shared" si="12"/>
        <v>713.70249999999999</v>
      </c>
      <c r="AY23" s="906">
        <f>AW23*AY18/AW18</f>
        <v>651.60666666666657</v>
      </c>
      <c r="AZ23" s="907">
        <f>AY23*AZ18/AY18</f>
        <v>633.90666666666652</v>
      </c>
      <c r="BA23" s="907">
        <f>AZ23*BA18/AZ18</f>
        <v>573.92166666666651</v>
      </c>
      <c r="BB23" s="908">
        <f>BA23*BB18/BA18</f>
        <v>560.94166666666661</v>
      </c>
      <c r="BC23" s="89">
        <f t="shared" si="13"/>
        <v>605.09416666666652</v>
      </c>
      <c r="BD23" s="906">
        <f>BB23*BD18/BB18</f>
        <v>598.68333333333317</v>
      </c>
      <c r="BE23" s="907">
        <f>BC23*BE18/BC18</f>
        <v>545.8266666666666</v>
      </c>
      <c r="BF23" s="907">
        <f>BE23*BF18/BE18</f>
        <v>528.89666666666653</v>
      </c>
      <c r="BG23" s="908">
        <f>BF23*BG18/BF18</f>
        <v>557.00499999999988</v>
      </c>
      <c r="BH23" s="89">
        <f t="shared" si="14"/>
        <v>557.60291666666649</v>
      </c>
      <c r="BI23" s="906">
        <f>BI18</f>
        <v>558.54</v>
      </c>
      <c r="BJ23" s="907">
        <f>BJ18</f>
        <v>531.26499999999999</v>
      </c>
      <c r="BK23" s="907">
        <f>BK18</f>
        <v>503.75500000000005</v>
      </c>
      <c r="BL23" s="908">
        <f>BL18</f>
        <v>467.42666666666668</v>
      </c>
      <c r="BM23" s="89">
        <f t="shared" si="15"/>
        <v>515.24666666666667</v>
      </c>
      <c r="BN23" s="906">
        <f>BN18*1.05</f>
        <v>440.23</v>
      </c>
      <c r="BO23" s="907">
        <f>BN23*BO18/BN18</f>
        <v>422.79650000000004</v>
      </c>
      <c r="BP23" s="907">
        <f>BO23*BP18/BO18</f>
        <v>397.05749999999995</v>
      </c>
      <c r="BQ23" s="908">
        <f>BP23*BQ18/BP18</f>
        <v>344.84800000000007</v>
      </c>
      <c r="BR23" s="89">
        <f t="shared" si="16"/>
        <v>401.23300000000006</v>
      </c>
      <c r="BS23" s="906">
        <f>BS18*1.05</f>
        <v>345.63200000000001</v>
      </c>
      <c r="BT23" s="907">
        <f>BS23*BT18/BS18</f>
        <v>443.96099999999996</v>
      </c>
      <c r="BU23" s="907">
        <f>BT23*BU18/BT18</f>
        <v>453.47750000000002</v>
      </c>
      <c r="BV23" s="908">
        <f>BU23*BV18/BU18</f>
        <v>512.21799999999996</v>
      </c>
      <c r="BW23" s="761">
        <f t="shared" si="17"/>
        <v>438.82212500000003</v>
      </c>
      <c r="BX23" s="906">
        <f>BX18*1.05</f>
        <v>577.07824999999991</v>
      </c>
      <c r="BY23" s="907">
        <f>BY18*1.05</f>
        <v>546.86624999999992</v>
      </c>
      <c r="BZ23" s="907">
        <f>BZ18*1.05</f>
        <v>578.0333333333333</v>
      </c>
      <c r="CA23" s="908">
        <f>CA18*1.05</f>
        <v>603.47666666666657</v>
      </c>
      <c r="CB23" s="761">
        <f t="shared" si="18"/>
        <v>576.36362499999996</v>
      </c>
      <c r="CC23" s="1101">
        <f>CA23*CC18/CA18</f>
        <v>656.75300533596828</v>
      </c>
      <c r="CD23" s="1083">
        <f>CC23*CD18/CC18</f>
        <v>656.24999999999989</v>
      </c>
      <c r="CE23" s="1083">
        <f>CD23*CE18/CD18</f>
        <v>619.49999999999989</v>
      </c>
      <c r="CF23" s="1075">
        <f>CE23*CF18/CE18</f>
        <v>587.99999999999989</v>
      </c>
      <c r="CG23" s="1470">
        <f t="shared" si="19"/>
        <v>630.12575133399207</v>
      </c>
      <c r="CH23" s="1101">
        <f>CF23*CH18/CF18</f>
        <v>577.49999999999989</v>
      </c>
      <c r="CI23" s="1083">
        <f>CH23*CI18/CH18</f>
        <v>577.49999999999989</v>
      </c>
      <c r="CJ23" s="1083">
        <f>CI23*CJ18/CI18</f>
        <v>545.99999999999989</v>
      </c>
      <c r="CK23" s="1075">
        <f>CJ23*CK18/CJ18</f>
        <v>545.99999999999989</v>
      </c>
      <c r="CL23" s="761">
        <f t="shared" si="20"/>
        <v>561.74999999999989</v>
      </c>
      <c r="CM23" s="1101">
        <f>CK23*CM18/CK18</f>
        <v>545.99999999999989</v>
      </c>
      <c r="CN23" s="1083">
        <f>CM23*CN18/CM18</f>
        <v>556.49999999999989</v>
      </c>
      <c r="CO23" s="1083">
        <f>CN23*CO18/CN18</f>
        <v>540.74999999999989</v>
      </c>
      <c r="CP23" s="1075">
        <f>CO23*CP18/CO18</f>
        <v>540.74999999999989</v>
      </c>
      <c r="CQ23" s="931">
        <f t="shared" si="21"/>
        <v>545.99999999999989</v>
      </c>
      <c r="CR23" s="1459"/>
      <c r="CS23" s="90"/>
      <c r="CT23" s="90"/>
      <c r="CU23" s="75"/>
    </row>
    <row r="24" spans="1:110" ht="6.2" customHeight="1">
      <c r="A24" s="81"/>
      <c r="B24" s="93"/>
      <c r="C24" s="75"/>
      <c r="D24" s="93"/>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81"/>
      <c r="AE24" s="75"/>
      <c r="AF24" s="75"/>
      <c r="AG24" s="75"/>
      <c r="AH24" s="75"/>
      <c r="AI24" s="81"/>
      <c r="AJ24" s="904"/>
      <c r="AK24" s="81"/>
      <c r="AL24" s="81"/>
      <c r="AM24" s="905"/>
      <c r="AN24" s="81"/>
      <c r="AO24" s="904"/>
      <c r="AP24" s="81"/>
      <c r="AQ24" s="81"/>
      <c r="AR24" s="905"/>
      <c r="AS24" s="81"/>
      <c r="AT24" s="904"/>
      <c r="AU24" s="81"/>
      <c r="AV24" s="81"/>
      <c r="AW24" s="905"/>
      <c r="AX24" s="81"/>
      <c r="AY24" s="904"/>
      <c r="AZ24" s="81"/>
      <c r="BA24" s="81"/>
      <c r="BB24" s="905"/>
      <c r="BC24" s="81"/>
      <c r="BD24" s="904"/>
      <c r="BE24" s="81"/>
      <c r="BF24" s="81"/>
      <c r="BG24" s="905"/>
      <c r="BH24" s="81"/>
      <c r="BI24" s="904"/>
      <c r="BJ24" s="81"/>
      <c r="BK24" s="81"/>
      <c r="BL24" s="905"/>
      <c r="BM24" s="81"/>
      <c r="BN24" s="904"/>
      <c r="BO24" s="81"/>
      <c r="BP24" s="81"/>
      <c r="BQ24" s="905"/>
      <c r="BR24" s="81"/>
      <c r="BS24" s="904"/>
      <c r="BT24" s="81"/>
      <c r="BU24" s="81"/>
      <c r="BV24" s="905"/>
      <c r="BW24" s="81"/>
      <c r="BX24" s="904"/>
      <c r="BY24" s="81"/>
      <c r="BZ24" s="81"/>
      <c r="CA24" s="905"/>
      <c r="CB24" s="81"/>
      <c r="CC24" s="904"/>
      <c r="CD24" s="81"/>
      <c r="CE24" s="81"/>
      <c r="CF24" s="905"/>
      <c r="CG24" s="1469"/>
      <c r="CH24" s="904"/>
      <c r="CI24" s="81"/>
      <c r="CJ24" s="81"/>
      <c r="CK24" s="905"/>
      <c r="CL24" s="81"/>
      <c r="CM24" s="904"/>
      <c r="CN24" s="81"/>
      <c r="CO24" s="81"/>
      <c r="CP24" s="905"/>
      <c r="CQ24" s="81"/>
    </row>
    <row r="25" spans="1:110" ht="13.5" customHeight="1">
      <c r="A25" s="797" t="s">
        <v>974</v>
      </c>
      <c r="B25" s="797"/>
      <c r="C25" s="797"/>
      <c r="D25" s="798">
        <v>2001</v>
      </c>
      <c r="E25" s="798">
        <v>2002</v>
      </c>
      <c r="F25" s="800" t="s">
        <v>658</v>
      </c>
      <c r="G25" s="800" t="s">
        <v>659</v>
      </c>
      <c r="H25" s="800" t="s">
        <v>660</v>
      </c>
      <c r="I25" s="800" t="s">
        <v>661</v>
      </c>
      <c r="J25" s="798">
        <f>J4</f>
        <v>2003</v>
      </c>
      <c r="K25" s="800" t="str">
        <f>Operations!K4</f>
        <v>1Q</v>
      </c>
      <c r="L25" s="800" t="str">
        <f>Operations!L4</f>
        <v>2Q</v>
      </c>
      <c r="M25" s="800" t="str">
        <f>Operations!M4</f>
        <v>3Q</v>
      </c>
      <c r="N25" s="800" t="str">
        <f>Operations!N4</f>
        <v>4Q</v>
      </c>
      <c r="O25" s="799">
        <f>Operations!O4</f>
        <v>2004</v>
      </c>
      <c r="P25" s="800" t="str">
        <f>Operations!P4</f>
        <v>1Q</v>
      </c>
      <c r="Q25" s="800" t="str">
        <f>Operations!Q4</f>
        <v>2Q</v>
      </c>
      <c r="R25" s="800" t="str">
        <f>Operations!R4</f>
        <v>3Q</v>
      </c>
      <c r="S25" s="800" t="str">
        <f>Operations!S4</f>
        <v>4Q</v>
      </c>
      <c r="T25" s="799">
        <f>Operations!T4</f>
        <v>2005</v>
      </c>
      <c r="U25" s="800" t="str">
        <f>Operations!U4</f>
        <v>1Q</v>
      </c>
      <c r="V25" s="800" t="str">
        <f>Operations!V4</f>
        <v>2Q</v>
      </c>
      <c r="W25" s="800" t="str">
        <f>Operations!W4</f>
        <v>3Q</v>
      </c>
      <c r="X25" s="800" t="str">
        <f>Operations!X4</f>
        <v>4Q</v>
      </c>
      <c r="Y25" s="799">
        <f>Operations!Y4</f>
        <v>2006</v>
      </c>
      <c r="Z25" s="800" t="str">
        <f>Operations!Z4</f>
        <v>1Q</v>
      </c>
      <c r="AA25" s="800" t="str">
        <f>Operations!AA4</f>
        <v>2Q</v>
      </c>
      <c r="AB25" s="800" t="str">
        <f>Operations!AB4</f>
        <v>3Q</v>
      </c>
      <c r="AC25" s="800" t="str">
        <f>Operations!AC4</f>
        <v>4Q</v>
      </c>
      <c r="AD25" s="799">
        <f>Operations!AD4</f>
        <v>2007</v>
      </c>
      <c r="AE25" s="800" t="str">
        <f>Operations!AE4</f>
        <v>1Q</v>
      </c>
      <c r="AF25" s="800" t="str">
        <f>Operations!AF4</f>
        <v>2Q</v>
      </c>
      <c r="AG25" s="800" t="str">
        <f>Operations!AG4</f>
        <v>3Q</v>
      </c>
      <c r="AH25" s="800" t="str">
        <f>Operations!AH4</f>
        <v>4Q</v>
      </c>
      <c r="AI25" s="799">
        <f>Operations!AI4</f>
        <v>2008</v>
      </c>
      <c r="AJ25" s="898" t="str">
        <f>Operations!AJ4</f>
        <v>1Q</v>
      </c>
      <c r="AK25" s="800" t="str">
        <f>Operations!AK4</f>
        <v>2Q</v>
      </c>
      <c r="AL25" s="800" t="str">
        <f>Operations!AL4</f>
        <v>3Q</v>
      </c>
      <c r="AM25" s="899" t="str">
        <f>Operations!AM4</f>
        <v>4Q</v>
      </c>
      <c r="AN25" s="799">
        <f>Operations!AN4</f>
        <v>2009</v>
      </c>
      <c r="AO25" s="898" t="str">
        <f>Operations!AO4</f>
        <v>1Q</v>
      </c>
      <c r="AP25" s="800" t="str">
        <f>Operations!AP4</f>
        <v>2Q</v>
      </c>
      <c r="AQ25" s="800" t="str">
        <f>Operations!AQ4</f>
        <v>3Q</v>
      </c>
      <c r="AR25" s="899" t="str">
        <f>Operations!AR4</f>
        <v>4Q</v>
      </c>
      <c r="AS25" s="799">
        <f>Operations!AS4</f>
        <v>2010</v>
      </c>
      <c r="AT25" s="898" t="str">
        <f>Operations!AT4</f>
        <v>1Q</v>
      </c>
      <c r="AU25" s="800" t="str">
        <f>Operations!AU4</f>
        <v>2Q</v>
      </c>
      <c r="AV25" s="800" t="str">
        <f>Operations!AV4</f>
        <v>3Q</v>
      </c>
      <c r="AW25" s="899" t="str">
        <f>Operations!AW4</f>
        <v>4Q</v>
      </c>
      <c r="AX25" s="799">
        <f>Operations!AX4</f>
        <v>2011</v>
      </c>
      <c r="AY25" s="898" t="str">
        <f>Operations!AY4</f>
        <v>1Q</v>
      </c>
      <c r="AZ25" s="800" t="str">
        <f>Operations!AZ4</f>
        <v>2Q</v>
      </c>
      <c r="BA25" s="800" t="str">
        <f>Operations!BA4</f>
        <v>3Q</v>
      </c>
      <c r="BB25" s="899" t="str">
        <f>Operations!BB4</f>
        <v>4Q</v>
      </c>
      <c r="BC25" s="799">
        <f>Operations!BC4</f>
        <v>2012</v>
      </c>
      <c r="BD25" s="898" t="str">
        <f>Operations!BD4</f>
        <v>1Q</v>
      </c>
      <c r="BE25" s="800" t="str">
        <f>Operations!BE4</f>
        <v>2Q</v>
      </c>
      <c r="BF25" s="800" t="str">
        <f>Operations!BF4</f>
        <v>3Q</v>
      </c>
      <c r="BG25" s="899" t="str">
        <f>Operations!BG4</f>
        <v>4Q</v>
      </c>
      <c r="BH25" s="799">
        <f>Operations!BH4</f>
        <v>2013</v>
      </c>
      <c r="BI25" s="898" t="str">
        <f>Operations!BI4</f>
        <v>1Q</v>
      </c>
      <c r="BJ25" s="800" t="str">
        <f>Operations!BJ4</f>
        <v>2Q</v>
      </c>
      <c r="BK25" s="800" t="str">
        <f>Operations!BK4</f>
        <v>3Q</v>
      </c>
      <c r="BL25" s="899" t="str">
        <f>Operations!BL4</f>
        <v>4Q</v>
      </c>
      <c r="BM25" s="799">
        <f>Operations!BM4</f>
        <v>2014</v>
      </c>
      <c r="BN25" s="898" t="str">
        <f>Operations!BN4</f>
        <v>1Q</v>
      </c>
      <c r="BO25" s="800" t="str">
        <f>Operations!BO4</f>
        <v>2Q</v>
      </c>
      <c r="BP25" s="800" t="str">
        <f>Operations!BP4</f>
        <v>3Q</v>
      </c>
      <c r="BQ25" s="899" t="str">
        <f>Operations!BQ4</f>
        <v>4Q</v>
      </c>
      <c r="BR25" s="799">
        <f>Operations!BR4</f>
        <v>2015</v>
      </c>
      <c r="BS25" s="898" t="str">
        <f>Operations!BS4</f>
        <v>1Q</v>
      </c>
      <c r="BT25" s="800" t="str">
        <f>Operations!BT4</f>
        <v>2Q</v>
      </c>
      <c r="BU25" s="800" t="str">
        <f>Operations!BU4</f>
        <v>3Q</v>
      </c>
      <c r="BV25" s="899" t="str">
        <f>Operations!BV4</f>
        <v>4Q</v>
      </c>
      <c r="BW25" s="799">
        <f>Operations!BW4</f>
        <v>2016</v>
      </c>
      <c r="BX25" s="898" t="str">
        <f>Operations!BX4</f>
        <v>1Q</v>
      </c>
      <c r="BY25" s="800" t="str">
        <f>Operations!BY4</f>
        <v>2Q</v>
      </c>
      <c r="BZ25" s="800" t="str">
        <f>Operations!BZ4</f>
        <v>3Q</v>
      </c>
      <c r="CA25" s="899" t="str">
        <f>Operations!CA4</f>
        <v>4Q</v>
      </c>
      <c r="CB25" s="799">
        <f>Operations!CB4</f>
        <v>2017</v>
      </c>
      <c r="CC25" s="898" t="str">
        <f>Operations!CC4</f>
        <v>1QE</v>
      </c>
      <c r="CD25" s="800" t="str">
        <f>Operations!CD4</f>
        <v>2QE</v>
      </c>
      <c r="CE25" s="800" t="str">
        <f>Operations!CE4</f>
        <v>3QE</v>
      </c>
      <c r="CF25" s="899" t="str">
        <f>Operations!CF4</f>
        <v>4QE</v>
      </c>
      <c r="CG25" s="1466" t="str">
        <f>Operations!CG4</f>
        <v>2018E</v>
      </c>
      <c r="CH25" s="898" t="str">
        <f>Operations!CH4</f>
        <v>1QE</v>
      </c>
      <c r="CI25" s="800" t="str">
        <f>Operations!CI4</f>
        <v>2QE</v>
      </c>
      <c r="CJ25" s="800" t="str">
        <f>Operations!CJ4</f>
        <v>3QE</v>
      </c>
      <c r="CK25" s="899" t="str">
        <f>Operations!CK4</f>
        <v>4QE</v>
      </c>
      <c r="CL25" s="799" t="str">
        <f>Operations!CL4</f>
        <v>2019E</v>
      </c>
      <c r="CM25" s="898" t="str">
        <f>Operations!CM4</f>
        <v>1QE</v>
      </c>
      <c r="CN25" s="800" t="str">
        <f>Operations!CN4</f>
        <v>2QE</v>
      </c>
      <c r="CO25" s="800" t="str">
        <f>Operations!CO4</f>
        <v>3QE</v>
      </c>
      <c r="CP25" s="899" t="str">
        <f>Operations!CP4</f>
        <v>4QE</v>
      </c>
      <c r="CQ25" s="799" t="str">
        <f>Operations!CQ4</f>
        <v>2020E</v>
      </c>
      <c r="CR25" s="657"/>
      <c r="CS25" s="657"/>
      <c r="CT25" s="657"/>
      <c r="CU25" s="657"/>
    </row>
    <row r="26" spans="1:110" ht="13.5" customHeight="1">
      <c r="B26" s="389" t="s">
        <v>975</v>
      </c>
      <c r="D26" s="98"/>
      <c r="E26" s="98">
        <f>Operations!E34/Operations!D34-1</f>
        <v>0.12769108098872306</v>
      </c>
      <c r="F26" s="98"/>
      <c r="G26" s="98"/>
      <c r="H26" s="98"/>
      <c r="I26" s="98"/>
      <c r="J26" s="98">
        <f>Operations!J34/Operations!E34-1</f>
        <v>0.36535353535353532</v>
      </c>
      <c r="K26" s="98">
        <f>Operations!K34/Operations!F34-1</f>
        <v>0.70812807881773399</v>
      </c>
      <c r="L26" s="98">
        <f>Operations!L34/Operations!G34-1</f>
        <v>0.24359775140537154</v>
      </c>
      <c r="M26" s="98">
        <f>Operations!M34/Operations!H34-1</f>
        <v>-4.1954464057303631E-2</v>
      </c>
      <c r="N26" s="98">
        <f>Operations!N34/Operations!I34-1</f>
        <v>-5.6171284634760732E-2</v>
      </c>
      <c r="O26" s="98">
        <f>Operations!O34/Operations!J34-1</f>
        <v>0.15669157357401797</v>
      </c>
      <c r="P26" s="98">
        <f>Operations!P34/Operations!K34-1</f>
        <v>-0.15044460466234078</v>
      </c>
      <c r="Q26" s="98">
        <f>Operations!Q34/Operations!L34-1</f>
        <v>-0.1903566047212456</v>
      </c>
      <c r="R26" s="98">
        <f>Operations!R34/Operations!M34-1</f>
        <v>-0.1479305740987984</v>
      </c>
      <c r="S26" s="98">
        <f>Operations!S34/Operations!N34-1</f>
        <v>-0.10701894849212701</v>
      </c>
      <c r="T26" s="98">
        <f>Operations!T34/Operations!O34-1</f>
        <v>-0.14960025583626479</v>
      </c>
      <c r="U26" s="98">
        <f>Operations!U34/Operations!P34-1</f>
        <v>-1.6973125884016671E-3</v>
      </c>
      <c r="V26" s="98">
        <f>Operations!V34/Operations!Q34-1</f>
        <v>0.20285359801488845</v>
      </c>
      <c r="W26" s="98">
        <f>Operations!W34/Operations!R34-1</f>
        <v>0.15794421811344406</v>
      </c>
      <c r="X26" s="98">
        <f>Operations!X34/Operations!S34-1</f>
        <v>-8.009563658099228E-2</v>
      </c>
      <c r="Y26" s="98">
        <f>Operations!Y34/Operations!T34-1</f>
        <v>6.6486161251504194E-2</v>
      </c>
      <c r="Z26" s="98">
        <f>Operations!Z34/Operations!U34-1</f>
        <v>-9.6627939926324791E-2</v>
      </c>
      <c r="AA26" s="98">
        <f>Operations!AA34/Operations!V34-1</f>
        <v>-7.194430118617845E-2</v>
      </c>
      <c r="AB26" s="98">
        <f>Operations!AB34/Operations!W34-1</f>
        <v>-2.5439783491204349E-2</v>
      </c>
      <c r="AC26" s="98">
        <f>Operations!AC34/Operations!X34-1</f>
        <v>0.34697855750487339</v>
      </c>
      <c r="AD26" s="98">
        <f>Operations!AD34/Operations!Y34-1</f>
        <v>2.4964739069111452E-2</v>
      </c>
      <c r="AE26" s="98">
        <f>Operations!AE34/Operations!Z34-1</f>
        <v>0.47459222082810548</v>
      </c>
      <c r="AF26" s="98">
        <f>Operations!AF34/Operations!AA34-1</f>
        <v>0.34731869963878848</v>
      </c>
      <c r="AG26" s="98">
        <f>Operations!AG34/Operations!AB34-1</f>
        <v>0.25104137739516807</v>
      </c>
      <c r="AH26" s="98">
        <f>Operations!AH34/Operations!AC34-1</f>
        <v>-0.32706222865412449</v>
      </c>
      <c r="AI26" s="98">
        <f>Operations!AI34/Operations!AD34-1</f>
        <v>0.15900646759322967</v>
      </c>
      <c r="AJ26" s="912">
        <f>Operations!AJ34/Operations!AE34-1</f>
        <v>-0.54839395873218466</v>
      </c>
      <c r="AK26" s="278">
        <f>Operations!AK34/Operations!AF34-1</f>
        <v>-0.62569601979789646</v>
      </c>
      <c r="AL26" s="278">
        <f>Operations!AL34/Operations!AG34-1</f>
        <v>-0.39578246392896776</v>
      </c>
      <c r="AM26" s="913">
        <f>Operations!AM34/Operations!AH34-1</f>
        <v>0.14731182795698916</v>
      </c>
      <c r="AN26" s="98">
        <f>Operations!AN34/Operations!AI34-1</f>
        <v>-0.41460373998219058</v>
      </c>
      <c r="AO26" s="912">
        <f>Operations!AO34/Operations!AJ34-1</f>
        <v>0.68252472915685347</v>
      </c>
      <c r="AP26" s="278">
        <f>Operations!AP34/Operations!AK34-1</f>
        <v>1.2374655647382919</v>
      </c>
      <c r="AQ26" s="278">
        <f>Operations!AQ34/Operations!AL34-1</f>
        <v>0.40044085231447468</v>
      </c>
      <c r="AR26" s="913">
        <f>Operations!AR34/Operations!AM34-1</f>
        <v>0.20462355513901898</v>
      </c>
      <c r="AS26" s="98">
        <f>Operations!AS34/Operations!AN34-1</f>
        <v>0.55166818781056692</v>
      </c>
      <c r="AT26" s="912">
        <f>Operations!AT34/Operations!AO34-1</f>
        <v>0.10694288913773797</v>
      </c>
      <c r="AU26" s="278">
        <f>Operations!AU34/Operations!AP34-1</f>
        <v>-3.0780595912336839E-2</v>
      </c>
      <c r="AV26" s="278">
        <f>Operations!AV34/Operations!AQ34-1</f>
        <v>6.0335781741867045E-3</v>
      </c>
      <c r="AW26" s="913">
        <f>Operations!AW34/Operations!AR34-1</f>
        <v>-1.8672199170124526E-2</v>
      </c>
      <c r="AX26" s="98">
        <f>Operations!AX34/Operations!AS34-1</f>
        <v>1.3593882752761299E-2</v>
      </c>
      <c r="AY26" s="912">
        <f>Operations!AY34/Operations!AT34-1</f>
        <v>3.4901365705614529E-2</v>
      </c>
      <c r="AZ26" s="278">
        <f>Operations!AZ34/Operations!AU34-1</f>
        <v>1.2703252032520318E-2</v>
      </c>
      <c r="BA26" s="278">
        <f>Operations!BA34/Operations!AV34-1</f>
        <v>3.5723598435462911E-2</v>
      </c>
      <c r="BB26" s="913">
        <f>Operations!BB34/Operations!AW34-1</f>
        <v>3.6997885835095223E-2</v>
      </c>
      <c r="BC26" s="98">
        <f>Operations!BC34/Operations!AX34-1</f>
        <v>2.9982590753755867E-2</v>
      </c>
      <c r="BD26" s="912">
        <f>Operations!BD34/Operations!AY34-1</f>
        <v>-1.8084066471163229E-2</v>
      </c>
      <c r="BE26" s="278">
        <f>Operations!BE34/Operations!AZ34-1</f>
        <v>-6.4726542900150563E-2</v>
      </c>
      <c r="BF26" s="278">
        <f>Operations!BF34/Operations!BA34-1</f>
        <v>-0.13695871097683787</v>
      </c>
      <c r="BG26" s="913">
        <f>Operations!BG34/Operations!BB34-1</f>
        <v>-0.11569826707441389</v>
      </c>
      <c r="BH26" s="98">
        <f>Operations!BH34/Operations!BC34-1</f>
        <v>-8.3260297984224407E-2</v>
      </c>
      <c r="BI26" s="912">
        <f>Operations!BI34/Operations!BD34-1</f>
        <v>-8.561473369835737E-2</v>
      </c>
      <c r="BJ26" s="278">
        <f>Operations!BJ34/Operations!BE34-1</f>
        <v>-5.3916309012875585E-2</v>
      </c>
      <c r="BK26" s="278">
        <f>Operations!BK34/Operations!BF34-1</f>
        <v>7.7012835472578756E-2</v>
      </c>
      <c r="BL26" s="913">
        <f>Operations!BL34/Operations!BG34-1</f>
        <v>-0.13112391930835732</v>
      </c>
      <c r="BM26" s="98">
        <f>Operations!BM34/Operations!BH34-1</f>
        <v>-5.0259491942092338E-2</v>
      </c>
      <c r="BN26" s="912">
        <f>Operations!BN34/Operations!BI34-1</f>
        <v>-0.28769733260751229</v>
      </c>
      <c r="BO26" s="278">
        <f>Operations!BO34/Operations!BJ34-1</f>
        <v>-0.23107456762120782</v>
      </c>
      <c r="BP26" s="278">
        <f>Operations!BP34/Operations!BK34-1</f>
        <v>-0.27518959913326113</v>
      </c>
      <c r="BQ26" s="913">
        <f>Operations!BQ34/Operations!BL34-1</f>
        <v>-0.14063018242122716</v>
      </c>
      <c r="BR26" s="98">
        <f>Operations!BR34/Operations!BM34-1</f>
        <v>-0.23813632441760135</v>
      </c>
      <c r="BS26" s="912">
        <f>Operations!BS34/Operations!BN34-1</f>
        <v>-4.5471914405808223E-2</v>
      </c>
      <c r="BT26" s="278">
        <f>Operations!BT34/Operations!BO34-1</f>
        <v>-7.3746312684366266E-3</v>
      </c>
      <c r="BU26" s="278">
        <f>Operations!BU34/Operations!BP34-1</f>
        <v>-5.2690582959641241E-2</v>
      </c>
      <c r="BV26" s="913">
        <f>Operations!BV34/Operations!BQ34-1</f>
        <v>-8.5681204168274849E-2</v>
      </c>
      <c r="BW26" s="98">
        <f>Operations!BW34/Operations!BR34-1</f>
        <v>-4.7376368440921079E-2</v>
      </c>
      <c r="BX26" s="912">
        <f>Operations!BX34/Operations!BS34-1</f>
        <v>-3.7630104083266613E-2</v>
      </c>
      <c r="BY26" s="278">
        <f>Operations!BY34/Operations!BT34-1</f>
        <v>-7.243684992570576E-2</v>
      </c>
      <c r="BZ26" s="278">
        <f>Operations!BZ34/Operations!BU34-1</f>
        <v>3.5502958579882726E-3</v>
      </c>
      <c r="CA26" s="913">
        <f>Operations!CA34/Operations!BV34-1</f>
        <v>3.0814689742507451E-2</v>
      </c>
      <c r="CB26" s="98">
        <f>Operations!CB34/Operations!BW34-1</f>
        <v>-2.050723201902116E-2</v>
      </c>
      <c r="CC26" s="1102">
        <v>0.01</v>
      </c>
      <c r="CD26" s="758">
        <v>0.01</v>
      </c>
      <c r="CE26" s="1557">
        <v>0.1</v>
      </c>
      <c r="CF26" s="1558">
        <v>0.12</v>
      </c>
      <c r="CG26" s="1474">
        <f>Operations!CG34/Operations!CB34-1</f>
        <v>6.0326691615252503E-2</v>
      </c>
      <c r="CH26" s="1561">
        <v>0.13</v>
      </c>
      <c r="CI26" s="1557">
        <v>0.13700000000000001</v>
      </c>
      <c r="CJ26" s="758">
        <v>0.02</v>
      </c>
      <c r="CK26" s="1077">
        <v>0.02</v>
      </c>
      <c r="CL26" s="98">
        <f>Operations!CL34/Operations!CG34-1</f>
        <v>7.362308114218119E-2</v>
      </c>
      <c r="CM26" s="1102">
        <v>0</v>
      </c>
      <c r="CN26" s="758">
        <v>0</v>
      </c>
      <c r="CO26" s="758">
        <v>0</v>
      </c>
      <c r="CP26" s="1077">
        <v>0</v>
      </c>
      <c r="CQ26" s="278">
        <f>Operations!CQ34/Operations!CL34-1</f>
        <v>0</v>
      </c>
      <c r="CR26" s="1460"/>
      <c r="CS26" s="99"/>
      <c r="CT26" s="99"/>
      <c r="CU26" s="99"/>
    </row>
    <row r="27" spans="1:110" ht="6.2" customHeight="1">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904"/>
      <c r="AK27" s="81"/>
      <c r="AL27" s="81"/>
      <c r="AM27" s="905"/>
      <c r="AN27" s="75"/>
      <c r="AO27" s="904"/>
      <c r="AP27" s="81"/>
      <c r="AQ27" s="81"/>
      <c r="AR27" s="905"/>
      <c r="AS27" s="75"/>
      <c r="AT27" s="904"/>
      <c r="AU27" s="81"/>
      <c r="AV27" s="81"/>
      <c r="AW27" s="905"/>
      <c r="AX27" s="75"/>
      <c r="AY27" s="904"/>
      <c r="AZ27" s="81"/>
      <c r="BA27" s="81"/>
      <c r="BB27" s="905"/>
      <c r="BC27" s="75"/>
      <c r="BD27" s="904"/>
      <c r="BE27" s="81"/>
      <c r="BF27" s="81"/>
      <c r="BG27" s="905"/>
      <c r="BH27" s="75"/>
      <c r="BI27" s="904"/>
      <c r="BJ27" s="81"/>
      <c r="BK27" s="81"/>
      <c r="BL27" s="905"/>
      <c r="BM27" s="75"/>
      <c r="BN27" s="904"/>
      <c r="BO27" s="81"/>
      <c r="BP27" s="81"/>
      <c r="BQ27" s="905"/>
      <c r="BR27" s="75"/>
      <c r="BS27" s="904"/>
      <c r="BT27" s="81"/>
      <c r="BU27" s="81"/>
      <c r="BV27" s="905"/>
      <c r="BW27" s="75"/>
      <c r="BX27" s="904"/>
      <c r="BY27" s="81"/>
      <c r="BZ27" s="81"/>
      <c r="CA27" s="905"/>
      <c r="CB27" s="75"/>
      <c r="CC27" s="904"/>
      <c r="CD27" s="81"/>
      <c r="CE27" s="81"/>
      <c r="CF27" s="905"/>
      <c r="CG27" s="1469"/>
      <c r="CH27" s="904"/>
      <c r="CI27" s="81"/>
      <c r="CJ27" s="81"/>
      <c r="CK27" s="905"/>
      <c r="CL27" s="75"/>
      <c r="CM27" s="904"/>
      <c r="CN27" s="81"/>
      <c r="CO27" s="81"/>
      <c r="CP27" s="905"/>
      <c r="CQ27" s="81"/>
    </row>
    <row r="28" spans="1:110" ht="13.5" customHeight="1">
      <c r="B28" s="93" t="s">
        <v>909</v>
      </c>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904"/>
      <c r="AK28" s="81"/>
      <c r="AL28" s="81"/>
      <c r="AM28" s="905"/>
      <c r="AN28" s="75"/>
      <c r="AO28" s="904"/>
      <c r="AP28" s="81"/>
      <c r="AQ28" s="81"/>
      <c r="AR28" s="905"/>
      <c r="AS28" s="75"/>
      <c r="AT28" s="904"/>
      <c r="AU28" s="81"/>
      <c r="AV28" s="81"/>
      <c r="AW28" s="905"/>
      <c r="AX28" s="75"/>
      <c r="AY28" s="904"/>
      <c r="AZ28" s="81"/>
      <c r="BA28" s="81"/>
      <c r="BB28" s="905"/>
      <c r="BC28" s="75"/>
      <c r="BD28" s="904"/>
      <c r="BE28" s="81"/>
      <c r="BF28" s="81"/>
      <c r="BG28" s="905"/>
      <c r="BH28" s="75"/>
      <c r="BI28" s="904"/>
      <c r="BJ28" s="81"/>
      <c r="BK28" s="81"/>
      <c r="BL28" s="905"/>
      <c r="BM28" s="75"/>
      <c r="BN28" s="904"/>
      <c r="BO28" s="81"/>
      <c r="BP28" s="81"/>
      <c r="BQ28" s="905"/>
      <c r="BR28" s="75"/>
      <c r="BS28" s="904"/>
      <c r="BT28" s="81"/>
      <c r="BU28" s="81"/>
      <c r="BV28" s="905"/>
      <c r="BW28" s="75"/>
      <c r="BX28" s="904"/>
      <c r="BY28" s="81"/>
      <c r="BZ28" s="1556">
        <f>300/BZ34</f>
        <v>0.11792452830188679</v>
      </c>
      <c r="CA28" s="905"/>
      <c r="CB28" s="75"/>
      <c r="CC28" s="904"/>
      <c r="CD28" s="81"/>
      <c r="CE28" s="81"/>
      <c r="CF28" s="905"/>
      <c r="CG28" s="1469"/>
      <c r="CH28" s="904"/>
      <c r="CI28" s="81"/>
      <c r="CJ28" s="81"/>
      <c r="CK28" s="905"/>
      <c r="CL28" s="75"/>
      <c r="CM28" s="904"/>
      <c r="CN28" s="81"/>
      <c r="CO28" s="81"/>
      <c r="CP28" s="905"/>
      <c r="CQ28" s="81"/>
    </row>
    <row r="29" spans="1:110" ht="13.5" customHeight="1">
      <c r="A29" s="275"/>
      <c r="B29" s="75" t="s">
        <v>672</v>
      </c>
      <c r="C29" s="275"/>
      <c r="D29" s="75"/>
      <c r="E29" s="75"/>
      <c r="F29" s="153">
        <f t="shared" ref="F29:I33" si="34">$J29/$J$34*F$34</f>
        <v>810.07767995857068</v>
      </c>
      <c r="G29" s="153">
        <f t="shared" si="34"/>
        <v>1064.8065399127026</v>
      </c>
      <c r="H29" s="153">
        <f t="shared" si="34"/>
        <v>1299.9152918547015</v>
      </c>
      <c r="I29" s="153">
        <f t="shared" si="34"/>
        <v>1320.2004882740252</v>
      </c>
      <c r="J29" s="665">
        <v>4495</v>
      </c>
      <c r="K29" s="153">
        <f t="shared" ref="K29:N33" si="35">$O29/$O$34*K$34</f>
        <v>1374.3142948512952</v>
      </c>
      <c r="L29" s="153">
        <f t="shared" si="35"/>
        <v>1315.1933482571155</v>
      </c>
      <c r="M29" s="153">
        <f t="shared" si="35"/>
        <v>1236.9158938279502</v>
      </c>
      <c r="N29" s="153">
        <f t="shared" si="35"/>
        <v>1237.5764630636393</v>
      </c>
      <c r="O29" s="665">
        <v>5164</v>
      </c>
      <c r="P29" s="153">
        <f t="shared" ref="P29:S33" si="36">$T29/$T$34*P$34</f>
        <v>1004.7205926594465</v>
      </c>
      <c r="Q29" s="153">
        <f t="shared" si="36"/>
        <v>916.32791817087855</v>
      </c>
      <c r="R29" s="153">
        <f t="shared" si="36"/>
        <v>906.94863116726845</v>
      </c>
      <c r="S29" s="153">
        <f t="shared" si="36"/>
        <v>951.00285800240681</v>
      </c>
      <c r="T29" s="608">
        <v>3779</v>
      </c>
      <c r="U29" s="153">
        <f t="shared" ref="U29:X33" si="37">$Y29/$Y$34*U$34</f>
        <v>1044.0165726375176</v>
      </c>
      <c r="V29" s="153">
        <f t="shared" si="37"/>
        <v>1147.2644569816644</v>
      </c>
      <c r="W29" s="153">
        <f t="shared" si="37"/>
        <v>1093.1258815232723</v>
      </c>
      <c r="X29" s="153">
        <f t="shared" si="37"/>
        <v>910.59308885754581</v>
      </c>
      <c r="Y29" s="608">
        <v>4195</v>
      </c>
      <c r="Z29" s="153">
        <f t="shared" ref="Z29:AC33" si="38">$AD29/$AD$34*Z$34</f>
        <v>1071.9523875051605</v>
      </c>
      <c r="AA29" s="153">
        <f t="shared" si="38"/>
        <v>1210.1495114902987</v>
      </c>
      <c r="AB29" s="153">
        <f t="shared" si="38"/>
        <v>1210.8220035778177</v>
      </c>
      <c r="AC29" s="153">
        <f t="shared" si="38"/>
        <v>1394.0760974267237</v>
      </c>
      <c r="AD29" s="608">
        <v>4887</v>
      </c>
      <c r="AE29" s="153">
        <f t="shared" ref="AE29:AH33" si="39">$AD29/$AD$34*AE$34</f>
        <v>1580.6926517132242</v>
      </c>
      <c r="AF29" s="153">
        <f t="shared" si="39"/>
        <v>1630.4570661896244</v>
      </c>
      <c r="AG29" s="153">
        <f t="shared" si="39"/>
        <v>1514.78842713637</v>
      </c>
      <c r="AH29" s="153">
        <f t="shared" si="39"/>
        <v>938.1264620888951</v>
      </c>
      <c r="AI29" s="608">
        <v>6474</v>
      </c>
      <c r="AJ29" s="914">
        <f t="shared" ref="AJ29:AM33" si="40">AJ$34*($AN29/$AN$34)</f>
        <v>683.12331406551061</v>
      </c>
      <c r="AK29" s="153">
        <f t="shared" si="40"/>
        <v>584.01734104046238</v>
      </c>
      <c r="AL29" s="153">
        <f t="shared" si="40"/>
        <v>875.86512524084776</v>
      </c>
      <c r="AM29" s="915">
        <f t="shared" si="40"/>
        <v>1029.9942196531792</v>
      </c>
      <c r="AN29" s="608">
        <v>3173</v>
      </c>
      <c r="AO29" s="914">
        <f t="shared" ref="AO29:AR33" si="41">AO$34*($AS29/$AS$34)</f>
        <v>1158.6063655970197</v>
      </c>
      <c r="AP29" s="153">
        <f t="shared" si="41"/>
        <v>1317.2173714136329</v>
      </c>
      <c r="AQ29" s="153">
        <f t="shared" si="41"/>
        <v>1236.4522580223513</v>
      </c>
      <c r="AR29" s="915">
        <f t="shared" si="41"/>
        <v>1250.7240049669956</v>
      </c>
      <c r="AS29" s="608">
        <v>4963</v>
      </c>
      <c r="AT29" s="914">
        <f t="shared" ref="AT29:AW33" si="42">AT$34*($AX29/$AX$34)</f>
        <v>1382.0771165129925</v>
      </c>
      <c r="AU29" s="153">
        <f t="shared" si="42"/>
        <v>1375.7854149203688</v>
      </c>
      <c r="AV29" s="153">
        <f t="shared" si="42"/>
        <v>1340.4819782062029</v>
      </c>
      <c r="AW29" s="915">
        <f t="shared" si="42"/>
        <v>1322.655490360436</v>
      </c>
      <c r="AX29" s="608">
        <v>5421</v>
      </c>
      <c r="AY29" s="914">
        <f t="shared" ref="AY29:BB33" si="43">AY$34*($BC29/$BC$34)</f>
        <v>1468.6012269938649</v>
      </c>
      <c r="AZ29" s="153">
        <f t="shared" si="43"/>
        <v>1430.5582822085889</v>
      </c>
      <c r="BA29" s="153">
        <f t="shared" si="43"/>
        <v>1425.5337423312883</v>
      </c>
      <c r="BB29" s="915">
        <f t="shared" si="43"/>
        <v>1408.3067484662577</v>
      </c>
      <c r="BC29" s="608">
        <v>5733</v>
      </c>
      <c r="BD29" s="914">
        <f t="shared" ref="BD29:BG33" si="44">BD$34*($BH29/$BH$34)</f>
        <v>1379.5755258126194</v>
      </c>
      <c r="BE29" s="153">
        <f t="shared" si="44"/>
        <v>1280.0043703906035</v>
      </c>
      <c r="BF29" s="153">
        <f t="shared" si="44"/>
        <v>1176.9997268505872</v>
      </c>
      <c r="BG29" s="915">
        <f t="shared" si="44"/>
        <v>1191.4203769461894</v>
      </c>
      <c r="BH29" s="608">
        <v>5028</v>
      </c>
      <c r="BI29" s="914">
        <f t="shared" ref="BI29:BL33" si="45">BI$34*($BM29/$BM$34)</f>
        <v>1296.7835777969512</v>
      </c>
      <c r="BJ29" s="153">
        <f t="shared" si="45"/>
        <v>1244.8981161921195</v>
      </c>
      <c r="BK29" s="153">
        <f t="shared" si="45"/>
        <v>1303.1368996261144</v>
      </c>
      <c r="BL29" s="915">
        <f t="shared" si="45"/>
        <v>1064.1814063848144</v>
      </c>
      <c r="BM29" s="608">
        <v>4909</v>
      </c>
      <c r="BN29" s="1049">
        <f t="shared" ref="BN29:BQ33" si="46">BN$34*($BR29/$BR$34)</f>
        <v>810.83531521328803</v>
      </c>
      <c r="BO29" s="855">
        <f t="shared" si="46"/>
        <v>840.26953567383907</v>
      </c>
      <c r="BP29" s="855">
        <f t="shared" si="46"/>
        <v>829.11551528878817</v>
      </c>
      <c r="BQ29" s="1050">
        <f t="shared" si="46"/>
        <v>802.7796338240845</v>
      </c>
      <c r="BR29" s="608">
        <v>3283</v>
      </c>
      <c r="BS29" s="1049">
        <f t="shared" ref="BS29:BV33" si="47">BS$34*($BW29/$BW$34)</f>
        <v>688.96691103625915</v>
      </c>
      <c r="BT29" s="855">
        <f t="shared" si="47"/>
        <v>742.47354864275803</v>
      </c>
      <c r="BU29" s="855">
        <f t="shared" si="47"/>
        <v>699.17178521894198</v>
      </c>
      <c r="BV29" s="1050">
        <f t="shared" si="47"/>
        <v>653.38775510204084</v>
      </c>
      <c r="BW29" s="639">
        <v>2784</v>
      </c>
      <c r="BX29" s="1078">
        <f>BX$34*0.25</f>
        <v>601</v>
      </c>
      <c r="BY29" s="855">
        <f>BY$34*0.25</f>
        <v>624.25</v>
      </c>
      <c r="BZ29" s="153">
        <f>BZ$34*0.25</f>
        <v>636</v>
      </c>
      <c r="CA29" s="915">
        <f>CA$34*0.25</f>
        <v>610.5</v>
      </c>
      <c r="CB29" s="153">
        <f t="shared" ref="CB29:CB34" si="48">SUM(BX29:CA29)</f>
        <v>2471.75</v>
      </c>
      <c r="CC29" s="914">
        <f>CC$34*0.25</f>
        <v>607.01</v>
      </c>
      <c r="CD29" s="153">
        <f>CD$34*0.25</f>
        <v>630.49249999999995</v>
      </c>
      <c r="CE29" s="614">
        <f>CE$34*0.28</f>
        <v>783.55200000000013</v>
      </c>
      <c r="CF29" s="1559">
        <f>CF$34*0.28</f>
        <v>765.81120000000021</v>
      </c>
      <c r="CG29" s="1475">
        <f t="shared" ref="CG29:CG34" si="49">SUM(CC29:CF29)</f>
        <v>2786.8657000000003</v>
      </c>
      <c r="CH29" s="1560">
        <f t="shared" ref="CH29:CK29" si="50">CH$34*0.28</f>
        <v>768.23185599999999</v>
      </c>
      <c r="CI29" s="614">
        <f t="shared" si="50"/>
        <v>802.89436919999991</v>
      </c>
      <c r="CJ29" s="614">
        <f t="shared" si="50"/>
        <v>799.22304000000008</v>
      </c>
      <c r="CK29" s="1559">
        <f t="shared" si="50"/>
        <v>781.12742400000025</v>
      </c>
      <c r="CL29" s="153">
        <f t="shared" ref="CL29:CL34" si="51">SUM(CH29:CK29)</f>
        <v>3151.4766892000002</v>
      </c>
      <c r="CM29" s="1560">
        <f t="shared" ref="CM29:CP29" si="52">CM$34*0.28</f>
        <v>768.23185599999999</v>
      </c>
      <c r="CN29" s="614">
        <f t="shared" si="52"/>
        <v>802.89436919999991</v>
      </c>
      <c r="CO29" s="614">
        <f t="shared" si="52"/>
        <v>799.22304000000008</v>
      </c>
      <c r="CP29" s="1559">
        <f t="shared" si="52"/>
        <v>781.12742400000025</v>
      </c>
      <c r="CQ29" s="153">
        <f t="shared" ref="CQ29:CQ34" si="53">SUM(CM29:CP29)</f>
        <v>3151.4766892000002</v>
      </c>
      <c r="CS29" s="153">
        <v>642.36</v>
      </c>
      <c r="CT29" s="915">
        <v>616.60500000000002</v>
      </c>
      <c r="DC29" s="914">
        <v>619.15020000000004</v>
      </c>
      <c r="DD29" s="153">
        <v>643.10235</v>
      </c>
      <c r="DE29" s="874">
        <f>CS29-DF29</f>
        <v>-1904.03685</v>
      </c>
      <c r="DF29" s="153">
        <v>2546.3968500000001</v>
      </c>
    </row>
    <row r="30" spans="1:110" ht="13.5" customHeight="1">
      <c r="A30" s="275"/>
      <c r="B30" s="75" t="s">
        <v>673</v>
      </c>
      <c r="C30" s="275"/>
      <c r="D30" s="75"/>
      <c r="E30" s="75"/>
      <c r="F30" s="153">
        <f t="shared" si="34"/>
        <v>733.84567581563954</v>
      </c>
      <c r="G30" s="153">
        <f t="shared" si="34"/>
        <v>964.60338832581192</v>
      </c>
      <c r="H30" s="153">
        <f t="shared" si="34"/>
        <v>1177.5873344677073</v>
      </c>
      <c r="I30" s="153">
        <f t="shared" si="34"/>
        <v>1195.9636013908412</v>
      </c>
      <c r="J30" s="665">
        <v>4072</v>
      </c>
      <c r="K30" s="153">
        <f t="shared" si="35"/>
        <v>1220.7551646945956</v>
      </c>
      <c r="L30" s="153">
        <f t="shared" si="35"/>
        <v>1168.240102334506</v>
      </c>
      <c r="M30" s="153">
        <f t="shared" si="35"/>
        <v>1098.7089862488008</v>
      </c>
      <c r="N30" s="153">
        <f t="shared" si="35"/>
        <v>1099.2957467220979</v>
      </c>
      <c r="O30" s="665">
        <v>4587</v>
      </c>
      <c r="P30" s="153">
        <f t="shared" si="36"/>
        <v>1154.6709536702767</v>
      </c>
      <c r="Q30" s="153">
        <f t="shared" si="36"/>
        <v>1053.0860409145607</v>
      </c>
      <c r="R30" s="153">
        <f t="shared" si="36"/>
        <v>1042.3069344163659</v>
      </c>
      <c r="S30" s="153">
        <f t="shared" si="36"/>
        <v>1092.9360709987966</v>
      </c>
      <c r="T30" s="608">
        <v>4343</v>
      </c>
      <c r="U30" s="153">
        <f t="shared" si="37"/>
        <v>1114.6961212976023</v>
      </c>
      <c r="V30" s="153">
        <f t="shared" si="37"/>
        <v>1224.9338504936532</v>
      </c>
      <c r="W30" s="153">
        <f t="shared" si="37"/>
        <v>1167.1301128349789</v>
      </c>
      <c r="X30" s="153">
        <f t="shared" si="37"/>
        <v>972.23991537376594</v>
      </c>
      <c r="Y30" s="608">
        <v>4479</v>
      </c>
      <c r="Z30" s="153">
        <f t="shared" si="38"/>
        <v>929.59570661896248</v>
      </c>
      <c r="AA30" s="153">
        <f t="shared" si="38"/>
        <v>1049.4400715563506</v>
      </c>
      <c r="AB30" s="153">
        <f t="shared" si="38"/>
        <v>1050.0232558139535</v>
      </c>
      <c r="AC30" s="153">
        <f t="shared" si="38"/>
        <v>1208.9409660107335</v>
      </c>
      <c r="AD30" s="608">
        <v>4238</v>
      </c>
      <c r="AE30" s="153">
        <f t="shared" si="39"/>
        <v>1370.7745974955278</v>
      </c>
      <c r="AF30" s="153">
        <f t="shared" si="39"/>
        <v>1413.9302325581396</v>
      </c>
      <c r="AG30" s="153">
        <f t="shared" si="39"/>
        <v>1313.6225402504474</v>
      </c>
      <c r="AH30" s="153">
        <f t="shared" si="39"/>
        <v>813.54203935599287</v>
      </c>
      <c r="AI30" s="608">
        <v>4489</v>
      </c>
      <c r="AJ30" s="914">
        <f t="shared" si="40"/>
        <v>678.60217016529771</v>
      </c>
      <c r="AK30" s="153">
        <f t="shared" si="40"/>
        <v>580.15211439002132</v>
      </c>
      <c r="AL30" s="153">
        <f t="shared" si="40"/>
        <v>870.06835006591632</v>
      </c>
      <c r="AM30" s="915">
        <f t="shared" si="40"/>
        <v>1023.1773653787649</v>
      </c>
      <c r="AN30" s="608">
        <v>3152</v>
      </c>
      <c r="AO30" s="914">
        <f t="shared" si="41"/>
        <v>1013.1677668126265</v>
      </c>
      <c r="AP30" s="153">
        <f t="shared" si="41"/>
        <v>1151.8685053264492</v>
      </c>
      <c r="AQ30" s="153">
        <f t="shared" si="41"/>
        <v>1081.2417489053003</v>
      </c>
      <c r="AR30" s="915">
        <f t="shared" si="41"/>
        <v>1093.7219789556236</v>
      </c>
      <c r="AS30" s="608">
        <v>4340</v>
      </c>
      <c r="AT30" s="914">
        <f t="shared" si="42"/>
        <v>1099.0840157328005</v>
      </c>
      <c r="AU30" s="153">
        <f t="shared" si="42"/>
        <v>1094.0805983622413</v>
      </c>
      <c r="AV30" s="153">
        <f t="shared" si="42"/>
        <v>1066.0058675607713</v>
      </c>
      <c r="AW30" s="915">
        <f t="shared" si="42"/>
        <v>1051.8295183441874</v>
      </c>
      <c r="AX30" s="608">
        <v>4311</v>
      </c>
      <c r="AY30" s="914">
        <f t="shared" si="43"/>
        <v>1146.6002253662202</v>
      </c>
      <c r="AZ30" s="153">
        <f t="shared" si="43"/>
        <v>1116.898459997496</v>
      </c>
      <c r="BA30" s="153">
        <f t="shared" si="43"/>
        <v>1112.9755853261552</v>
      </c>
      <c r="BB30" s="915">
        <f t="shared" si="43"/>
        <v>1099.525729310129</v>
      </c>
      <c r="BC30" s="608">
        <v>4476</v>
      </c>
      <c r="BD30" s="914">
        <f t="shared" si="44"/>
        <v>1192.7237093690248</v>
      </c>
      <c r="BE30" s="153">
        <f t="shared" si="44"/>
        <v>1106.6386233269598</v>
      </c>
      <c r="BF30" s="153">
        <f t="shared" si="44"/>
        <v>1017.5850860420649</v>
      </c>
      <c r="BG30" s="915">
        <f t="shared" si="44"/>
        <v>1030.0525812619501</v>
      </c>
      <c r="BH30" s="608">
        <v>4347</v>
      </c>
      <c r="BI30" s="914">
        <f t="shared" si="45"/>
        <v>1111.3400920333622</v>
      </c>
      <c r="BJ30" s="153">
        <f t="shared" si="45"/>
        <v>1066.8743888409549</v>
      </c>
      <c r="BK30" s="153">
        <f t="shared" si="45"/>
        <v>1116.784872016106</v>
      </c>
      <c r="BL30" s="915">
        <f t="shared" si="45"/>
        <v>912.00064710957724</v>
      </c>
      <c r="BM30" s="608">
        <v>4207</v>
      </c>
      <c r="BN30" s="1049">
        <f t="shared" si="46"/>
        <v>866.1588335220838</v>
      </c>
      <c r="BO30" s="855">
        <f t="shared" si="46"/>
        <v>897.60135900339753</v>
      </c>
      <c r="BP30" s="855">
        <f t="shared" si="46"/>
        <v>885.68629671574183</v>
      </c>
      <c r="BQ30" s="1050">
        <f t="shared" si="46"/>
        <v>857.55351075877695</v>
      </c>
      <c r="BR30" s="608">
        <v>3507</v>
      </c>
      <c r="BS30" s="1049">
        <f t="shared" si="47"/>
        <v>934.21339409550228</v>
      </c>
      <c r="BT30" s="855">
        <f t="shared" si="47"/>
        <v>1006.7663958787398</v>
      </c>
      <c r="BU30" s="855">
        <f t="shared" si="47"/>
        <v>948.05082227065577</v>
      </c>
      <c r="BV30" s="1050">
        <f t="shared" si="47"/>
        <v>885.96938775510205</v>
      </c>
      <c r="BW30" s="639">
        <v>3775</v>
      </c>
      <c r="BX30" s="1078">
        <f>BX$34*0.35</f>
        <v>841.4</v>
      </c>
      <c r="BY30" s="855">
        <f>BY$34*0.35</f>
        <v>873.94999999999993</v>
      </c>
      <c r="BZ30" s="153">
        <f>BZ$34*0.35</f>
        <v>890.4</v>
      </c>
      <c r="CA30" s="915">
        <f>CA$34*0.35</f>
        <v>854.69999999999993</v>
      </c>
      <c r="CB30" s="153">
        <f t="shared" si="48"/>
        <v>3460.45</v>
      </c>
      <c r="CC30" s="914">
        <f>CC$34*0.35</f>
        <v>849.81399999999996</v>
      </c>
      <c r="CD30" s="153">
        <f>CD$34*0.35</f>
        <v>882.68949999999984</v>
      </c>
      <c r="CE30" s="614">
        <f>CE$34*0.32</f>
        <v>895.48800000000006</v>
      </c>
      <c r="CF30" s="1559">
        <f>CF$34*0.32</f>
        <v>875.21280000000013</v>
      </c>
      <c r="CG30" s="1475">
        <f t="shared" si="49"/>
        <v>3503.2043000000003</v>
      </c>
      <c r="CH30" s="1560">
        <f t="shared" ref="CH30:CK30" si="54">CH$34*0.32</f>
        <v>877.97926399999994</v>
      </c>
      <c r="CI30" s="614">
        <f t="shared" si="54"/>
        <v>917.59356479999985</v>
      </c>
      <c r="CJ30" s="614">
        <f t="shared" si="54"/>
        <v>913.39775999999995</v>
      </c>
      <c r="CK30" s="1559">
        <f t="shared" si="54"/>
        <v>892.71705600000018</v>
      </c>
      <c r="CL30" s="153">
        <f t="shared" si="51"/>
        <v>3601.6876448000003</v>
      </c>
      <c r="CM30" s="1560">
        <f t="shared" ref="CM30:CP30" si="55">CM$34*0.32</f>
        <v>877.97926399999994</v>
      </c>
      <c r="CN30" s="614">
        <f t="shared" si="55"/>
        <v>917.59356479999985</v>
      </c>
      <c r="CO30" s="614">
        <f t="shared" si="55"/>
        <v>913.39775999999995</v>
      </c>
      <c r="CP30" s="1559">
        <f t="shared" si="55"/>
        <v>892.71705600000018</v>
      </c>
      <c r="CQ30" s="153">
        <f t="shared" si="53"/>
        <v>3601.6876448000003</v>
      </c>
      <c r="CS30" s="153">
        <v>899.30399999999997</v>
      </c>
      <c r="CT30" s="915">
        <v>863.24699999999996</v>
      </c>
      <c r="DC30" s="914">
        <v>866.81028000000003</v>
      </c>
      <c r="DD30" s="153">
        <v>900.34328999999991</v>
      </c>
      <c r="DE30" s="874">
        <f t="shared" ref="DE30:DE34" si="56">CS30-DF30</f>
        <v>-2665.6515899999999</v>
      </c>
      <c r="DF30" s="153">
        <v>3564.95559</v>
      </c>
    </row>
    <row r="31" spans="1:110" ht="13.5" customHeight="1">
      <c r="A31" s="275"/>
      <c r="B31" s="81" t="s">
        <v>674</v>
      </c>
      <c r="C31" s="275"/>
      <c r="D31" s="75"/>
      <c r="E31" s="75"/>
      <c r="F31" s="153">
        <f t="shared" si="34"/>
        <v>579.39927498705333</v>
      </c>
      <c r="G31" s="153">
        <f t="shared" si="34"/>
        <v>761.59132943700524</v>
      </c>
      <c r="H31" s="153">
        <f t="shared" si="34"/>
        <v>929.75031441887984</v>
      </c>
      <c r="I31" s="153">
        <f t="shared" si="34"/>
        <v>944.25908115706147</v>
      </c>
      <c r="J31" s="665">
        <v>3215</v>
      </c>
      <c r="K31" s="153">
        <f t="shared" si="35"/>
        <v>1140.6489286856411</v>
      </c>
      <c r="L31" s="153">
        <f t="shared" si="35"/>
        <v>1091.5799168532139</v>
      </c>
      <c r="M31" s="153">
        <f t="shared" si="35"/>
        <v>1026.6114486728493</v>
      </c>
      <c r="N31" s="153">
        <f t="shared" si="35"/>
        <v>1027.1597057882955</v>
      </c>
      <c r="O31" s="665">
        <v>4286</v>
      </c>
      <c r="P31" s="153">
        <f t="shared" si="36"/>
        <v>972.28452166064994</v>
      </c>
      <c r="Q31" s="153">
        <f t="shared" si="36"/>
        <v>886.745487364621</v>
      </c>
      <c r="R31" s="153">
        <f t="shared" si="36"/>
        <v>877.66899819494597</v>
      </c>
      <c r="S31" s="153">
        <f t="shared" si="36"/>
        <v>920.30099277978343</v>
      </c>
      <c r="T31" s="608">
        <v>3657</v>
      </c>
      <c r="U31" s="153">
        <f t="shared" si="37"/>
        <v>1016.1429478138224</v>
      </c>
      <c r="V31" s="153">
        <f t="shared" si="37"/>
        <v>1116.6342736248237</v>
      </c>
      <c r="W31" s="153">
        <f t="shared" si="37"/>
        <v>1063.9411142454162</v>
      </c>
      <c r="X31" s="153">
        <f t="shared" si="37"/>
        <v>886.28166431593797</v>
      </c>
      <c r="Y31" s="608">
        <v>4083</v>
      </c>
      <c r="Z31" s="153">
        <f t="shared" si="38"/>
        <v>821.01857712948947</v>
      </c>
      <c r="AA31" s="153">
        <f t="shared" si="38"/>
        <v>926.86507499655977</v>
      </c>
      <c r="AB31" s="153">
        <f t="shared" si="38"/>
        <v>927.38014311270126</v>
      </c>
      <c r="AC31" s="153">
        <f t="shared" si="38"/>
        <v>1067.7362047612496</v>
      </c>
      <c r="AD31" s="608">
        <v>3743</v>
      </c>
      <c r="AE31" s="153">
        <f t="shared" si="39"/>
        <v>1210.667606990505</v>
      </c>
      <c r="AF31" s="153">
        <f t="shared" si="39"/>
        <v>1248.7826475849731</v>
      </c>
      <c r="AG31" s="153">
        <f t="shared" si="39"/>
        <v>1160.1909316086419</v>
      </c>
      <c r="AH31" s="153">
        <f t="shared" si="39"/>
        <v>718.52002201733865</v>
      </c>
      <c r="AI31" s="608">
        <v>3554</v>
      </c>
      <c r="AJ31" s="914">
        <f t="shared" si="40"/>
        <v>405.18061048575191</v>
      </c>
      <c r="AK31" s="153">
        <f t="shared" si="40"/>
        <v>346.39793124429571</v>
      </c>
      <c r="AL31" s="153">
        <f t="shared" si="40"/>
        <v>519.50147043910351</v>
      </c>
      <c r="AM31" s="915">
        <f t="shared" si="40"/>
        <v>610.91998783084875</v>
      </c>
      <c r="AN31" s="608">
        <v>1882</v>
      </c>
      <c r="AO31" s="914">
        <f t="shared" si="41"/>
        <v>675.36736161035219</v>
      </c>
      <c r="AP31" s="153">
        <f t="shared" si="41"/>
        <v>767.82386772106395</v>
      </c>
      <c r="AQ31" s="153">
        <f t="shared" si="41"/>
        <v>720.744787922358</v>
      </c>
      <c r="AR31" s="915">
        <f t="shared" si="41"/>
        <v>729.06398274622575</v>
      </c>
      <c r="AS31" s="608">
        <v>2893</v>
      </c>
      <c r="AT31" s="914">
        <f t="shared" si="42"/>
        <v>799.51924688890324</v>
      </c>
      <c r="AU31" s="153">
        <f t="shared" si="42"/>
        <v>795.87955380746666</v>
      </c>
      <c r="AV31" s="153">
        <f t="shared" si="42"/>
        <v>775.45683151718356</v>
      </c>
      <c r="AW31" s="915">
        <f t="shared" si="42"/>
        <v>765.14436778644665</v>
      </c>
      <c r="AX31" s="608">
        <v>3136</v>
      </c>
      <c r="AY31" s="914">
        <f t="shared" si="43"/>
        <v>894.02028295980972</v>
      </c>
      <c r="AZ31" s="153">
        <f t="shared" si="43"/>
        <v>870.86139977463381</v>
      </c>
      <c r="BA31" s="153">
        <f t="shared" si="43"/>
        <v>867.80267935395023</v>
      </c>
      <c r="BB31" s="915">
        <f t="shared" si="43"/>
        <v>857.31563791160636</v>
      </c>
      <c r="BC31" s="608">
        <v>3490</v>
      </c>
      <c r="BD31" s="914">
        <f t="shared" si="44"/>
        <v>987.48852772466535</v>
      </c>
      <c r="BE31" s="153">
        <f t="shared" si="44"/>
        <v>916.21633433488114</v>
      </c>
      <c r="BF31" s="153">
        <f t="shared" si="44"/>
        <v>842.48647910406987</v>
      </c>
      <c r="BG31" s="915">
        <f t="shared" si="44"/>
        <v>852.80865883638353</v>
      </c>
      <c r="BH31" s="608">
        <v>3599</v>
      </c>
      <c r="BI31" s="914">
        <f t="shared" si="45"/>
        <v>875.96951394880648</v>
      </c>
      <c r="BJ31" s="153">
        <f t="shared" si="45"/>
        <v>840.92119643370722</v>
      </c>
      <c r="BK31" s="153">
        <f t="shared" si="45"/>
        <v>880.26114466494107</v>
      </c>
      <c r="BL31" s="915">
        <f t="shared" si="45"/>
        <v>718.84814495254534</v>
      </c>
      <c r="BM31" s="608">
        <v>3316</v>
      </c>
      <c r="BN31" s="1049">
        <f t="shared" si="46"/>
        <v>620.16676104190253</v>
      </c>
      <c r="BO31" s="855">
        <f t="shared" si="46"/>
        <v>642.67950169875417</v>
      </c>
      <c r="BP31" s="855">
        <f t="shared" si="46"/>
        <v>634.14835787089464</v>
      </c>
      <c r="BQ31" s="1050">
        <f t="shared" si="46"/>
        <v>614.00537938844843</v>
      </c>
      <c r="BR31" s="608">
        <v>2511</v>
      </c>
      <c r="BS31" s="1049">
        <f t="shared" si="47"/>
        <v>657.04279770160485</v>
      </c>
      <c r="BT31" s="855">
        <f t="shared" si="47"/>
        <v>708.07014067763021</v>
      </c>
      <c r="BU31" s="855">
        <f t="shared" si="47"/>
        <v>666.77481672280555</v>
      </c>
      <c r="BV31" s="1050">
        <f t="shared" si="47"/>
        <v>623.11224489795916</v>
      </c>
      <c r="BW31" s="639">
        <v>2655</v>
      </c>
      <c r="BX31" s="1078">
        <f>BX$34*0.3</f>
        <v>721.19999999999993</v>
      </c>
      <c r="BY31" s="855">
        <f>BY$34*0.3</f>
        <v>749.1</v>
      </c>
      <c r="BZ31" s="153">
        <f>BZ$34*0.3</f>
        <v>763.19999999999993</v>
      </c>
      <c r="CA31" s="915">
        <f>CA$34*0.3</f>
        <v>732.6</v>
      </c>
      <c r="CB31" s="153">
        <f t="shared" si="48"/>
        <v>2966.1</v>
      </c>
      <c r="CC31" s="914">
        <f>CC$34*0.3</f>
        <v>728.41199999999992</v>
      </c>
      <c r="CD31" s="153">
        <f>CD$34*0.3</f>
        <v>756.59099999999989</v>
      </c>
      <c r="CE31" s="614">
        <f>CE$34*0.275</f>
        <v>769.56000000000006</v>
      </c>
      <c r="CF31" s="1559">
        <f>CF$34*0.275</f>
        <v>752.13600000000019</v>
      </c>
      <c r="CG31" s="1475">
        <f t="shared" si="49"/>
        <v>3006.6989999999996</v>
      </c>
      <c r="CH31" s="1560">
        <f t="shared" ref="CH31:CK31" si="57">CH$34*0.275</f>
        <v>754.51343000000008</v>
      </c>
      <c r="CI31" s="614">
        <f t="shared" si="57"/>
        <v>788.55696975000001</v>
      </c>
      <c r="CJ31" s="614">
        <f t="shared" si="57"/>
        <v>784.95120000000009</v>
      </c>
      <c r="CK31" s="1559">
        <f t="shared" si="57"/>
        <v>767.17872000000023</v>
      </c>
      <c r="CL31" s="153">
        <f t="shared" si="51"/>
        <v>3095.2003197500003</v>
      </c>
      <c r="CM31" s="1560">
        <f t="shared" ref="CM31:CP31" si="58">CM$34*0.275</f>
        <v>754.51343000000008</v>
      </c>
      <c r="CN31" s="614">
        <f t="shared" si="58"/>
        <v>788.55696975000001</v>
      </c>
      <c r="CO31" s="614">
        <f t="shared" si="58"/>
        <v>784.95120000000009</v>
      </c>
      <c r="CP31" s="1559">
        <f t="shared" si="58"/>
        <v>767.17872000000023</v>
      </c>
      <c r="CQ31" s="153">
        <f t="shared" si="53"/>
        <v>3095.2003197500003</v>
      </c>
      <c r="CS31" s="153">
        <v>770.83199999999999</v>
      </c>
      <c r="CT31" s="915">
        <v>739.92600000000004</v>
      </c>
      <c r="DC31" s="914">
        <v>742.98023999999998</v>
      </c>
      <c r="DD31" s="153">
        <v>771.72281999999996</v>
      </c>
      <c r="DE31" s="874">
        <f t="shared" si="56"/>
        <v>-2284.8442199999995</v>
      </c>
      <c r="DF31" s="153">
        <v>3055.6762199999994</v>
      </c>
    </row>
    <row r="32" spans="1:110" ht="13.5" customHeight="1">
      <c r="A32" s="275"/>
      <c r="B32" s="75" t="s">
        <v>675</v>
      </c>
      <c r="C32" s="275"/>
      <c r="D32" s="75"/>
      <c r="E32" s="75"/>
      <c r="F32" s="153">
        <f t="shared" si="34"/>
        <v>199.14034179181769</v>
      </c>
      <c r="G32" s="153">
        <f t="shared" si="34"/>
        <v>261.76000591847304</v>
      </c>
      <c r="H32" s="153">
        <f t="shared" si="34"/>
        <v>319.55648442701784</v>
      </c>
      <c r="I32" s="153">
        <f t="shared" si="34"/>
        <v>324.5431678626914</v>
      </c>
      <c r="J32" s="665">
        <v>1105</v>
      </c>
      <c r="K32" s="153">
        <f t="shared" si="35"/>
        <v>384.03089222897341</v>
      </c>
      <c r="L32" s="153">
        <f t="shared" si="35"/>
        <v>367.51045730732329</v>
      </c>
      <c r="M32" s="153">
        <f t="shared" si="35"/>
        <v>345.63703229932838</v>
      </c>
      <c r="N32" s="153">
        <f t="shared" si="35"/>
        <v>345.8216181643748</v>
      </c>
      <c r="O32" s="665">
        <v>1443</v>
      </c>
      <c r="P32" s="153">
        <f t="shared" si="36"/>
        <v>369.02677496991572</v>
      </c>
      <c r="Q32" s="153">
        <f t="shared" si="36"/>
        <v>336.56077015643802</v>
      </c>
      <c r="R32" s="153">
        <f t="shared" si="36"/>
        <v>333.11582430806254</v>
      </c>
      <c r="S32" s="153">
        <f t="shared" si="36"/>
        <v>349.2966305655836</v>
      </c>
      <c r="T32" s="608">
        <v>1388</v>
      </c>
      <c r="U32" s="153">
        <f t="shared" si="37"/>
        <v>328.01283497884344</v>
      </c>
      <c r="V32" s="153">
        <f t="shared" si="37"/>
        <v>360.4516220028209</v>
      </c>
      <c r="W32" s="153">
        <f t="shared" si="37"/>
        <v>343.44217207334276</v>
      </c>
      <c r="X32" s="153">
        <f t="shared" si="37"/>
        <v>286.09337094499296</v>
      </c>
      <c r="Y32" s="608">
        <v>1318</v>
      </c>
      <c r="Z32" s="153">
        <f t="shared" si="38"/>
        <v>282.51988440897208</v>
      </c>
      <c r="AA32" s="153">
        <f t="shared" si="38"/>
        <v>318.94261731113249</v>
      </c>
      <c r="AB32" s="153">
        <f t="shared" si="38"/>
        <v>319.11985688729874</v>
      </c>
      <c r="AC32" s="153">
        <f t="shared" si="38"/>
        <v>367.41764139259664</v>
      </c>
      <c r="AD32" s="608">
        <v>1288</v>
      </c>
      <c r="AE32" s="153">
        <f t="shared" si="39"/>
        <v>416.60162377872575</v>
      </c>
      <c r="AF32" s="153">
        <f t="shared" si="39"/>
        <v>429.71735241502682</v>
      </c>
      <c r="AG32" s="153">
        <f t="shared" si="39"/>
        <v>399.23214531443512</v>
      </c>
      <c r="AH32" s="153">
        <f t="shared" si="39"/>
        <v>247.2492087518921</v>
      </c>
      <c r="AI32" s="608">
        <v>1387</v>
      </c>
      <c r="AJ32" s="914">
        <f t="shared" si="40"/>
        <v>269.76158604603995</v>
      </c>
      <c r="AK32" s="153">
        <f t="shared" si="40"/>
        <v>230.62519014298749</v>
      </c>
      <c r="AL32" s="153">
        <f t="shared" si="40"/>
        <v>345.87425210424902</v>
      </c>
      <c r="AM32" s="915">
        <f t="shared" si="40"/>
        <v>406.73897170672342</v>
      </c>
      <c r="AN32" s="608">
        <v>1253</v>
      </c>
      <c r="AO32" s="914">
        <f t="shared" si="41"/>
        <v>312.8213842232534</v>
      </c>
      <c r="AP32" s="153">
        <f t="shared" si="41"/>
        <v>355.64603620678389</v>
      </c>
      <c r="AQ32" s="153">
        <f t="shared" si="41"/>
        <v>333.83961832559964</v>
      </c>
      <c r="AR32" s="915">
        <f t="shared" si="41"/>
        <v>337.69296124436312</v>
      </c>
      <c r="AS32" s="608">
        <v>1340</v>
      </c>
      <c r="AT32" s="914">
        <f t="shared" si="42"/>
        <v>300.07466632278033</v>
      </c>
      <c r="AU32" s="153">
        <f t="shared" si="42"/>
        <v>298.70862080082532</v>
      </c>
      <c r="AV32" s="153">
        <f t="shared" si="42"/>
        <v>291.04358759430011</v>
      </c>
      <c r="AW32" s="915">
        <f t="shared" si="42"/>
        <v>287.17312528209425</v>
      </c>
      <c r="AX32" s="608">
        <v>1177</v>
      </c>
      <c r="AY32" s="914">
        <f t="shared" si="43"/>
        <v>312.52284963064983</v>
      </c>
      <c r="AZ32" s="153">
        <f t="shared" si="43"/>
        <v>304.42719419055965</v>
      </c>
      <c r="BA32" s="153">
        <f t="shared" si="43"/>
        <v>303.35795667960434</v>
      </c>
      <c r="BB32" s="915">
        <f t="shared" si="43"/>
        <v>299.69199949918618</v>
      </c>
      <c r="BC32" s="608">
        <v>1220</v>
      </c>
      <c r="BD32" s="914">
        <f t="shared" si="44"/>
        <v>330.35181644359466</v>
      </c>
      <c r="BE32" s="153">
        <f t="shared" si="44"/>
        <v>306.50860420650099</v>
      </c>
      <c r="BF32" s="153">
        <f t="shared" si="44"/>
        <v>281.84321223709372</v>
      </c>
      <c r="BG32" s="915">
        <f t="shared" si="44"/>
        <v>285.29636711281074</v>
      </c>
      <c r="BH32" s="608">
        <v>1204</v>
      </c>
      <c r="BI32" s="914">
        <f t="shared" si="45"/>
        <v>311.71412136899625</v>
      </c>
      <c r="BJ32" s="153">
        <f t="shared" si="45"/>
        <v>299.24216278400922</v>
      </c>
      <c r="BK32" s="153">
        <f t="shared" si="45"/>
        <v>313.24129997123958</v>
      </c>
      <c r="BL32" s="915">
        <f t="shared" si="45"/>
        <v>255.80241587575497</v>
      </c>
      <c r="BM32" s="608">
        <v>1180</v>
      </c>
      <c r="BN32" s="1049">
        <f t="shared" si="46"/>
        <v>228.9504530011325</v>
      </c>
      <c r="BO32" s="855">
        <f t="shared" si="46"/>
        <v>237.26160815402037</v>
      </c>
      <c r="BP32" s="855">
        <f t="shared" si="46"/>
        <v>234.11211778029443</v>
      </c>
      <c r="BQ32" s="1050">
        <f t="shared" si="46"/>
        <v>226.67582106455265</v>
      </c>
      <c r="BR32" s="608">
        <v>927</v>
      </c>
      <c r="BS32" s="1049">
        <f t="shared" si="47"/>
        <v>205.65068357440063</v>
      </c>
      <c r="BT32" s="855">
        <f t="shared" si="47"/>
        <v>221.62195363582325</v>
      </c>
      <c r="BU32" s="855">
        <f t="shared" si="47"/>
        <v>208.69675054487811</v>
      </c>
      <c r="BV32" s="1050">
        <f t="shared" si="47"/>
        <v>195.03061224489795</v>
      </c>
      <c r="BW32" s="639">
        <v>831</v>
      </c>
      <c r="BX32" s="1078">
        <f>BX$34*0.08</f>
        <v>192.32</v>
      </c>
      <c r="BY32" s="855">
        <f>BY$34*0.08</f>
        <v>199.76</v>
      </c>
      <c r="BZ32" s="153">
        <f>BZ$34*0.08</f>
        <v>203.52</v>
      </c>
      <c r="CA32" s="915">
        <f>CA$34*0.08</f>
        <v>195.36</v>
      </c>
      <c r="CB32" s="153">
        <f t="shared" si="48"/>
        <v>790.96</v>
      </c>
      <c r="CC32" s="914">
        <f>CC$34*0.08</f>
        <v>194.2432</v>
      </c>
      <c r="CD32" s="153">
        <f>CD$34*0.08</f>
        <v>201.7576</v>
      </c>
      <c r="CE32" s="614">
        <f>CE$34*0.073</f>
        <v>204.28319999999999</v>
      </c>
      <c r="CF32" s="1559">
        <f>CF$34*0.073</f>
        <v>199.65792000000002</v>
      </c>
      <c r="CG32" s="1475">
        <f t="shared" si="49"/>
        <v>799.94191999999998</v>
      </c>
      <c r="CH32" s="1560">
        <f t="shared" ref="CH32:CK32" si="59">CH$34*0.073</f>
        <v>200.28901959999999</v>
      </c>
      <c r="CI32" s="614">
        <f t="shared" si="59"/>
        <v>209.32603196999995</v>
      </c>
      <c r="CJ32" s="614">
        <f t="shared" si="59"/>
        <v>208.36886399999997</v>
      </c>
      <c r="CK32" s="1559">
        <f t="shared" si="59"/>
        <v>203.65107840000002</v>
      </c>
      <c r="CL32" s="153">
        <f t="shared" si="51"/>
        <v>821.63499396999987</v>
      </c>
      <c r="CM32" s="1560">
        <f t="shared" ref="CM32:CP32" si="60">CM$34*0.073</f>
        <v>200.28901959999999</v>
      </c>
      <c r="CN32" s="614">
        <f t="shared" si="60"/>
        <v>209.32603196999995</v>
      </c>
      <c r="CO32" s="614">
        <f t="shared" si="60"/>
        <v>208.36886399999997</v>
      </c>
      <c r="CP32" s="1559">
        <f t="shared" si="60"/>
        <v>203.65107840000002</v>
      </c>
      <c r="CQ32" s="153">
        <f t="shared" si="53"/>
        <v>821.63499396999987</v>
      </c>
      <c r="CS32" s="153">
        <v>205.55520000000001</v>
      </c>
      <c r="CT32" s="915">
        <v>197.31360000000001</v>
      </c>
      <c r="DC32" s="914">
        <v>198.12806400000002</v>
      </c>
      <c r="DD32" s="153">
        <v>205.79275200000001</v>
      </c>
      <c r="DE32" s="874">
        <f t="shared" si="56"/>
        <v>-609.2917920000001</v>
      </c>
      <c r="DF32" s="153">
        <v>814.84699200000011</v>
      </c>
    </row>
    <row r="33" spans="1:112" ht="13.5" customHeight="1">
      <c r="A33" s="275"/>
      <c r="B33" s="75" t="s">
        <v>676</v>
      </c>
      <c r="C33" s="275"/>
      <c r="D33" s="75"/>
      <c r="E33" s="75"/>
      <c r="F33" s="153">
        <f t="shared" si="34"/>
        <v>113.5370274469187</v>
      </c>
      <c r="G33" s="153">
        <f t="shared" si="34"/>
        <v>149.23873640600726</v>
      </c>
      <c r="H33" s="153">
        <f t="shared" si="34"/>
        <v>182.19057483169343</v>
      </c>
      <c r="I33" s="153">
        <f t="shared" si="34"/>
        <v>185.03366131538064</v>
      </c>
      <c r="J33" s="623">
        <v>630</v>
      </c>
      <c r="K33" s="153">
        <f t="shared" si="35"/>
        <v>41.250719539494725</v>
      </c>
      <c r="L33" s="153">
        <f t="shared" si="35"/>
        <v>39.476175247841383</v>
      </c>
      <c r="M33" s="153">
        <f t="shared" si="35"/>
        <v>37.126638951071314</v>
      </c>
      <c r="N33" s="153">
        <f t="shared" si="35"/>
        <v>37.146466261592579</v>
      </c>
      <c r="O33" s="623">
        <v>155</v>
      </c>
      <c r="P33" s="153">
        <f t="shared" si="36"/>
        <v>34.297157039711195</v>
      </c>
      <c r="Q33" s="153">
        <f t="shared" si="36"/>
        <v>31.279783393501809</v>
      </c>
      <c r="R33" s="153">
        <f t="shared" si="36"/>
        <v>30.959611913357403</v>
      </c>
      <c r="S33" s="153">
        <f t="shared" si="36"/>
        <v>32.463447653429604</v>
      </c>
      <c r="T33" s="608">
        <v>129</v>
      </c>
      <c r="U33" s="153">
        <f t="shared" si="37"/>
        <v>26.131523272214384</v>
      </c>
      <c r="V33" s="153">
        <f t="shared" si="37"/>
        <v>28.715796897038082</v>
      </c>
      <c r="W33" s="153">
        <f t="shared" si="37"/>
        <v>27.360719322990125</v>
      </c>
      <c r="X33" s="153">
        <f t="shared" si="37"/>
        <v>22.791960507757405</v>
      </c>
      <c r="Y33" s="608">
        <v>105</v>
      </c>
      <c r="Z33" s="153">
        <f t="shared" si="38"/>
        <v>82.913444337415712</v>
      </c>
      <c r="AA33" s="153">
        <f t="shared" si="38"/>
        <v>93.602724645658455</v>
      </c>
      <c r="AB33" s="153">
        <f t="shared" si="38"/>
        <v>93.654740608228977</v>
      </c>
      <c r="AC33" s="153">
        <f t="shared" si="38"/>
        <v>107.82909040869684</v>
      </c>
      <c r="AD33" s="608">
        <v>378</v>
      </c>
      <c r="AE33" s="153">
        <f t="shared" si="39"/>
        <v>122.26352002201733</v>
      </c>
      <c r="AF33" s="153">
        <f t="shared" si="39"/>
        <v>126.11270125223614</v>
      </c>
      <c r="AG33" s="153">
        <f t="shared" si="39"/>
        <v>117.16595569010596</v>
      </c>
      <c r="AH33" s="153">
        <f t="shared" si="39"/>
        <v>72.562267785881374</v>
      </c>
      <c r="AI33" s="608">
        <v>941</v>
      </c>
      <c r="AJ33" s="914">
        <f t="shared" si="40"/>
        <v>86.332319237399858</v>
      </c>
      <c r="AK33" s="153">
        <f t="shared" si="40"/>
        <v>73.807423182233038</v>
      </c>
      <c r="AL33" s="153">
        <f t="shared" si="40"/>
        <v>110.69080214988338</v>
      </c>
      <c r="AM33" s="915">
        <f t="shared" si="40"/>
        <v>130.16945543048374</v>
      </c>
      <c r="AN33" s="608">
        <v>401</v>
      </c>
      <c r="AO33" s="914">
        <f t="shared" si="41"/>
        <v>412.03712175674792</v>
      </c>
      <c r="AP33" s="153">
        <f t="shared" si="41"/>
        <v>468.44421933206979</v>
      </c>
      <c r="AQ33" s="153">
        <f t="shared" si="41"/>
        <v>439.72158682439056</v>
      </c>
      <c r="AR33" s="915">
        <f t="shared" si="41"/>
        <v>444.79707208679173</v>
      </c>
      <c r="AS33" s="608">
        <v>1765</v>
      </c>
      <c r="AT33" s="914">
        <f t="shared" si="42"/>
        <v>373.24495454252366</v>
      </c>
      <c r="AU33" s="153">
        <f t="shared" si="42"/>
        <v>371.54581210909794</v>
      </c>
      <c r="AV33" s="153">
        <f t="shared" si="42"/>
        <v>362.0117351215423</v>
      </c>
      <c r="AW33" s="915">
        <f t="shared" si="42"/>
        <v>357.19749822683599</v>
      </c>
      <c r="AX33" s="608">
        <v>1464</v>
      </c>
      <c r="AY33" s="914">
        <f t="shared" si="43"/>
        <v>270.25541504945534</v>
      </c>
      <c r="AZ33" s="153">
        <f t="shared" si="43"/>
        <v>263.25466382872168</v>
      </c>
      <c r="BA33" s="153">
        <f t="shared" si="43"/>
        <v>262.33003630900214</v>
      </c>
      <c r="BB33" s="915">
        <f t="shared" si="43"/>
        <v>259.15988481282079</v>
      </c>
      <c r="BC33" s="608">
        <v>1055</v>
      </c>
      <c r="BD33" s="914">
        <f t="shared" si="44"/>
        <v>127.86042065009562</v>
      </c>
      <c r="BE33" s="153">
        <f t="shared" si="44"/>
        <v>118.63206774105437</v>
      </c>
      <c r="BF33" s="153">
        <f t="shared" si="44"/>
        <v>109.08549576618411</v>
      </c>
      <c r="BG33" s="915">
        <f t="shared" si="44"/>
        <v>110.42201584266594</v>
      </c>
      <c r="BH33" s="608">
        <v>466</v>
      </c>
      <c r="BI33" s="914">
        <f t="shared" si="45"/>
        <v>78.1926948518838</v>
      </c>
      <c r="BJ33" s="153">
        <f t="shared" si="45"/>
        <v>75.064135749209086</v>
      </c>
      <c r="BK33" s="153">
        <f t="shared" si="45"/>
        <v>78.57578372159908</v>
      </c>
      <c r="BL33" s="915">
        <f t="shared" si="45"/>
        <v>64.167385677308019</v>
      </c>
      <c r="BM33" s="608">
        <f>165+131</f>
        <v>296</v>
      </c>
      <c r="BN33" s="1049">
        <f t="shared" si="46"/>
        <v>90.641657229143064</v>
      </c>
      <c r="BO33" s="855">
        <f t="shared" si="46"/>
        <v>93.932049830124569</v>
      </c>
      <c r="BP33" s="855">
        <f t="shared" si="46"/>
        <v>92.685164212910536</v>
      </c>
      <c r="BQ33" s="1050">
        <f t="shared" si="46"/>
        <v>89.741128727821817</v>
      </c>
      <c r="BR33" s="608">
        <f>47+320</f>
        <v>367</v>
      </c>
      <c r="BS33" s="1049">
        <f t="shared" si="47"/>
        <v>12.126213592233009</v>
      </c>
      <c r="BT33" s="855">
        <f t="shared" si="47"/>
        <v>13.067961165048542</v>
      </c>
      <c r="BU33" s="855">
        <f t="shared" si="47"/>
        <v>12.305825242718445</v>
      </c>
      <c r="BV33" s="1050">
        <f t="shared" si="47"/>
        <v>11.499999999999998</v>
      </c>
      <c r="BW33" s="639">
        <f>23+26</f>
        <v>49</v>
      </c>
      <c r="BX33" s="1078">
        <f>BX34-SUM(BX29:BX32)</f>
        <v>48.079999999999927</v>
      </c>
      <c r="BY33" s="855">
        <f>BY34-SUM(BY29:BY32)</f>
        <v>49.940000000000509</v>
      </c>
      <c r="BZ33" s="153">
        <f>BZ34-SUM(BZ29:BZ32)</f>
        <v>50.880000000000109</v>
      </c>
      <c r="CA33" s="915">
        <f>CA34-SUM(CA29:CA32)</f>
        <v>48.840000000000146</v>
      </c>
      <c r="CB33" s="153">
        <f t="shared" si="48"/>
        <v>197.74000000000069</v>
      </c>
      <c r="CC33" s="914">
        <f>CC34-SUM(CC29:CC32)</f>
        <v>48.560800000000199</v>
      </c>
      <c r="CD33" s="153">
        <f>CD34-SUM(CD29:CD32)</f>
        <v>50.439400000000205</v>
      </c>
      <c r="CE33" s="153">
        <f>CE34-SUM(CE29:CE32)</f>
        <v>145.51679999999988</v>
      </c>
      <c r="CF33" s="915">
        <f>CF34-SUM(CF29:CF32)</f>
        <v>142.22207999999955</v>
      </c>
      <c r="CG33" s="1475">
        <f t="shared" si="49"/>
        <v>386.73907999999983</v>
      </c>
      <c r="CH33" s="914">
        <f>CH34-SUM(CH29:CH32)</f>
        <v>142.67163040000014</v>
      </c>
      <c r="CI33" s="153">
        <f>CI34-SUM(CI29:CI32)</f>
        <v>149.10895428000003</v>
      </c>
      <c r="CJ33" s="153">
        <f>CJ34-SUM(CJ29:CJ32)</f>
        <v>148.42713599999979</v>
      </c>
      <c r="CK33" s="915">
        <f>CK34-SUM(CK29:CK32)</f>
        <v>145.06652159999976</v>
      </c>
      <c r="CL33" s="153">
        <f t="shared" si="51"/>
        <v>585.27424227999973</v>
      </c>
      <c r="CM33" s="914">
        <f>CM34-SUM(CM29:CM32)</f>
        <v>142.67163040000014</v>
      </c>
      <c r="CN33" s="153">
        <f>CN34-SUM(CN29:CN32)</f>
        <v>149.10895428000003</v>
      </c>
      <c r="CO33" s="153">
        <f>CO34-SUM(CO29:CO32)</f>
        <v>148.42713599999979</v>
      </c>
      <c r="CP33" s="915">
        <f>CP34-SUM(CP29:CP32)</f>
        <v>145.06652159999976</v>
      </c>
      <c r="CQ33" s="153">
        <f t="shared" si="53"/>
        <v>585.27424227999973</v>
      </c>
      <c r="CS33" s="153">
        <v>51.388800000000174</v>
      </c>
      <c r="CT33" s="915">
        <v>49.328400000000329</v>
      </c>
      <c r="DC33" s="914">
        <v>49.532016000000112</v>
      </c>
      <c r="DD33" s="153">
        <v>51.4481880000003</v>
      </c>
      <c r="DE33" s="874">
        <f t="shared" si="56"/>
        <v>-152.322948</v>
      </c>
      <c r="DF33" s="153">
        <v>203.71174800000017</v>
      </c>
    </row>
    <row r="34" spans="1:112" s="873" customFormat="1" ht="13.5" customHeight="1">
      <c r="A34" s="93"/>
      <c r="B34" s="242" t="s">
        <v>915</v>
      </c>
      <c r="C34" s="93"/>
      <c r="D34" s="618">
        <v>8779</v>
      </c>
      <c r="E34" s="618">
        <f>7682+2218</f>
        <v>9900</v>
      </c>
      <c r="F34" s="618">
        <v>2436</v>
      </c>
      <c r="G34" s="618">
        <v>3202</v>
      </c>
      <c r="H34" s="618">
        <v>3909</v>
      </c>
      <c r="I34" s="618">
        <v>3970</v>
      </c>
      <c r="J34" s="228">
        <f>SUM(J29:J33)</f>
        <v>13517</v>
      </c>
      <c r="K34" s="618">
        <v>4161</v>
      </c>
      <c r="L34" s="618">
        <v>3982</v>
      </c>
      <c r="M34" s="618">
        <v>3745</v>
      </c>
      <c r="N34" s="618">
        <v>3747</v>
      </c>
      <c r="O34" s="228">
        <f>SUM(O29:O33)</f>
        <v>15635</v>
      </c>
      <c r="P34" s="618">
        <v>3535</v>
      </c>
      <c r="Q34" s="618">
        <v>3224</v>
      </c>
      <c r="R34" s="618">
        <v>3191</v>
      </c>
      <c r="S34" s="618">
        <v>3346</v>
      </c>
      <c r="T34" s="228">
        <f>SUM(T29:T33)</f>
        <v>13296</v>
      </c>
      <c r="U34" s="618">
        <v>3529</v>
      </c>
      <c r="V34" s="618">
        <v>3878</v>
      </c>
      <c r="W34" s="618">
        <v>3695</v>
      </c>
      <c r="X34" s="618">
        <v>3078</v>
      </c>
      <c r="Y34" s="228">
        <f>SUM(U34:X34)</f>
        <v>14180</v>
      </c>
      <c r="Z34" s="618">
        <v>3188</v>
      </c>
      <c r="AA34" s="618">
        <v>3599</v>
      </c>
      <c r="AB34" s="618">
        <v>3601</v>
      </c>
      <c r="AC34" s="618">
        <v>4146</v>
      </c>
      <c r="AD34" s="228">
        <f>SUM(Z34:AC34)</f>
        <v>14534</v>
      </c>
      <c r="AE34" s="618">
        <v>4701</v>
      </c>
      <c r="AF34" s="618">
        <v>4849</v>
      </c>
      <c r="AG34" s="618">
        <v>4505</v>
      </c>
      <c r="AH34" s="618">
        <v>2790</v>
      </c>
      <c r="AI34" s="228">
        <f>SUM(AE34:AH34)</f>
        <v>16845</v>
      </c>
      <c r="AJ34" s="916">
        <v>2123</v>
      </c>
      <c r="AK34" s="618">
        <v>1815</v>
      </c>
      <c r="AL34" s="618">
        <v>2722</v>
      </c>
      <c r="AM34" s="917">
        <v>3201</v>
      </c>
      <c r="AN34" s="228">
        <f>SUM(AJ34:AM34)</f>
        <v>9861</v>
      </c>
      <c r="AO34" s="916">
        <v>3572</v>
      </c>
      <c r="AP34" s="618">
        <v>4061</v>
      </c>
      <c r="AQ34" s="618">
        <v>3812</v>
      </c>
      <c r="AR34" s="917">
        <v>3856</v>
      </c>
      <c r="AS34" s="228">
        <f>SUM(AO34:AR34)</f>
        <v>15301</v>
      </c>
      <c r="AT34" s="916">
        <v>3954</v>
      </c>
      <c r="AU34" s="618">
        <v>3936</v>
      </c>
      <c r="AV34" s="667">
        <v>3835</v>
      </c>
      <c r="AW34" s="917">
        <v>3784</v>
      </c>
      <c r="AX34" s="228">
        <f>SUM(AT34:AW34)</f>
        <v>15509</v>
      </c>
      <c r="AY34" s="916">
        <v>4092</v>
      </c>
      <c r="AZ34" s="618">
        <v>3986</v>
      </c>
      <c r="BA34" s="618">
        <v>3972</v>
      </c>
      <c r="BB34" s="917">
        <v>3924</v>
      </c>
      <c r="BC34" s="228">
        <f>SUM(AY34:BB34)</f>
        <v>15974</v>
      </c>
      <c r="BD34" s="916">
        <v>4018</v>
      </c>
      <c r="BE34" s="618">
        <v>3728</v>
      </c>
      <c r="BF34" s="618">
        <v>3428</v>
      </c>
      <c r="BG34" s="917">
        <v>3470</v>
      </c>
      <c r="BH34" s="228">
        <f>SUM(BD34:BG34)</f>
        <v>14644</v>
      </c>
      <c r="BI34" s="916">
        <v>3674</v>
      </c>
      <c r="BJ34" s="618">
        <v>3527</v>
      </c>
      <c r="BK34" s="618">
        <v>3692</v>
      </c>
      <c r="BL34" s="917">
        <v>3015</v>
      </c>
      <c r="BM34" s="228">
        <f>SUM(BI34:BL34)</f>
        <v>13908</v>
      </c>
      <c r="BN34" s="916">
        <v>2617</v>
      </c>
      <c r="BO34" s="618">
        <v>2712</v>
      </c>
      <c r="BP34" s="618">
        <v>2676</v>
      </c>
      <c r="BQ34" s="917">
        <v>2591</v>
      </c>
      <c r="BR34" s="228">
        <f>SUM(BN34:BQ34)</f>
        <v>10596</v>
      </c>
      <c r="BS34" s="916">
        <v>2498</v>
      </c>
      <c r="BT34" s="618">
        <v>2692</v>
      </c>
      <c r="BU34" s="618">
        <v>2535</v>
      </c>
      <c r="BV34" s="917">
        <v>2369</v>
      </c>
      <c r="BW34" s="228">
        <f>SUM(BS34:BV34)</f>
        <v>10094</v>
      </c>
      <c r="BX34" s="1079">
        <v>2404</v>
      </c>
      <c r="BY34" s="881">
        <v>2497</v>
      </c>
      <c r="BZ34" s="881">
        <v>2544</v>
      </c>
      <c r="CA34" s="1515">
        <v>2442</v>
      </c>
      <c r="CB34" s="228">
        <f t="shared" si="48"/>
        <v>9887</v>
      </c>
      <c r="CC34" s="955">
        <f t="shared" ref="CC34:CF34" si="61">BX34*(1+CC26)</f>
        <v>2428.04</v>
      </c>
      <c r="CD34" s="228">
        <f t="shared" si="61"/>
        <v>2521.9699999999998</v>
      </c>
      <c r="CE34" s="228">
        <f t="shared" si="61"/>
        <v>2798.4</v>
      </c>
      <c r="CF34" s="956">
        <f t="shared" si="61"/>
        <v>2735.0400000000004</v>
      </c>
      <c r="CG34" s="1476">
        <f t="shared" si="49"/>
        <v>10483.450000000001</v>
      </c>
      <c r="CH34" s="955">
        <f t="shared" ref="CH34:CK34" si="62">CC34*(1+CH26)</f>
        <v>2743.6851999999999</v>
      </c>
      <c r="CI34" s="228">
        <f t="shared" si="62"/>
        <v>2867.4798899999996</v>
      </c>
      <c r="CJ34" s="228">
        <f t="shared" si="62"/>
        <v>2854.3679999999999</v>
      </c>
      <c r="CK34" s="956">
        <f t="shared" si="62"/>
        <v>2789.7408000000005</v>
      </c>
      <c r="CL34" s="228">
        <f t="shared" si="51"/>
        <v>11255.27389</v>
      </c>
      <c r="CM34" s="955">
        <f t="shared" ref="CM34:CP34" si="63">CH34*(1+CM26)</f>
        <v>2743.6851999999999</v>
      </c>
      <c r="CN34" s="228">
        <f t="shared" si="63"/>
        <v>2867.4798899999996</v>
      </c>
      <c r="CO34" s="228">
        <f t="shared" si="63"/>
        <v>2854.3679999999999</v>
      </c>
      <c r="CP34" s="956">
        <f t="shared" si="63"/>
        <v>2789.7408000000005</v>
      </c>
      <c r="CQ34" s="228">
        <f t="shared" si="53"/>
        <v>11255.27389</v>
      </c>
      <c r="CR34" s="1461"/>
      <c r="CS34" s="228">
        <v>2569.44</v>
      </c>
      <c r="CT34" s="956">
        <v>2466.42</v>
      </c>
      <c r="CV34"/>
      <c r="CW34"/>
      <c r="CX34"/>
      <c r="CY34"/>
      <c r="CZ34"/>
      <c r="DA34"/>
      <c r="DC34" s="955">
        <v>2476.6008000000002</v>
      </c>
      <c r="DD34" s="228">
        <v>2572.4094</v>
      </c>
      <c r="DE34" s="874">
        <f t="shared" si="56"/>
        <v>-7616.1473999999998</v>
      </c>
      <c r="DF34" s="1562">
        <f>SUM(DF29:DF33)</f>
        <v>10185.5874</v>
      </c>
    </row>
    <row r="35" spans="1:112" ht="6.2" customHeight="1">
      <c r="A35" s="75"/>
      <c r="B35" s="96"/>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9"/>
      <c r="AC35" s="109"/>
      <c r="AD35" s="108"/>
      <c r="AE35" s="109"/>
      <c r="AF35" s="109"/>
      <c r="AG35" s="109"/>
      <c r="AH35" s="109"/>
      <c r="AI35" s="109"/>
      <c r="AJ35" s="918"/>
      <c r="AK35" s="216"/>
      <c r="AL35" s="216"/>
      <c r="AM35" s="919"/>
      <c r="AN35" s="109"/>
      <c r="AO35" s="918"/>
      <c r="AP35" s="216"/>
      <c r="AQ35" s="216"/>
      <c r="AR35" s="919"/>
      <c r="AS35" s="109"/>
      <c r="AT35" s="918"/>
      <c r="AU35" s="216"/>
      <c r="AV35" s="216"/>
      <c r="AW35" s="919"/>
      <c r="AX35" s="109"/>
      <c r="AY35" s="918"/>
      <c r="AZ35" s="216"/>
      <c r="BA35" s="216"/>
      <c r="BB35" s="919"/>
      <c r="BC35" s="109"/>
      <c r="BD35" s="918"/>
      <c r="BE35" s="216"/>
      <c r="BF35" s="216"/>
      <c r="BG35" s="919"/>
      <c r="BH35" s="109"/>
      <c r="BI35" s="918"/>
      <c r="BJ35" s="216"/>
      <c r="BK35" s="216"/>
      <c r="BL35" s="919"/>
      <c r="BM35" s="109"/>
      <c r="BN35" s="918"/>
      <c r="BO35" s="216"/>
      <c r="BP35" s="216"/>
      <c r="BQ35" s="919"/>
      <c r="BR35" s="109"/>
      <c r="BS35" s="918"/>
      <c r="BT35" s="216"/>
      <c r="BU35" s="216"/>
      <c r="BV35" s="919"/>
      <c r="BW35" s="109"/>
      <c r="BX35" s="918"/>
      <c r="BY35" s="216"/>
      <c r="BZ35" s="216"/>
      <c r="CA35" s="919"/>
      <c r="CB35" s="109"/>
      <c r="CC35" s="918"/>
      <c r="CD35" s="216"/>
      <c r="CE35" s="216"/>
      <c r="CF35" s="919"/>
      <c r="CG35" s="1477"/>
      <c r="CH35" s="918"/>
      <c r="CI35" s="216"/>
      <c r="CJ35" s="216"/>
      <c r="CK35" s="919"/>
      <c r="CL35" s="109"/>
      <c r="CM35" s="918"/>
      <c r="CN35" s="216"/>
      <c r="CO35" s="216"/>
      <c r="CP35" s="919"/>
      <c r="CQ35" s="216"/>
      <c r="CR35" s="1460"/>
      <c r="CS35" s="99"/>
      <c r="CT35" s="99"/>
      <c r="CU35" s="99"/>
      <c r="DC35" s="98"/>
      <c r="DD35" s="100"/>
      <c r="DE35" s="99"/>
      <c r="DF35" s="99"/>
      <c r="DG35" s="99"/>
      <c r="DH35" s="99"/>
    </row>
    <row r="36" spans="1:112" ht="13.5" customHeight="1">
      <c r="B36" s="242" t="s">
        <v>916</v>
      </c>
      <c r="C36" s="261"/>
      <c r="D36" s="618">
        <f>2160+2689+2621+2623</f>
        <v>10093</v>
      </c>
      <c r="E36" s="618">
        <v>11535</v>
      </c>
      <c r="F36" s="618">
        <v>2895</v>
      </c>
      <c r="G36" s="618">
        <v>3338</v>
      </c>
      <c r="H36" s="618">
        <v>4396</v>
      </c>
      <c r="I36" s="618">
        <v>4285</v>
      </c>
      <c r="J36" s="228">
        <f>SUM(F36:I36)</f>
        <v>14914</v>
      </c>
      <c r="K36" s="618">
        <v>4479</v>
      </c>
      <c r="L36" s="618">
        <v>4230</v>
      </c>
      <c r="M36" s="618">
        <v>4293</v>
      </c>
      <c r="N36" s="618">
        <v>4264</v>
      </c>
      <c r="O36" s="228">
        <f>SUM(K36:N36)</f>
        <v>17266</v>
      </c>
      <c r="P36" s="618">
        <v>4303</v>
      </c>
      <c r="Q36" s="618">
        <v>3597</v>
      </c>
      <c r="R36" s="618">
        <v>3514</v>
      </c>
      <c r="S36" s="618">
        <v>3929</v>
      </c>
      <c r="T36" s="228">
        <f>SUM(P36:S36)</f>
        <v>15343</v>
      </c>
      <c r="U36" s="618">
        <v>4141</v>
      </c>
      <c r="V36" s="618">
        <v>4585</v>
      </c>
      <c r="W36" s="618">
        <v>4359</v>
      </c>
      <c r="X36" s="618">
        <v>3270</v>
      </c>
      <c r="Y36" s="228">
        <f>SUM(U36:X36)</f>
        <v>16355</v>
      </c>
      <c r="Z36" s="618">
        <v>3713</v>
      </c>
      <c r="AA36" s="618">
        <v>4116</v>
      </c>
      <c r="AB36" s="618">
        <v>4328</v>
      </c>
      <c r="AC36" s="618">
        <v>4681</v>
      </c>
      <c r="AD36" s="228">
        <f>SUM(Z36:AC36)</f>
        <v>16838</v>
      </c>
      <c r="AE36" s="618">
        <v>5558</v>
      </c>
      <c r="AF36" s="618">
        <v>5614</v>
      </c>
      <c r="AG36" s="618">
        <v>5282</v>
      </c>
      <c r="AH36" s="618">
        <v>2736</v>
      </c>
      <c r="AI36" s="228">
        <f>SUM(AE36:AH36)</f>
        <v>19190</v>
      </c>
      <c r="AJ36" s="916">
        <v>2279</v>
      </c>
      <c r="AK36" s="618">
        <v>1964</v>
      </c>
      <c r="AL36" s="618">
        <v>3548</v>
      </c>
      <c r="AM36" s="917">
        <v>3932</v>
      </c>
      <c r="AN36" s="228">
        <f>SUM(AJ36:AM36)</f>
        <v>11723</v>
      </c>
      <c r="AO36" s="916">
        <v>4383</v>
      </c>
      <c r="AP36" s="618">
        <v>4979</v>
      </c>
      <c r="AQ36" s="618">
        <v>4694</v>
      </c>
      <c r="AR36" s="917">
        <v>4387</v>
      </c>
      <c r="AS36" s="228">
        <f>SUM(AO36:AR36)</f>
        <v>18443</v>
      </c>
      <c r="AT36" s="916">
        <v>4598</v>
      </c>
      <c r="AU36" s="618">
        <v>4894</v>
      </c>
      <c r="AV36" s="667">
        <v>4516</v>
      </c>
      <c r="AW36" s="917">
        <v>4593</v>
      </c>
      <c r="AX36" s="228">
        <f>SUM(AT36:AW36)</f>
        <v>18601</v>
      </c>
      <c r="AY36" s="916">
        <v>5043</v>
      </c>
      <c r="AZ36" s="618">
        <v>4688</v>
      </c>
      <c r="BA36" s="618">
        <v>4699</v>
      </c>
      <c r="BB36" s="917">
        <v>4686</v>
      </c>
      <c r="BC36" s="228">
        <f>SUM(AY36:BB36)</f>
        <v>19116</v>
      </c>
      <c r="BD36" s="916">
        <v>4920</v>
      </c>
      <c r="BE36" s="618">
        <v>4212</v>
      </c>
      <c r="BF36" s="618">
        <v>4261</v>
      </c>
      <c r="BG36" s="917">
        <v>4474</v>
      </c>
      <c r="BH36" s="228">
        <f>SUM(BD36:BG36)</f>
        <v>17867</v>
      </c>
      <c r="BI36" s="916">
        <v>4491</v>
      </c>
      <c r="BJ36" s="618">
        <v>4132</v>
      </c>
      <c r="BK36" s="618">
        <v>4675</v>
      </c>
      <c r="BL36" s="917">
        <v>3664</v>
      </c>
      <c r="BM36" s="228">
        <f>SUM(BI36:BL36)</f>
        <v>16962</v>
      </c>
      <c r="BN36" s="916">
        <v>2868</v>
      </c>
      <c r="BO36" s="618">
        <v>2808</v>
      </c>
      <c r="BP36" s="618">
        <v>3240</v>
      </c>
      <c r="BQ36" s="917">
        <v>2421</v>
      </c>
      <c r="BR36" s="228">
        <f>SUM(BN36:BQ36)</f>
        <v>11337</v>
      </c>
      <c r="BS36" s="916">
        <v>2779</v>
      </c>
      <c r="BT36" s="618">
        <v>2735</v>
      </c>
      <c r="BU36" s="618">
        <v>2734</v>
      </c>
      <c r="BV36" s="917">
        <v>2458</v>
      </c>
      <c r="BW36" s="228">
        <f>SUM(BS36:BV36)</f>
        <v>10706</v>
      </c>
      <c r="BX36" s="916">
        <v>2714</v>
      </c>
      <c r="BY36" s="618">
        <v>2711</v>
      </c>
      <c r="BZ36" s="618">
        <v>2821</v>
      </c>
      <c r="CA36" s="917">
        <v>2575</v>
      </c>
      <c r="CB36" s="228">
        <f>SUM(BX36:CA36)</f>
        <v>10821</v>
      </c>
      <c r="CC36" s="955">
        <f>Operations!CC41</f>
        <v>2670.8440000000001</v>
      </c>
      <c r="CD36" s="228">
        <f>Operations!CD41</f>
        <v>2774.1669999999999</v>
      </c>
      <c r="CE36" s="228">
        <f>Operations!CE41</f>
        <v>3078.2400000000002</v>
      </c>
      <c r="CF36" s="956">
        <f>Operations!CF41</f>
        <v>3008.5440000000008</v>
      </c>
      <c r="CG36" s="1476">
        <f>SUM(CC36:CF36)</f>
        <v>11531.795000000002</v>
      </c>
      <c r="CH36" s="955">
        <f>Operations!CH41</f>
        <v>3018.0537200000003</v>
      </c>
      <c r="CI36" s="228">
        <f>Operations!CI41</f>
        <v>3154.227879</v>
      </c>
      <c r="CJ36" s="228">
        <f>Operations!CJ41</f>
        <v>3139.8048000000003</v>
      </c>
      <c r="CK36" s="956">
        <f>Operations!CK41</f>
        <v>3068.7148800000009</v>
      </c>
      <c r="CL36" s="228">
        <f>SUM(CH36:CK36)</f>
        <v>12380.801279000001</v>
      </c>
      <c r="CM36" s="955">
        <f>Operations!CM41</f>
        <v>3018.0537200000003</v>
      </c>
      <c r="CN36" s="228">
        <f>Operations!CN41</f>
        <v>3154.227879</v>
      </c>
      <c r="CO36" s="228">
        <f>Operations!CO41</f>
        <v>3139.8048000000003</v>
      </c>
      <c r="CP36" s="956">
        <f>Operations!CP41</f>
        <v>3068.7148800000009</v>
      </c>
      <c r="CQ36" s="228">
        <f>SUM(CM36:CP36)</f>
        <v>12380.801279000001</v>
      </c>
      <c r="CS36" s="874">
        <f>CE34-CS34</f>
        <v>228.96000000000004</v>
      </c>
      <c r="CT36" s="874">
        <f>CF34-CT34</f>
        <v>268.62000000000035</v>
      </c>
      <c r="DC36" s="874">
        <f>CO34-DC34</f>
        <v>377.76719999999978</v>
      </c>
      <c r="DD36" s="874">
        <f>CP34-DD34</f>
        <v>217.33140000000049</v>
      </c>
      <c r="DE36" s="874"/>
      <c r="DF36" s="874"/>
    </row>
    <row r="37" spans="1:112" ht="13.5" customHeight="1">
      <c r="A37" s="76"/>
      <c r="B37" s="125" t="s">
        <v>917</v>
      </c>
      <c r="C37" s="76"/>
      <c r="D37" s="154">
        <f>D36/D38</f>
        <v>0.78851562500000005</v>
      </c>
      <c r="E37" s="154">
        <f>E36/E38</f>
        <v>0.90117187499999996</v>
      </c>
      <c r="F37" s="666">
        <v>0.91700000000000004</v>
      </c>
      <c r="G37" s="666">
        <v>0.85399999999999998</v>
      </c>
      <c r="H37" s="666">
        <v>0.89900000000000002</v>
      </c>
      <c r="I37" s="666">
        <v>0.876</v>
      </c>
      <c r="J37" s="154">
        <f>J36/J38</f>
        <v>0.88525468896735038</v>
      </c>
      <c r="K37" s="666">
        <v>0.91700000000000004</v>
      </c>
      <c r="L37" s="666">
        <v>0.875</v>
      </c>
      <c r="M37" s="666">
        <v>0.878</v>
      </c>
      <c r="N37" s="666">
        <v>0.872</v>
      </c>
      <c r="O37" s="287">
        <f>O36/O38</f>
        <v>0.88552121254921956</v>
      </c>
      <c r="P37" s="666">
        <v>0.9</v>
      </c>
      <c r="Q37" s="666">
        <v>0.74399999999999999</v>
      </c>
      <c r="R37" s="666">
        <v>0.71899999999999997</v>
      </c>
      <c r="S37" s="666">
        <v>0.80300000000000005</v>
      </c>
      <c r="T37" s="154">
        <f>T36/T38</f>
        <v>0.79103801588960909</v>
      </c>
      <c r="U37" s="617">
        <v>0.86599999999999999</v>
      </c>
      <c r="V37" s="617">
        <v>0.94799999999999995</v>
      </c>
      <c r="W37" s="617">
        <v>0.89100000000000001</v>
      </c>
      <c r="X37" s="617">
        <v>0.66900000000000004</v>
      </c>
      <c r="Y37" s="288">
        <f>Y36/Y38</f>
        <v>0.84311071310683505</v>
      </c>
      <c r="Z37" s="617">
        <v>0.77600000000000002</v>
      </c>
      <c r="AA37" s="617">
        <v>0.85099999999999998</v>
      </c>
      <c r="AB37" s="617">
        <v>0.88500000000000001</v>
      </c>
      <c r="AC37" s="617">
        <v>0.82</v>
      </c>
      <c r="AD37" s="288">
        <f>AD36/AD38</f>
        <v>0.83272385651590475</v>
      </c>
      <c r="AE37" s="617">
        <v>0.91700000000000004</v>
      </c>
      <c r="AF37" s="617">
        <v>0.92700000000000005</v>
      </c>
      <c r="AG37" s="617">
        <v>0.86199999999999999</v>
      </c>
      <c r="AH37" s="617">
        <v>0.44700000000000001</v>
      </c>
      <c r="AI37" s="288">
        <f>AI36/AI38</f>
        <v>0.78758644867481997</v>
      </c>
      <c r="AJ37" s="920">
        <v>0.38</v>
      </c>
      <c r="AK37" s="617">
        <v>0.32400000000000001</v>
      </c>
      <c r="AL37" s="617">
        <v>0.57899999999999996</v>
      </c>
      <c r="AM37" s="921">
        <v>0.64200000000000002</v>
      </c>
      <c r="AN37" s="288">
        <f>AN36/AN38</f>
        <v>0.48219950489128549</v>
      </c>
      <c r="AO37" s="920">
        <v>0.73</v>
      </c>
      <c r="AP37" s="617">
        <v>0.82</v>
      </c>
      <c r="AQ37" s="617">
        <v>0.77</v>
      </c>
      <c r="AR37" s="921">
        <v>0.72</v>
      </c>
      <c r="AS37" s="288">
        <f>AS36/AS38</f>
        <v>0.76005903932554297</v>
      </c>
      <c r="AT37" s="920">
        <v>0.77</v>
      </c>
      <c r="AU37" s="617">
        <v>0.81</v>
      </c>
      <c r="AV37" s="617">
        <v>0.74</v>
      </c>
      <c r="AW37" s="921">
        <v>0.75</v>
      </c>
      <c r="AX37" s="288">
        <f>AX36/AX38</f>
        <v>0.76736461271251999</v>
      </c>
      <c r="AY37" s="920">
        <v>0.83</v>
      </c>
      <c r="AZ37" s="617">
        <v>0.77</v>
      </c>
      <c r="BA37" s="617">
        <v>0.77</v>
      </c>
      <c r="BB37" s="921">
        <v>0.77</v>
      </c>
      <c r="BC37" s="288">
        <f>BC36/BC38</f>
        <v>0.78496987220262526</v>
      </c>
      <c r="BD37" s="920">
        <v>0.82</v>
      </c>
      <c r="BE37" s="617">
        <v>0.7</v>
      </c>
      <c r="BF37" s="617">
        <v>0.7</v>
      </c>
      <c r="BG37" s="921">
        <v>0.73</v>
      </c>
      <c r="BH37" s="288">
        <f>BH36/BH38</f>
        <v>0.73729876791657001</v>
      </c>
      <c r="BI37" s="920">
        <v>0.83</v>
      </c>
      <c r="BJ37" s="617">
        <v>0.75</v>
      </c>
      <c r="BK37" s="617">
        <v>0.86</v>
      </c>
      <c r="BL37" s="921">
        <v>0.75</v>
      </c>
      <c r="BM37" s="288">
        <f>BM36/BM38</f>
        <v>0.79852905123244333</v>
      </c>
      <c r="BN37" s="920">
        <v>0.6</v>
      </c>
      <c r="BO37" s="617">
        <v>0.57999999999999996</v>
      </c>
      <c r="BP37" s="617">
        <v>0.66</v>
      </c>
      <c r="BQ37" s="921">
        <v>0.56999999999999995</v>
      </c>
      <c r="BR37" s="288">
        <f>BR36/BR38</f>
        <v>0.60374360527070481</v>
      </c>
      <c r="BS37" s="920">
        <v>0.66</v>
      </c>
      <c r="BT37" s="617">
        <v>0.65</v>
      </c>
      <c r="BU37" s="617">
        <v>0.64</v>
      </c>
      <c r="BV37" s="921">
        <v>0.56999999999999995</v>
      </c>
      <c r="BW37" s="288">
        <f>BW36/BW38</f>
        <v>0.62967380802145478</v>
      </c>
      <c r="BX37" s="920">
        <v>0.65</v>
      </c>
      <c r="BY37" s="617">
        <v>0.64</v>
      </c>
      <c r="BZ37" s="617">
        <v>0.66</v>
      </c>
      <c r="CA37" s="921">
        <v>0.6</v>
      </c>
      <c r="CB37" s="288">
        <f t="shared" ref="CB37:CQ37" si="64">CB36/CB38</f>
        <v>0.63738308493958062</v>
      </c>
      <c r="CC37" s="970">
        <f t="shared" si="64"/>
        <v>0.62843388235294118</v>
      </c>
      <c r="CD37" s="288">
        <f t="shared" si="64"/>
        <v>0.65274517647058816</v>
      </c>
      <c r="CE37" s="288">
        <f t="shared" si="64"/>
        <v>0.72429176470588241</v>
      </c>
      <c r="CF37" s="971">
        <f t="shared" si="64"/>
        <v>0.70789270588235309</v>
      </c>
      <c r="CG37" s="1478">
        <f t="shared" si="64"/>
        <v>0.67834088235294132</v>
      </c>
      <c r="CH37" s="970">
        <f t="shared" si="64"/>
        <v>0.71013028705882364</v>
      </c>
      <c r="CI37" s="288">
        <f t="shared" si="64"/>
        <v>0.74217126564705882</v>
      </c>
      <c r="CJ37" s="288">
        <f t="shared" si="64"/>
        <v>0.73877760000000003</v>
      </c>
      <c r="CK37" s="971">
        <f t="shared" si="64"/>
        <v>0.72205056000000023</v>
      </c>
      <c r="CL37" s="288">
        <f t="shared" si="64"/>
        <v>0.72828242817647071</v>
      </c>
      <c r="CM37" s="970">
        <f t="shared" si="64"/>
        <v>0.71013028705882364</v>
      </c>
      <c r="CN37" s="288">
        <f t="shared" si="64"/>
        <v>0.74217126564705882</v>
      </c>
      <c r="CO37" s="288">
        <f t="shared" si="64"/>
        <v>0.73877760000000003</v>
      </c>
      <c r="CP37" s="971">
        <f t="shared" si="64"/>
        <v>0.72205056000000023</v>
      </c>
      <c r="CQ37" s="288">
        <f t="shared" si="64"/>
        <v>0.72828242817647071</v>
      </c>
      <c r="CS37" s="874">
        <f>CE29-CS29</f>
        <v>141.19200000000012</v>
      </c>
      <c r="CT37" s="874">
        <f>CF29-CT29</f>
        <v>149.20620000000019</v>
      </c>
      <c r="DC37" s="874">
        <f>CO29-DC29</f>
        <v>180.07284000000004</v>
      </c>
      <c r="DD37" s="874">
        <f>CP29-DD29</f>
        <v>138.02507400000025</v>
      </c>
    </row>
    <row r="38" spans="1:112" ht="13.5" customHeight="1">
      <c r="A38" s="76"/>
      <c r="B38" s="125" t="s">
        <v>696</v>
      </c>
      <c r="C38" s="76"/>
      <c r="D38" s="608">
        <v>12800</v>
      </c>
      <c r="E38" s="608">
        <v>12800</v>
      </c>
      <c r="F38" s="153">
        <f>F36/F37</f>
        <v>3157.0338058887678</v>
      </c>
      <c r="G38" s="153">
        <f>G36/G37</f>
        <v>3908.6651053864171</v>
      </c>
      <c r="H38" s="153">
        <f>H36/H37</f>
        <v>4889.8776418242487</v>
      </c>
      <c r="I38" s="153">
        <f>I36/I37</f>
        <v>4891.5525114155253</v>
      </c>
      <c r="J38" s="153">
        <f>SUM(F38:I38)</f>
        <v>16847.12906451496</v>
      </c>
      <c r="K38" s="153">
        <f>K36/K37</f>
        <v>4884.4056706652127</v>
      </c>
      <c r="L38" s="153">
        <f>L36/L37</f>
        <v>4834.2857142857147</v>
      </c>
      <c r="M38" s="153">
        <f>M36/M37</f>
        <v>4889.5216400911158</v>
      </c>
      <c r="N38" s="153">
        <f>N36/N37</f>
        <v>4889.9082568807344</v>
      </c>
      <c r="O38" s="153">
        <f>SUM(K38:N38)</f>
        <v>19498.121281922777</v>
      </c>
      <c r="P38" s="153">
        <f>P36/P37</f>
        <v>4781.1111111111113</v>
      </c>
      <c r="Q38" s="153">
        <f>Q36/Q37</f>
        <v>4834.677419354839</v>
      </c>
      <c r="R38" s="153">
        <f>R36/R37</f>
        <v>4887.3435326842837</v>
      </c>
      <c r="S38" s="153">
        <f>S36/S37</f>
        <v>4892.901618929016</v>
      </c>
      <c r="T38" s="153">
        <f>SUM(P38:S38)</f>
        <v>19396.033682079251</v>
      </c>
      <c r="U38" s="153">
        <f>U36/U37</f>
        <v>4781.75519630485</v>
      </c>
      <c r="V38" s="153">
        <f>V36/V37</f>
        <v>4836.497890295359</v>
      </c>
      <c r="W38" s="153">
        <f>W36/W37</f>
        <v>4892.2558922558919</v>
      </c>
      <c r="X38" s="153">
        <f>X36/X37</f>
        <v>4887.8923766816142</v>
      </c>
      <c r="Y38" s="153">
        <f>SUM(U38:X38)</f>
        <v>19398.401355537717</v>
      </c>
      <c r="Z38" s="153">
        <f>Z36/Z37</f>
        <v>4784.7938144329892</v>
      </c>
      <c r="AA38" s="153">
        <f>AA36/AA37</f>
        <v>4836.6627497062282</v>
      </c>
      <c r="AB38" s="153">
        <f>AB36/AB37</f>
        <v>4890.3954802259886</v>
      </c>
      <c r="AC38" s="153">
        <f>AC36/AC37</f>
        <v>5708.5365853658541</v>
      </c>
      <c r="AD38" s="153">
        <f>SUM(Z38:AC38)</f>
        <v>20220.38862973106</v>
      </c>
      <c r="AE38" s="153">
        <f>AE36/AE37</f>
        <v>6061.0687022900765</v>
      </c>
      <c r="AF38" s="153">
        <f>AF36/AF37</f>
        <v>6056.0949298813375</v>
      </c>
      <c r="AG38" s="153">
        <f>AG36/AG37</f>
        <v>6127.6102088167054</v>
      </c>
      <c r="AH38" s="153">
        <f>AH36/AH37</f>
        <v>6120.8053691275163</v>
      </c>
      <c r="AI38" s="153">
        <f>SUM(AE38:AH38)</f>
        <v>24365.579210115637</v>
      </c>
      <c r="AJ38" s="914">
        <f>AJ36/AJ37</f>
        <v>5997.3684210526317</v>
      </c>
      <c r="AK38" s="153">
        <f>AK36/AK37</f>
        <v>6061.7283950617284</v>
      </c>
      <c r="AL38" s="153">
        <f>AL36/AL37</f>
        <v>6127.8065630397241</v>
      </c>
      <c r="AM38" s="915">
        <f>AM36/AM37</f>
        <v>6124.6105919003112</v>
      </c>
      <c r="AN38" s="153">
        <f>SUM(AJ38:AM38)</f>
        <v>24311.513971054395</v>
      </c>
      <c r="AO38" s="914">
        <f>AO36/AO37</f>
        <v>6004.1095890410961</v>
      </c>
      <c r="AP38" s="153">
        <f>AP36/AP37</f>
        <v>6071.9512195121952</v>
      </c>
      <c r="AQ38" s="153">
        <f>AQ36/AQ37</f>
        <v>6096.1038961038957</v>
      </c>
      <c r="AR38" s="915">
        <f>AR36/AR37</f>
        <v>6093.0555555555557</v>
      </c>
      <c r="AS38" s="153">
        <f>SUM(AO38:AR38)</f>
        <v>24265.220260212744</v>
      </c>
      <c r="AT38" s="914">
        <f>AT36/AT37</f>
        <v>5971.4285714285716</v>
      </c>
      <c r="AU38" s="153">
        <f>AU36/AU37</f>
        <v>6041.9753086419751</v>
      </c>
      <c r="AV38" s="153">
        <f>AV36/AV37</f>
        <v>6102.7027027027025</v>
      </c>
      <c r="AW38" s="915">
        <f>AW36/AW37</f>
        <v>6124</v>
      </c>
      <c r="AX38" s="153">
        <f>SUM(AT38:AW38)</f>
        <v>24240.106582773249</v>
      </c>
      <c r="AY38" s="914">
        <f>AY36/AY37</f>
        <v>6075.9036144578313</v>
      </c>
      <c r="AZ38" s="153">
        <f>AZ36/AZ37</f>
        <v>6088.3116883116882</v>
      </c>
      <c r="BA38" s="153">
        <f>BA36/BA37</f>
        <v>6102.5974025974028</v>
      </c>
      <c r="BB38" s="915">
        <f>BB36/BB37</f>
        <v>6085.7142857142853</v>
      </c>
      <c r="BC38" s="153">
        <f>SUM(AY38:BB38)</f>
        <v>24352.526991081209</v>
      </c>
      <c r="BD38" s="914">
        <f>BD36/BD37</f>
        <v>6000</v>
      </c>
      <c r="BE38" s="153">
        <f>BE36/BE37</f>
        <v>6017.1428571428578</v>
      </c>
      <c r="BF38" s="153">
        <f>BF36/BF37</f>
        <v>6087.1428571428578</v>
      </c>
      <c r="BG38" s="915">
        <f>BG36/BG37</f>
        <v>6128.767123287671</v>
      </c>
      <c r="BH38" s="153">
        <f>SUM(BD38:BG38)</f>
        <v>24233.052837573388</v>
      </c>
      <c r="BI38" s="914">
        <f>BI36/BI37</f>
        <v>5410.8433734939763</v>
      </c>
      <c r="BJ38" s="153">
        <f>BJ36/BJ37</f>
        <v>5509.333333333333</v>
      </c>
      <c r="BK38" s="153">
        <f>BK36/BK37</f>
        <v>5436.0465116279074</v>
      </c>
      <c r="BL38" s="915">
        <f>BL36/BL37</f>
        <v>4885.333333333333</v>
      </c>
      <c r="BM38" s="153">
        <f>SUM(BI38:BL38)</f>
        <v>21241.556551788548</v>
      </c>
      <c r="BN38" s="914">
        <f>BN36/BN37</f>
        <v>4780</v>
      </c>
      <c r="BO38" s="153">
        <f>BO36/BO37</f>
        <v>4841.3793103448279</v>
      </c>
      <c r="BP38" s="153">
        <f>BP36/BP37</f>
        <v>4909.090909090909</v>
      </c>
      <c r="BQ38" s="915">
        <f>BQ36/BQ37</f>
        <v>4247.3684210526317</v>
      </c>
      <c r="BR38" s="153">
        <f>SUM(BN38:BQ38)</f>
        <v>18777.838640488371</v>
      </c>
      <c r="BS38" s="914">
        <f>BS36/BS37</f>
        <v>4210.6060606060601</v>
      </c>
      <c r="BT38" s="153">
        <f>BT36/BT37</f>
        <v>4207.6923076923076</v>
      </c>
      <c r="BU38" s="153">
        <f>BU36/BU37</f>
        <v>4271.875</v>
      </c>
      <c r="BV38" s="915">
        <f>BV36/BV37</f>
        <v>4312.2807017543864</v>
      </c>
      <c r="BW38" s="153">
        <f>SUM(BS38:BV38)</f>
        <v>17002.454070052754</v>
      </c>
      <c r="BX38" s="914">
        <f>BX36/BX37</f>
        <v>4175.3846153846152</v>
      </c>
      <c r="BY38" s="153">
        <f>BY36/BY37</f>
        <v>4235.9375</v>
      </c>
      <c r="BZ38" s="153">
        <f>BZ36/BZ37</f>
        <v>4274.242424242424</v>
      </c>
      <c r="CA38" s="915">
        <f>CA36/CA37</f>
        <v>4291.666666666667</v>
      </c>
      <c r="CB38" s="153">
        <f>SUM(BX38:CA38)</f>
        <v>16977.231206293705</v>
      </c>
      <c r="CC38" s="914">
        <f>Operations!CC40</f>
        <v>4250</v>
      </c>
      <c r="CD38" s="153">
        <f>Operations!CD40</f>
        <v>4250</v>
      </c>
      <c r="CE38" s="153">
        <f>Operations!CE40</f>
        <v>4250</v>
      </c>
      <c r="CF38" s="915">
        <f>Operations!CF40</f>
        <v>4250</v>
      </c>
      <c r="CG38" s="1475">
        <f>SUM(CC38:CF38)</f>
        <v>17000</v>
      </c>
      <c r="CH38" s="914">
        <f>Operations!CH40</f>
        <v>4250</v>
      </c>
      <c r="CI38" s="153">
        <f>Operations!CI40</f>
        <v>4250</v>
      </c>
      <c r="CJ38" s="153">
        <f>Operations!CJ40</f>
        <v>4250</v>
      </c>
      <c r="CK38" s="915">
        <f>Operations!CK40</f>
        <v>4250</v>
      </c>
      <c r="CL38" s="153">
        <f>SUM(CH38:CK38)</f>
        <v>17000</v>
      </c>
      <c r="CM38" s="914">
        <f>Operations!CM40</f>
        <v>4250</v>
      </c>
      <c r="CN38" s="153">
        <f>Operations!CN40</f>
        <v>4250</v>
      </c>
      <c r="CO38" s="153">
        <f>Operations!CO40</f>
        <v>4250</v>
      </c>
      <c r="CP38" s="915">
        <f>Operations!CP40</f>
        <v>4250</v>
      </c>
      <c r="CQ38" s="153">
        <f>SUM(CM38:CP38)</f>
        <v>17000</v>
      </c>
      <c r="CS38" s="874">
        <f>CE33-CS33</f>
        <v>94.127999999999702</v>
      </c>
      <c r="CT38" s="874">
        <f>CF33-CT33</f>
        <v>92.893679999999222</v>
      </c>
      <c r="DC38" s="874">
        <f>CO33-DC33</f>
        <v>98.895119999999679</v>
      </c>
      <c r="DD38" s="874">
        <f>CP33-DD33</f>
        <v>93.61833359999946</v>
      </c>
    </row>
    <row r="39" spans="1:112" ht="6.2" customHeight="1">
      <c r="A39" s="93"/>
      <c r="B39" s="93"/>
      <c r="C39" s="96"/>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922"/>
      <c r="AK39" s="923"/>
      <c r="AL39" s="923"/>
      <c r="AM39" s="924"/>
      <c r="AN39" s="108"/>
      <c r="AO39" s="922"/>
      <c r="AP39" s="923"/>
      <c r="AQ39" s="923"/>
      <c r="AR39" s="924"/>
      <c r="AS39" s="108"/>
      <c r="AT39" s="922"/>
      <c r="AU39" s="923"/>
      <c r="AV39" s="1017"/>
      <c r="AW39" s="924"/>
      <c r="AX39" s="108"/>
      <c r="AY39" s="922"/>
      <c r="AZ39" s="923"/>
      <c r="BA39" s="923"/>
      <c r="BB39" s="924"/>
      <c r="BC39" s="108"/>
      <c r="BD39" s="922"/>
      <c r="BE39" s="923"/>
      <c r="BF39" s="923"/>
      <c r="BG39" s="924"/>
      <c r="BH39" s="108"/>
      <c r="BI39" s="922"/>
      <c r="BJ39" s="923"/>
      <c r="BK39" s="923"/>
      <c r="BL39" s="924"/>
      <c r="BM39" s="108"/>
      <c r="BN39" s="922"/>
      <c r="BO39" s="923"/>
      <c r="BP39" s="923"/>
      <c r="BQ39" s="924"/>
      <c r="BR39" s="108"/>
      <c r="BS39" s="922"/>
      <c r="BT39" s="923"/>
      <c r="BU39" s="923"/>
      <c r="BV39" s="924"/>
      <c r="BW39" s="108"/>
      <c r="BX39" s="922"/>
      <c r="BY39" s="923"/>
      <c r="BZ39" s="923"/>
      <c r="CA39" s="924"/>
      <c r="CB39" s="108"/>
      <c r="CC39" s="922"/>
      <c r="CD39" s="923"/>
      <c r="CE39" s="923"/>
      <c r="CF39" s="924"/>
      <c r="CG39" s="1479"/>
      <c r="CH39" s="922"/>
      <c r="CI39" s="923"/>
      <c r="CJ39" s="923"/>
      <c r="CK39" s="924"/>
      <c r="CL39" s="108"/>
      <c r="CM39" s="922"/>
      <c r="CN39" s="923"/>
      <c r="CO39" s="923"/>
      <c r="CP39" s="924"/>
      <c r="CQ39" s="923"/>
      <c r="CR39" s="81"/>
      <c r="CS39" s="75"/>
      <c r="CT39" s="75"/>
      <c r="CU39" s="75"/>
    </row>
    <row r="40" spans="1:112" ht="13.5" customHeight="1">
      <c r="A40" s="75"/>
      <c r="B40" s="75"/>
      <c r="C40" s="96" t="s">
        <v>693</v>
      </c>
      <c r="D40" s="108"/>
      <c r="E40" s="108"/>
      <c r="F40" s="108"/>
      <c r="G40" s="108"/>
      <c r="H40" s="108"/>
      <c r="I40" s="108"/>
      <c r="J40" s="108">
        <f>Operations!J38</f>
        <v>16847.12906451496</v>
      </c>
      <c r="K40" s="108">
        <f>Operations!K38</f>
        <v>4884.4056706652127</v>
      </c>
      <c r="L40" s="108">
        <f>Operations!L38</f>
        <v>4834.2857142857147</v>
      </c>
      <c r="M40" s="108">
        <f>Operations!M38</f>
        <v>4889.5216400911158</v>
      </c>
      <c r="N40" s="108">
        <f>Operations!N38</f>
        <v>4889.9082568807344</v>
      </c>
      <c r="O40" s="108">
        <f>Operations!O38</f>
        <v>19498.121281922777</v>
      </c>
      <c r="P40" s="108">
        <f>Operations!P38</f>
        <v>4781.1111111111113</v>
      </c>
      <c r="Q40" s="108">
        <f>Operations!Q38</f>
        <v>4834.677419354839</v>
      </c>
      <c r="R40" s="108">
        <f>Operations!R38</f>
        <v>4887.3435326842837</v>
      </c>
      <c r="S40" s="108">
        <f>Operations!S38</f>
        <v>4892.901618929016</v>
      </c>
      <c r="T40" s="108">
        <f>Operations!T38</f>
        <v>19396.033682079251</v>
      </c>
      <c r="U40" s="108">
        <f>Operations!U38</f>
        <v>4781.75519630485</v>
      </c>
      <c r="V40" s="108">
        <f>Operations!V38</f>
        <v>4836.497890295359</v>
      </c>
      <c r="W40" s="108">
        <f>Operations!W38</f>
        <v>4892.2558922558919</v>
      </c>
      <c r="X40" s="108">
        <f>Operations!X38</f>
        <v>4887.8923766816142</v>
      </c>
      <c r="Y40" s="108">
        <f>SUM(U40:X40)</f>
        <v>19398.401355537717</v>
      </c>
      <c r="Z40" s="108">
        <f>Operations!Z38</f>
        <v>4784.7938144329892</v>
      </c>
      <c r="AA40" s="108">
        <f>Operations!AA38</f>
        <v>4836.6627497062282</v>
      </c>
      <c r="AB40" s="108">
        <f>Operations!AB38</f>
        <v>4890.3954802259886</v>
      </c>
      <c r="AC40" s="108">
        <f>Operations!AC38</f>
        <v>5708.5365853658541</v>
      </c>
      <c r="AD40" s="108">
        <f>SUM(Z40:AC40)</f>
        <v>20220.38862973106</v>
      </c>
      <c r="AE40" s="108">
        <f>Operations!AE38</f>
        <v>6061.0687022900765</v>
      </c>
      <c r="AF40" s="108">
        <f>Operations!AF38</f>
        <v>6056.0949298813375</v>
      </c>
      <c r="AG40" s="108">
        <f>Operations!AG38</f>
        <v>6127.6102088167054</v>
      </c>
      <c r="AH40" s="108">
        <f>Operations!AH38</f>
        <v>6120.8053691275163</v>
      </c>
      <c r="AI40" s="108">
        <f>SUM(AE40:AH40)</f>
        <v>24365.579210115637</v>
      </c>
      <c r="AJ40" s="922">
        <f>Operations!AJ38</f>
        <v>5997.3684210526317</v>
      </c>
      <c r="AK40" s="923">
        <f>Operations!AK38</f>
        <v>6061.7283950617284</v>
      </c>
      <c r="AL40" s="923">
        <f>Operations!AL38</f>
        <v>6127.8065630397241</v>
      </c>
      <c r="AM40" s="924">
        <f>Operations!AM38</f>
        <v>6124.6105919003112</v>
      </c>
      <c r="AN40" s="108">
        <f>SUM(AJ40:AM40)</f>
        <v>24311.513971054395</v>
      </c>
      <c r="AO40" s="922">
        <f>Operations!AO38</f>
        <v>6004.1095890410961</v>
      </c>
      <c r="AP40" s="923">
        <f>Operations!AP38</f>
        <v>6071.9512195121952</v>
      </c>
      <c r="AQ40" s="923">
        <f>Operations!AQ38</f>
        <v>6096.1038961038957</v>
      </c>
      <c r="AR40" s="924">
        <f>Operations!AR38</f>
        <v>6093.0555555555557</v>
      </c>
      <c r="AS40" s="108">
        <f>SUM(AO40:AR40)</f>
        <v>24265.220260212744</v>
      </c>
      <c r="AT40" s="922">
        <f>Operations!AT38</f>
        <v>5971.4285714285716</v>
      </c>
      <c r="AU40" s="923">
        <f>Operations!AU38</f>
        <v>6041.9753086419751</v>
      </c>
      <c r="AV40" s="923">
        <f>Operations!AV38</f>
        <v>6102.7027027027025</v>
      </c>
      <c r="AW40" s="924">
        <f>Operations!AW38</f>
        <v>6124</v>
      </c>
      <c r="AX40" s="108">
        <f>SUM(AT40:AW40)</f>
        <v>24240.106582773249</v>
      </c>
      <c r="AY40" s="922">
        <f>Operations!AY38</f>
        <v>6075.9036144578313</v>
      </c>
      <c r="AZ40" s="923">
        <f>Operations!AZ38</f>
        <v>6088.3116883116882</v>
      </c>
      <c r="BA40" s="923">
        <f>Operations!BA38</f>
        <v>6102.5974025974028</v>
      </c>
      <c r="BB40" s="924">
        <f>Operations!BB38</f>
        <v>6085.7142857142853</v>
      </c>
      <c r="BC40" s="108">
        <f>SUM(AY40:BB40)</f>
        <v>24352.526991081209</v>
      </c>
      <c r="BD40" s="1029">
        <f>Operations!BD38</f>
        <v>6000</v>
      </c>
      <c r="BE40" s="1030">
        <f>Operations!BE38</f>
        <v>6017.1428571428578</v>
      </c>
      <c r="BF40" s="1030">
        <f>Operations!BF38</f>
        <v>6087.1428571428578</v>
      </c>
      <c r="BG40" s="1031">
        <f>Operations!BG38</f>
        <v>6128.767123287671</v>
      </c>
      <c r="BH40" s="108">
        <f>SUM(BD40:BG40)</f>
        <v>24233.052837573388</v>
      </c>
      <c r="BI40" s="1029">
        <f>Operations!BI38</f>
        <v>5410.8433734939763</v>
      </c>
      <c r="BJ40" s="1030">
        <f>Operations!BJ38</f>
        <v>5509.333333333333</v>
      </c>
      <c r="BK40" s="1030">
        <f>Operations!BK38</f>
        <v>5436.0465116279074</v>
      </c>
      <c r="BL40" s="1031">
        <f>Operations!BL38</f>
        <v>4885.333333333333</v>
      </c>
      <c r="BM40" s="108">
        <f>SUM(BI40:BL40)</f>
        <v>21241.556551788548</v>
      </c>
      <c r="BN40" s="1029">
        <f>Operations!BN38</f>
        <v>4780</v>
      </c>
      <c r="BO40" s="1030">
        <f>Operations!BO38</f>
        <v>4841.3793103448279</v>
      </c>
      <c r="BP40" s="1030">
        <f>Operations!BP38</f>
        <v>4909.090909090909</v>
      </c>
      <c r="BQ40" s="1031">
        <f>Operations!BQ38</f>
        <v>4247.3684210526317</v>
      </c>
      <c r="BR40" s="108">
        <f>SUM(BN40:BQ40)</f>
        <v>18777.838640488371</v>
      </c>
      <c r="BS40" s="1029">
        <f>Operations!BS38</f>
        <v>4210.6060606060601</v>
      </c>
      <c r="BT40" s="1030">
        <f>Operations!BT38</f>
        <v>4207.6923076923076</v>
      </c>
      <c r="BU40" s="1030">
        <f>Operations!BU38</f>
        <v>4271.875</v>
      </c>
      <c r="BV40" s="1031">
        <f>Operations!BV38</f>
        <v>4312.2807017543864</v>
      </c>
      <c r="BW40" s="420">
        <f>Operations!BW38</f>
        <v>17002.454070052754</v>
      </c>
      <c r="BX40" s="1029">
        <f>Operations!BX38</f>
        <v>4175.3846153846152</v>
      </c>
      <c r="BY40" s="1030">
        <f>Operations!BY38</f>
        <v>4235.9375</v>
      </c>
      <c r="BZ40" s="1030">
        <f>Operations!BZ38</f>
        <v>4274.242424242424</v>
      </c>
      <c r="CA40" s="1031">
        <f>Operations!CA38</f>
        <v>4291.666666666667</v>
      </c>
      <c r="CB40" s="108">
        <f>SUM(BX40:CA40)</f>
        <v>16977.231206293705</v>
      </c>
      <c r="CC40" s="1103">
        <f>17000/4</f>
        <v>4250</v>
      </c>
      <c r="CD40" s="1104">
        <f>17000/4</f>
        <v>4250</v>
      </c>
      <c r="CE40" s="1104">
        <f>17000/4</f>
        <v>4250</v>
      </c>
      <c r="CF40" s="1080">
        <f>17000/4</f>
        <v>4250</v>
      </c>
      <c r="CG40" s="1479">
        <f>SUM(CC40:CF40)</f>
        <v>17000</v>
      </c>
      <c r="CH40" s="1103">
        <f>17000/4</f>
        <v>4250</v>
      </c>
      <c r="CI40" s="1104">
        <f>17000/4</f>
        <v>4250</v>
      </c>
      <c r="CJ40" s="1104">
        <f>17000/4</f>
        <v>4250</v>
      </c>
      <c r="CK40" s="1080">
        <f>17000/4</f>
        <v>4250</v>
      </c>
      <c r="CL40" s="108">
        <f>SUM(CH40:CK40)</f>
        <v>17000</v>
      </c>
      <c r="CM40" s="1103">
        <f>17000/4</f>
        <v>4250</v>
      </c>
      <c r="CN40" s="1104">
        <f>17000/4</f>
        <v>4250</v>
      </c>
      <c r="CO40" s="1104">
        <f>17000/4</f>
        <v>4250</v>
      </c>
      <c r="CP40" s="1080">
        <f>17000/4</f>
        <v>4250</v>
      </c>
      <c r="CQ40" s="923">
        <f>SUM(CM40:CP40)</f>
        <v>17000</v>
      </c>
      <c r="CR40" s="81"/>
      <c r="CS40" s="114"/>
      <c r="CT40" s="75"/>
      <c r="CU40" s="75"/>
    </row>
    <row r="41" spans="1:112" ht="13.5" customHeight="1">
      <c r="A41" s="75"/>
      <c r="B41" s="75"/>
      <c r="C41" s="75" t="s">
        <v>694</v>
      </c>
      <c r="D41" s="108"/>
      <c r="E41" s="108"/>
      <c r="F41" s="108"/>
      <c r="G41" s="108"/>
      <c r="H41" s="108"/>
      <c r="I41" s="108"/>
      <c r="J41" s="108">
        <f>Operations!J36</f>
        <v>14914</v>
      </c>
      <c r="K41" s="108">
        <f>Operations!K36</f>
        <v>4479</v>
      </c>
      <c r="L41" s="108">
        <f>Operations!L36</f>
        <v>4230</v>
      </c>
      <c r="M41" s="108">
        <f>Operations!M36</f>
        <v>4293</v>
      </c>
      <c r="N41" s="108">
        <f>Operations!N36</f>
        <v>4264</v>
      </c>
      <c r="O41" s="108">
        <f>Operations!O36</f>
        <v>17266</v>
      </c>
      <c r="P41" s="108">
        <f>Operations!P36</f>
        <v>4303</v>
      </c>
      <c r="Q41" s="108">
        <f>Operations!Q36</f>
        <v>3597</v>
      </c>
      <c r="R41" s="108">
        <f>Operations!R36</f>
        <v>3514</v>
      </c>
      <c r="S41" s="108">
        <f>Operations!S36</f>
        <v>3929</v>
      </c>
      <c r="T41" s="108">
        <f>Operations!T36</f>
        <v>15343</v>
      </c>
      <c r="U41" s="108">
        <f>Operations!U36</f>
        <v>4141</v>
      </c>
      <c r="V41" s="108">
        <f>Operations!V36</f>
        <v>4585</v>
      </c>
      <c r="W41" s="108">
        <f>Operations!W36</f>
        <v>4359</v>
      </c>
      <c r="X41" s="108">
        <f>Operations!X36</f>
        <v>3270</v>
      </c>
      <c r="Y41" s="109">
        <f>SUM(U41:X41)</f>
        <v>16355</v>
      </c>
      <c r="Z41" s="108">
        <f>Operations!Z36</f>
        <v>3713</v>
      </c>
      <c r="AA41" s="108">
        <f>Operations!AA36</f>
        <v>4116</v>
      </c>
      <c r="AB41" s="108">
        <f>Operations!AB36</f>
        <v>4328</v>
      </c>
      <c r="AC41" s="108">
        <f>Operations!AC36</f>
        <v>4681</v>
      </c>
      <c r="AD41" s="109">
        <f>SUM(Z41:AC41)</f>
        <v>16838</v>
      </c>
      <c r="AE41" s="108">
        <f>Operations!AE36</f>
        <v>5558</v>
      </c>
      <c r="AF41" s="108">
        <f>Operations!AF36</f>
        <v>5614</v>
      </c>
      <c r="AG41" s="108">
        <f>Operations!AG36</f>
        <v>5282</v>
      </c>
      <c r="AH41" s="108">
        <f>Operations!AH36</f>
        <v>2736</v>
      </c>
      <c r="AI41" s="109">
        <f>SUM(AE41:AH41)</f>
        <v>19190</v>
      </c>
      <c r="AJ41" s="922">
        <f>Operations!AJ36</f>
        <v>2279</v>
      </c>
      <c r="AK41" s="923">
        <f>Operations!AK36</f>
        <v>1964</v>
      </c>
      <c r="AL41" s="923">
        <f>Operations!AL36</f>
        <v>3548</v>
      </c>
      <c r="AM41" s="924">
        <f>Operations!AM36</f>
        <v>3932</v>
      </c>
      <c r="AN41" s="109">
        <f>SUM(AJ41:AM41)</f>
        <v>11723</v>
      </c>
      <c r="AO41" s="922">
        <f>Operations!AO36</f>
        <v>4383</v>
      </c>
      <c r="AP41" s="923">
        <f>Operations!AP36</f>
        <v>4979</v>
      </c>
      <c r="AQ41" s="923">
        <f>Operations!AQ36</f>
        <v>4694</v>
      </c>
      <c r="AR41" s="924">
        <f>Operations!AR36</f>
        <v>4387</v>
      </c>
      <c r="AS41" s="109">
        <f>SUM(AO41:AR41)</f>
        <v>18443</v>
      </c>
      <c r="AT41" s="922">
        <f>Operations!AT36</f>
        <v>4598</v>
      </c>
      <c r="AU41" s="923">
        <f>Operations!AU36</f>
        <v>4894</v>
      </c>
      <c r="AV41" s="923">
        <f>Operations!AV36</f>
        <v>4516</v>
      </c>
      <c r="AW41" s="924">
        <f>Operations!AW36</f>
        <v>4593</v>
      </c>
      <c r="AX41" s="109">
        <f>SUM(AT41:AW41)</f>
        <v>18601</v>
      </c>
      <c r="AY41" s="922">
        <f>Operations!AY36</f>
        <v>5043</v>
      </c>
      <c r="AZ41" s="923">
        <f>Operations!AZ36</f>
        <v>4688</v>
      </c>
      <c r="BA41" s="923">
        <f>Operations!BA36</f>
        <v>4699</v>
      </c>
      <c r="BB41" s="924">
        <f>Operations!BB36</f>
        <v>4686</v>
      </c>
      <c r="BC41" s="109">
        <f>SUM(AY41:BB41)</f>
        <v>19116</v>
      </c>
      <c r="BD41" s="922">
        <f>Operations!BD36</f>
        <v>4920</v>
      </c>
      <c r="BE41" s="923">
        <f>Operations!BE36</f>
        <v>4212</v>
      </c>
      <c r="BF41" s="923">
        <f>Operations!BF36</f>
        <v>4261</v>
      </c>
      <c r="BG41" s="924">
        <f>Operations!BG36</f>
        <v>4474</v>
      </c>
      <c r="BH41" s="109">
        <f>SUM(BD41:BG41)</f>
        <v>17867</v>
      </c>
      <c r="BI41" s="922">
        <f>Operations!BI36</f>
        <v>4491</v>
      </c>
      <c r="BJ41" s="923">
        <f>Operations!BJ36</f>
        <v>4132</v>
      </c>
      <c r="BK41" s="923">
        <f>Operations!BK36</f>
        <v>4675</v>
      </c>
      <c r="BL41" s="924">
        <f>Operations!BL36</f>
        <v>3664</v>
      </c>
      <c r="BM41" s="109">
        <f>SUM(BI41:BL41)</f>
        <v>16962</v>
      </c>
      <c r="BN41" s="922">
        <f>Operations!BN36</f>
        <v>2868</v>
      </c>
      <c r="BO41" s="923">
        <f>Operations!BO36</f>
        <v>2808</v>
      </c>
      <c r="BP41" s="923">
        <f>Operations!BP36</f>
        <v>3240</v>
      </c>
      <c r="BQ41" s="924">
        <f>Operations!BQ36</f>
        <v>2421</v>
      </c>
      <c r="BR41" s="109">
        <f>SUM(BN41:BQ41)</f>
        <v>11337</v>
      </c>
      <c r="BS41" s="918">
        <f>Operations!BS36</f>
        <v>2779</v>
      </c>
      <c r="BT41" s="216">
        <f>Operations!BT36</f>
        <v>2735</v>
      </c>
      <c r="BU41" s="216">
        <f>Operations!BU36</f>
        <v>2734</v>
      </c>
      <c r="BV41" s="919">
        <f>Operations!BV36</f>
        <v>2458</v>
      </c>
      <c r="BW41" s="109">
        <f>SUM(BS41:BV41)</f>
        <v>10706</v>
      </c>
      <c r="BX41" s="918">
        <f>Operations!BX36</f>
        <v>2714</v>
      </c>
      <c r="BY41" s="216">
        <f>Operations!BY36</f>
        <v>2711</v>
      </c>
      <c r="BZ41" s="216">
        <f>Operations!BZ36</f>
        <v>2821</v>
      </c>
      <c r="CA41" s="919">
        <f>Operations!CA36</f>
        <v>2575</v>
      </c>
      <c r="CB41" s="109">
        <f>SUM(BX41:CA41)</f>
        <v>10821</v>
      </c>
      <c r="CC41" s="918">
        <f>CC34*1.1</f>
        <v>2670.8440000000001</v>
      </c>
      <c r="CD41" s="216">
        <f>CD34*1.1</f>
        <v>2774.1669999999999</v>
      </c>
      <c r="CE41" s="216">
        <f>CE34*1.1</f>
        <v>3078.2400000000002</v>
      </c>
      <c r="CF41" s="919">
        <f>CF34*1.1</f>
        <v>3008.5440000000008</v>
      </c>
      <c r="CG41" s="1477">
        <f>SUM(CC41:CF41)</f>
        <v>11531.795000000002</v>
      </c>
      <c r="CH41" s="918">
        <f>CH34*1.1</f>
        <v>3018.0537200000003</v>
      </c>
      <c r="CI41" s="216">
        <f>CI34*1.1</f>
        <v>3154.227879</v>
      </c>
      <c r="CJ41" s="216">
        <f>CJ34*1.1</f>
        <v>3139.8048000000003</v>
      </c>
      <c r="CK41" s="919">
        <f>CK34*1.1</f>
        <v>3068.7148800000009</v>
      </c>
      <c r="CL41" s="109">
        <f>SUM(CH41:CK41)</f>
        <v>12380.801279000001</v>
      </c>
      <c r="CM41" s="918">
        <f>CM34*1.1</f>
        <v>3018.0537200000003</v>
      </c>
      <c r="CN41" s="216">
        <f>CN34*1.1</f>
        <v>3154.227879</v>
      </c>
      <c r="CO41" s="216">
        <f>CO34*1.1</f>
        <v>3139.8048000000003</v>
      </c>
      <c r="CP41" s="919">
        <f>CP34*1.1</f>
        <v>3068.7148800000009</v>
      </c>
      <c r="CQ41" s="216">
        <f>SUM(CM41:CP41)</f>
        <v>12380.801279000001</v>
      </c>
      <c r="CR41" s="81"/>
      <c r="CS41" s="91"/>
      <c r="CT41" s="75"/>
      <c r="CU41" s="75"/>
    </row>
    <row r="42" spans="1:112" ht="13.5" customHeight="1">
      <c r="A42" s="115"/>
      <c r="B42" s="115"/>
      <c r="C42" s="115" t="s">
        <v>695</v>
      </c>
      <c r="D42" s="116"/>
      <c r="E42" s="116"/>
      <c r="F42" s="116"/>
      <c r="G42" s="116"/>
      <c r="H42" s="116"/>
      <c r="I42" s="116"/>
      <c r="J42" s="116">
        <f t="shared" ref="J42:AO42" si="65">J41/J40</f>
        <v>0.88525468896735038</v>
      </c>
      <c r="K42" s="116">
        <f t="shared" si="65"/>
        <v>0.91700000000000004</v>
      </c>
      <c r="L42" s="116">
        <f t="shared" si="65"/>
        <v>0.87499999999999989</v>
      </c>
      <c r="M42" s="116">
        <f t="shared" si="65"/>
        <v>0.87800000000000011</v>
      </c>
      <c r="N42" s="116">
        <f t="shared" si="65"/>
        <v>0.87199999999999989</v>
      </c>
      <c r="O42" s="116">
        <f t="shared" si="65"/>
        <v>0.88552121254921956</v>
      </c>
      <c r="P42" s="116">
        <f t="shared" si="65"/>
        <v>0.89999999999999991</v>
      </c>
      <c r="Q42" s="116">
        <f t="shared" si="65"/>
        <v>0.74399999999999999</v>
      </c>
      <c r="R42" s="116">
        <f t="shared" si="65"/>
        <v>0.71899999999999997</v>
      </c>
      <c r="S42" s="116">
        <f t="shared" si="65"/>
        <v>0.80300000000000005</v>
      </c>
      <c r="T42" s="116">
        <f t="shared" si="65"/>
        <v>0.79103801588960909</v>
      </c>
      <c r="U42" s="116">
        <f t="shared" si="65"/>
        <v>0.86599999999999999</v>
      </c>
      <c r="V42" s="116">
        <f t="shared" si="65"/>
        <v>0.94799999999999995</v>
      </c>
      <c r="W42" s="116">
        <f t="shared" si="65"/>
        <v>0.89100000000000001</v>
      </c>
      <c r="X42" s="116">
        <f t="shared" si="65"/>
        <v>0.66900000000000004</v>
      </c>
      <c r="Y42" s="116">
        <f t="shared" si="65"/>
        <v>0.84311071310683505</v>
      </c>
      <c r="Z42" s="116">
        <f t="shared" si="65"/>
        <v>0.77600000000000013</v>
      </c>
      <c r="AA42" s="116">
        <f t="shared" si="65"/>
        <v>0.85099999999999998</v>
      </c>
      <c r="AB42" s="116">
        <f t="shared" si="65"/>
        <v>0.88500000000000001</v>
      </c>
      <c r="AC42" s="116">
        <f t="shared" si="65"/>
        <v>0.82</v>
      </c>
      <c r="AD42" s="116">
        <f t="shared" si="65"/>
        <v>0.83272385651590475</v>
      </c>
      <c r="AE42" s="116">
        <f t="shared" si="65"/>
        <v>0.91699999999999993</v>
      </c>
      <c r="AF42" s="116">
        <f t="shared" si="65"/>
        <v>0.92700000000000005</v>
      </c>
      <c r="AG42" s="116">
        <f t="shared" si="65"/>
        <v>0.86199999999999999</v>
      </c>
      <c r="AH42" s="116">
        <f t="shared" si="65"/>
        <v>0.44700000000000001</v>
      </c>
      <c r="AI42" s="116">
        <f t="shared" si="65"/>
        <v>0.78758644867481997</v>
      </c>
      <c r="AJ42" s="925">
        <f t="shared" si="65"/>
        <v>0.38</v>
      </c>
      <c r="AK42" s="926">
        <f t="shared" si="65"/>
        <v>0.32400000000000001</v>
      </c>
      <c r="AL42" s="926">
        <f t="shared" si="65"/>
        <v>0.57899999999999996</v>
      </c>
      <c r="AM42" s="927">
        <f t="shared" si="65"/>
        <v>0.64200000000000002</v>
      </c>
      <c r="AN42" s="116">
        <f t="shared" si="65"/>
        <v>0.48219950489128549</v>
      </c>
      <c r="AO42" s="925">
        <f t="shared" si="65"/>
        <v>0.73</v>
      </c>
      <c r="AP42" s="926">
        <f t="shared" ref="AP42:BU42" si="66">AP41/AP40</f>
        <v>0.82</v>
      </c>
      <c r="AQ42" s="926">
        <f t="shared" si="66"/>
        <v>0.77</v>
      </c>
      <c r="AR42" s="927">
        <f t="shared" si="66"/>
        <v>0.72</v>
      </c>
      <c r="AS42" s="116">
        <f t="shared" si="66"/>
        <v>0.76005903932554297</v>
      </c>
      <c r="AT42" s="925">
        <f t="shared" si="66"/>
        <v>0.77</v>
      </c>
      <c r="AU42" s="926">
        <f t="shared" si="66"/>
        <v>0.81</v>
      </c>
      <c r="AV42" s="926">
        <f t="shared" si="66"/>
        <v>0.74</v>
      </c>
      <c r="AW42" s="927">
        <f t="shared" si="66"/>
        <v>0.75</v>
      </c>
      <c r="AX42" s="116">
        <f t="shared" si="66"/>
        <v>0.76736461271251999</v>
      </c>
      <c r="AY42" s="925">
        <f t="shared" si="66"/>
        <v>0.83</v>
      </c>
      <c r="AZ42" s="926">
        <f t="shared" si="66"/>
        <v>0.77</v>
      </c>
      <c r="BA42" s="926">
        <f t="shared" si="66"/>
        <v>0.77</v>
      </c>
      <c r="BB42" s="927">
        <f t="shared" si="66"/>
        <v>0.77</v>
      </c>
      <c r="BC42" s="116">
        <f t="shared" si="66"/>
        <v>0.78496987220262526</v>
      </c>
      <c r="BD42" s="925">
        <f t="shared" si="66"/>
        <v>0.82</v>
      </c>
      <c r="BE42" s="926">
        <f t="shared" si="66"/>
        <v>0.7</v>
      </c>
      <c r="BF42" s="926">
        <f t="shared" si="66"/>
        <v>0.7</v>
      </c>
      <c r="BG42" s="927">
        <f t="shared" si="66"/>
        <v>0.73</v>
      </c>
      <c r="BH42" s="116">
        <f t="shared" si="66"/>
        <v>0.73729876791657001</v>
      </c>
      <c r="BI42" s="925">
        <f t="shared" si="66"/>
        <v>0.83</v>
      </c>
      <c r="BJ42" s="926">
        <f t="shared" si="66"/>
        <v>0.75</v>
      </c>
      <c r="BK42" s="926">
        <f t="shared" si="66"/>
        <v>0.85999999999999988</v>
      </c>
      <c r="BL42" s="927">
        <f t="shared" si="66"/>
        <v>0.75</v>
      </c>
      <c r="BM42" s="116">
        <f t="shared" si="66"/>
        <v>0.79852905123244333</v>
      </c>
      <c r="BN42" s="925">
        <f t="shared" si="66"/>
        <v>0.6</v>
      </c>
      <c r="BO42" s="926">
        <f t="shared" si="66"/>
        <v>0.57999999999999996</v>
      </c>
      <c r="BP42" s="926">
        <f t="shared" si="66"/>
        <v>0.66</v>
      </c>
      <c r="BQ42" s="927">
        <f t="shared" si="66"/>
        <v>0.56999999999999995</v>
      </c>
      <c r="BR42" s="116">
        <f t="shared" si="66"/>
        <v>0.60374360527070481</v>
      </c>
      <c r="BS42" s="1068">
        <f t="shared" si="66"/>
        <v>0.66</v>
      </c>
      <c r="BT42" s="1069">
        <f t="shared" si="66"/>
        <v>0.65</v>
      </c>
      <c r="BU42" s="1069">
        <f t="shared" si="66"/>
        <v>0.64</v>
      </c>
      <c r="BV42" s="927">
        <f t="shared" ref="BV42:CQ42" si="67">BV41/BV40</f>
        <v>0.56999999999999995</v>
      </c>
      <c r="BW42" s="116">
        <f t="shared" si="67"/>
        <v>0.62967380802145478</v>
      </c>
      <c r="BX42" s="1068">
        <f t="shared" si="67"/>
        <v>0.65</v>
      </c>
      <c r="BY42" s="1069">
        <f t="shared" si="67"/>
        <v>0.64</v>
      </c>
      <c r="BZ42" s="1069">
        <f t="shared" si="67"/>
        <v>0.66</v>
      </c>
      <c r="CA42" s="927">
        <f t="shared" si="67"/>
        <v>0.6</v>
      </c>
      <c r="CB42" s="116">
        <f t="shared" si="67"/>
        <v>0.63738308493958062</v>
      </c>
      <c r="CC42" s="925">
        <f t="shared" si="67"/>
        <v>0.62843388235294118</v>
      </c>
      <c r="CD42" s="926">
        <f t="shared" si="67"/>
        <v>0.65274517647058816</v>
      </c>
      <c r="CE42" s="926">
        <f t="shared" si="67"/>
        <v>0.72429176470588241</v>
      </c>
      <c r="CF42" s="927">
        <f t="shared" si="67"/>
        <v>0.70789270588235309</v>
      </c>
      <c r="CG42" s="1480">
        <f t="shared" si="67"/>
        <v>0.67834088235294132</v>
      </c>
      <c r="CH42" s="925">
        <f t="shared" si="67"/>
        <v>0.71013028705882364</v>
      </c>
      <c r="CI42" s="926">
        <f t="shared" si="67"/>
        <v>0.74217126564705882</v>
      </c>
      <c r="CJ42" s="926">
        <f t="shared" si="67"/>
        <v>0.73877760000000003</v>
      </c>
      <c r="CK42" s="927">
        <f t="shared" si="67"/>
        <v>0.72205056000000023</v>
      </c>
      <c r="CL42" s="116">
        <f t="shared" si="67"/>
        <v>0.72828242817647071</v>
      </c>
      <c r="CM42" s="925">
        <f t="shared" si="67"/>
        <v>0.71013028705882364</v>
      </c>
      <c r="CN42" s="926">
        <f t="shared" si="67"/>
        <v>0.74217126564705882</v>
      </c>
      <c r="CO42" s="926">
        <f t="shared" si="67"/>
        <v>0.73877760000000003</v>
      </c>
      <c r="CP42" s="927">
        <f t="shared" si="67"/>
        <v>0.72205056000000023</v>
      </c>
      <c r="CQ42" s="926">
        <f t="shared" si="67"/>
        <v>0.72828242817647071</v>
      </c>
      <c r="CR42" s="81"/>
      <c r="CS42" s="75"/>
      <c r="CT42" s="75"/>
      <c r="CU42" s="75"/>
    </row>
    <row r="43" spans="1:112" ht="6.2" customHeight="1">
      <c r="A43" s="76"/>
      <c r="B43" s="75"/>
      <c r="C43" s="76"/>
      <c r="D43" s="76"/>
      <c r="E43" s="76"/>
      <c r="F43" s="299"/>
      <c r="G43" s="299"/>
      <c r="H43" s="299"/>
      <c r="I43" s="299"/>
      <c r="J43" s="299"/>
      <c r="K43" s="299"/>
      <c r="L43" s="299"/>
      <c r="M43" s="299"/>
      <c r="N43" s="299"/>
      <c r="O43" s="299"/>
      <c r="P43" s="299"/>
      <c r="Q43" s="299"/>
      <c r="R43" s="299"/>
      <c r="S43" s="299"/>
      <c r="T43" s="299"/>
      <c r="U43" s="299"/>
      <c r="V43" s="299"/>
      <c r="W43" s="299"/>
      <c r="X43" s="299"/>
      <c r="Y43" s="299"/>
      <c r="Z43" s="299"/>
      <c r="AA43" s="299"/>
      <c r="AB43" s="299"/>
      <c r="AC43" s="299"/>
      <c r="AD43" s="299"/>
      <c r="AE43" s="299"/>
      <c r="AF43" s="299"/>
      <c r="AG43" s="299"/>
      <c r="AH43" s="299"/>
      <c r="AI43" s="299"/>
      <c r="AJ43" s="928"/>
      <c r="AK43" s="299"/>
      <c r="AL43" s="299"/>
      <c r="AM43" s="929"/>
      <c r="AN43" s="299"/>
      <c r="AO43" s="928"/>
      <c r="AP43" s="299"/>
      <c r="AQ43" s="299"/>
      <c r="AR43" s="929"/>
      <c r="AS43" s="299"/>
      <c r="AT43" s="928"/>
      <c r="AU43" s="299"/>
      <c r="AV43" s="299"/>
      <c r="AW43" s="929"/>
      <c r="AX43" s="299"/>
      <c r="AY43" s="928"/>
      <c r="AZ43" s="299"/>
      <c r="BA43" s="299"/>
      <c r="BB43" s="929"/>
      <c r="BC43" s="299"/>
      <c r="BD43" s="928"/>
      <c r="BE43" s="299"/>
      <c r="BF43" s="299"/>
      <c r="BG43" s="929"/>
      <c r="BH43" s="299"/>
      <c r="BI43" s="928"/>
      <c r="BJ43" s="299"/>
      <c r="BK43" s="299"/>
      <c r="BL43" s="929"/>
      <c r="BM43" s="299"/>
      <c r="BN43" s="928"/>
      <c r="BO43" s="299"/>
      <c r="BP43" s="299"/>
      <c r="BQ43" s="929"/>
      <c r="BR43" s="299"/>
      <c r="BS43" s="928"/>
      <c r="BT43" s="299"/>
      <c r="BU43" s="299"/>
      <c r="BV43" s="929"/>
      <c r="BW43" s="299"/>
      <c r="BX43" s="928"/>
      <c r="BY43" s="299"/>
      <c r="BZ43" s="299"/>
      <c r="CA43" s="929"/>
      <c r="CB43" s="299"/>
      <c r="CC43" s="928"/>
      <c r="CD43" s="299"/>
      <c r="CE43" s="299"/>
      <c r="CF43" s="929"/>
      <c r="CG43" s="1481"/>
      <c r="CH43" s="928"/>
      <c r="CI43" s="299"/>
      <c r="CJ43" s="299"/>
      <c r="CK43" s="929"/>
      <c r="CL43" s="299"/>
      <c r="CM43" s="928"/>
      <c r="CN43" s="299"/>
      <c r="CO43" s="299"/>
      <c r="CP43" s="929"/>
      <c r="CQ43" s="299"/>
    </row>
    <row r="44" spans="1:112" ht="13.5" customHeight="1">
      <c r="A44" s="75"/>
      <c r="B44" s="75" t="s">
        <v>976</v>
      </c>
      <c r="C44" s="93"/>
      <c r="D44" s="761"/>
      <c r="E44" s="761"/>
      <c r="F44" s="761"/>
      <c r="G44" s="761"/>
      <c r="H44" s="761"/>
      <c r="I44" s="761"/>
      <c r="J44" s="761">
        <f t="shared" ref="J44:AO44" si="68">(J8*J29+J9*J30+J10*J31+J11*J32+J12*J33)/J34</f>
        <v>356.6019011330614</v>
      </c>
      <c r="K44" s="761">
        <f t="shared" si="68"/>
        <v>525.8085983499293</v>
      </c>
      <c r="L44" s="761">
        <f t="shared" si="68"/>
        <v>686.86747968505688</v>
      </c>
      <c r="M44" s="761">
        <f t="shared" si="68"/>
        <v>795.83360987714116</v>
      </c>
      <c r="N44" s="761">
        <f>(N8*N29+N9*N30+N10*N31+N11*N32+N12*N33)/N34</f>
        <v>747.08844860756369</v>
      </c>
      <c r="O44" s="761">
        <f t="shared" si="68"/>
        <v>688.8995341299227</v>
      </c>
      <c r="P44" s="761">
        <f t="shared" si="68"/>
        <v>713.70938713447094</v>
      </c>
      <c r="Q44" s="761">
        <f t="shared" si="68"/>
        <v>616.89806756250346</v>
      </c>
      <c r="R44" s="761">
        <f t="shared" si="68"/>
        <v>553.63136055426764</v>
      </c>
      <c r="S44" s="761">
        <f t="shared" si="68"/>
        <v>639.02709989540153</v>
      </c>
      <c r="T44" s="761">
        <f t="shared" si="68"/>
        <v>630.81647878666081</v>
      </c>
      <c r="U44" s="761">
        <f t="shared" si="68"/>
        <v>642.33629930767063</v>
      </c>
      <c r="V44" s="761">
        <f t="shared" si="68"/>
        <v>698.39413281312341</v>
      </c>
      <c r="W44" s="761">
        <f t="shared" si="68"/>
        <v>733.09777618674059</v>
      </c>
      <c r="X44" s="761">
        <f t="shared" si="68"/>
        <v>676.63322312226512</v>
      </c>
      <c r="Y44" s="761">
        <f t="shared" si="68"/>
        <v>687.61535785744991</v>
      </c>
      <c r="Z44" s="761">
        <f t="shared" si="68"/>
        <v>622.31759596756274</v>
      </c>
      <c r="AA44" s="761">
        <f t="shared" si="68"/>
        <v>647.64140639121263</v>
      </c>
      <c r="AB44" s="761">
        <f t="shared" si="68"/>
        <v>622.31321153962972</v>
      </c>
      <c r="AC44" s="761">
        <f t="shared" si="68"/>
        <v>637.50523240531777</v>
      </c>
      <c r="AD44" s="761">
        <f t="shared" si="68"/>
        <v>632.44436157593066</v>
      </c>
      <c r="AE44" s="761">
        <f t="shared" si="68"/>
        <v>795.19574760810417</v>
      </c>
      <c r="AF44" s="761">
        <f t="shared" si="68"/>
        <v>1090.6489778870066</v>
      </c>
      <c r="AG44" s="761">
        <f t="shared" si="68"/>
        <v>1161.0204440887355</v>
      </c>
      <c r="AH44" s="761">
        <f t="shared" si="68"/>
        <v>820.26791027986098</v>
      </c>
      <c r="AI44" s="761">
        <f t="shared" si="68"/>
        <v>949.60780273274986</v>
      </c>
      <c r="AJ44" s="930">
        <f t="shared" si="68"/>
        <v>617.46617811248063</v>
      </c>
      <c r="AK44" s="931">
        <f t="shared" si="68"/>
        <v>498.2804885967505</v>
      </c>
      <c r="AL44" s="931">
        <f t="shared" si="68"/>
        <v>615.48153362983169</v>
      </c>
      <c r="AM44" s="932">
        <f t="shared" si="68"/>
        <v>655.7191369145396</v>
      </c>
      <c r="AN44" s="761">
        <f t="shared" si="68"/>
        <v>596.73683431340055</v>
      </c>
      <c r="AO44" s="930">
        <f t="shared" si="68"/>
        <v>684.53861501617632</v>
      </c>
      <c r="AP44" s="931">
        <f t="shared" ref="AP44:BU44" si="69">(AP8*AP29+AP9*AP30+AP10*AP31+AP11*AP32+AP12*AP33)/AP34</f>
        <v>767.28816625176898</v>
      </c>
      <c r="AQ44" s="931">
        <f t="shared" si="69"/>
        <v>681.6528117235697</v>
      </c>
      <c r="AR44" s="932">
        <f t="shared" si="69"/>
        <v>660.13346026950387</v>
      </c>
      <c r="AS44" s="761">
        <f t="shared" si="69"/>
        <v>698.40326331525478</v>
      </c>
      <c r="AT44" s="930">
        <f t="shared" si="69"/>
        <v>890.64006036188619</v>
      </c>
      <c r="AU44" s="931">
        <f t="shared" si="69"/>
        <v>908.94189699244396</v>
      </c>
      <c r="AV44" s="931">
        <f t="shared" si="69"/>
        <v>794.27229825220252</v>
      </c>
      <c r="AW44" s="932">
        <f t="shared" si="69"/>
        <v>762.58206283322784</v>
      </c>
      <c r="AX44" s="761">
        <f t="shared" si="69"/>
        <v>839.10907960994018</v>
      </c>
      <c r="AY44" s="930">
        <f t="shared" si="69"/>
        <v>819.5288188281653</v>
      </c>
      <c r="AZ44" s="931">
        <f t="shared" si="69"/>
        <v>755.6215586359441</v>
      </c>
      <c r="BA44" s="931">
        <f t="shared" si="69"/>
        <v>722.51130085257194</v>
      </c>
      <c r="BB44" s="932">
        <f t="shared" si="69"/>
        <v>715.40935036087876</v>
      </c>
      <c r="BC44" s="761">
        <f t="shared" si="69"/>
        <v>753.26775716938994</v>
      </c>
      <c r="BD44" s="930">
        <f t="shared" si="69"/>
        <v>731.23059349032405</v>
      </c>
      <c r="BE44" s="931">
        <f t="shared" si="69"/>
        <v>702.75760489847903</v>
      </c>
      <c r="BF44" s="931">
        <f t="shared" si="69"/>
        <v>753.73382520640951</v>
      </c>
      <c r="BG44" s="932">
        <f t="shared" si="69"/>
        <v>773.597043560006</v>
      </c>
      <c r="BH44" s="761">
        <f t="shared" si="69"/>
        <v>740.3297667888047</v>
      </c>
      <c r="BI44" s="930">
        <f t="shared" si="69"/>
        <v>775.21966539997106</v>
      </c>
      <c r="BJ44" s="931">
        <f t="shared" si="69"/>
        <v>796.99420683664914</v>
      </c>
      <c r="BK44" s="931">
        <f t="shared" si="69"/>
        <v>790.99805578076473</v>
      </c>
      <c r="BL44" s="932">
        <f t="shared" si="69"/>
        <v>756.80912737721212</v>
      </c>
      <c r="BM44" s="761">
        <f t="shared" si="69"/>
        <v>780.00526384864918</v>
      </c>
      <c r="BN44" s="930">
        <f t="shared" si="69"/>
        <v>666.64816524035336</v>
      </c>
      <c r="BO44" s="931">
        <f t="shared" si="69"/>
        <v>572.74152080652971</v>
      </c>
      <c r="BP44" s="931">
        <f t="shared" si="69"/>
        <v>578.68941136343039</v>
      </c>
      <c r="BQ44" s="932">
        <f t="shared" si="69"/>
        <v>505.09714965731962</v>
      </c>
      <c r="BR44" s="761">
        <f t="shared" si="69"/>
        <v>580.79406176690838</v>
      </c>
      <c r="BS44" s="930">
        <f t="shared" si="69"/>
        <v>546.65550888242751</v>
      </c>
      <c r="BT44" s="931">
        <f t="shared" si="69"/>
        <v>734.84986101071013</v>
      </c>
      <c r="BU44" s="931">
        <f t="shared" si="69"/>
        <v>789.4023202790172</v>
      </c>
      <c r="BV44" s="932">
        <f t="shared" ref="BV44:CQ44" si="70">(BV8*BV29+BV9*BV30+BV10*BV31+BV11*BV32+BV12*BV33)/BV34</f>
        <v>726.36821341107589</v>
      </c>
      <c r="BW44" s="761">
        <f t="shared" si="70"/>
        <v>699.31897589580763</v>
      </c>
      <c r="BX44" s="930">
        <f t="shared" si="70"/>
        <v>821.17498572259944</v>
      </c>
      <c r="BY44" s="931">
        <f t="shared" si="70"/>
        <v>821.88750054099251</v>
      </c>
      <c r="BZ44" s="931">
        <f t="shared" si="70"/>
        <v>803.28792482068559</v>
      </c>
      <c r="CA44" s="932">
        <f t="shared" si="70"/>
        <v>802.56925456220017</v>
      </c>
      <c r="CB44" s="761">
        <f t="shared" si="70"/>
        <v>812.22991641161946</v>
      </c>
      <c r="CC44" s="930">
        <f t="shared" si="70"/>
        <v>887.58040713293894</v>
      </c>
      <c r="CD44" s="931">
        <f t="shared" si="70"/>
        <v>1038.32</v>
      </c>
      <c r="CE44" s="931">
        <f t="shared" si="70"/>
        <v>973.71</v>
      </c>
      <c r="CF44" s="932">
        <f t="shared" si="70"/>
        <v>934.01499999999976</v>
      </c>
      <c r="CG44" s="1470">
        <f t="shared" si="70"/>
        <v>958.04118478480018</v>
      </c>
      <c r="CH44" s="930">
        <f t="shared" si="70"/>
        <v>947.6400000000001</v>
      </c>
      <c r="CI44" s="931">
        <f t="shared" si="70"/>
        <v>916.26499999999987</v>
      </c>
      <c r="CJ44" s="931">
        <f t="shared" si="70"/>
        <v>906.2650000000001</v>
      </c>
      <c r="CK44" s="932">
        <f t="shared" si="70"/>
        <v>861.2650000000001</v>
      </c>
      <c r="CL44" s="761">
        <f t="shared" si="70"/>
        <v>907.8587500000001</v>
      </c>
      <c r="CM44" s="930">
        <f t="shared" si="70"/>
        <v>807.81</v>
      </c>
      <c r="CN44" s="931">
        <f t="shared" si="70"/>
        <v>822.81000000000017</v>
      </c>
      <c r="CO44" s="931">
        <f t="shared" si="70"/>
        <v>794.27</v>
      </c>
      <c r="CP44" s="932">
        <f t="shared" si="70"/>
        <v>794.2700000000001</v>
      </c>
      <c r="CQ44" s="931">
        <f t="shared" si="70"/>
        <v>804.79000000000008</v>
      </c>
      <c r="CR44" s="81"/>
      <c r="CS44" s="75"/>
      <c r="CT44" s="95"/>
      <c r="CU44" s="75"/>
    </row>
    <row r="45" spans="1:112" ht="13.5" customHeight="1">
      <c r="A45" s="75"/>
      <c r="B45" s="96" t="s">
        <v>979</v>
      </c>
      <c r="D45" s="88"/>
      <c r="E45" s="88"/>
      <c r="F45" s="88">
        <f t="shared" ref="F45:BQ45" si="71">+F46-F51</f>
        <v>12.087027914614112</v>
      </c>
      <c r="G45" s="88">
        <f t="shared" si="71"/>
        <v>16.289818863210485</v>
      </c>
      <c r="H45" s="88">
        <f t="shared" si="71"/>
        <v>41.592223074955257</v>
      </c>
      <c r="I45" s="88">
        <f t="shared" si="71"/>
        <v>113.2720403022671</v>
      </c>
      <c r="J45" s="88">
        <f t="shared" si="71"/>
        <v>51.551823629503588</v>
      </c>
      <c r="K45" s="88">
        <f t="shared" si="71"/>
        <v>32.570295602018746</v>
      </c>
      <c r="L45" s="88">
        <f t="shared" si="71"/>
        <v>47.336514314414899</v>
      </c>
      <c r="M45" s="88">
        <f t="shared" si="71"/>
        <v>65.92389853137513</v>
      </c>
      <c r="N45" s="88">
        <f t="shared" si="71"/>
        <v>73.286896183613635</v>
      </c>
      <c r="O45" s="88">
        <f t="shared" si="71"/>
        <v>54.07803006076108</v>
      </c>
      <c r="P45" s="88">
        <f t="shared" si="71"/>
        <v>41.371994342291373</v>
      </c>
      <c r="Q45" s="88">
        <f t="shared" si="71"/>
        <v>51.553349875930508</v>
      </c>
      <c r="R45" s="88">
        <f t="shared" si="71"/>
        <v>42.329677217173298</v>
      </c>
      <c r="S45" s="88">
        <f t="shared" si="71"/>
        <v>47.650328750747121</v>
      </c>
      <c r="T45" s="88">
        <f t="shared" si="71"/>
        <v>45.830926594464472</v>
      </c>
      <c r="U45" s="88">
        <f t="shared" si="71"/>
        <v>42.543496741286503</v>
      </c>
      <c r="V45" s="88">
        <f t="shared" si="71"/>
        <v>41.549252191851451</v>
      </c>
      <c r="W45" s="88">
        <f t="shared" si="71"/>
        <v>37.768606224627888</v>
      </c>
      <c r="X45" s="88">
        <f t="shared" si="71"/>
        <v>52.779727095516591</v>
      </c>
      <c r="Y45" s="88">
        <f t="shared" si="71"/>
        <v>43.249294781382218</v>
      </c>
      <c r="Z45" s="88">
        <f t="shared" si="71"/>
        <v>36.637390213299796</v>
      </c>
      <c r="AA45" s="88">
        <f t="shared" si="71"/>
        <v>45.138093914976366</v>
      </c>
      <c r="AB45" s="88">
        <f t="shared" si="71"/>
        <v>34.311857817272994</v>
      </c>
      <c r="AC45" s="88">
        <f t="shared" si="71"/>
        <v>35.56632899179931</v>
      </c>
      <c r="AD45" s="88">
        <f t="shared" si="71"/>
        <v>37.860671528828902</v>
      </c>
      <c r="AE45" s="88">
        <f t="shared" si="71"/>
        <v>25.133801318868336</v>
      </c>
      <c r="AF45" s="88">
        <f t="shared" si="71"/>
        <v>49.97463394514341</v>
      </c>
      <c r="AG45" s="88">
        <f t="shared" si="71"/>
        <v>48.160932297447289</v>
      </c>
      <c r="AH45" s="88">
        <f t="shared" si="71"/>
        <v>41.953405017921114</v>
      </c>
      <c r="AI45" s="88">
        <f t="shared" si="71"/>
        <v>41.228613831997791</v>
      </c>
      <c r="AJ45" s="933">
        <f t="shared" si="71"/>
        <v>34.882242110221341</v>
      </c>
      <c r="AK45" s="934">
        <f t="shared" si="71"/>
        <v>44.763085399448983</v>
      </c>
      <c r="AL45" s="934">
        <f t="shared" si="71"/>
        <v>36.072740631888337</v>
      </c>
      <c r="AM45" s="935">
        <f t="shared" si="71"/>
        <v>43.975945017182198</v>
      </c>
      <c r="AN45" s="88">
        <f t="shared" si="71"/>
        <v>39.981442044417349</v>
      </c>
      <c r="AO45" s="933">
        <f t="shared" si="71"/>
        <v>33.290033594624788</v>
      </c>
      <c r="AP45" s="934">
        <f t="shared" si="71"/>
        <v>29.623245506032958</v>
      </c>
      <c r="AQ45" s="934">
        <f t="shared" si="71"/>
        <v>36.816369359916052</v>
      </c>
      <c r="AR45" s="935">
        <f t="shared" si="71"/>
        <v>34.64937759336101</v>
      </c>
      <c r="AS45" s="88">
        <f t="shared" si="71"/>
        <v>33.53793869681715</v>
      </c>
      <c r="AT45" s="933">
        <f t="shared" si="71"/>
        <v>30.885179564997429</v>
      </c>
      <c r="AU45" s="934">
        <f t="shared" si="71"/>
        <v>36.430894308943152</v>
      </c>
      <c r="AV45" s="934">
        <f t="shared" si="71"/>
        <v>44.731421121251628</v>
      </c>
      <c r="AW45" s="935">
        <f t="shared" si="71"/>
        <v>40.712473572938734</v>
      </c>
      <c r="AX45" s="88">
        <f t="shared" si="71"/>
        <v>38.114191759623282</v>
      </c>
      <c r="AY45" s="933">
        <f t="shared" si="71"/>
        <v>42.451612903225737</v>
      </c>
      <c r="AZ45" s="934">
        <f t="shared" si="71"/>
        <v>69.94681384846956</v>
      </c>
      <c r="BA45" s="934">
        <f t="shared" si="71"/>
        <v>50.037260825780436</v>
      </c>
      <c r="BB45" s="935">
        <f t="shared" si="71"/>
        <v>71.558613659531034</v>
      </c>
      <c r="BC45" s="88">
        <f t="shared" si="71"/>
        <v>58.348816827344535</v>
      </c>
      <c r="BD45" s="933">
        <f t="shared" si="71"/>
        <v>53.27476356396221</v>
      </c>
      <c r="BE45" s="934">
        <f t="shared" si="71"/>
        <v>46.459227467811161</v>
      </c>
      <c r="BF45" s="934">
        <f t="shared" si="71"/>
        <v>44.674445740956799</v>
      </c>
      <c r="BG45" s="935">
        <f t="shared" si="71"/>
        <v>74.783861671469822</v>
      </c>
      <c r="BH45" s="88">
        <f t="shared" si="71"/>
        <v>54.623190385140674</v>
      </c>
      <c r="BI45" s="933">
        <f t="shared" si="71"/>
        <v>62.353293413173674</v>
      </c>
      <c r="BJ45" s="934">
        <f t="shared" si="71"/>
        <v>59.002551743691583</v>
      </c>
      <c r="BK45" s="934">
        <f t="shared" si="71"/>
        <v>69.424702058504863</v>
      </c>
      <c r="BL45" s="935">
        <f t="shared" si="71"/>
        <v>93.656716417910388</v>
      </c>
      <c r="BM45" s="88">
        <f t="shared" si="71"/>
        <v>70.16673856773059</v>
      </c>
      <c r="BN45" s="933">
        <f t="shared" si="71"/>
        <v>70.364539549102005</v>
      </c>
      <c r="BO45" s="934">
        <f t="shared" si="71"/>
        <v>88.554572271386519</v>
      </c>
      <c r="BP45" s="934">
        <f t="shared" si="71"/>
        <v>99.542600896861018</v>
      </c>
      <c r="BQ45" s="935">
        <f t="shared" si="71"/>
        <v>92.851408722500992</v>
      </c>
      <c r="BR45" s="88">
        <f t="shared" ref="BR45:BY45" si="72">+BR46-BR51</f>
        <v>87.887693469233682</v>
      </c>
      <c r="BS45" s="933">
        <f t="shared" si="72"/>
        <v>88.759807846276999</v>
      </c>
      <c r="BT45" s="934">
        <f t="shared" si="72"/>
        <v>73.453194650817295</v>
      </c>
      <c r="BU45" s="934">
        <f t="shared" si="72"/>
        <v>65.431952662721869</v>
      </c>
      <c r="BV45" s="935">
        <f t="shared" si="72"/>
        <v>98.628957365977158</v>
      </c>
      <c r="BW45" s="88">
        <f t="shared" si="72"/>
        <v>81.135327917574841</v>
      </c>
      <c r="BX45" s="933">
        <f t="shared" si="72"/>
        <v>65.525790349417662</v>
      </c>
      <c r="BY45" s="934">
        <f t="shared" si="72"/>
        <v>156.27793352022422</v>
      </c>
      <c r="BZ45" s="934">
        <f>+BZ46-BZ51</f>
        <v>172.55031446540875</v>
      </c>
      <c r="CA45" s="935">
        <f>+CA46-CA51</f>
        <v>131.07534807534807</v>
      </c>
      <c r="CB45" s="88">
        <f t="shared" ref="CB45" si="73">+CB46-CB51</f>
        <v>132.17396581369474</v>
      </c>
      <c r="CC45" s="933"/>
      <c r="CD45" s="934"/>
      <c r="CE45" s="934"/>
      <c r="CF45" s="935"/>
      <c r="CG45" s="1482"/>
      <c r="CH45" s="933"/>
      <c r="CI45" s="934"/>
      <c r="CJ45" s="934"/>
      <c r="CK45" s="935"/>
      <c r="CL45" s="88">
        <v>865</v>
      </c>
      <c r="CM45" s="933"/>
      <c r="CN45" s="934"/>
      <c r="CO45" s="934"/>
      <c r="CP45" s="935"/>
      <c r="CQ45" s="934"/>
      <c r="CR45" s="1460"/>
      <c r="CS45" s="99"/>
      <c r="CT45" s="99"/>
      <c r="CU45" s="99"/>
    </row>
    <row r="46" spans="1:112" ht="13.5" customHeight="1">
      <c r="A46" s="75"/>
      <c r="B46" s="96" t="s">
        <v>978</v>
      </c>
      <c r="D46" s="88"/>
      <c r="E46" s="88"/>
      <c r="F46" s="88">
        <f t="shared" ref="F46:AK46" si="74">+F48/F34*1000</f>
        <v>433.08702791461411</v>
      </c>
      <c r="G46" s="88">
        <f t="shared" si="74"/>
        <v>436.28981886321048</v>
      </c>
      <c r="H46" s="88">
        <f t="shared" si="74"/>
        <v>465.59222307495526</v>
      </c>
      <c r="I46" s="88">
        <f t="shared" si="74"/>
        <v>536.2720403022671</v>
      </c>
      <c r="J46" s="88">
        <f t="shared" si="74"/>
        <v>473.55182362950359</v>
      </c>
      <c r="K46" s="88">
        <f t="shared" si="74"/>
        <v>507.57029560201875</v>
      </c>
      <c r="L46" s="88">
        <f t="shared" si="74"/>
        <v>630.3365143144149</v>
      </c>
      <c r="M46" s="88">
        <f t="shared" si="74"/>
        <v>692.92389853137513</v>
      </c>
      <c r="N46" s="88">
        <f t="shared" si="74"/>
        <v>694.6890846010142</v>
      </c>
      <c r="O46" s="88">
        <f t="shared" si="74"/>
        <v>628.07803006076108</v>
      </c>
      <c r="P46" s="88">
        <f t="shared" si="74"/>
        <v>691.37199434229137</v>
      </c>
      <c r="Q46" s="88">
        <f t="shared" si="74"/>
        <v>684.55334987593051</v>
      </c>
      <c r="R46" s="88">
        <f t="shared" si="74"/>
        <v>628.3296772171733</v>
      </c>
      <c r="S46" s="88">
        <f t="shared" si="74"/>
        <v>644.65032875074712</v>
      </c>
      <c r="T46" s="88">
        <f t="shared" si="74"/>
        <v>662.83092659446447</v>
      </c>
      <c r="U46" s="88">
        <f t="shared" si="74"/>
        <v>658.5434967412865</v>
      </c>
      <c r="V46" s="88">
        <f t="shared" si="74"/>
        <v>665.54925219185145</v>
      </c>
      <c r="W46" s="88">
        <f t="shared" si="74"/>
        <v>688.76860622462789</v>
      </c>
      <c r="X46" s="88">
        <f t="shared" si="74"/>
        <v>700.77972709551659</v>
      </c>
      <c r="Y46" s="88">
        <f t="shared" si="74"/>
        <v>677.50352609308879</v>
      </c>
      <c r="Z46" s="88">
        <f t="shared" si="74"/>
        <v>686.6373902132998</v>
      </c>
      <c r="AA46" s="88">
        <f t="shared" si="74"/>
        <v>697.13809391497637</v>
      </c>
      <c r="AB46" s="88">
        <f t="shared" si="74"/>
        <v>677.31185781727299</v>
      </c>
      <c r="AC46" s="88">
        <f t="shared" si="74"/>
        <v>662.56632899179931</v>
      </c>
      <c r="AD46" s="88">
        <f t="shared" si="74"/>
        <v>680.060547681299</v>
      </c>
      <c r="AE46" s="88">
        <f t="shared" si="74"/>
        <v>671.13380131886834</v>
      </c>
      <c r="AF46" s="88">
        <f t="shared" si="74"/>
        <v>826.97463394514341</v>
      </c>
      <c r="AG46" s="88">
        <f t="shared" si="74"/>
        <v>955.16093229744729</v>
      </c>
      <c r="AH46" s="88">
        <f t="shared" si="74"/>
        <v>846.95340501792111</v>
      </c>
      <c r="AI46" s="88">
        <f t="shared" si="74"/>
        <v>821.07450281982801</v>
      </c>
      <c r="AJ46" s="933">
        <f t="shared" si="74"/>
        <v>749.88224211022134</v>
      </c>
      <c r="AK46" s="934">
        <f t="shared" si="74"/>
        <v>721.76308539944898</v>
      </c>
      <c r="AL46" s="934">
        <f t="shared" ref="AL46:BQ46" si="75">+AL48/AL34*1000</f>
        <v>641.07274063188834</v>
      </c>
      <c r="AM46" s="935">
        <f t="shared" si="75"/>
        <v>676.9759450171822</v>
      </c>
      <c r="AN46" s="88">
        <f t="shared" si="75"/>
        <v>691.00496907007403</v>
      </c>
      <c r="AO46" s="933">
        <f t="shared" si="75"/>
        <v>687.29003359462479</v>
      </c>
      <c r="AP46" s="934">
        <f t="shared" si="75"/>
        <v>729.62324550603296</v>
      </c>
      <c r="AQ46" s="934">
        <f t="shared" si="75"/>
        <v>724.81636935991605</v>
      </c>
      <c r="AR46" s="935">
        <f t="shared" si="75"/>
        <v>691.64937759336101</v>
      </c>
      <c r="AS46" s="88">
        <f t="shared" si="75"/>
        <v>708.97326972093322</v>
      </c>
      <c r="AT46" s="933">
        <f t="shared" si="75"/>
        <v>750.88517956499743</v>
      </c>
      <c r="AU46" s="934">
        <f t="shared" si="75"/>
        <v>839.43089430894315</v>
      </c>
      <c r="AV46" s="934">
        <f t="shared" si="75"/>
        <v>817.73142112125163</v>
      </c>
      <c r="AW46" s="935">
        <f t="shared" si="75"/>
        <v>781.71247357293873</v>
      </c>
      <c r="AX46" s="88">
        <f t="shared" si="75"/>
        <v>797.40795667032035</v>
      </c>
      <c r="AY46" s="933">
        <f t="shared" si="75"/>
        <v>806.45161290322574</v>
      </c>
      <c r="AZ46" s="934">
        <f t="shared" si="75"/>
        <v>841.94681384846956</v>
      </c>
      <c r="BA46" s="934">
        <f t="shared" si="75"/>
        <v>791.03726082578044</v>
      </c>
      <c r="BB46" s="935">
        <f t="shared" si="75"/>
        <v>792.55861365953103</v>
      </c>
      <c r="BC46" s="88">
        <f t="shared" si="75"/>
        <v>808.0631025416302</v>
      </c>
      <c r="BD46" s="933">
        <f t="shared" si="75"/>
        <v>772.27476356396221</v>
      </c>
      <c r="BE46" s="934">
        <f t="shared" si="75"/>
        <v>771.45922746781116</v>
      </c>
      <c r="BF46" s="934">
        <f t="shared" si="75"/>
        <v>796.6744457409568</v>
      </c>
      <c r="BG46" s="935">
        <f t="shared" si="75"/>
        <v>824.78386167146982</v>
      </c>
      <c r="BH46" s="88">
        <f t="shared" si="75"/>
        <v>790.22125102431028</v>
      </c>
      <c r="BI46" s="933">
        <f t="shared" si="75"/>
        <v>823.35329341317367</v>
      </c>
      <c r="BJ46" s="934">
        <f t="shared" si="75"/>
        <v>833.00255174369158</v>
      </c>
      <c r="BK46" s="934">
        <f t="shared" si="75"/>
        <v>846.42470205850486</v>
      </c>
      <c r="BL46" s="935">
        <f t="shared" si="75"/>
        <v>868.65671641791039</v>
      </c>
      <c r="BM46" s="88">
        <f t="shared" si="75"/>
        <v>841.74575783721582</v>
      </c>
      <c r="BN46" s="933">
        <f t="shared" si="75"/>
        <v>838.36453954910201</v>
      </c>
      <c r="BO46" s="934">
        <f t="shared" si="75"/>
        <v>783.55457227138652</v>
      </c>
      <c r="BP46" s="934">
        <f t="shared" si="75"/>
        <v>773.54260089686102</v>
      </c>
      <c r="BQ46" s="935">
        <f t="shared" si="75"/>
        <v>734.85140872250099</v>
      </c>
      <c r="BR46" s="88">
        <f t="shared" ref="BR46:BZ46" si="76">+BR48/BR34*1000</f>
        <v>782.65383163457909</v>
      </c>
      <c r="BS46" s="933">
        <f t="shared" si="76"/>
        <v>699.759807846277</v>
      </c>
      <c r="BT46" s="934">
        <f t="shared" si="76"/>
        <v>715.4531946508173</v>
      </c>
      <c r="BU46" s="934">
        <f t="shared" si="76"/>
        <v>783.43195266272187</v>
      </c>
      <c r="BV46" s="935">
        <f t="shared" si="76"/>
        <v>790.62895736597716</v>
      </c>
      <c r="BW46" s="88">
        <f t="shared" si="76"/>
        <v>746.28492173568463</v>
      </c>
      <c r="BX46" s="933">
        <f t="shared" si="76"/>
        <v>784.52579034941766</v>
      </c>
      <c r="BY46" s="934">
        <f t="shared" si="76"/>
        <v>898.27793352022422</v>
      </c>
      <c r="BZ46" s="934">
        <f t="shared" si="76"/>
        <v>900.55031446540875</v>
      </c>
      <c r="CA46" s="935">
        <f t="shared" ref="CA46:CB46" si="77">+CA48/CA34*1000</f>
        <v>848.07534807534807</v>
      </c>
      <c r="CB46" s="88">
        <f t="shared" si="77"/>
        <v>858.80449074542332</v>
      </c>
      <c r="CC46" s="933"/>
      <c r="CD46" s="934"/>
      <c r="CE46" s="934"/>
      <c r="CF46" s="935"/>
      <c r="CG46" s="1482"/>
      <c r="CH46" s="933"/>
      <c r="CI46" s="934"/>
      <c r="CJ46" s="934"/>
      <c r="CK46" s="935"/>
      <c r="CL46" s="88">
        <f>CL44-CL45</f>
        <v>42.8587500000001</v>
      </c>
      <c r="CM46" s="933">
        <f>CL46*CL36</f>
        <v>530625.66681634251</v>
      </c>
      <c r="CN46" s="934"/>
      <c r="CO46" s="934"/>
      <c r="CP46" s="935"/>
      <c r="CQ46" s="934"/>
      <c r="CR46" s="1460"/>
      <c r="CS46" s="99"/>
      <c r="CT46" s="99"/>
      <c r="CU46" s="99"/>
    </row>
    <row r="47" spans="1:112" ht="6.2" customHeight="1">
      <c r="A47" s="75"/>
      <c r="B47" s="96"/>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933"/>
      <c r="AK47" s="934"/>
      <c r="AL47" s="934"/>
      <c r="AM47" s="935"/>
      <c r="AN47" s="88"/>
      <c r="AO47" s="933"/>
      <c r="AP47" s="934"/>
      <c r="AQ47" s="934"/>
      <c r="AR47" s="935"/>
      <c r="AS47" s="88"/>
      <c r="AT47" s="933"/>
      <c r="AU47" s="934"/>
      <c r="AV47" s="934"/>
      <c r="AW47" s="935"/>
      <c r="AX47" s="88"/>
      <c r="AY47" s="933"/>
      <c r="AZ47" s="934"/>
      <c r="BA47" s="934"/>
      <c r="BB47" s="935"/>
      <c r="BC47" s="88"/>
      <c r="BD47" s="933"/>
      <c r="BE47" s="934"/>
      <c r="BF47" s="934"/>
      <c r="BG47" s="935"/>
      <c r="BH47" s="88"/>
      <c r="BI47" s="933"/>
      <c r="BJ47" s="934"/>
      <c r="BK47" s="934"/>
      <c r="BL47" s="935"/>
      <c r="BM47" s="88"/>
      <c r="BN47" s="933"/>
      <c r="BO47" s="934"/>
      <c r="BP47" s="934"/>
      <c r="BQ47" s="935"/>
      <c r="BR47" s="88"/>
      <c r="BS47" s="933"/>
      <c r="BT47" s="934"/>
      <c r="BU47" s="934"/>
      <c r="BV47" s="935"/>
      <c r="BW47" s="88"/>
      <c r="BX47" s="933"/>
      <c r="BY47" s="934"/>
      <c r="BZ47" s="934"/>
      <c r="CA47" s="935"/>
      <c r="CB47" s="88"/>
      <c r="CC47" s="933"/>
      <c r="CD47" s="934"/>
      <c r="CE47" s="934"/>
      <c r="CF47" s="935"/>
      <c r="CG47" s="1482"/>
      <c r="CH47" s="933"/>
      <c r="CI47" s="934"/>
      <c r="CJ47" s="934"/>
      <c r="CK47" s="935"/>
      <c r="CL47" s="88"/>
      <c r="CM47" s="933"/>
      <c r="CN47" s="934"/>
      <c r="CO47" s="934"/>
      <c r="CP47" s="935"/>
      <c r="CQ47" s="934"/>
      <c r="CR47" s="1460"/>
      <c r="CS47" s="99"/>
      <c r="CT47" s="99"/>
      <c r="CU47" s="99"/>
    </row>
    <row r="48" spans="1:112" ht="13.5" customHeight="1">
      <c r="B48" s="282" t="s">
        <v>977</v>
      </c>
      <c r="C48" s="292"/>
      <c r="D48" s="123"/>
      <c r="E48" s="123"/>
      <c r="F48" s="123">
        <f>Financials!F9</f>
        <v>1055</v>
      </c>
      <c r="G48" s="123">
        <f>Financials!G9</f>
        <v>1397</v>
      </c>
      <c r="H48" s="123">
        <f>Financials!H9</f>
        <v>1820</v>
      </c>
      <c r="I48" s="123">
        <f>Financials!I9</f>
        <v>2129</v>
      </c>
      <c r="J48" s="123">
        <f>Financials!J9</f>
        <v>6401</v>
      </c>
      <c r="K48" s="123">
        <f>Financials!K9</f>
        <v>2112</v>
      </c>
      <c r="L48" s="123">
        <f>Financials!L9</f>
        <v>2510</v>
      </c>
      <c r="M48" s="123">
        <f>Financials!M9</f>
        <v>2595</v>
      </c>
      <c r="N48" s="123">
        <f>Financials!N9</f>
        <v>2603</v>
      </c>
      <c r="O48" s="123">
        <f>Financials!O9</f>
        <v>9820</v>
      </c>
      <c r="P48" s="123">
        <f>Financials!P9</f>
        <v>2444</v>
      </c>
      <c r="Q48" s="123">
        <f>Financials!Q9</f>
        <v>2207</v>
      </c>
      <c r="R48" s="123">
        <f>Financials!R9</f>
        <v>2005</v>
      </c>
      <c r="S48" s="123">
        <f>Financials!S9</f>
        <v>2157</v>
      </c>
      <c r="T48" s="123">
        <f>Financials!T9</f>
        <v>8813</v>
      </c>
      <c r="U48" s="668">
        <v>2324</v>
      </c>
      <c r="V48" s="668">
        <v>2581</v>
      </c>
      <c r="W48" s="668">
        <v>2545</v>
      </c>
      <c r="X48" s="123">
        <f>Y48-W48-V48-U48</f>
        <v>2157</v>
      </c>
      <c r="Y48" s="668">
        <v>9607</v>
      </c>
      <c r="Z48" s="668">
        <v>2189</v>
      </c>
      <c r="AA48" s="668">
        <v>2509</v>
      </c>
      <c r="AB48" s="668">
        <v>2439</v>
      </c>
      <c r="AC48" s="668">
        <v>2747</v>
      </c>
      <c r="AD48" s="123">
        <f>AD49+AD50</f>
        <v>9884</v>
      </c>
      <c r="AE48" s="668">
        <v>3155</v>
      </c>
      <c r="AF48" s="668">
        <v>4010</v>
      </c>
      <c r="AG48" s="668">
        <v>4303</v>
      </c>
      <c r="AH48" s="668">
        <v>2363</v>
      </c>
      <c r="AI48" s="123">
        <f>AI49+AI50</f>
        <v>13831.000000000002</v>
      </c>
      <c r="AJ48" s="936">
        <v>1592</v>
      </c>
      <c r="AK48" s="937">
        <v>1310</v>
      </c>
      <c r="AL48" s="937">
        <v>1745</v>
      </c>
      <c r="AM48" s="938">
        <v>2167</v>
      </c>
      <c r="AN48" s="123">
        <f>AN49+AN50</f>
        <v>6814</v>
      </c>
      <c r="AO48" s="936">
        <v>2455</v>
      </c>
      <c r="AP48" s="937">
        <v>2963</v>
      </c>
      <c r="AQ48" s="937">
        <v>2763</v>
      </c>
      <c r="AR48" s="938">
        <v>2667</v>
      </c>
      <c r="AS48" s="123">
        <f>AS49+AS50</f>
        <v>10848</v>
      </c>
      <c r="AT48" s="936">
        <v>2969</v>
      </c>
      <c r="AU48" s="937">
        <v>3304</v>
      </c>
      <c r="AV48" s="1018">
        <v>3136</v>
      </c>
      <c r="AW48" s="938">
        <v>2958</v>
      </c>
      <c r="AX48" s="123">
        <f>AX49+AX50</f>
        <v>12366.999999999998</v>
      </c>
      <c r="AY48" s="936">
        <v>3300</v>
      </c>
      <c r="AZ48" s="1018">
        <v>3356</v>
      </c>
      <c r="BA48" s="937">
        <v>3142</v>
      </c>
      <c r="BB48" s="938">
        <v>3110</v>
      </c>
      <c r="BC48" s="123">
        <f>BC49+BC50</f>
        <v>12908</v>
      </c>
      <c r="BD48" s="936">
        <v>3103</v>
      </c>
      <c r="BE48" s="937">
        <v>2876</v>
      </c>
      <c r="BF48" s="937">
        <v>2731</v>
      </c>
      <c r="BG48" s="938">
        <v>2862</v>
      </c>
      <c r="BH48" s="123">
        <f>BH49+BH50</f>
        <v>11572</v>
      </c>
      <c r="BI48" s="1040">
        <v>3025</v>
      </c>
      <c r="BJ48" s="1018">
        <v>2938</v>
      </c>
      <c r="BK48" s="1018">
        <v>3125</v>
      </c>
      <c r="BL48" s="938">
        <v>2619</v>
      </c>
      <c r="BM48" s="123">
        <f>BM49+BM50</f>
        <v>11706.999999999998</v>
      </c>
      <c r="BN48" s="936">
        <v>2194</v>
      </c>
      <c r="BO48" s="1018">
        <v>2125</v>
      </c>
      <c r="BP48" s="1018">
        <v>2070</v>
      </c>
      <c r="BQ48" s="1051">
        <f>8293-SUM(BN48:BP48)</f>
        <v>1904</v>
      </c>
      <c r="BR48" s="123">
        <f>BR49+BR50</f>
        <v>8293</v>
      </c>
      <c r="BS48" s="936">
        <v>1748</v>
      </c>
      <c r="BT48" s="937">
        <v>1926</v>
      </c>
      <c r="BU48" s="937">
        <v>1986</v>
      </c>
      <c r="BV48" s="1051">
        <v>1873</v>
      </c>
      <c r="BW48" s="123">
        <f>BW49+BW50</f>
        <v>7533</v>
      </c>
      <c r="BX48" s="936">
        <v>1886</v>
      </c>
      <c r="BY48" s="937">
        <v>2243</v>
      </c>
      <c r="BZ48" s="937">
        <v>2291</v>
      </c>
      <c r="CA48" s="938">
        <v>2071</v>
      </c>
      <c r="CB48" s="123">
        <f t="shared" ref="CB48:CQ48" si="78">CB49+CB50</f>
        <v>8491</v>
      </c>
      <c r="CC48" s="972">
        <f t="shared" si="78"/>
        <v>2017.3162955205182</v>
      </c>
      <c r="CD48" s="282">
        <f t="shared" si="78"/>
        <v>2212.8618606891819</v>
      </c>
      <c r="CE48" s="282">
        <f t="shared" si="78"/>
        <v>2502.5212707441597</v>
      </c>
      <c r="CF48" s="973">
        <f t="shared" si="78"/>
        <v>2467.4876416645893</v>
      </c>
      <c r="CG48" s="1483">
        <f t="shared" si="78"/>
        <v>9200.1870686184484</v>
      </c>
      <c r="CH48" s="972">
        <f t="shared" si="78"/>
        <v>2497.4003483981678</v>
      </c>
      <c r="CI48" s="282">
        <f t="shared" si="78"/>
        <v>2589.6385542883681</v>
      </c>
      <c r="CJ48" s="282">
        <f t="shared" si="78"/>
        <v>2563.0912805782336</v>
      </c>
      <c r="CK48" s="973">
        <f t="shared" si="78"/>
        <v>2461.7269643876898</v>
      </c>
      <c r="CL48" s="123">
        <f t="shared" si="78"/>
        <v>10111.857147652459</v>
      </c>
      <c r="CM48" s="972">
        <f t="shared" si="78"/>
        <v>2347.463063247902</v>
      </c>
      <c r="CN48" s="282">
        <f t="shared" si="78"/>
        <v>2399.5527503075073</v>
      </c>
      <c r="CO48" s="282">
        <f t="shared" si="78"/>
        <v>2334.7371673744019</v>
      </c>
      <c r="CP48" s="973">
        <f t="shared" si="78"/>
        <v>2249.4286769420796</v>
      </c>
      <c r="CQ48" s="282">
        <f t="shared" si="78"/>
        <v>9331.1816578718899</v>
      </c>
    </row>
    <row r="49" spans="1:105" s="852" customFormat="1" ht="13.5" customHeight="1">
      <c r="A49" s="75"/>
      <c r="B49" s="75" t="s">
        <v>920</v>
      </c>
      <c r="C49" s="75"/>
      <c r="D49" s="97">
        <f t="shared" ref="D49:N49" si="79">D48-D50</f>
        <v>3485.2629999999999</v>
      </c>
      <c r="E49" s="97">
        <f t="shared" si="79"/>
        <v>4059</v>
      </c>
      <c r="F49" s="97">
        <f t="shared" si="79"/>
        <v>1025.556</v>
      </c>
      <c r="G49" s="97">
        <f t="shared" si="79"/>
        <v>1344.84</v>
      </c>
      <c r="H49" s="97">
        <f t="shared" si="79"/>
        <v>1657.4159999999999</v>
      </c>
      <c r="I49" s="97">
        <f t="shared" si="79"/>
        <v>1679.31</v>
      </c>
      <c r="J49" s="97">
        <f t="shared" si="79"/>
        <v>5704.174</v>
      </c>
      <c r="K49" s="97">
        <f t="shared" si="79"/>
        <v>1976.4749999999999</v>
      </c>
      <c r="L49" s="97">
        <f t="shared" si="79"/>
        <v>2321.5059999999999</v>
      </c>
      <c r="M49" s="97">
        <f t="shared" si="79"/>
        <v>2348.1149999999998</v>
      </c>
      <c r="N49" s="97">
        <f t="shared" si="79"/>
        <v>2328.3939999999998</v>
      </c>
      <c r="O49" s="97">
        <f>SUM(K49:N49)</f>
        <v>8974.49</v>
      </c>
      <c r="P49" s="97">
        <f>P48-P50</f>
        <v>2297.75</v>
      </c>
      <c r="Q49" s="97">
        <f>Q48-Q50</f>
        <v>2040.7919999999999</v>
      </c>
      <c r="R49" s="97">
        <f>R48-R50</f>
        <v>1869.9259999999999</v>
      </c>
      <c r="S49" s="97">
        <f>S48-S50</f>
        <v>1997.5619999999999</v>
      </c>
      <c r="T49" s="97">
        <f>SUM(P49:S49)</f>
        <v>8206.0299999999988</v>
      </c>
      <c r="U49" s="97">
        <f>U48-U50</f>
        <v>2173.864</v>
      </c>
      <c r="V49" s="97">
        <f>V48-V50</f>
        <v>2419.8719999999998</v>
      </c>
      <c r="W49" s="97">
        <f>W48-W50</f>
        <v>2405.4450000000002</v>
      </c>
      <c r="X49" s="97">
        <f>X48-X50</f>
        <v>1994.5440000000001</v>
      </c>
      <c r="Y49" s="97">
        <f>SUM(U49:X49)</f>
        <v>8993.7250000000004</v>
      </c>
      <c r="Z49" s="97">
        <f>Z48-Z50</f>
        <v>2072.1999999999998</v>
      </c>
      <c r="AA49" s="97">
        <f>AA48-AA50</f>
        <v>2346.5479999999998</v>
      </c>
      <c r="AB49" s="97">
        <f>AB48-AB50</f>
        <v>2315.4430000000002</v>
      </c>
      <c r="AC49" s="97">
        <f>AC48-AC50</f>
        <v>2599.5419999999999</v>
      </c>
      <c r="AD49" s="97">
        <f>SUM(Z49:AC49)</f>
        <v>9333.7330000000002</v>
      </c>
      <c r="AE49" s="97">
        <f>AE48-AE50</f>
        <v>3036.846</v>
      </c>
      <c r="AF49" s="97">
        <f>AF48-AF50</f>
        <v>3767.6729999999998</v>
      </c>
      <c r="AG49" s="97">
        <f>AG48-AG50</f>
        <v>4086.0349999999999</v>
      </c>
      <c r="AH49" s="97">
        <f>AH48-AH50</f>
        <v>2245.9499999999998</v>
      </c>
      <c r="AI49" s="97">
        <f>SUM(AE49:AH49)</f>
        <v>13136.504000000001</v>
      </c>
      <c r="AJ49" s="939">
        <f>AJ48-AJ50</f>
        <v>1517.9449999999999</v>
      </c>
      <c r="AK49" s="290">
        <f>AK48-AK50</f>
        <v>1228.7550000000001</v>
      </c>
      <c r="AL49" s="290">
        <f>AL48-AL50</f>
        <v>1646.81</v>
      </c>
      <c r="AM49" s="940">
        <f>AM48-AM50</f>
        <v>2026.2329999999999</v>
      </c>
      <c r="AN49" s="97">
        <f>SUM(AJ49:AM49)</f>
        <v>6419.7430000000004</v>
      </c>
      <c r="AO49" s="939">
        <f>AO48-AO50</f>
        <v>2336.0880000000002</v>
      </c>
      <c r="AP49" s="290">
        <f>AP48-AP50</f>
        <v>2842.7</v>
      </c>
      <c r="AQ49" s="290">
        <f>AQ48-AQ50</f>
        <v>2622.6559999999999</v>
      </c>
      <c r="AR49" s="940">
        <f>AR48-AR50</f>
        <v>2533.3919999999998</v>
      </c>
      <c r="AS49" s="97">
        <f>SUM(AO49:AR49)</f>
        <v>10334.835999999999</v>
      </c>
      <c r="AT49" s="939">
        <f>AT48-AT50</f>
        <v>2846.88</v>
      </c>
      <c r="AU49" s="290">
        <f>AU48-AU50</f>
        <v>3160.6080000000002</v>
      </c>
      <c r="AV49" s="290">
        <f>AV48-AV50</f>
        <v>2964.4549999999999</v>
      </c>
      <c r="AW49" s="940">
        <f>AW48-AW50</f>
        <v>2803.944</v>
      </c>
      <c r="AX49" s="97">
        <f>SUM(AT49:AW49)</f>
        <v>11775.886999999999</v>
      </c>
      <c r="AY49" s="939">
        <f>AY48-AY50</f>
        <v>3126.288</v>
      </c>
      <c r="AZ49" s="290">
        <f>AZ48-AZ50</f>
        <v>3077.192</v>
      </c>
      <c r="BA49" s="290">
        <f>BA48-BA50</f>
        <v>2943.252</v>
      </c>
      <c r="BB49" s="940">
        <f>BB48-BB50</f>
        <v>2829.2040000000002</v>
      </c>
      <c r="BC49" s="97">
        <f>SUM(AY49:BB49)</f>
        <v>11975.936</v>
      </c>
      <c r="BD49" s="939">
        <f>BD48-BD50</f>
        <v>2888.942</v>
      </c>
      <c r="BE49" s="290">
        <f>BE48-BE50</f>
        <v>2702.8</v>
      </c>
      <c r="BF49" s="290">
        <f>BF48-BF50</f>
        <v>2577.8560000000002</v>
      </c>
      <c r="BG49" s="940">
        <f>BG48-BG50</f>
        <v>2602.5</v>
      </c>
      <c r="BH49" s="97">
        <f>SUM(BD49:BG49)</f>
        <v>10772.098</v>
      </c>
      <c r="BI49" s="939">
        <f>BI48-BI50</f>
        <v>2795.9140000000002</v>
      </c>
      <c r="BJ49" s="290">
        <f>BJ48-BJ50</f>
        <v>2729.8980000000001</v>
      </c>
      <c r="BK49" s="290">
        <f>BK48-BK50</f>
        <v>2868.6840000000002</v>
      </c>
      <c r="BL49" s="940">
        <f>BL48-BL50</f>
        <v>2336.625</v>
      </c>
      <c r="BM49" s="97">
        <f>SUM(BI49:BL49)</f>
        <v>10731.120999999999</v>
      </c>
      <c r="BN49" s="939">
        <f>BN48-BN50</f>
        <v>2009.856</v>
      </c>
      <c r="BO49" s="290">
        <f>BO48-BO50</f>
        <v>1884.84</v>
      </c>
      <c r="BP49" s="290">
        <f>BP48-BP50</f>
        <v>1803.624</v>
      </c>
      <c r="BQ49" s="940">
        <f>BQ48-BQ50</f>
        <v>1663.422</v>
      </c>
      <c r="BR49" s="97">
        <f>SUM(BN49:BQ49)</f>
        <v>7361.7420000000002</v>
      </c>
      <c r="BS49" s="939">
        <f>BS48-BS50</f>
        <v>1526.278</v>
      </c>
      <c r="BT49" s="290">
        <f>BT48-BT50</f>
        <v>1728.2639999999999</v>
      </c>
      <c r="BU49" s="290">
        <f>BU48-BU50</f>
        <v>1820.13</v>
      </c>
      <c r="BV49" s="940">
        <f>BV48-BV50</f>
        <v>1639.348</v>
      </c>
      <c r="BW49" s="97">
        <f>SUM(BS49:BV49)</f>
        <v>6714.02</v>
      </c>
      <c r="BX49" s="939">
        <f>BX48-BX50</f>
        <v>1728.4760000000001</v>
      </c>
      <c r="BY49" s="290">
        <f>BY48-BY50</f>
        <v>1852.7739999999999</v>
      </c>
      <c r="BZ49" s="290">
        <f>BZ48-BZ50</f>
        <v>1852.0319999999999</v>
      </c>
      <c r="CA49" s="940">
        <f>CA48-CA50</f>
        <v>1750.914</v>
      </c>
      <c r="CB49" s="97">
        <f>SUM(BX49:CA49)</f>
        <v>7184.1959999999999</v>
      </c>
      <c r="CC49" s="939">
        <f>+CC51*CC34/1000</f>
        <v>1792.3162955205182</v>
      </c>
      <c r="CD49" s="290">
        <f>+CD51*CD34/1000</f>
        <v>1987.8618606891819</v>
      </c>
      <c r="CE49" s="290">
        <f>+CE51*CE34/1000</f>
        <v>2277.5212707441597</v>
      </c>
      <c r="CF49" s="940">
        <f>+CF51*CF34/1000</f>
        <v>2242.4876416645893</v>
      </c>
      <c r="CG49" s="1484">
        <f>SUM(CC49:CF49)</f>
        <v>8300.1870686184484</v>
      </c>
      <c r="CH49" s="939">
        <f>+CH51*CH34/1000</f>
        <v>2272.4003483981678</v>
      </c>
      <c r="CI49" s="290">
        <f>+CI51*CI34/1000</f>
        <v>2364.6385542883681</v>
      </c>
      <c r="CJ49" s="290">
        <f>+CJ51*CJ34/1000</f>
        <v>2338.0912805782336</v>
      </c>
      <c r="CK49" s="940">
        <f>+CK51*CK34/1000</f>
        <v>2236.7269643876898</v>
      </c>
      <c r="CL49" s="97">
        <f>SUM(CH49:CK49)</f>
        <v>9211.8571476524594</v>
      </c>
      <c r="CM49" s="939">
        <f>+CM51*CM34/1000</f>
        <v>2122.463063247902</v>
      </c>
      <c r="CN49" s="290">
        <f>+CN51*CN34/1000</f>
        <v>2174.5527503075073</v>
      </c>
      <c r="CO49" s="290">
        <f>+CO51*CO34/1000</f>
        <v>2109.7371673744019</v>
      </c>
      <c r="CP49" s="940">
        <f>+CP51*CP34/1000</f>
        <v>2024.4286769420796</v>
      </c>
      <c r="CQ49" s="290">
        <f>SUM(CM49:CP49)</f>
        <v>8431.1816578718899</v>
      </c>
      <c r="CR49" s="1462"/>
      <c r="CV49"/>
      <c r="CW49"/>
      <c r="CX49"/>
      <c r="CY49"/>
      <c r="CZ49"/>
      <c r="DA49"/>
    </row>
    <row r="50" spans="1:105" s="852" customFormat="1" ht="13.5" customHeight="1">
      <c r="A50" s="295"/>
      <c r="B50" s="290" t="s">
        <v>922</v>
      </c>
      <c r="C50" s="296"/>
      <c r="D50" s="97">
        <f t="shared" ref="D50:X50" si="80">D48-D51*D34/1000</f>
        <v>-3485.2629999999999</v>
      </c>
      <c r="E50" s="97">
        <f t="shared" si="80"/>
        <v>-4059</v>
      </c>
      <c r="F50" s="97">
        <f t="shared" si="80"/>
        <v>29.44399999999996</v>
      </c>
      <c r="G50" s="97">
        <f t="shared" si="80"/>
        <v>52.160000000000082</v>
      </c>
      <c r="H50" s="97">
        <f t="shared" si="80"/>
        <v>162.58400000000006</v>
      </c>
      <c r="I50" s="97">
        <f t="shared" si="80"/>
        <v>449.69000000000005</v>
      </c>
      <c r="J50" s="97">
        <f t="shared" si="80"/>
        <v>696.82600000000002</v>
      </c>
      <c r="K50" s="97">
        <f t="shared" si="80"/>
        <v>135.52500000000009</v>
      </c>
      <c r="L50" s="97">
        <f t="shared" si="80"/>
        <v>188.49400000000014</v>
      </c>
      <c r="M50" s="97">
        <f t="shared" si="80"/>
        <v>246.88500000000022</v>
      </c>
      <c r="N50" s="97">
        <f t="shared" si="80"/>
        <v>274.60600000000022</v>
      </c>
      <c r="O50" s="97">
        <f t="shared" si="80"/>
        <v>845.51000000000022</v>
      </c>
      <c r="P50" s="97">
        <f t="shared" si="80"/>
        <v>146.25</v>
      </c>
      <c r="Q50" s="97">
        <f t="shared" si="80"/>
        <v>166.20800000000008</v>
      </c>
      <c r="R50" s="97">
        <f t="shared" si="80"/>
        <v>135.07400000000007</v>
      </c>
      <c r="S50" s="97">
        <f t="shared" si="80"/>
        <v>159.4380000000001</v>
      </c>
      <c r="T50" s="97">
        <f t="shared" si="80"/>
        <v>609.36800000000039</v>
      </c>
      <c r="U50" s="97">
        <f t="shared" si="80"/>
        <v>150.13599999999997</v>
      </c>
      <c r="V50" s="97">
        <f t="shared" si="80"/>
        <v>161.12800000000016</v>
      </c>
      <c r="W50" s="97">
        <f t="shared" si="80"/>
        <v>139.55499999999984</v>
      </c>
      <c r="X50" s="97">
        <f t="shared" si="80"/>
        <v>162.4559999999999</v>
      </c>
      <c r="Y50" s="97">
        <f>SUM(U50:X50)</f>
        <v>613.27499999999986</v>
      </c>
      <c r="Z50" s="97">
        <f>Z48-Z51*Z34/1000</f>
        <v>116.80000000000018</v>
      </c>
      <c r="AA50" s="97">
        <f>AA48-AA51*AA34/1000</f>
        <v>162.45200000000023</v>
      </c>
      <c r="AB50" s="97">
        <f>AB48-AB51*AB34/1000</f>
        <v>123.55699999999979</v>
      </c>
      <c r="AC50" s="97">
        <f>AC48-AC51*AC34/1000</f>
        <v>147.45800000000008</v>
      </c>
      <c r="AD50" s="97">
        <f>SUM(Z50:AC50)</f>
        <v>550.26700000000028</v>
      </c>
      <c r="AE50" s="97">
        <f>AE48-AE51*AE34/1000</f>
        <v>118.154</v>
      </c>
      <c r="AF50" s="97">
        <f>AF48-AF51*AF34/1000</f>
        <v>242.32700000000023</v>
      </c>
      <c r="AG50" s="97">
        <f>AG48-AG51*AG34/1000</f>
        <v>216.96500000000015</v>
      </c>
      <c r="AH50" s="97">
        <f>AH48-AH51*AH34/1000</f>
        <v>117.05000000000018</v>
      </c>
      <c r="AI50" s="97">
        <f>SUM(AE50:AH50)</f>
        <v>694.49600000000055</v>
      </c>
      <c r="AJ50" s="939">
        <f>AJ48-AJ51*AJ34/1000</f>
        <v>74.055000000000064</v>
      </c>
      <c r="AK50" s="290">
        <f>AK48-AK51*AK34/1000</f>
        <v>81.244999999999891</v>
      </c>
      <c r="AL50" s="290">
        <f>AL48-AL51*AL34/1000</f>
        <v>98.190000000000055</v>
      </c>
      <c r="AM50" s="940">
        <f>AM48-AM51*AM34/1000</f>
        <v>140.76700000000005</v>
      </c>
      <c r="AN50" s="97">
        <f>SUM(AJ50:AM50)</f>
        <v>394.25700000000006</v>
      </c>
      <c r="AO50" s="939">
        <f>AO48-AO51*AO34/1000</f>
        <v>118.91199999999981</v>
      </c>
      <c r="AP50" s="290">
        <f>AP48-AP51*AP34/1000</f>
        <v>120.30000000000018</v>
      </c>
      <c r="AQ50" s="290">
        <f>AQ48-AQ51*AQ34/1000</f>
        <v>140.34400000000005</v>
      </c>
      <c r="AR50" s="940">
        <f>AR48-AR51*AR34/1000</f>
        <v>133.60800000000017</v>
      </c>
      <c r="AS50" s="97">
        <f>SUM(AO50:AR50)</f>
        <v>513.16400000000021</v>
      </c>
      <c r="AT50" s="939">
        <f>AT48-AT51*AT34/1000</f>
        <v>122.11999999999989</v>
      </c>
      <c r="AU50" s="290">
        <f>AU48-AU51*AU34/1000</f>
        <v>143.39199999999983</v>
      </c>
      <c r="AV50" s="290">
        <f>AV48-AV51*AV34/1000</f>
        <v>171.54500000000007</v>
      </c>
      <c r="AW50" s="940">
        <f>AW48-AW51*AW34/1000</f>
        <v>154.05600000000004</v>
      </c>
      <c r="AX50" s="97">
        <f>SUM(AT50:AW50)</f>
        <v>591.11299999999983</v>
      </c>
      <c r="AY50" s="939">
        <f>AY48-AY51*AY34/1000</f>
        <v>173.71199999999999</v>
      </c>
      <c r="AZ50" s="290">
        <f>AZ48-AZ51*AZ34/1000</f>
        <v>278.80799999999999</v>
      </c>
      <c r="BA50" s="290">
        <f>BA48-BA51*BA34/1000</f>
        <v>198.74800000000005</v>
      </c>
      <c r="BB50" s="940">
        <f>BB48-BB51*BB34/1000</f>
        <v>280.79599999999982</v>
      </c>
      <c r="BC50" s="97">
        <f>SUM(AY50:BB50)</f>
        <v>932.06399999999985</v>
      </c>
      <c r="BD50" s="939">
        <f>BD48-BD51*BD34/1000</f>
        <v>214.05799999999999</v>
      </c>
      <c r="BE50" s="290">
        <f>BE48-BE51*BE34/1000</f>
        <v>173.19999999999982</v>
      </c>
      <c r="BF50" s="290">
        <f>BF48-BF51*BF34/1000</f>
        <v>153.14399999999978</v>
      </c>
      <c r="BG50" s="940">
        <f>BG48-BG51*BG34/1000</f>
        <v>259.5</v>
      </c>
      <c r="BH50" s="97">
        <f>SUM(BD50:BG50)</f>
        <v>799.90199999999959</v>
      </c>
      <c r="BI50" s="939">
        <f>BI48-BI51*BI34/1000</f>
        <v>229.08599999999979</v>
      </c>
      <c r="BJ50" s="290">
        <f>BJ48-BJ51*BJ34/1000</f>
        <v>208.10199999999986</v>
      </c>
      <c r="BK50" s="290">
        <f>BK48-BK51*BK34/1000</f>
        <v>256.3159999999998</v>
      </c>
      <c r="BL50" s="940">
        <f>BL48-BL51*BL34/1000</f>
        <v>282.375</v>
      </c>
      <c r="BM50" s="97">
        <f>SUM(BI50:BL50)</f>
        <v>975.87899999999945</v>
      </c>
      <c r="BN50" s="939">
        <f>BN48-BN51*BN34/1000</f>
        <v>184.14400000000001</v>
      </c>
      <c r="BO50" s="290">
        <f>BO48-BO51*BO34/1000</f>
        <v>240.16000000000008</v>
      </c>
      <c r="BP50" s="290">
        <f>BP48-BP51*BP34/1000</f>
        <v>266.37599999999998</v>
      </c>
      <c r="BQ50" s="940">
        <f>BQ48-BQ51*BQ34/1000</f>
        <v>240.57799999999997</v>
      </c>
      <c r="BR50" s="97">
        <f>SUM(BN50:BQ50)</f>
        <v>931.25800000000004</v>
      </c>
      <c r="BS50" s="939">
        <f>BS48-BS51*BS34/1000</f>
        <v>221.72199999999998</v>
      </c>
      <c r="BT50" s="290">
        <f>BT48-BT51*BT34/1000</f>
        <v>197.7360000000001</v>
      </c>
      <c r="BU50" s="290">
        <f>BU48-BU51*BU34/1000</f>
        <v>165.86999999999989</v>
      </c>
      <c r="BV50" s="940">
        <f>BV48-BV51*BV34/1000</f>
        <v>233.65200000000004</v>
      </c>
      <c r="BW50" s="97">
        <f>SUM(BS50:BV50)</f>
        <v>818.98</v>
      </c>
      <c r="BX50" s="939">
        <f>BX48-BX51*BX34/1000</f>
        <v>157.52399999999989</v>
      </c>
      <c r="BY50" s="290">
        <f>BY48-BY51*BY34/1000</f>
        <v>390.22600000000011</v>
      </c>
      <c r="BZ50" s="290">
        <f>BZ48-BZ51*BZ34/1000</f>
        <v>438.96800000000007</v>
      </c>
      <c r="CA50" s="940">
        <f>CA48-CA51*CA34/1000</f>
        <v>320.08600000000001</v>
      </c>
      <c r="CB50" s="97">
        <f>SUM(BX50:CA50)</f>
        <v>1306.8040000000001</v>
      </c>
      <c r="CC50" s="1105">
        <v>225</v>
      </c>
      <c r="CD50" s="290">
        <f>CC50</f>
        <v>225</v>
      </c>
      <c r="CE50" s="290">
        <f>CD50</f>
        <v>225</v>
      </c>
      <c r="CF50" s="940">
        <f>CE50</f>
        <v>225</v>
      </c>
      <c r="CG50" s="1484">
        <f>SUM(CC50:CF50)</f>
        <v>900</v>
      </c>
      <c r="CH50" s="1105">
        <v>225</v>
      </c>
      <c r="CI50" s="290">
        <f>CH50</f>
        <v>225</v>
      </c>
      <c r="CJ50" s="290">
        <f>CI50</f>
        <v>225</v>
      </c>
      <c r="CK50" s="940">
        <f>CJ50</f>
        <v>225</v>
      </c>
      <c r="CL50" s="97">
        <f>SUM(CH50:CK50)</f>
        <v>900</v>
      </c>
      <c r="CM50" s="1105">
        <v>225</v>
      </c>
      <c r="CN50" s="290">
        <f>CM50</f>
        <v>225</v>
      </c>
      <c r="CO50" s="290">
        <f>CN50</f>
        <v>225</v>
      </c>
      <c r="CP50" s="940">
        <f>CO50</f>
        <v>225</v>
      </c>
      <c r="CQ50" s="290">
        <f>SUM(CM50:CP50)</f>
        <v>900</v>
      </c>
      <c r="CR50" s="1462"/>
      <c r="CV50"/>
      <c r="CW50"/>
      <c r="CX50"/>
      <c r="CY50"/>
      <c r="CZ50"/>
      <c r="DA50"/>
    </row>
    <row r="51" spans="1:105" ht="13.5" customHeight="1">
      <c r="A51" s="293"/>
      <c r="B51" s="282" t="s">
        <v>980</v>
      </c>
      <c r="C51" s="292"/>
      <c r="D51" s="668">
        <v>397</v>
      </c>
      <c r="E51" s="668">
        <v>410</v>
      </c>
      <c r="F51" s="668">
        <v>421</v>
      </c>
      <c r="G51" s="668">
        <v>420</v>
      </c>
      <c r="H51" s="668">
        <v>424</v>
      </c>
      <c r="I51" s="668">
        <v>423</v>
      </c>
      <c r="J51" s="668">
        <v>422</v>
      </c>
      <c r="K51" s="123">
        <f>P51-175</f>
        <v>475</v>
      </c>
      <c r="L51" s="123">
        <f>Q51-50</f>
        <v>583</v>
      </c>
      <c r="M51" s="123">
        <f>R51+41</f>
        <v>627</v>
      </c>
      <c r="N51" s="123">
        <f>((O51*O34)-K51*K34-L34*L51-M51*M34)/N34</f>
        <v>621.40218841740057</v>
      </c>
      <c r="O51" s="668">
        <v>574</v>
      </c>
      <c r="P51" s="668">
        <v>650</v>
      </c>
      <c r="Q51" s="668">
        <v>633</v>
      </c>
      <c r="R51" s="668">
        <v>586</v>
      </c>
      <c r="S51" s="668">
        <v>597</v>
      </c>
      <c r="T51" s="668">
        <v>617</v>
      </c>
      <c r="U51" s="668">
        <v>616</v>
      </c>
      <c r="V51" s="668">
        <v>624</v>
      </c>
      <c r="W51" s="668">
        <v>651</v>
      </c>
      <c r="X51" s="668">
        <v>648</v>
      </c>
      <c r="Y51" s="123">
        <f>(U51*U34+V34*V51+W51*W34+X34*X51)/Y34</f>
        <v>634.25423131170658</v>
      </c>
      <c r="Z51" s="668">
        <v>650</v>
      </c>
      <c r="AA51" s="668">
        <v>652</v>
      </c>
      <c r="AB51" s="668">
        <v>643</v>
      </c>
      <c r="AC51" s="668">
        <v>627</v>
      </c>
      <c r="AD51" s="123">
        <f>(Z51*Z34+AA34*AA51+AB51*AB34+AC34*AC51)/AD34</f>
        <v>642.1998761524701</v>
      </c>
      <c r="AE51" s="668">
        <v>646</v>
      </c>
      <c r="AF51" s="668">
        <v>777</v>
      </c>
      <c r="AG51" s="668">
        <v>907</v>
      </c>
      <c r="AH51" s="668">
        <v>805</v>
      </c>
      <c r="AI51" s="123">
        <f>(AE51*AE34+AF34*AF51+AG51*AG34+AH34*AH51)/AI34</f>
        <v>779.84588898783022</v>
      </c>
      <c r="AJ51" s="936">
        <v>715</v>
      </c>
      <c r="AK51" s="937">
        <v>677</v>
      </c>
      <c r="AL51" s="937">
        <v>605</v>
      </c>
      <c r="AM51" s="938">
        <v>633</v>
      </c>
      <c r="AN51" s="123">
        <f>(AJ51*AJ34+AK34*AK51+AL51*AL34+AM34*AM51)/AN34</f>
        <v>651.02352702565668</v>
      </c>
      <c r="AO51" s="936">
        <v>654</v>
      </c>
      <c r="AP51" s="937">
        <v>700</v>
      </c>
      <c r="AQ51" s="937">
        <v>688</v>
      </c>
      <c r="AR51" s="938">
        <v>657</v>
      </c>
      <c r="AS51" s="123">
        <f>(AO51*AO34+AP34*AP51+AQ51*AQ34+AR34*AR51)/AS34</f>
        <v>675.43533102411607</v>
      </c>
      <c r="AT51" s="936">
        <v>720</v>
      </c>
      <c r="AU51" s="937">
        <v>803</v>
      </c>
      <c r="AV51" s="1018">
        <v>773</v>
      </c>
      <c r="AW51" s="938">
        <v>741</v>
      </c>
      <c r="AX51" s="123">
        <f>(AT51*AT34+AU34*AU51+AV51*AV34+AW34*AW51)/AX34</f>
        <v>759.29376491069706</v>
      </c>
      <c r="AY51" s="936">
        <v>764</v>
      </c>
      <c r="AZ51" s="937">
        <v>772</v>
      </c>
      <c r="BA51" s="937">
        <v>741</v>
      </c>
      <c r="BB51" s="938">
        <v>721</v>
      </c>
      <c r="BC51" s="123">
        <f>(AY51*AY34+AZ34*AZ51+BA51*BA34+BB34*BB51)/BC34</f>
        <v>749.71428571428567</v>
      </c>
      <c r="BD51" s="936">
        <v>719</v>
      </c>
      <c r="BE51" s="937">
        <v>725</v>
      </c>
      <c r="BF51" s="937">
        <v>752</v>
      </c>
      <c r="BG51" s="938">
        <v>750</v>
      </c>
      <c r="BH51" s="123">
        <f>(BD51*BD34+BE34*BE51+BF51*BF34+BG34*BG51)/BH34</f>
        <v>735.5980606391696</v>
      </c>
      <c r="BI51" s="936">
        <v>761</v>
      </c>
      <c r="BJ51" s="937">
        <v>774</v>
      </c>
      <c r="BK51" s="937">
        <v>777</v>
      </c>
      <c r="BL51" s="938">
        <v>775</v>
      </c>
      <c r="BM51" s="123">
        <f>(BI51*BI34+BJ34*BJ51+BK51*BK34+BL34*BL51)/BM34</f>
        <v>771.57901926948523</v>
      </c>
      <c r="BN51" s="936">
        <v>768</v>
      </c>
      <c r="BO51" s="937">
        <v>695</v>
      </c>
      <c r="BP51" s="937">
        <v>674</v>
      </c>
      <c r="BQ51" s="938">
        <v>642</v>
      </c>
      <c r="BR51" s="123">
        <f>(BN51*BN34+BO34*BO51+BP51*BP34+BQ34*BQ51)/BR34</f>
        <v>694.76613816534541</v>
      </c>
      <c r="BS51" s="936">
        <v>611</v>
      </c>
      <c r="BT51" s="937">
        <v>642</v>
      </c>
      <c r="BU51" s="937">
        <v>718</v>
      </c>
      <c r="BV51" s="938">
        <v>692</v>
      </c>
      <c r="BW51" s="123">
        <f>(BS51*BS34+BT34*BT51+BU51*BU34+BV34*BV51)/BW34</f>
        <v>665.14959381810979</v>
      </c>
      <c r="BX51" s="1081">
        <v>719</v>
      </c>
      <c r="BY51" s="1082">
        <v>742</v>
      </c>
      <c r="BZ51" s="1082">
        <v>728</v>
      </c>
      <c r="CA51" s="1516">
        <v>717</v>
      </c>
      <c r="CB51" s="123">
        <f>(BX51*BX34+BY34*BY51+BZ51*BZ34+CA34*CA51)/CB34</f>
        <v>726.63052493172859</v>
      </c>
      <c r="CC51" s="933">
        <f>'Price Relationships'!$C$69</f>
        <v>738.17412213988166</v>
      </c>
      <c r="CD51" s="934">
        <f>'Price Relationships'!$C$70</f>
        <v>788.21788549791711</v>
      </c>
      <c r="CE51" s="934">
        <f>'Price Relationships'!$C$71</f>
        <v>813.86551984854191</v>
      </c>
      <c r="CF51" s="935">
        <f>'Price Relationships'!$C$72</f>
        <v>819.91036389397925</v>
      </c>
      <c r="CG51" s="1483">
        <f>(CC51*CC34+CD34*CD51+CE51*CE34+CF34*CF51)/CG34</f>
        <v>791.74194264468736</v>
      </c>
      <c r="CH51" s="933">
        <f>'Price Relationships'!$C$73</f>
        <v>828.22925472578549</v>
      </c>
      <c r="CI51" s="934">
        <f>'Price Relationships'!$C$74</f>
        <v>824.63997830804965</v>
      </c>
      <c r="CJ51" s="934">
        <f>'Price Relationships'!$C$75</f>
        <v>819.12748481563472</v>
      </c>
      <c r="CK51" s="935">
        <f>'Price Relationships'!$C$76</f>
        <v>801.76873937094422</v>
      </c>
      <c r="CL51" s="123">
        <f>(CH51*CH34+CI34*CI51+CJ51*CJ34+CK34*CK51)/CL34</f>
        <v>818.44806600725542</v>
      </c>
      <c r="CM51" s="933">
        <f>'Price Relationships'!$C$77</f>
        <v>773.58111755966092</v>
      </c>
      <c r="CN51" s="934">
        <f>'Price Relationships'!$C$78</f>
        <v>758.34978229176272</v>
      </c>
      <c r="CO51" s="934">
        <f>'Price Relationships'!$C$79</f>
        <v>739.12584760423385</v>
      </c>
      <c r="CP51" s="935">
        <f>'Price Relationships'!$C$80</f>
        <v>725.66909332296359</v>
      </c>
      <c r="CQ51" s="282">
        <f>(CM51*CM34+CN34*CN51+CO51*CO34+CP34*CP51)/CQ34</f>
        <v>749.08720483139575</v>
      </c>
    </row>
    <row r="52" spans="1:105" ht="6.2" customHeight="1">
      <c r="A52" s="75"/>
      <c r="B52" s="96"/>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933"/>
      <c r="AK52" s="934"/>
      <c r="AL52" s="934"/>
      <c r="AM52" s="935"/>
      <c r="AN52" s="88"/>
      <c r="AO52" s="933"/>
      <c r="AP52" s="934"/>
      <c r="AQ52" s="934"/>
      <c r="AR52" s="935"/>
      <c r="AS52" s="88"/>
      <c r="AT52" s="933"/>
      <c r="AU52" s="934"/>
      <c r="AV52" s="934"/>
      <c r="AW52" s="935"/>
      <c r="AX52" s="88"/>
      <c r="AY52" s="933"/>
      <c r="AZ52" s="934"/>
      <c r="BA52" s="934"/>
      <c r="BB52" s="935"/>
      <c r="BC52" s="88"/>
      <c r="BD52" s="933"/>
      <c r="BE52" s="934"/>
      <c r="BF52" s="934"/>
      <c r="BG52" s="935"/>
      <c r="BH52" s="88"/>
      <c r="BI52" s="933"/>
      <c r="BJ52" s="934"/>
      <c r="BK52" s="934"/>
      <c r="BL52" s="935"/>
      <c r="BM52" s="88"/>
      <c r="BN52" s="933"/>
      <c r="BO52" s="934"/>
      <c r="BP52" s="934"/>
      <c r="BQ52" s="935"/>
      <c r="BR52" s="88"/>
      <c r="BS52" s="933"/>
      <c r="BT52" s="934"/>
      <c r="BU52" s="934"/>
      <c r="BV52" s="935"/>
      <c r="BW52" s="88"/>
      <c r="BX52" s="933"/>
      <c r="BY52" s="934"/>
      <c r="BZ52" s="934"/>
      <c r="CA52" s="935"/>
      <c r="CB52" s="88"/>
      <c r="CC52" s="933"/>
      <c r="CD52" s="934"/>
      <c r="CE52" s="934"/>
      <c r="CF52" s="935"/>
      <c r="CG52" s="1482"/>
      <c r="CH52" s="933"/>
      <c r="CI52" s="934"/>
      <c r="CJ52" s="934"/>
      <c r="CK52" s="935"/>
      <c r="CL52" s="88"/>
      <c r="CM52" s="933"/>
      <c r="CN52" s="934"/>
      <c r="CO52" s="934"/>
      <c r="CP52" s="935"/>
      <c r="CQ52" s="934"/>
      <c r="CR52" s="1460"/>
      <c r="CS52" s="99"/>
      <c r="CT52" s="99"/>
      <c r="CU52" s="99"/>
    </row>
    <row r="53" spans="1:105" ht="13.5" customHeight="1">
      <c r="A53" s="75"/>
      <c r="B53" s="87" t="s">
        <v>990</v>
      </c>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933"/>
      <c r="AK53" s="934"/>
      <c r="AL53" s="934"/>
      <c r="AM53" s="935"/>
      <c r="AN53" s="88"/>
      <c r="AO53" s="933"/>
      <c r="AP53" s="934"/>
      <c r="AQ53" s="934"/>
      <c r="AR53" s="935"/>
      <c r="AS53" s="88"/>
      <c r="AT53" s="933"/>
      <c r="AU53" s="934"/>
      <c r="AV53" s="934"/>
      <c r="AW53" s="935"/>
      <c r="AX53" s="88"/>
      <c r="AY53" s="933"/>
      <c r="AZ53" s="934"/>
      <c r="BA53" s="934"/>
      <c r="BB53" s="935"/>
      <c r="BC53" s="88"/>
      <c r="BD53" s="933"/>
      <c r="BE53" s="934"/>
      <c r="BF53" s="934"/>
      <c r="BG53" s="935"/>
      <c r="BH53" s="88"/>
      <c r="BI53" s="933"/>
      <c r="BJ53" s="934"/>
      <c r="BK53" s="934"/>
      <c r="BL53" s="935"/>
      <c r="BM53" s="88"/>
      <c r="BN53" s="933"/>
      <c r="BO53" s="934"/>
      <c r="BP53" s="934"/>
      <c r="BQ53" s="935"/>
      <c r="BR53" s="88"/>
      <c r="BS53" s="933"/>
      <c r="BT53" s="934"/>
      <c r="BU53" s="934"/>
      <c r="BV53" s="935"/>
      <c r="BW53" s="88"/>
      <c r="BX53" s="933"/>
      <c r="BY53" s="934"/>
      <c r="BZ53" s="934"/>
      <c r="CA53" s="935"/>
      <c r="CB53" s="88"/>
      <c r="CC53" s="933"/>
      <c r="CD53" s="934"/>
      <c r="CE53" s="934"/>
      <c r="CF53" s="935"/>
      <c r="CG53" s="1482"/>
      <c r="CH53" s="933"/>
      <c r="CI53" s="934"/>
      <c r="CJ53" s="934"/>
      <c r="CK53" s="935"/>
      <c r="CL53" s="88"/>
      <c r="CM53" s="933"/>
      <c r="CN53" s="934"/>
      <c r="CO53" s="934"/>
      <c r="CP53" s="935"/>
      <c r="CQ53" s="934"/>
      <c r="CR53" s="1460"/>
      <c r="CS53" s="99"/>
      <c r="CT53" s="99"/>
      <c r="CU53" s="99"/>
    </row>
    <row r="54" spans="1:105" ht="13.5" customHeight="1" outlineLevel="1">
      <c r="A54" s="75"/>
      <c r="B54" s="75" t="s">
        <v>681</v>
      </c>
      <c r="D54" s="88"/>
      <c r="E54" s="88"/>
      <c r="F54" s="88"/>
      <c r="G54" s="88"/>
      <c r="H54" s="88"/>
      <c r="I54" s="88"/>
      <c r="J54" s="89"/>
      <c r="K54" s="89"/>
      <c r="L54" s="89"/>
      <c r="M54" s="89"/>
      <c r="N54" s="89"/>
      <c r="O54" s="89"/>
      <c r="P54" s="89"/>
      <c r="Q54" s="89"/>
      <c r="R54" s="89"/>
      <c r="S54" s="89"/>
      <c r="T54" s="89"/>
      <c r="U54" s="89"/>
      <c r="V54" s="89"/>
      <c r="W54" s="89"/>
      <c r="X54" s="89"/>
      <c r="Y54" s="89"/>
      <c r="Z54" s="622">
        <v>110</v>
      </c>
      <c r="AA54" s="622">
        <v>110</v>
      </c>
      <c r="AB54" s="622">
        <v>110</v>
      </c>
      <c r="AC54" s="622">
        <v>110</v>
      </c>
      <c r="AD54" s="622">
        <v>110</v>
      </c>
      <c r="AE54" s="622">
        <v>130</v>
      </c>
      <c r="AF54" s="622">
        <v>130</v>
      </c>
      <c r="AG54" s="622">
        <v>130</v>
      </c>
      <c r="AH54" s="622">
        <v>130</v>
      </c>
      <c r="AI54" s="622">
        <v>130</v>
      </c>
      <c r="AJ54" s="906">
        <v>143.24</v>
      </c>
      <c r="AK54" s="907">
        <v>155.56</v>
      </c>
      <c r="AL54" s="907">
        <v>161.43</v>
      </c>
      <c r="AM54" s="908">
        <v>146.38999999999999</v>
      </c>
      <c r="AN54" s="89">
        <f>AVERAGE(AJ54:AM54)</f>
        <v>151.655</v>
      </c>
      <c r="AO54" s="906">
        <v>152.61000000000001</v>
      </c>
      <c r="AP54" s="907">
        <v>148.87</v>
      </c>
      <c r="AQ54" s="907">
        <v>150</v>
      </c>
      <c r="AR54" s="908">
        <v>200</v>
      </c>
      <c r="AS54" s="89">
        <f>AVERAGE(AO54:AR54)</f>
        <v>162.87</v>
      </c>
      <c r="AT54" s="906">
        <v>172.80000000000004</v>
      </c>
      <c r="AU54" s="907">
        <v>194.51</v>
      </c>
      <c r="AV54" s="907">
        <v>193.69999999999996</v>
      </c>
      <c r="AW54" s="908">
        <v>205.19999999999996</v>
      </c>
      <c r="AX54" s="89">
        <f>AVERAGE(AT54:AW54)</f>
        <v>191.55249999999998</v>
      </c>
      <c r="AY54" s="909">
        <v>189</v>
      </c>
      <c r="AZ54" s="910">
        <v>189</v>
      </c>
      <c r="BA54" s="910">
        <v>189</v>
      </c>
      <c r="BB54" s="911">
        <v>189</v>
      </c>
      <c r="BC54" s="89">
        <f>AVERAGE(AY54:BB54)</f>
        <v>189</v>
      </c>
      <c r="BD54" s="909">
        <v>145</v>
      </c>
      <c r="BE54" s="910">
        <v>145</v>
      </c>
      <c r="BF54" s="910">
        <v>145</v>
      </c>
      <c r="BG54" s="911">
        <v>145</v>
      </c>
      <c r="BH54" s="89">
        <f>AVERAGE(BD54:BG54)</f>
        <v>145</v>
      </c>
      <c r="BI54" s="909">
        <v>133</v>
      </c>
      <c r="BJ54" s="910">
        <v>133</v>
      </c>
      <c r="BK54" s="910">
        <v>133</v>
      </c>
      <c r="BL54" s="911">
        <v>133</v>
      </c>
      <c r="BM54" s="89">
        <f>AVERAGE(BI54:BL54)</f>
        <v>133</v>
      </c>
      <c r="BN54" s="909">
        <v>110</v>
      </c>
      <c r="BO54" s="910">
        <v>110</v>
      </c>
      <c r="BP54" s="910">
        <v>110</v>
      </c>
      <c r="BQ54" s="911">
        <v>110</v>
      </c>
      <c r="BR54" s="89">
        <f>AVERAGE(BN54:BQ54)</f>
        <v>110</v>
      </c>
      <c r="BS54" s="909">
        <v>115</v>
      </c>
      <c r="BT54" s="910">
        <v>115</v>
      </c>
      <c r="BU54" s="910">
        <v>115</v>
      </c>
      <c r="BV54" s="911">
        <v>115</v>
      </c>
      <c r="BW54" s="92">
        <f>AVERAGE(BS54:BV54)</f>
        <v>115</v>
      </c>
      <c r="BX54" s="906">
        <f>+BW54+19</f>
        <v>134</v>
      </c>
      <c r="BY54" s="1083">
        <f>BX54</f>
        <v>134</v>
      </c>
      <c r="BZ54" s="1083">
        <f t="shared" ref="BZ54:CA54" si="81">BY54</f>
        <v>134</v>
      </c>
      <c r="CA54" s="1075">
        <f t="shared" si="81"/>
        <v>134</v>
      </c>
      <c r="CB54" s="92">
        <f>AVERAGE(BX54:CA54)</f>
        <v>134</v>
      </c>
      <c r="CC54" s="1101">
        <v>145</v>
      </c>
      <c r="CD54" s="1083">
        <v>145</v>
      </c>
      <c r="CE54" s="1083">
        <v>145</v>
      </c>
      <c r="CF54" s="1075">
        <v>145</v>
      </c>
      <c r="CG54" s="1471">
        <f>AVERAGE(CC54:CF54)</f>
        <v>145</v>
      </c>
      <c r="CH54" s="1101">
        <v>135</v>
      </c>
      <c r="CI54" s="1083">
        <v>135</v>
      </c>
      <c r="CJ54" s="1083">
        <v>135</v>
      </c>
      <c r="CK54" s="1075">
        <v>135</v>
      </c>
      <c r="CL54" s="89">
        <f>AVERAGE(CH54:CK54)</f>
        <v>135</v>
      </c>
      <c r="CM54" s="1101">
        <v>135</v>
      </c>
      <c r="CN54" s="1083">
        <v>135</v>
      </c>
      <c r="CO54" s="1083">
        <v>135</v>
      </c>
      <c r="CP54" s="1075">
        <v>135</v>
      </c>
      <c r="CQ54" s="907">
        <f>AVERAGE(CM54:CP54)</f>
        <v>135</v>
      </c>
      <c r="CR54" s="1459"/>
      <c r="CS54" s="90"/>
      <c r="CT54" s="90"/>
      <c r="CU54" s="75"/>
    </row>
    <row r="55" spans="1:105" ht="13.5" customHeight="1" outlineLevel="1">
      <c r="A55" s="75"/>
      <c r="B55" s="75" t="s">
        <v>682</v>
      </c>
      <c r="D55" s="88"/>
      <c r="E55" s="88"/>
      <c r="F55" s="88"/>
      <c r="G55" s="88"/>
      <c r="H55" s="88"/>
      <c r="I55" s="88"/>
      <c r="J55" s="89"/>
      <c r="K55" s="622">
        <v>348.33333333333331</v>
      </c>
      <c r="L55" s="622">
        <v>415</v>
      </c>
      <c r="M55" s="622">
        <v>257.66666666666669</v>
      </c>
      <c r="N55" s="622">
        <v>245</v>
      </c>
      <c r="O55" s="622">
        <v>316.5</v>
      </c>
      <c r="P55" s="622">
        <v>233</v>
      </c>
      <c r="Q55" s="622">
        <v>220</v>
      </c>
      <c r="R55" s="622">
        <v>161</v>
      </c>
      <c r="S55" s="622">
        <v>124.33333333333333</v>
      </c>
      <c r="T55" s="622">
        <v>184.58333333333334</v>
      </c>
      <c r="U55" s="622">
        <v>132</v>
      </c>
      <c r="V55" s="622">
        <v>148.33333333333334</v>
      </c>
      <c r="W55" s="622">
        <v>163.33333333333334</v>
      </c>
      <c r="X55" s="622">
        <v>165</v>
      </c>
      <c r="Y55" s="622">
        <v>152.16666666666669</v>
      </c>
      <c r="Z55" s="622">
        <v>181.66666666666666</v>
      </c>
      <c r="AA55" s="622">
        <v>219.66666666666666</v>
      </c>
      <c r="AB55" s="622">
        <v>262.33333333333331</v>
      </c>
      <c r="AC55" s="622">
        <v>376.66666666666669</v>
      </c>
      <c r="AD55" s="622">
        <v>260.08333333333331</v>
      </c>
      <c r="AE55" s="622">
        <v>470</v>
      </c>
      <c r="AF55" s="622">
        <v>500</v>
      </c>
      <c r="AG55" s="622">
        <v>700</v>
      </c>
      <c r="AH55" s="622">
        <v>500</v>
      </c>
      <c r="AI55" s="622">
        <v>542.5</v>
      </c>
      <c r="AJ55" s="906">
        <v>310.89999999999998</v>
      </c>
      <c r="AK55" s="941">
        <f>AK54*1.6*1.35</f>
        <v>336.00960000000003</v>
      </c>
      <c r="AL55" s="907">
        <v>360.03</v>
      </c>
      <c r="AM55" s="908">
        <v>328.18</v>
      </c>
      <c r="AN55" s="89">
        <f>AVERAGE(AJ55:AM55)</f>
        <v>333.7799</v>
      </c>
      <c r="AO55" s="906">
        <v>330.08</v>
      </c>
      <c r="AP55" s="907">
        <v>339.4</v>
      </c>
      <c r="AQ55" s="907">
        <v>320</v>
      </c>
      <c r="AR55" s="1014">
        <v>325</v>
      </c>
      <c r="AS55" s="89">
        <f>AVERAGE(AO55:AR55)</f>
        <v>328.62</v>
      </c>
      <c r="AT55" s="906">
        <v>397.45</v>
      </c>
      <c r="AU55" s="907">
        <v>453.08</v>
      </c>
      <c r="AV55" s="907">
        <v>437.12000000000006</v>
      </c>
      <c r="AW55" s="908">
        <v>438.5</v>
      </c>
      <c r="AX55" s="89">
        <f>AVERAGE(AT55:AW55)</f>
        <v>431.53750000000002</v>
      </c>
      <c r="AY55" s="906">
        <v>402.71</v>
      </c>
      <c r="AZ55" s="907">
        <v>388.87000000000006</v>
      </c>
      <c r="BA55" s="907">
        <v>392.99</v>
      </c>
      <c r="BB55" s="908">
        <v>401.58</v>
      </c>
      <c r="BC55" s="89">
        <f>AVERAGE(AY55:BB55)</f>
        <v>396.53750000000002</v>
      </c>
      <c r="BD55" s="906">
        <v>364.97</v>
      </c>
      <c r="BE55" s="907">
        <v>331.26</v>
      </c>
      <c r="BF55" s="907">
        <v>330.18</v>
      </c>
      <c r="BG55" s="908">
        <v>329.47</v>
      </c>
      <c r="BH55" s="89">
        <f>AVERAGE(BD55:BG55)</f>
        <v>338.97</v>
      </c>
      <c r="BI55" s="906">
        <v>143</v>
      </c>
      <c r="BJ55" s="907">
        <v>308.60000000000002</v>
      </c>
      <c r="BK55" s="907">
        <v>343.18</v>
      </c>
      <c r="BL55" s="908">
        <v>322</v>
      </c>
      <c r="BM55" s="89">
        <f>AVERAGE(BI55:BL55)</f>
        <v>279.19499999999999</v>
      </c>
      <c r="BN55" s="906">
        <v>298.54000000000002</v>
      </c>
      <c r="BO55" s="907">
        <v>289.82</v>
      </c>
      <c r="BP55" s="907">
        <v>289.44</v>
      </c>
      <c r="BQ55" s="908">
        <v>289.88</v>
      </c>
      <c r="BR55" s="89">
        <f>AVERAGE(BN55:BQ55)</f>
        <v>291.91999999999996</v>
      </c>
      <c r="BS55" s="906">
        <v>227.76</v>
      </c>
      <c r="BT55" s="907">
        <v>201.78</v>
      </c>
      <c r="BU55" s="907">
        <v>197.52</v>
      </c>
      <c r="BV55" s="908">
        <v>203.86</v>
      </c>
      <c r="BW55" s="89">
        <f>AVERAGE(BS55:BV55)</f>
        <v>207.73</v>
      </c>
      <c r="BX55" s="906">
        <v>310</v>
      </c>
      <c r="BY55" s="907">
        <v>310</v>
      </c>
      <c r="BZ55" s="907">
        <v>310</v>
      </c>
      <c r="CA55" s="908">
        <v>310</v>
      </c>
      <c r="CB55" s="89">
        <f>AVERAGE(BX55:CA55)</f>
        <v>310</v>
      </c>
      <c r="CC55" s="906">
        <f t="shared" ref="CC55:CF55" si="82">CC54*2</f>
        <v>290</v>
      </c>
      <c r="CD55" s="907">
        <f t="shared" si="82"/>
        <v>290</v>
      </c>
      <c r="CE55" s="907">
        <f t="shared" si="82"/>
        <v>290</v>
      </c>
      <c r="CF55" s="908">
        <f t="shared" si="82"/>
        <v>290</v>
      </c>
      <c r="CG55" s="1471">
        <f>AVERAGE(CC55:CF55)</f>
        <v>290</v>
      </c>
      <c r="CH55" s="906">
        <f t="shared" ref="CH55:CK55" si="83">CH54*2</f>
        <v>270</v>
      </c>
      <c r="CI55" s="907">
        <f t="shared" si="83"/>
        <v>270</v>
      </c>
      <c r="CJ55" s="907">
        <f t="shared" si="83"/>
        <v>270</v>
      </c>
      <c r="CK55" s="908">
        <f t="shared" si="83"/>
        <v>270</v>
      </c>
      <c r="CL55" s="89">
        <f>AVERAGE(CH55:CK55)</f>
        <v>270</v>
      </c>
      <c r="CM55" s="906">
        <f t="shared" ref="CM55:CP55" si="84">CM54*2</f>
        <v>270</v>
      </c>
      <c r="CN55" s="907">
        <f t="shared" si="84"/>
        <v>270</v>
      </c>
      <c r="CO55" s="907">
        <f t="shared" si="84"/>
        <v>270</v>
      </c>
      <c r="CP55" s="908">
        <f t="shared" si="84"/>
        <v>270</v>
      </c>
      <c r="CQ55" s="907">
        <f>AVERAGE(CM55:CP55)</f>
        <v>270</v>
      </c>
      <c r="CR55" s="1459"/>
      <c r="CS55" s="90"/>
      <c r="CT55" s="90"/>
      <c r="CU55" s="75"/>
    </row>
    <row r="56" spans="1:105" ht="13.5" customHeight="1" outlineLevel="1">
      <c r="A56" s="75"/>
      <c r="B56" s="81" t="s">
        <v>683</v>
      </c>
      <c r="D56" s="88"/>
      <c r="E56" s="88"/>
      <c r="F56" s="669">
        <v>123.47333333333331</v>
      </c>
      <c r="G56" s="669">
        <v>127.24</v>
      </c>
      <c r="H56" s="669">
        <v>137</v>
      </c>
      <c r="I56" s="669">
        <v>162.09333333333333</v>
      </c>
      <c r="J56" s="299">
        <f>AVERAGE(F56:I56)</f>
        <v>137.45166666666665</v>
      </c>
      <c r="K56" s="622">
        <v>244.5</v>
      </c>
      <c r="L56" s="622">
        <v>201.4666666666667</v>
      </c>
      <c r="M56" s="622">
        <v>265.48333333333329</v>
      </c>
      <c r="N56" s="622">
        <v>287.01666666666671</v>
      </c>
      <c r="O56" s="622">
        <v>249.61666666666667</v>
      </c>
      <c r="P56" s="622">
        <v>246.37666666666667</v>
      </c>
      <c r="Q56" s="622">
        <v>203.84666666666666</v>
      </c>
      <c r="R56" s="622">
        <v>220.79666666666665</v>
      </c>
      <c r="S56" s="622">
        <v>246.94</v>
      </c>
      <c r="T56" s="622">
        <v>229.49</v>
      </c>
      <c r="U56" s="622">
        <v>241.68333333333331</v>
      </c>
      <c r="V56" s="622">
        <v>267.77999999999997</v>
      </c>
      <c r="W56" s="622">
        <v>254.14666666666668</v>
      </c>
      <c r="X56" s="622">
        <v>228.62</v>
      </c>
      <c r="Y56" s="622">
        <v>248.0575</v>
      </c>
      <c r="Z56" s="622">
        <v>299.89</v>
      </c>
      <c r="AA56" s="622">
        <v>286.15333333333336</v>
      </c>
      <c r="AB56" s="622">
        <v>278.87</v>
      </c>
      <c r="AC56" s="622">
        <v>295.39999999999998</v>
      </c>
      <c r="AD56" s="622">
        <v>290.07833333333332</v>
      </c>
      <c r="AE56" s="622">
        <v>392.54</v>
      </c>
      <c r="AF56" s="622">
        <v>547.20666666666682</v>
      </c>
      <c r="AG56" s="622">
        <v>513.71333333333337</v>
      </c>
      <c r="AH56" s="622">
        <v>193.66333333333333</v>
      </c>
      <c r="AI56" s="622">
        <v>411.78083333333336</v>
      </c>
      <c r="AJ56" s="909">
        <v>213.37333333333333</v>
      </c>
      <c r="AK56" s="910">
        <v>191.80666666666664</v>
      </c>
      <c r="AL56" s="910">
        <v>269.50666666666666</v>
      </c>
      <c r="AM56" s="911">
        <v>265.71333333333331</v>
      </c>
      <c r="AN56" s="622">
        <v>235.1</v>
      </c>
      <c r="AO56" s="906">
        <v>358.61666666666662</v>
      </c>
      <c r="AP56" s="907">
        <v>368.89333333333337</v>
      </c>
      <c r="AQ56" s="907">
        <v>339.70666666666665</v>
      </c>
      <c r="AR56" s="908">
        <v>367.51666666666665</v>
      </c>
      <c r="AS56" s="89">
        <f>AVERAGE(AO56:AR56)</f>
        <v>358.68333333333334</v>
      </c>
      <c r="AT56" s="906">
        <v>456.45666666666665</v>
      </c>
      <c r="AU56" s="907">
        <v>447.39333333333337</v>
      </c>
      <c r="AV56" s="907">
        <v>450</v>
      </c>
      <c r="AW56" s="908">
        <v>429.87000000000006</v>
      </c>
      <c r="AX56" s="89">
        <f>AVERAGE(AT56:AW56)</f>
        <v>445.93</v>
      </c>
      <c r="AY56" s="906">
        <v>449.5</v>
      </c>
      <c r="AZ56" s="907">
        <v>414.82666666666665</v>
      </c>
      <c r="BA56" s="907">
        <v>373.72</v>
      </c>
      <c r="BB56" s="908">
        <v>369.33</v>
      </c>
      <c r="BC56" s="89">
        <f>AVERAGE(AY56:BB56)</f>
        <v>401.84416666666664</v>
      </c>
      <c r="BD56" s="906">
        <v>390.07333333333332</v>
      </c>
      <c r="BE56" s="907">
        <v>374.86666666666662</v>
      </c>
      <c r="BF56" s="907">
        <v>366.6033333333333</v>
      </c>
      <c r="BG56" s="908">
        <v>383.98333333333335</v>
      </c>
      <c r="BH56" s="89">
        <f>AVERAGE(BD56:BG56)</f>
        <v>378.88166666666666</v>
      </c>
      <c r="BI56" s="906">
        <v>412.41333333333336</v>
      </c>
      <c r="BJ56" s="907">
        <v>383.64333333333337</v>
      </c>
      <c r="BK56" s="907">
        <v>374.24333333333334</v>
      </c>
      <c r="BL56" s="908">
        <v>338.38333333333338</v>
      </c>
      <c r="BM56" s="89">
        <f>AVERAGE(BI56:BL56)</f>
        <v>377.17083333333341</v>
      </c>
      <c r="BN56" s="906">
        <v>277.58666666666664</v>
      </c>
      <c r="BO56" s="907">
        <v>249.18333333333331</v>
      </c>
      <c r="BP56" s="907">
        <v>244.09</v>
      </c>
      <c r="BQ56" s="908">
        <v>171.85666666666668</v>
      </c>
      <c r="BR56" s="89">
        <f>AVERAGE(BN56:BQ56)</f>
        <v>235.67916666666667</v>
      </c>
      <c r="BS56" s="906">
        <v>194.21666666666667</v>
      </c>
      <c r="BT56" s="907">
        <v>260.70666666666665</v>
      </c>
      <c r="BU56" s="907">
        <v>235.08</v>
      </c>
      <c r="BV56" s="908">
        <v>227.43666666666664</v>
      </c>
      <c r="BW56" s="89">
        <f>AVERAGE(BS56:BV56)</f>
        <v>229.35999999999999</v>
      </c>
      <c r="BX56" s="906">
        <v>301.52666666666664</v>
      </c>
      <c r="BY56" s="907">
        <v>292.27333333333331</v>
      </c>
      <c r="BZ56" s="907">
        <v>289.08666666666664</v>
      </c>
      <c r="CA56" s="908">
        <v>272.81666666666666</v>
      </c>
      <c r="CB56" s="89">
        <f>AVERAGE(BX56:CA56)</f>
        <v>288.92583333333329</v>
      </c>
      <c r="CC56" s="906">
        <v>332.51333333333332</v>
      </c>
      <c r="CD56" s="907">
        <v>375</v>
      </c>
      <c r="CE56" s="907">
        <v>360</v>
      </c>
      <c r="CF56" s="908">
        <v>345</v>
      </c>
      <c r="CG56" s="1471">
        <f>AVERAGE(CC56:CF56)</f>
        <v>353.12833333333333</v>
      </c>
      <c r="CH56" s="906">
        <v>355</v>
      </c>
      <c r="CI56" s="907">
        <v>360</v>
      </c>
      <c r="CJ56" s="907">
        <v>350</v>
      </c>
      <c r="CK56" s="908">
        <v>335</v>
      </c>
      <c r="CL56" s="89">
        <f>AVERAGE(CH56:CK56)</f>
        <v>350</v>
      </c>
      <c r="CM56" s="906">
        <v>305</v>
      </c>
      <c r="CN56" s="907">
        <v>310</v>
      </c>
      <c r="CO56" s="907">
        <v>300</v>
      </c>
      <c r="CP56" s="908">
        <v>285</v>
      </c>
      <c r="CQ56" s="907">
        <f>AVERAGE(CM56:CP56)</f>
        <v>300</v>
      </c>
      <c r="CR56" s="1459"/>
      <c r="CS56" s="90"/>
      <c r="CT56" s="90"/>
      <c r="CU56" s="75"/>
    </row>
    <row r="57" spans="1:105" ht="13.5" customHeight="1" outlineLevel="1">
      <c r="A57" s="75"/>
      <c r="B57" s="75" t="s">
        <v>684</v>
      </c>
      <c r="D57" s="88"/>
      <c r="E57" s="88"/>
      <c r="F57" s="88"/>
      <c r="G57" s="88"/>
      <c r="H57" s="88"/>
      <c r="I57" s="88"/>
      <c r="J57" s="89"/>
      <c r="K57" s="624">
        <v>5.43</v>
      </c>
      <c r="L57" s="624">
        <v>5.97</v>
      </c>
      <c r="M57" s="624">
        <v>5.34</v>
      </c>
      <c r="N57" s="624">
        <v>6.5</v>
      </c>
      <c r="O57" s="624">
        <v>5.81</v>
      </c>
      <c r="P57" s="624">
        <v>6.27</v>
      </c>
      <c r="Q57" s="624">
        <v>6.73</v>
      </c>
      <c r="R57" s="624">
        <v>9</v>
      </c>
      <c r="S57" s="624">
        <v>12.97</v>
      </c>
      <c r="T57" s="624">
        <v>8.7424999999999997</v>
      </c>
      <c r="U57" s="624">
        <v>8.98</v>
      </c>
      <c r="V57" s="624">
        <v>6.79</v>
      </c>
      <c r="W57" s="624">
        <v>6.58</v>
      </c>
      <c r="X57" s="624">
        <v>6.57</v>
      </c>
      <c r="Y57" s="624">
        <v>7.23</v>
      </c>
      <c r="Z57" s="624">
        <v>6.77</v>
      </c>
      <c r="AA57" s="624">
        <v>7.55</v>
      </c>
      <c r="AB57" s="624">
        <v>6.16</v>
      </c>
      <c r="AC57" s="624">
        <v>6.95</v>
      </c>
      <c r="AD57" s="624">
        <v>6.8574999999999999</v>
      </c>
      <c r="AE57" s="624">
        <v>8.11</v>
      </c>
      <c r="AF57" s="624">
        <v>10</v>
      </c>
      <c r="AG57" s="624">
        <v>8</v>
      </c>
      <c r="AH57" s="624">
        <v>6</v>
      </c>
      <c r="AI57" s="624">
        <v>8.0274999999999999</v>
      </c>
      <c r="AJ57" s="942">
        <v>6</v>
      </c>
      <c r="AK57" s="943">
        <v>4</v>
      </c>
      <c r="AL57" s="943">
        <v>4</v>
      </c>
      <c r="AM57" s="944">
        <v>5</v>
      </c>
      <c r="AN57" s="624">
        <v>4.75</v>
      </c>
      <c r="AO57" s="942">
        <v>4.8</v>
      </c>
      <c r="AP57" s="943">
        <v>4.2</v>
      </c>
      <c r="AQ57" s="943">
        <v>4.5</v>
      </c>
      <c r="AR57" s="944">
        <v>3</v>
      </c>
      <c r="AS57" s="102">
        <f>AVERAGE(AO57:AR57)</f>
        <v>4.125</v>
      </c>
      <c r="AT57" s="942">
        <v>4.3</v>
      </c>
      <c r="AU57" s="943">
        <v>4.3</v>
      </c>
      <c r="AV57" s="943">
        <v>4</v>
      </c>
      <c r="AW57" s="944">
        <v>3.5</v>
      </c>
      <c r="AX57" s="102">
        <f>AVERAGE(AT57:AW57)</f>
        <v>4.0250000000000004</v>
      </c>
      <c r="AY57" s="942">
        <v>3.5</v>
      </c>
      <c r="AZ57" s="943">
        <v>2.89</v>
      </c>
      <c r="BA57" s="1024">
        <v>3.89</v>
      </c>
      <c r="BB57" s="1025">
        <v>3.55</v>
      </c>
      <c r="BC57" s="103">
        <f>AVERAGE(AY57:BB57)</f>
        <v>3.4575000000000005</v>
      </c>
      <c r="BD57" s="1032">
        <v>3.5</v>
      </c>
      <c r="BE57" s="1024">
        <v>3.5</v>
      </c>
      <c r="BF57" s="1024">
        <v>3.5</v>
      </c>
      <c r="BG57" s="1025">
        <v>3.5</v>
      </c>
      <c r="BH57" s="102">
        <f>AVERAGE(BD57:BG57)</f>
        <v>3.5</v>
      </c>
      <c r="BI57" s="1032">
        <v>6</v>
      </c>
      <c r="BJ57" s="1024">
        <v>4</v>
      </c>
      <c r="BK57" s="1024">
        <v>4</v>
      </c>
      <c r="BL57" s="1025">
        <v>4</v>
      </c>
      <c r="BM57" s="102">
        <f>AVERAGE(BI57:BL57)</f>
        <v>4.5</v>
      </c>
      <c r="BN57" s="942">
        <v>3.5</v>
      </c>
      <c r="BO57" s="943">
        <v>3</v>
      </c>
      <c r="BP57" s="1024">
        <v>2.75</v>
      </c>
      <c r="BQ57" s="1025">
        <v>2.11</v>
      </c>
      <c r="BR57" s="102">
        <f>AVERAGE(BN57:BQ57)</f>
        <v>2.84</v>
      </c>
      <c r="BS57" s="942">
        <v>2.2999999999999998</v>
      </c>
      <c r="BT57" s="943">
        <v>2.4</v>
      </c>
      <c r="BU57" s="943">
        <v>2.8</v>
      </c>
      <c r="BV57" s="1025">
        <v>3.1</v>
      </c>
      <c r="BW57" s="103">
        <f>AVERAGE(BS57:BV57)</f>
        <v>2.65</v>
      </c>
      <c r="BX57" s="1032">
        <v>3</v>
      </c>
      <c r="BY57" s="1084">
        <v>3</v>
      </c>
      <c r="BZ57" s="1084">
        <v>3</v>
      </c>
      <c r="CA57" s="1085">
        <v>3</v>
      </c>
      <c r="CB57" s="102">
        <f>AVERAGE(BX57:CA57)</f>
        <v>3</v>
      </c>
      <c r="CC57" s="1106">
        <v>3</v>
      </c>
      <c r="CD57" s="1084">
        <v>3</v>
      </c>
      <c r="CE57" s="1084">
        <v>3</v>
      </c>
      <c r="CF57" s="1085">
        <v>3</v>
      </c>
      <c r="CG57" s="1485">
        <f>AVERAGE(CC57:CF57)</f>
        <v>3</v>
      </c>
      <c r="CH57" s="1106">
        <v>3</v>
      </c>
      <c r="CI57" s="1084">
        <v>3</v>
      </c>
      <c r="CJ57" s="1084">
        <v>3</v>
      </c>
      <c r="CK57" s="1085">
        <v>3</v>
      </c>
      <c r="CL57" s="102">
        <f>AVERAGE(CH57:CK57)</f>
        <v>3</v>
      </c>
      <c r="CM57" s="1106">
        <v>3</v>
      </c>
      <c r="CN57" s="1084">
        <v>3</v>
      </c>
      <c r="CO57" s="1084">
        <v>3</v>
      </c>
      <c r="CP57" s="1085">
        <v>3</v>
      </c>
      <c r="CQ57" s="1457">
        <f>AVERAGE(CM57:CP57)</f>
        <v>3</v>
      </c>
      <c r="CR57" s="1459"/>
      <c r="CS57" s="90"/>
      <c r="CT57" s="90"/>
      <c r="CU57" s="75"/>
    </row>
    <row r="58" spans="1:105" ht="13.5" customHeight="1" outlineLevel="1">
      <c r="A58" s="76"/>
      <c r="B58" s="81" t="s">
        <v>923</v>
      </c>
      <c r="C58" s="76"/>
      <c r="D58" s="104"/>
      <c r="E58" s="104"/>
      <c r="F58" s="299">
        <f>G58</f>
        <v>26.93112620555091</v>
      </c>
      <c r="G58" s="299">
        <f>H58</f>
        <v>26.93112620555091</v>
      </c>
      <c r="H58" s="299">
        <f>I58</f>
        <v>26.93112620555091</v>
      </c>
      <c r="I58" s="299">
        <f>J58</f>
        <v>26.93112620555091</v>
      </c>
      <c r="J58" s="669">
        <v>26.93112620555091</v>
      </c>
      <c r="K58" s="299">
        <f>L58</f>
        <v>37.451472152738582</v>
      </c>
      <c r="L58" s="299">
        <f>M58</f>
        <v>37.451472152738582</v>
      </c>
      <c r="M58" s="299">
        <f>N58</f>
        <v>37.451472152738582</v>
      </c>
      <c r="N58" s="299">
        <f>O58</f>
        <v>37.451472152738582</v>
      </c>
      <c r="O58" s="669">
        <v>37.451472152738582</v>
      </c>
      <c r="P58" s="299">
        <f>Q58</f>
        <v>42.710846124510468</v>
      </c>
      <c r="Q58" s="299">
        <f>R58</f>
        <v>42.710846124510468</v>
      </c>
      <c r="R58" s="299">
        <f>S58</f>
        <v>42.710846124510468</v>
      </c>
      <c r="S58" s="299">
        <f>T58</f>
        <v>42.710846124510468</v>
      </c>
      <c r="T58" s="669">
        <v>42.710846124510468</v>
      </c>
      <c r="U58" s="299">
        <f>V58</f>
        <v>47.271845997288167</v>
      </c>
      <c r="V58" s="299">
        <f>W58</f>
        <v>47.271845997288167</v>
      </c>
      <c r="W58" s="299">
        <f>X58</f>
        <v>47.271845997288167</v>
      </c>
      <c r="X58" s="299">
        <f>Y58</f>
        <v>47.271845997288167</v>
      </c>
      <c r="Y58" s="669">
        <v>47.271845997288167</v>
      </c>
      <c r="Z58" s="299">
        <f>AA58</f>
        <v>47.92003672166301</v>
      </c>
      <c r="AA58" s="299">
        <f>AB58</f>
        <v>47.92003672166301</v>
      </c>
      <c r="AB58" s="299">
        <f>AC58</f>
        <v>47.92003672166301</v>
      </c>
      <c r="AC58" s="299">
        <f>AD58</f>
        <v>47.92003672166301</v>
      </c>
      <c r="AD58" s="669">
        <v>47.92003672166301</v>
      </c>
      <c r="AE58" s="299">
        <f>AF58</f>
        <v>55</v>
      </c>
      <c r="AF58" s="299">
        <f>AG58</f>
        <v>55</v>
      </c>
      <c r="AG58" s="299">
        <f>AH58</f>
        <v>55</v>
      </c>
      <c r="AH58" s="299">
        <f>AI58</f>
        <v>55</v>
      </c>
      <c r="AI58" s="669">
        <f>40+15</f>
        <v>55</v>
      </c>
      <c r="AJ58" s="928">
        <f>AK58</f>
        <v>60</v>
      </c>
      <c r="AK58" s="299">
        <f>AL58</f>
        <v>60</v>
      </c>
      <c r="AL58" s="299">
        <f>AM58</f>
        <v>60</v>
      </c>
      <c r="AM58" s="929">
        <f>AN58</f>
        <v>60</v>
      </c>
      <c r="AN58" s="669">
        <f>45+15</f>
        <v>60</v>
      </c>
      <c r="AO58" s="928">
        <f>AP58</f>
        <v>60.6</v>
      </c>
      <c r="AP58" s="299">
        <f>AQ58</f>
        <v>60.6</v>
      </c>
      <c r="AQ58" s="299">
        <f>AR58</f>
        <v>60.6</v>
      </c>
      <c r="AR58" s="929">
        <f>AS58</f>
        <v>60.6</v>
      </c>
      <c r="AS58" s="669">
        <f>AN58*1.01</f>
        <v>60.6</v>
      </c>
      <c r="AT58" s="928">
        <f>AU58</f>
        <v>61.206000000000003</v>
      </c>
      <c r="AU58" s="299">
        <f>AV58</f>
        <v>61.206000000000003</v>
      </c>
      <c r="AV58" s="299">
        <f>AW58</f>
        <v>61.206000000000003</v>
      </c>
      <c r="AW58" s="929">
        <f>AX58</f>
        <v>61.206000000000003</v>
      </c>
      <c r="AX58" s="669">
        <f>AS58*1.01</f>
        <v>61.206000000000003</v>
      </c>
      <c r="AY58" s="928">
        <f>AZ58</f>
        <v>61.818060000000003</v>
      </c>
      <c r="AZ58" s="299">
        <f>BA58</f>
        <v>61.818060000000003</v>
      </c>
      <c r="BA58" s="299">
        <f>BB58</f>
        <v>61.818060000000003</v>
      </c>
      <c r="BB58" s="929">
        <f>BC58</f>
        <v>61.818060000000003</v>
      </c>
      <c r="BC58" s="669">
        <f>AX58*1.01</f>
        <v>61.818060000000003</v>
      </c>
      <c r="BD58" s="928">
        <f>BE58</f>
        <v>62.436240600000005</v>
      </c>
      <c r="BE58" s="299">
        <f>BF58</f>
        <v>62.436240600000005</v>
      </c>
      <c r="BF58" s="299">
        <f>BG58</f>
        <v>62.436240600000005</v>
      </c>
      <c r="BG58" s="929">
        <f>BH58</f>
        <v>62.436240600000005</v>
      </c>
      <c r="BH58" s="669">
        <f>BC58*1.01</f>
        <v>62.436240600000005</v>
      </c>
      <c r="BI58" s="928">
        <f>BJ58</f>
        <v>63.060603006000008</v>
      </c>
      <c r="BJ58" s="299">
        <f>BK58</f>
        <v>63.060603006000008</v>
      </c>
      <c r="BK58" s="299">
        <f>BL58</f>
        <v>63.060603006000008</v>
      </c>
      <c r="BL58" s="929">
        <f>BM58</f>
        <v>63.060603006000008</v>
      </c>
      <c r="BM58" s="669">
        <f>BH58*1.01</f>
        <v>63.060603006000008</v>
      </c>
      <c r="BN58" s="928">
        <f>BO58</f>
        <v>63.691209036060009</v>
      </c>
      <c r="BO58" s="299">
        <f>BP58</f>
        <v>63.691209036060009</v>
      </c>
      <c r="BP58" s="299">
        <f>BQ58</f>
        <v>63.691209036060009</v>
      </c>
      <c r="BQ58" s="929">
        <f>BR58</f>
        <v>63.691209036060009</v>
      </c>
      <c r="BR58" s="738">
        <f>BM58*1.01</f>
        <v>63.691209036060009</v>
      </c>
      <c r="BS58" s="928">
        <f>BT58</f>
        <v>64.328121126420612</v>
      </c>
      <c r="BT58" s="299">
        <f>BU58</f>
        <v>64.328121126420612</v>
      </c>
      <c r="BU58" s="299">
        <f>BV58</f>
        <v>64.328121126420612</v>
      </c>
      <c r="BV58" s="929">
        <f>BW58</f>
        <v>64.328121126420612</v>
      </c>
      <c r="BW58" s="738">
        <f>BR58*1.01</f>
        <v>64.328121126420612</v>
      </c>
      <c r="BX58" s="928">
        <f>BY58</f>
        <v>64.971402337684822</v>
      </c>
      <c r="BY58" s="299">
        <f>BZ58</f>
        <v>64.971402337684822</v>
      </c>
      <c r="BZ58" s="299">
        <f>CA58</f>
        <v>64.971402337684822</v>
      </c>
      <c r="CA58" s="929">
        <f>CB58</f>
        <v>64.971402337684822</v>
      </c>
      <c r="CB58" s="872">
        <f>BW58*1.01</f>
        <v>64.971402337684822</v>
      </c>
      <c r="CC58" s="928">
        <f>CD58</f>
        <v>65.621116361061667</v>
      </c>
      <c r="CD58" s="299">
        <f>CE58</f>
        <v>65.621116361061667</v>
      </c>
      <c r="CE58" s="299">
        <f>CF58</f>
        <v>65.621116361061667</v>
      </c>
      <c r="CF58" s="929">
        <f>CG58</f>
        <v>65.621116361061667</v>
      </c>
      <c r="CG58" s="1486">
        <f>CB58*1.01</f>
        <v>65.621116361061667</v>
      </c>
      <c r="CH58" s="928">
        <f>CI58</f>
        <v>66.277327524672287</v>
      </c>
      <c r="CI58" s="299">
        <f>CJ58</f>
        <v>66.277327524672287</v>
      </c>
      <c r="CJ58" s="299">
        <f>CK58</f>
        <v>66.277327524672287</v>
      </c>
      <c r="CK58" s="929">
        <f>CL58</f>
        <v>66.277327524672287</v>
      </c>
      <c r="CL58" s="872">
        <f>CG58*1.01</f>
        <v>66.277327524672287</v>
      </c>
      <c r="CM58" s="928">
        <f>CN58</f>
        <v>66</v>
      </c>
      <c r="CN58" s="299">
        <f>CO58</f>
        <v>66</v>
      </c>
      <c r="CO58" s="299">
        <f>CP58</f>
        <v>66</v>
      </c>
      <c r="CP58" s="929">
        <f>CQ58</f>
        <v>66</v>
      </c>
      <c r="CQ58" s="872">
        <v>66</v>
      </c>
    </row>
    <row r="59" spans="1:105" s="851" customFormat="1" ht="13.5" customHeight="1" outlineLevel="1">
      <c r="A59" s="105"/>
      <c r="B59" s="279"/>
      <c r="C59" s="105"/>
      <c r="D59" s="309"/>
      <c r="E59" s="309"/>
      <c r="F59" s="763"/>
      <c r="G59" s="763"/>
      <c r="H59" s="763"/>
      <c r="I59" s="763"/>
      <c r="J59" s="738"/>
      <c r="K59" s="763"/>
      <c r="L59" s="763"/>
      <c r="M59" s="763"/>
      <c r="N59" s="763"/>
      <c r="O59" s="738"/>
      <c r="P59" s="763"/>
      <c r="Q59" s="763"/>
      <c r="R59" s="763"/>
      <c r="S59" s="763"/>
      <c r="T59" s="738"/>
      <c r="U59" s="763"/>
      <c r="V59" s="763"/>
      <c r="W59" s="763"/>
      <c r="X59" s="763"/>
      <c r="Y59" s="738"/>
      <c r="Z59" s="763"/>
      <c r="AA59" s="763"/>
      <c r="AB59" s="763"/>
      <c r="AC59" s="763"/>
      <c r="AD59" s="738"/>
      <c r="AE59" s="763"/>
      <c r="AF59" s="763"/>
      <c r="AG59" s="763"/>
      <c r="AH59" s="763"/>
      <c r="AI59" s="738"/>
      <c r="AJ59" s="945"/>
      <c r="AK59" s="763"/>
      <c r="AL59" s="763"/>
      <c r="AM59" s="946"/>
      <c r="AN59" s="738"/>
      <c r="AO59" s="945"/>
      <c r="AP59" s="763"/>
      <c r="AQ59" s="763"/>
      <c r="AR59" s="946"/>
      <c r="AS59" s="738"/>
      <c r="AT59" s="945"/>
      <c r="AU59" s="763"/>
      <c r="AV59" s="763"/>
      <c r="AW59" s="946"/>
      <c r="AX59" s="738"/>
      <c r="AY59" s="945"/>
      <c r="AZ59" s="763"/>
      <c r="BA59" s="763"/>
      <c r="BB59" s="946"/>
      <c r="BC59" s="738"/>
      <c r="BD59" s="945"/>
      <c r="BE59" s="763"/>
      <c r="BF59" s="763"/>
      <c r="BG59" s="946"/>
      <c r="BH59" s="738"/>
      <c r="BI59" s="945"/>
      <c r="BJ59" s="763"/>
      <c r="BK59" s="763"/>
      <c r="BL59" s="946"/>
      <c r="BM59" s="738"/>
      <c r="BN59" s="945"/>
      <c r="BO59" s="763"/>
      <c r="BP59" s="763"/>
      <c r="BQ59" s="946"/>
      <c r="BR59" s="738"/>
      <c r="BS59" s="945"/>
      <c r="BT59" s="763"/>
      <c r="BU59" s="763"/>
      <c r="BV59" s="946"/>
      <c r="BW59" s="738"/>
      <c r="BX59" s="945"/>
      <c r="BY59" s="763"/>
      <c r="BZ59" s="763"/>
      <c r="CA59" s="946"/>
      <c r="CB59" s="738"/>
      <c r="CC59" s="945"/>
      <c r="CD59" s="763"/>
      <c r="CE59" s="763"/>
      <c r="CF59" s="946"/>
      <c r="CG59" s="1487"/>
      <c r="CH59" s="945"/>
      <c r="CI59" s="763"/>
      <c r="CJ59" s="763"/>
      <c r="CK59" s="946"/>
      <c r="CL59" s="738"/>
      <c r="CM59" s="945"/>
      <c r="CN59" s="763"/>
      <c r="CO59" s="763"/>
      <c r="CP59" s="946"/>
      <c r="CQ59" s="738"/>
      <c r="CR59" s="1463"/>
      <c r="CV59"/>
      <c r="CW59"/>
      <c r="CX59"/>
      <c r="CY59"/>
      <c r="CZ59"/>
      <c r="DA59"/>
    </row>
    <row r="60" spans="1:105" ht="13.5" customHeight="1" outlineLevel="1">
      <c r="A60" s="76"/>
      <c r="B60" s="81" t="s">
        <v>923</v>
      </c>
      <c r="C60" s="76"/>
      <c r="D60" s="104"/>
      <c r="E60" s="104"/>
      <c r="F60" s="669">
        <v>123</v>
      </c>
      <c r="G60" s="299">
        <f>AVERAGE(F58:G58)</f>
        <v>26.93112620555091</v>
      </c>
      <c r="H60" s="299">
        <f>AVERAGE(G58:H58)</f>
        <v>26.93112620555091</v>
      </c>
      <c r="I60" s="299">
        <f>AVERAGE(H58:I58)</f>
        <v>26.93112620555091</v>
      </c>
      <c r="J60" s="299">
        <f>AVERAGE(F60:I60)</f>
        <v>50.948344654163193</v>
      </c>
      <c r="K60" s="299">
        <f>AVERAGE(I58,K58)</f>
        <v>32.19129917914475</v>
      </c>
      <c r="L60" s="299">
        <f>AVERAGE(K58,L58)</f>
        <v>37.451472152738582</v>
      </c>
      <c r="M60" s="299">
        <f>AVERAGE(L58,M58)</f>
        <v>37.451472152738582</v>
      </c>
      <c r="N60" s="299">
        <f>AVERAGE(M58,N58)</f>
        <v>37.451472152738582</v>
      </c>
      <c r="O60" s="299">
        <f>AVERAGE(K60:N60)</f>
        <v>36.136428909340118</v>
      </c>
      <c r="P60" s="299">
        <f>AVERAGE(N58,P58)</f>
        <v>40.081159138624528</v>
      </c>
      <c r="Q60" s="299">
        <f>AVERAGE(P58,Q58)</f>
        <v>42.710846124510468</v>
      </c>
      <c r="R60" s="299">
        <f>AVERAGE(Q58,R58)</f>
        <v>42.710846124510468</v>
      </c>
      <c r="S60" s="299">
        <f>AVERAGE(R58,S58)</f>
        <v>42.710846124510468</v>
      </c>
      <c r="T60" s="299">
        <f>AVERAGE(P60:S60)</f>
        <v>42.053424378038983</v>
      </c>
      <c r="U60" s="299">
        <f>AVERAGE(S58,U58)</f>
        <v>44.991346060899318</v>
      </c>
      <c r="V60" s="299">
        <f>AVERAGE(U58,V58)</f>
        <v>47.271845997288167</v>
      </c>
      <c r="W60" s="299">
        <f>AVERAGE(V58,W58)</f>
        <v>47.271845997288167</v>
      </c>
      <c r="X60" s="299">
        <f>AVERAGE(W58,X58)</f>
        <v>47.271845997288167</v>
      </c>
      <c r="Y60" s="299">
        <f>AVERAGE(U60:X60)</f>
        <v>46.701721013190948</v>
      </c>
      <c r="Z60" s="299">
        <f>AVERAGE(X58,Z58)</f>
        <v>47.595941359475589</v>
      </c>
      <c r="AA60" s="299">
        <f>AVERAGE(Z58,AA58)</f>
        <v>47.92003672166301</v>
      </c>
      <c r="AB60" s="299">
        <f>AVERAGE(AA58,AB58)</f>
        <v>47.92003672166301</v>
      </c>
      <c r="AC60" s="299">
        <f>AVERAGE(AB58,AC58)</f>
        <v>47.92003672166301</v>
      </c>
      <c r="AD60" s="299">
        <f>AVERAGE(Z60:AC60)</f>
        <v>47.839012881116147</v>
      </c>
      <c r="AE60" s="299">
        <f>AVERAGE(AC58,AE58)</f>
        <v>51.460018360831505</v>
      </c>
      <c r="AF60" s="299">
        <f>AVERAGE(AE58,AF58)</f>
        <v>55</v>
      </c>
      <c r="AG60" s="299">
        <f>AVERAGE(AF58,AG58)</f>
        <v>55</v>
      </c>
      <c r="AH60" s="299">
        <f>AVERAGE(AG58,AH58)</f>
        <v>55</v>
      </c>
      <c r="AI60" s="299">
        <f>AVERAGE(AE60:AH60)</f>
        <v>54.115004590207874</v>
      </c>
      <c r="AJ60" s="928">
        <f>AVERAGE(AH58,AJ58)</f>
        <v>57.5</v>
      </c>
      <c r="AK60" s="299">
        <f>AVERAGE(AJ58,AK58)</f>
        <v>60</v>
      </c>
      <c r="AL60" s="299">
        <f>AVERAGE(AK58,AL58)</f>
        <v>60</v>
      </c>
      <c r="AM60" s="929">
        <f>AVERAGE(AL58,AM58)</f>
        <v>60</v>
      </c>
      <c r="AN60" s="299">
        <f>AVERAGE(AJ60:AM60)</f>
        <v>59.375</v>
      </c>
      <c r="AO60" s="928">
        <f>AVERAGE(AM58,AO58)</f>
        <v>60.3</v>
      </c>
      <c r="AP60" s="299">
        <f>AVERAGE(AO58,AP58)</f>
        <v>60.6</v>
      </c>
      <c r="AQ60" s="299">
        <f>AVERAGE(AP58,AQ58)</f>
        <v>60.6</v>
      </c>
      <c r="AR60" s="929">
        <f>AVERAGE(AQ58,AR58)</f>
        <v>60.6</v>
      </c>
      <c r="AS60" s="299">
        <f>AVERAGE(AO60:AR60)</f>
        <v>60.524999999999999</v>
      </c>
      <c r="AT60" s="928">
        <f>AVERAGE(AR58,AT58)</f>
        <v>60.903000000000006</v>
      </c>
      <c r="AU60" s="299">
        <f>AVERAGE(AT58,AU58)</f>
        <v>61.206000000000003</v>
      </c>
      <c r="AV60" s="299">
        <f>AVERAGE(AU58,AV58)</f>
        <v>61.206000000000003</v>
      </c>
      <c r="AW60" s="929">
        <f>AVERAGE(AV58,AW58)</f>
        <v>61.206000000000003</v>
      </c>
      <c r="AX60" s="299">
        <f>AVERAGE(AT60:AW60)</f>
        <v>61.130250000000004</v>
      </c>
      <c r="AY60" s="928">
        <f>AVERAGE(AW58,AY58)</f>
        <v>61.512030000000003</v>
      </c>
      <c r="AZ60" s="299">
        <f>AVERAGE(AY58,AZ58)</f>
        <v>61.818060000000003</v>
      </c>
      <c r="BA60" s="299">
        <f>AVERAGE(AZ58,BA58)</f>
        <v>61.818060000000003</v>
      </c>
      <c r="BB60" s="929">
        <f>AVERAGE(BA58,BB58)</f>
        <v>61.818060000000003</v>
      </c>
      <c r="BC60" s="299">
        <f>AVERAGE(AY60:BB60)</f>
        <v>61.741552500000004</v>
      </c>
      <c r="BD60" s="928">
        <f>AVERAGE(BB58,BD58)</f>
        <v>62.127150300000004</v>
      </c>
      <c r="BE60" s="299">
        <f>AVERAGE(BD58,BE58)</f>
        <v>62.436240600000005</v>
      </c>
      <c r="BF60" s="299">
        <f>AVERAGE(BE58,BF58)</f>
        <v>62.436240600000005</v>
      </c>
      <c r="BG60" s="929">
        <f>AVERAGE(BF58,BG58)</f>
        <v>62.436240600000005</v>
      </c>
      <c r="BH60" s="299">
        <f>AVERAGE(BD60:BG60)</f>
        <v>62.35896802500001</v>
      </c>
      <c r="BI60" s="928">
        <f>AVERAGE(BG58,BI58)</f>
        <v>62.748421803000006</v>
      </c>
      <c r="BJ60" s="299">
        <f>AVERAGE(BI58,BJ58)</f>
        <v>63.060603006000008</v>
      </c>
      <c r="BK60" s="299">
        <f>AVERAGE(BJ58,BK58)</f>
        <v>63.060603006000008</v>
      </c>
      <c r="BL60" s="929">
        <f>AVERAGE(BK58,BL58)</f>
        <v>63.060603006000008</v>
      </c>
      <c r="BM60" s="299">
        <f>AVERAGE(BI60:BL60)</f>
        <v>62.982557705250009</v>
      </c>
      <c r="BN60" s="928">
        <f>AVERAGE(BL58,BN58)</f>
        <v>63.375906021030005</v>
      </c>
      <c r="BO60" s="299">
        <f>AVERAGE(BN58,BO58)</f>
        <v>63.691209036060009</v>
      </c>
      <c r="BP60" s="299">
        <f>AVERAGE(BO58,BP58)</f>
        <v>63.691209036060009</v>
      </c>
      <c r="BQ60" s="929">
        <f>AVERAGE(BP58,BQ58)</f>
        <v>63.691209036060009</v>
      </c>
      <c r="BR60" s="299">
        <f>AVERAGE(BN60:BQ60)</f>
        <v>63.612383282302503</v>
      </c>
      <c r="BS60" s="928">
        <f>AVERAGE(BQ58,BS58)</f>
        <v>64.009665081240314</v>
      </c>
      <c r="BT60" s="299">
        <f>AVERAGE(BS58,BT58)</f>
        <v>64.328121126420612</v>
      </c>
      <c r="BU60" s="299">
        <f>AVERAGE(BT58,BU58)</f>
        <v>64.328121126420612</v>
      </c>
      <c r="BV60" s="929">
        <f>AVERAGE(BU58,BV58)</f>
        <v>64.328121126420612</v>
      </c>
      <c r="BW60" s="299">
        <f>AVERAGE(BS60:BV60)</f>
        <v>64.248507115125548</v>
      </c>
      <c r="BX60" s="928">
        <f>AVERAGE(BV58,BX58)</f>
        <v>64.649761732052724</v>
      </c>
      <c r="BY60" s="299">
        <f>AVERAGE(BX58,BY58)</f>
        <v>64.971402337684822</v>
      </c>
      <c r="BZ60" s="299">
        <f>AVERAGE(BY58,BZ58)</f>
        <v>64.971402337684822</v>
      </c>
      <c r="CA60" s="929">
        <f>AVERAGE(BZ58,CA58)</f>
        <v>64.971402337684822</v>
      </c>
      <c r="CB60" s="299">
        <f>AVERAGE(BX60:CA60)</f>
        <v>64.890992186276804</v>
      </c>
      <c r="CC60" s="928">
        <f>AVERAGE(CA58,CC58)</f>
        <v>65.296259349373244</v>
      </c>
      <c r="CD60" s="299">
        <f>AVERAGE(CC58,CD58)</f>
        <v>65.621116361061667</v>
      </c>
      <c r="CE60" s="299">
        <f>AVERAGE(CD58,CE58)</f>
        <v>65.621116361061667</v>
      </c>
      <c r="CF60" s="929">
        <f>AVERAGE(CE58,CF58)</f>
        <v>65.621116361061667</v>
      </c>
      <c r="CG60" s="1481">
        <f>AVERAGE(CC60:CF60)</f>
        <v>65.539902108139557</v>
      </c>
      <c r="CH60" s="928">
        <f>AVERAGE(CF58,CH58)</f>
        <v>65.949221942866984</v>
      </c>
      <c r="CI60" s="299">
        <f>AVERAGE(CH58,CI58)</f>
        <v>66.277327524672287</v>
      </c>
      <c r="CJ60" s="299">
        <f>AVERAGE(CI58,CJ58)</f>
        <v>66.277327524672287</v>
      </c>
      <c r="CK60" s="929">
        <f>AVERAGE(CJ58,CK58)</f>
        <v>66.277327524672287</v>
      </c>
      <c r="CL60" s="299">
        <f>AVERAGE(CH60:CK60)</f>
        <v>66.195301129220951</v>
      </c>
      <c r="CM60" s="928">
        <f>AVERAGE(CK58,CM58)</f>
        <v>66.138663762336137</v>
      </c>
      <c r="CN60" s="299">
        <f>AVERAGE(CM58,CN58)</f>
        <v>66</v>
      </c>
      <c r="CO60" s="299">
        <f>AVERAGE(CN58,CO58)</f>
        <v>66</v>
      </c>
      <c r="CP60" s="929">
        <f>AVERAGE(CO58,CP58)</f>
        <v>66</v>
      </c>
      <c r="CQ60" s="299">
        <f>AVERAGE(CM60:CP60)</f>
        <v>66.034665940584034</v>
      </c>
    </row>
    <row r="61" spans="1:105" ht="13.5" customHeight="1" outlineLevel="1">
      <c r="A61" s="76"/>
      <c r="B61" s="81" t="s">
        <v>911</v>
      </c>
      <c r="C61" s="76"/>
      <c r="D61" s="104"/>
      <c r="E61" s="104"/>
      <c r="F61" s="299"/>
      <c r="G61" s="299"/>
      <c r="H61" s="299"/>
      <c r="I61" s="299"/>
      <c r="J61" s="299"/>
      <c r="K61" s="299"/>
      <c r="L61" s="299"/>
      <c r="M61" s="299"/>
      <c r="N61" s="299"/>
      <c r="O61" s="299"/>
      <c r="P61" s="299"/>
      <c r="Q61" s="299"/>
      <c r="R61" s="299"/>
      <c r="S61" s="299"/>
      <c r="T61" s="299"/>
      <c r="U61" s="299"/>
      <c r="V61" s="299"/>
      <c r="W61" s="299"/>
      <c r="X61" s="299"/>
      <c r="Y61" s="299"/>
      <c r="Z61" s="299">
        <f>AVERAGE(X54,Z54)</f>
        <v>110</v>
      </c>
      <c r="AA61" s="299">
        <f>AVERAGE(Z54,AA54)</f>
        <v>110</v>
      </c>
      <c r="AB61" s="299">
        <f>AVERAGE(AA54,AB54)</f>
        <v>110</v>
      </c>
      <c r="AC61" s="299">
        <f>AVERAGE(AB54,AC54)</f>
        <v>110</v>
      </c>
      <c r="AD61" s="299">
        <f>AVERAGE(Z61:AC61)</f>
        <v>110</v>
      </c>
      <c r="AE61" s="299">
        <f>AVERAGE(AC54,AE54)</f>
        <v>120</v>
      </c>
      <c r="AF61" s="299">
        <f>AVERAGE(AE54,AF54)</f>
        <v>130</v>
      </c>
      <c r="AG61" s="299">
        <f>AVERAGE(AF54,AG54)</f>
        <v>130</v>
      </c>
      <c r="AH61" s="299">
        <f>AVERAGE(AG54,AH54)</f>
        <v>130</v>
      </c>
      <c r="AI61" s="299">
        <f>AVERAGE(AE61:AH61)</f>
        <v>127.5</v>
      </c>
      <c r="AJ61" s="928">
        <f>AVERAGE(AH54,AJ54)</f>
        <v>136.62</v>
      </c>
      <c r="AK61" s="299">
        <f>AVERAGE(AJ54,AK54)</f>
        <v>149.4</v>
      </c>
      <c r="AL61" s="299">
        <f>AVERAGE(AK54,AL54)</f>
        <v>158.495</v>
      </c>
      <c r="AM61" s="929">
        <f>AVERAGE(AL54,AM54)</f>
        <v>153.91</v>
      </c>
      <c r="AN61" s="299">
        <f>AVERAGE(AJ61:AM61)</f>
        <v>149.60624999999999</v>
      </c>
      <c r="AO61" s="928">
        <f>AVERAGE(AM54,AO54)</f>
        <v>149.5</v>
      </c>
      <c r="AP61" s="299">
        <f>AVERAGE(AO54,AP54)</f>
        <v>150.74</v>
      </c>
      <c r="AQ61" s="299">
        <f>AVERAGE(AP54,AQ54)</f>
        <v>149.435</v>
      </c>
      <c r="AR61" s="929">
        <f>AVERAGE(AQ54,AR54)</f>
        <v>175</v>
      </c>
      <c r="AS61" s="299">
        <f>AVERAGE(AO61:AR61)</f>
        <v>156.16874999999999</v>
      </c>
      <c r="AT61" s="928">
        <f>AVERAGE(AR54,AT54)</f>
        <v>186.40000000000003</v>
      </c>
      <c r="AU61" s="299">
        <f>AVERAGE(AT54,AU54)</f>
        <v>183.65500000000003</v>
      </c>
      <c r="AV61" s="299">
        <f>AVERAGE(AU54,AV54)</f>
        <v>194.10499999999996</v>
      </c>
      <c r="AW61" s="929">
        <f>AVERAGE(AV54,AW54)</f>
        <v>199.44999999999996</v>
      </c>
      <c r="AX61" s="299">
        <f>AVERAGE(AT61:AW61)</f>
        <v>190.9025</v>
      </c>
      <c r="AY61" s="928">
        <f>AVERAGE(AW54,AY54)</f>
        <v>197.09999999999997</v>
      </c>
      <c r="AZ61" s="299">
        <f>AVERAGE(AY54,AZ54)</f>
        <v>189</v>
      </c>
      <c r="BA61" s="299">
        <f>AVERAGE(AZ54,BA54)</f>
        <v>189</v>
      </c>
      <c r="BB61" s="929">
        <f>AVERAGE(BA54,BB54)</f>
        <v>189</v>
      </c>
      <c r="BC61" s="299">
        <f>AVERAGE(AY61:BB61)</f>
        <v>191.02499999999998</v>
      </c>
      <c r="BD61" s="928">
        <f>BB54*0.67+BD54*0.33</f>
        <v>174.48000000000002</v>
      </c>
      <c r="BE61" s="299">
        <f>AVERAGE(BD54,BE54)</f>
        <v>145</v>
      </c>
      <c r="BF61" s="299">
        <f>AVERAGE(BE54,BF54)</f>
        <v>145</v>
      </c>
      <c r="BG61" s="929">
        <f>AVERAGE(BF54,BG54)</f>
        <v>145</v>
      </c>
      <c r="BH61" s="299">
        <f>AVERAGE(BD61:BG61)</f>
        <v>152.37</v>
      </c>
      <c r="BI61" s="928">
        <f>BG61</f>
        <v>145</v>
      </c>
      <c r="BJ61" s="299">
        <f>AVERAGE(BI54,BJ54)</f>
        <v>133</v>
      </c>
      <c r="BK61" s="299">
        <f>AVERAGE(BJ54,BK54)</f>
        <v>133</v>
      </c>
      <c r="BL61" s="929">
        <f>AVERAGE(BK54,BL54)</f>
        <v>133</v>
      </c>
      <c r="BM61" s="299">
        <f>AVERAGE(BI61:BL61)</f>
        <v>136</v>
      </c>
      <c r="BN61" s="928">
        <f>BL54*0.67+BN54*0.33</f>
        <v>125.41</v>
      </c>
      <c r="BO61" s="299">
        <f>AVERAGE(BN54,BO54)</f>
        <v>110</v>
      </c>
      <c r="BP61" s="299">
        <f>AVERAGE(BO54,BP54)</f>
        <v>110</v>
      </c>
      <c r="BQ61" s="929">
        <f>AVERAGE(BP54,BQ54)</f>
        <v>110</v>
      </c>
      <c r="BR61" s="299">
        <f>AVERAGE(BN61:BQ61)</f>
        <v>113.85249999999999</v>
      </c>
      <c r="BS61" s="928">
        <f>BQ54*0.67+BS54*0.33</f>
        <v>111.65</v>
      </c>
      <c r="BT61" s="299">
        <f>AVERAGE(BS54,BT54)</f>
        <v>115</v>
      </c>
      <c r="BU61" s="299">
        <f>AVERAGE(BT54,BU54)</f>
        <v>115</v>
      </c>
      <c r="BV61" s="929">
        <f>AVERAGE(BU54,BV54)</f>
        <v>115</v>
      </c>
      <c r="BW61" s="299">
        <f>AVERAGE(BS61:BV61)</f>
        <v>114.16249999999999</v>
      </c>
      <c r="BX61" s="928">
        <f>AVERAGE(BV54,BX54)</f>
        <v>124.5</v>
      </c>
      <c r="BY61" s="299">
        <f t="shared" ref="BY61:BZ61" si="85">AVERAGE(BX54,BY54)</f>
        <v>134</v>
      </c>
      <c r="BZ61" s="299">
        <f t="shared" si="85"/>
        <v>134</v>
      </c>
      <c r="CA61" s="929">
        <f>AVERAGE(BZ54,CA54)</f>
        <v>134</v>
      </c>
      <c r="CB61" s="299">
        <f>AVERAGE(BX61:CA61)</f>
        <v>131.625</v>
      </c>
      <c r="CC61" s="928">
        <f>CA54*0.67+CC54*0.33</f>
        <v>137.63</v>
      </c>
      <c r="CD61" s="299">
        <f>CC54*0.67+CD54*0.33</f>
        <v>145</v>
      </c>
      <c r="CE61" s="299">
        <f t="shared" ref="CE61:CF61" si="86">CD54*0.67+CE54*0.33</f>
        <v>145</v>
      </c>
      <c r="CF61" s="929">
        <f t="shared" si="86"/>
        <v>145</v>
      </c>
      <c r="CG61" s="1481">
        <f>AVERAGE(CC61:CF61)</f>
        <v>143.1575</v>
      </c>
      <c r="CH61" s="928">
        <f>CF54*0.67+CH54*0.33</f>
        <v>141.70000000000002</v>
      </c>
      <c r="CI61" s="299">
        <f>CH54*0.67+CI54*0.33</f>
        <v>135</v>
      </c>
      <c r="CJ61" s="299">
        <f t="shared" ref="CJ61:CK61" si="87">CI54*0.67+CJ54*0.33</f>
        <v>135</v>
      </c>
      <c r="CK61" s="929">
        <f t="shared" si="87"/>
        <v>135</v>
      </c>
      <c r="CL61" s="299">
        <f>AVERAGE(CH61:CK61)</f>
        <v>136.67500000000001</v>
      </c>
      <c r="CM61" s="928">
        <f>CK54*0.67+CM54*0.33</f>
        <v>135</v>
      </c>
      <c r="CN61" s="299">
        <f>CM54*0.67+CN54*0.33</f>
        <v>135</v>
      </c>
      <c r="CO61" s="299">
        <f t="shared" ref="CO61:CP61" si="88">CN54*0.67+CO54*0.33</f>
        <v>135</v>
      </c>
      <c r="CP61" s="929">
        <f t="shared" si="88"/>
        <v>135</v>
      </c>
      <c r="CQ61" s="299">
        <f>AVERAGE(CM61:CP61)</f>
        <v>135</v>
      </c>
    </row>
    <row r="62" spans="1:105" ht="13.5" customHeight="1" outlineLevel="1">
      <c r="A62" s="76"/>
      <c r="B62" s="81" t="s">
        <v>912</v>
      </c>
      <c r="C62" s="76"/>
      <c r="D62" s="104"/>
      <c r="E62" s="104"/>
      <c r="F62" s="669">
        <v>123</v>
      </c>
      <c r="G62" s="299">
        <f>AVERAGE(F63:G63)</f>
        <v>124.17833333333333</v>
      </c>
      <c r="H62" s="299">
        <f>AVERAGE(G63:H63)</f>
        <v>128.73833333333334</v>
      </c>
      <c r="I62" s="299">
        <f>AVERAGE(H63:I63)</f>
        <v>140.83333333333334</v>
      </c>
      <c r="J62" s="299">
        <f>AVERAGE(F62:I62)</f>
        <v>129.1875</v>
      </c>
      <c r="K62" s="299">
        <f>AVERAGE(K63,I63)</f>
        <v>176.42166666666668</v>
      </c>
      <c r="L62" s="299">
        <f>AVERAGE(K63:L63)</f>
        <v>213.14000000000001</v>
      </c>
      <c r="M62" s="299">
        <f>AVERAGE(L63:M63)</f>
        <v>228.22916666666669</v>
      </c>
      <c r="N62" s="299">
        <f>AVERAGE(M63:N63)</f>
        <v>254.86250000000001</v>
      </c>
      <c r="O62" s="299">
        <f>AVERAGE(K62:N62)</f>
        <v>218.16333333333336</v>
      </c>
      <c r="P62" s="299">
        <f>AVERAGE(P63,N63)</f>
        <v>271.47333333333336</v>
      </c>
      <c r="Q62" s="299">
        <f>AVERAGE(P63:Q63)</f>
        <v>245.9041666666667</v>
      </c>
      <c r="R62" s="299">
        <f>AVERAGE(Q63:R63)</f>
        <v>218.71666666666667</v>
      </c>
      <c r="S62" s="299">
        <f>AVERAGE(R63:S63)</f>
        <v>223.095</v>
      </c>
      <c r="T62" s="299">
        <f>AVERAGE(P62:S62)</f>
        <v>239.79729166666669</v>
      </c>
      <c r="U62" s="299">
        <f>AVERAGE(U63,S63)</f>
        <v>239.09</v>
      </c>
      <c r="V62" s="299">
        <f>AVERAGE(U63:V63)</f>
        <v>249.52166666666665</v>
      </c>
      <c r="W62" s="299">
        <f>AVERAGE(V63:W63)</f>
        <v>257.84749999999997</v>
      </c>
      <c r="X62" s="299">
        <f>AVERAGE(W63:X63)</f>
        <v>251.17333333333332</v>
      </c>
      <c r="Y62" s="299">
        <f>AVERAGE(U62:X62)</f>
        <v>249.40812499999998</v>
      </c>
      <c r="Z62" s="299">
        <f>AVERAGE(Z63,X63)</f>
        <v>252.81916666666666</v>
      </c>
      <c r="AA62" s="299">
        <f>AVERAGE(Z63:AA63)</f>
        <v>278.63833333333332</v>
      </c>
      <c r="AB62" s="299">
        <f>AVERAGE(AA63:AB63)</f>
        <v>287.76666666666665</v>
      </c>
      <c r="AC62" s="299">
        <f>AVERAGE(AB63:AC63)</f>
        <v>284.82333333333332</v>
      </c>
      <c r="AD62" s="299">
        <f>AVERAGE(Z62:AC62)</f>
        <v>276.01187499999997</v>
      </c>
      <c r="AE62" s="299">
        <f>AVERAGE(AE63,AC63)</f>
        <v>315.55250000000001</v>
      </c>
      <c r="AF62" s="299">
        <f>AVERAGE(AE63:AF63)</f>
        <v>406.92166666666674</v>
      </c>
      <c r="AG62" s="299">
        <f>AVERAGE(AF63:AG63)</f>
        <v>500.16666666666674</v>
      </c>
      <c r="AH62" s="299">
        <f>AVERAGE(AG63:AH63)</f>
        <v>442.07416666666666</v>
      </c>
      <c r="AI62" s="299">
        <f>AVERAGE(AE62:AH62)</f>
        <v>416.17875000000004</v>
      </c>
      <c r="AJ62" s="928">
        <f>AVERAGE(AJ63,AH63)</f>
        <v>278.60333333333335</v>
      </c>
      <c r="AK62" s="299">
        <f>AVERAGE(AJ63:AK63)</f>
        <v>203.05416666666665</v>
      </c>
      <c r="AL62" s="299">
        <f>AVERAGE(AK63:AL63)</f>
        <v>216.62333333333331</v>
      </c>
      <c r="AM62" s="929">
        <f>AVERAGE(AL63:AM63)</f>
        <v>249.13333333333333</v>
      </c>
      <c r="AN62" s="299">
        <f>AVERAGE(AJ62:AM62)</f>
        <v>236.85354166666667</v>
      </c>
      <c r="AO62" s="928">
        <f>AVERAGE(AO63,AM63)</f>
        <v>289.88749999999999</v>
      </c>
      <c r="AP62" s="299">
        <f>AVERAGE(AO63:AP63)</f>
        <v>337.96</v>
      </c>
      <c r="AQ62" s="299">
        <f>AVERAGE(AP63:AQ63)</f>
        <v>359.02750000000003</v>
      </c>
      <c r="AR62" s="929">
        <f>AVERAGE(AQ63:AR63)</f>
        <v>353.95583333333332</v>
      </c>
      <c r="AS62" s="299">
        <f>AVERAGE(AO62:AR62)</f>
        <v>335.20770833333336</v>
      </c>
      <c r="AT62" s="928">
        <f>AVERAGE(AT63,AR63)</f>
        <v>382.79916666666668</v>
      </c>
      <c r="AU62" s="299">
        <f>AVERAGE(AT63:AU63)</f>
        <v>431.95583333333332</v>
      </c>
      <c r="AV62" s="299">
        <f>AVERAGE(AU63:AV63)</f>
        <v>450.31083333333333</v>
      </c>
      <c r="AW62" s="929">
        <f>AVERAGE(AV63:AW63)</f>
        <v>444.31583333333339</v>
      </c>
      <c r="AX62" s="299">
        <f>AVERAGE(AT62:AW62)</f>
        <v>427.34541666666667</v>
      </c>
      <c r="AY62" s="928">
        <f>AVERAGE(AY63,AW63)</f>
        <v>439.81000000000006</v>
      </c>
      <c r="AZ62" s="299">
        <f>AVERAGE(AY63:AZ63)</f>
        <v>435.92416666666668</v>
      </c>
      <c r="BA62" s="299">
        <f>AVERAGE(AZ63:BA63)</f>
        <v>413.21833333333331</v>
      </c>
      <c r="BB62" s="929">
        <f>AVERAGE(BA63:BB63)</f>
        <v>382.89916666666664</v>
      </c>
      <c r="BC62" s="299">
        <f>AVERAGE(AY62:BB62)</f>
        <v>417.96291666666667</v>
      </c>
      <c r="BD62" s="928">
        <f>AVERAGE(BD63,BB63)</f>
        <v>375.61333333333334</v>
      </c>
      <c r="BE62" s="299">
        <f>AVERAGE(BD63:BE63)</f>
        <v>381.08583333333331</v>
      </c>
      <c r="BF62" s="299">
        <f>AVERAGE(BE63:BF63)</f>
        <v>376.60249999999996</v>
      </c>
      <c r="BG62" s="929">
        <f>AVERAGE(BF63:BG63)</f>
        <v>373.0141666666666</v>
      </c>
      <c r="BH62" s="299">
        <f>AVERAGE(BD62:BG62)</f>
        <v>376.57895833333333</v>
      </c>
      <c r="BI62" s="928">
        <f>AVERAGE(BI63,BG63)</f>
        <v>386.74583333333334</v>
      </c>
      <c r="BJ62" s="299">
        <f>AVERAGE(BI63:BJ63)</f>
        <v>398.11333333333334</v>
      </c>
      <c r="BK62" s="299">
        <f>AVERAGE(BJ63:BK63)</f>
        <v>388.4858333333334</v>
      </c>
      <c r="BL62" s="929">
        <f>AVERAGE(BK63:BL63)</f>
        <v>367.62833333333339</v>
      </c>
      <c r="BM62" s="299">
        <f>AVERAGE(BI62:BL62)</f>
        <v>385.24333333333334</v>
      </c>
      <c r="BN62" s="928">
        <f>AVERAGE(BN63,BL63)</f>
        <v>332.1491666666667</v>
      </c>
      <c r="BO62" s="299">
        <f>AVERAGE(BN63:BO63)</f>
        <v>285.685</v>
      </c>
      <c r="BP62" s="299">
        <f>AVERAGE(BO63:BP63)</f>
        <v>255.01083333333332</v>
      </c>
      <c r="BQ62" s="929">
        <f>AVERAGE(BP63:BQ63)</f>
        <v>227.30500000000001</v>
      </c>
      <c r="BR62" s="299">
        <f>AVERAGE(BN62:BQ62)</f>
        <v>275.03750000000002</v>
      </c>
      <c r="BS62" s="928">
        <f>AVERAGE(BS63,BQ63)</f>
        <v>195.50500000000002</v>
      </c>
      <c r="BT62" s="299">
        <f>AVERAGE(BS63:BT63)</f>
        <v>205.24916666666667</v>
      </c>
      <c r="BU62" s="299">
        <f>AVERAGE(BT63:BU63)</f>
        <v>237.67749999999998</v>
      </c>
      <c r="BV62" s="929">
        <f>AVERAGE(BU63:BV63)</f>
        <v>239.57583333333332</v>
      </c>
      <c r="BW62" s="299">
        <f>AVERAGE(BS62:BV62)</f>
        <v>219.50187500000001</v>
      </c>
      <c r="BX62" s="928">
        <f>AVERAGE(BX63,BV63)</f>
        <v>247.86999999999998</v>
      </c>
      <c r="BY62" s="299">
        <f>AVERAGE(BX63:BY63)</f>
        <v>280.69083333333333</v>
      </c>
      <c r="BZ62" s="299">
        <f>AVERAGE(BY63:BZ63)</f>
        <v>293.78999999999996</v>
      </c>
      <c r="CA62" s="929">
        <f>AVERAGE(BZ63:CA63)</f>
        <v>285.81583333333333</v>
      </c>
      <c r="CB62" s="299">
        <f>AVERAGE(BX62:CA62)</f>
        <v>277.04166666666663</v>
      </c>
      <c r="CC62" s="928">
        <f>AVERAGE(CC63,CA63)</f>
        <v>291.80833333333328</v>
      </c>
      <c r="CD62" s="299">
        <f>AVERAGE(CC63:CD63)</f>
        <v>328.21083333333331</v>
      </c>
      <c r="CE62" s="299">
        <f>AVERAGE(CD63:CE63)</f>
        <v>360.62833333333333</v>
      </c>
      <c r="CF62" s="929">
        <f>AVERAGE(CE63:CF63)</f>
        <v>360</v>
      </c>
      <c r="CG62" s="1481">
        <f>AVERAGE(CC62:CF62)</f>
        <v>335.16187500000001</v>
      </c>
      <c r="CH62" s="928">
        <f>AVERAGE(CH63,CF63)</f>
        <v>351.25</v>
      </c>
      <c r="CI62" s="299">
        <f>AVERAGE(CH63:CI63)</f>
        <v>353.75</v>
      </c>
      <c r="CJ62" s="299">
        <f>AVERAGE(CI63:CJ63)</f>
        <v>356.25</v>
      </c>
      <c r="CK62" s="929">
        <f>AVERAGE(CJ63:CK63)</f>
        <v>348.75</v>
      </c>
      <c r="CL62" s="299">
        <f>AVERAGE(CH62:CK62)</f>
        <v>352.5</v>
      </c>
      <c r="CM62" s="928">
        <f>AVERAGE(CM63,CK63)</f>
        <v>331.25</v>
      </c>
      <c r="CN62" s="299">
        <f>AVERAGE(CM63:CN63)</f>
        <v>313.75</v>
      </c>
      <c r="CO62" s="299">
        <f>AVERAGE(CN63:CO63)</f>
        <v>306.25</v>
      </c>
      <c r="CP62" s="929">
        <f>AVERAGE(CO63:CP63)</f>
        <v>298.75</v>
      </c>
      <c r="CQ62" s="299">
        <f>AVERAGE(CM62:CP62)</f>
        <v>312.5</v>
      </c>
    </row>
    <row r="63" spans="1:105" ht="13.5" customHeight="1" outlineLevel="1">
      <c r="A63" s="76"/>
      <c r="B63" s="81" t="s">
        <v>688</v>
      </c>
      <c r="C63" s="76"/>
      <c r="D63" s="104"/>
      <c r="E63" s="104"/>
      <c r="F63" s="669">
        <v>123</v>
      </c>
      <c r="G63" s="299">
        <f>AVERAGE(F56:G56)</f>
        <v>125.35666666666665</v>
      </c>
      <c r="H63" s="299">
        <f>AVERAGE(G56:H56)</f>
        <v>132.12</v>
      </c>
      <c r="I63" s="299">
        <f>AVERAGE(H56:I56)</f>
        <v>149.54666666666668</v>
      </c>
      <c r="J63" s="299">
        <f>AVERAGE(F63:I63)</f>
        <v>132.50583333333333</v>
      </c>
      <c r="K63" s="299">
        <f>AVERAGE(I56,K56)</f>
        <v>203.29666666666668</v>
      </c>
      <c r="L63" s="299">
        <f>AVERAGE(K56,L56)</f>
        <v>222.98333333333335</v>
      </c>
      <c r="M63" s="299">
        <f>AVERAGE(L56,M56)</f>
        <v>233.47499999999999</v>
      </c>
      <c r="N63" s="299">
        <f>AVERAGE(M56,N56)</f>
        <v>276.25</v>
      </c>
      <c r="O63" s="299">
        <f>AVERAGE(K63:N63)</f>
        <v>234.00125</v>
      </c>
      <c r="P63" s="299">
        <f>AVERAGE(N56,P56)</f>
        <v>266.69666666666672</v>
      </c>
      <c r="Q63" s="299">
        <f>AVERAGE(P56,Q56)</f>
        <v>225.11166666666668</v>
      </c>
      <c r="R63" s="299">
        <f>AVERAGE(Q56,R56)</f>
        <v>212.32166666666666</v>
      </c>
      <c r="S63" s="299">
        <f>AVERAGE(R56,S56)</f>
        <v>233.86833333333334</v>
      </c>
      <c r="T63" s="299">
        <f>AVERAGE(P63:S63)</f>
        <v>234.49958333333336</v>
      </c>
      <c r="U63" s="299">
        <f>AVERAGE(S56,U56)</f>
        <v>244.31166666666667</v>
      </c>
      <c r="V63" s="299">
        <f>AVERAGE(U56,V56)</f>
        <v>254.73166666666663</v>
      </c>
      <c r="W63" s="299">
        <f>AVERAGE(V56,W56)</f>
        <v>260.96333333333331</v>
      </c>
      <c r="X63" s="299">
        <f>AVERAGE(W56,X56)</f>
        <v>241.38333333333333</v>
      </c>
      <c r="Y63" s="299">
        <f>AVERAGE(U63:X63)</f>
        <v>250.3475</v>
      </c>
      <c r="Z63" s="299">
        <f>AVERAGE(X56,Z56)</f>
        <v>264.255</v>
      </c>
      <c r="AA63" s="299">
        <f>AVERAGE(Z56,AA56)</f>
        <v>293.02166666666665</v>
      </c>
      <c r="AB63" s="299">
        <f>AVERAGE(AA56,AB56)</f>
        <v>282.51166666666666</v>
      </c>
      <c r="AC63" s="299">
        <f>AVERAGE(AB56,AC56)</f>
        <v>287.13499999999999</v>
      </c>
      <c r="AD63" s="299">
        <f>AVERAGE(Z63:AC63)</f>
        <v>281.73083333333329</v>
      </c>
      <c r="AE63" s="299">
        <f>AVERAGE(AC56,AE56)</f>
        <v>343.97</v>
      </c>
      <c r="AF63" s="299">
        <f>AVERAGE(AE56,AF56)</f>
        <v>469.87333333333345</v>
      </c>
      <c r="AG63" s="299">
        <f>AVERAGE(AF56,AG56)</f>
        <v>530.46</v>
      </c>
      <c r="AH63" s="299">
        <f>AVERAGE(AG56,AH56)</f>
        <v>353.68833333333333</v>
      </c>
      <c r="AI63" s="299">
        <f>AVERAGE(AE63:AH63)</f>
        <v>424.4979166666667</v>
      </c>
      <c r="AJ63" s="928">
        <f>AVERAGE(AH56,AJ56)</f>
        <v>203.51833333333332</v>
      </c>
      <c r="AK63" s="299">
        <f>AVERAGE(AJ56,AK56)</f>
        <v>202.58999999999997</v>
      </c>
      <c r="AL63" s="299">
        <f>AVERAGE(AK56,AL56)</f>
        <v>230.65666666666664</v>
      </c>
      <c r="AM63" s="929">
        <f>AVERAGE(AL56,AM56)</f>
        <v>267.61</v>
      </c>
      <c r="AN63" s="299">
        <f>AVERAGE(AJ63:AM63)</f>
        <v>226.09374999999997</v>
      </c>
      <c r="AO63" s="928">
        <f>AVERAGE(AM56,AO56)</f>
        <v>312.16499999999996</v>
      </c>
      <c r="AP63" s="299">
        <f>AVERAGE(AO56,AP56)</f>
        <v>363.755</v>
      </c>
      <c r="AQ63" s="299">
        <f>AVERAGE(AP56,AQ56)</f>
        <v>354.3</v>
      </c>
      <c r="AR63" s="929">
        <f>AVERAGE(AQ56,AR56)</f>
        <v>353.61166666666668</v>
      </c>
      <c r="AS63" s="299">
        <f>AVERAGE(AO63:AR63)</f>
        <v>345.95791666666668</v>
      </c>
      <c r="AT63" s="928">
        <f>AVERAGE(AR56,AT56)</f>
        <v>411.98666666666668</v>
      </c>
      <c r="AU63" s="299">
        <f>AVERAGE(AT56,AU56)</f>
        <v>451.92500000000001</v>
      </c>
      <c r="AV63" s="299">
        <f>AVERAGE(AU56,AV56)</f>
        <v>448.69666666666672</v>
      </c>
      <c r="AW63" s="929">
        <f>AVERAGE(AV56,AW56)</f>
        <v>439.93500000000006</v>
      </c>
      <c r="AX63" s="299">
        <f>AVERAGE(AT63:AW63)</f>
        <v>438.13583333333338</v>
      </c>
      <c r="AY63" s="928">
        <f>AVERAGE(AW56,AY56)</f>
        <v>439.68500000000006</v>
      </c>
      <c r="AZ63" s="299">
        <f>AVERAGE(AY56,AZ56)</f>
        <v>432.1633333333333</v>
      </c>
      <c r="BA63" s="299">
        <f>AVERAGE(AZ56,BA56)</f>
        <v>394.27333333333331</v>
      </c>
      <c r="BB63" s="929">
        <f>AVERAGE(BA56,BB56)</f>
        <v>371.52499999999998</v>
      </c>
      <c r="BC63" s="299">
        <f>AVERAGE(AY63:BB63)</f>
        <v>409.41166666666663</v>
      </c>
      <c r="BD63" s="928">
        <f>AVERAGE(BB56,BD56)</f>
        <v>379.70166666666665</v>
      </c>
      <c r="BE63" s="299">
        <f>AVERAGE(BD56,BE56)</f>
        <v>382.46999999999997</v>
      </c>
      <c r="BF63" s="299">
        <f>AVERAGE(BE56,BF56)</f>
        <v>370.73499999999996</v>
      </c>
      <c r="BG63" s="929">
        <f>AVERAGE(BF56,BG56)</f>
        <v>375.29333333333329</v>
      </c>
      <c r="BH63" s="299">
        <f>AVERAGE(BD63:BG63)</f>
        <v>377.04999999999995</v>
      </c>
      <c r="BI63" s="928">
        <f>AVERAGE(BG56,BI56)</f>
        <v>398.19833333333338</v>
      </c>
      <c r="BJ63" s="299">
        <f>AVERAGE(BI56,BJ56)</f>
        <v>398.02833333333336</v>
      </c>
      <c r="BK63" s="299">
        <f>AVERAGE(BJ56,BK56)</f>
        <v>378.94333333333338</v>
      </c>
      <c r="BL63" s="929">
        <f>AVERAGE(BK56,BL56)</f>
        <v>356.31333333333339</v>
      </c>
      <c r="BM63" s="299">
        <f>AVERAGE(BI63:BL63)</f>
        <v>382.87083333333339</v>
      </c>
      <c r="BN63" s="928">
        <f>AVERAGE(BL56,BN56)</f>
        <v>307.98500000000001</v>
      </c>
      <c r="BO63" s="299">
        <f>AVERAGE(BN56,BO56)</f>
        <v>263.38499999999999</v>
      </c>
      <c r="BP63" s="299">
        <f>AVERAGE(BO56,BP56)</f>
        <v>246.63666666666666</v>
      </c>
      <c r="BQ63" s="929">
        <f>AVERAGE(BP56,BQ56)</f>
        <v>207.97333333333336</v>
      </c>
      <c r="BR63" s="299">
        <f>AVERAGE(BN63:BQ63)</f>
        <v>256.495</v>
      </c>
      <c r="BS63" s="928">
        <f>AVERAGE(BQ56,BS56)</f>
        <v>183.03666666666669</v>
      </c>
      <c r="BT63" s="299">
        <f>AVERAGE(BS56,BT56)</f>
        <v>227.46166666666664</v>
      </c>
      <c r="BU63" s="299">
        <f>AVERAGE(BT56,BU56)</f>
        <v>247.89333333333332</v>
      </c>
      <c r="BV63" s="929">
        <f>AVERAGE(BU56,BV56)</f>
        <v>231.25833333333333</v>
      </c>
      <c r="BW63" s="299">
        <f>AVERAGE(BS63:BV63)</f>
        <v>222.41249999999999</v>
      </c>
      <c r="BX63" s="928">
        <f>AVERAGE(BV56,BX56)</f>
        <v>264.48166666666663</v>
      </c>
      <c r="BY63" s="299">
        <f t="shared" ref="BY63:BZ63" si="89">AVERAGE(BX56,BY56)</f>
        <v>296.89999999999998</v>
      </c>
      <c r="BZ63" s="299">
        <f t="shared" si="89"/>
        <v>290.67999999999995</v>
      </c>
      <c r="CA63" s="929">
        <f>AVERAGE(BZ56,CA56)</f>
        <v>280.95166666666665</v>
      </c>
      <c r="CB63" s="299">
        <f>AVERAGE(BX63:CA63)</f>
        <v>283.25333333333333</v>
      </c>
      <c r="CC63" s="928">
        <f>AVERAGE(CA56,CC56)</f>
        <v>302.66499999999996</v>
      </c>
      <c r="CD63" s="299">
        <f t="shared" ref="CD63:CE63" si="90">AVERAGE(CC56,CD56)</f>
        <v>353.75666666666666</v>
      </c>
      <c r="CE63" s="299">
        <f t="shared" si="90"/>
        <v>367.5</v>
      </c>
      <c r="CF63" s="929">
        <f>AVERAGE(CE56,CF56)</f>
        <v>352.5</v>
      </c>
      <c r="CG63" s="1481">
        <f>AVERAGE(CC63:CF63)</f>
        <v>344.10541666666666</v>
      </c>
      <c r="CH63" s="928">
        <f>AVERAGE(CF56,CH56)</f>
        <v>350</v>
      </c>
      <c r="CI63" s="299">
        <f t="shared" ref="CI63:CJ63" si="91">AVERAGE(CH56,CI56)</f>
        <v>357.5</v>
      </c>
      <c r="CJ63" s="299">
        <f t="shared" si="91"/>
        <v>355</v>
      </c>
      <c r="CK63" s="929">
        <f>AVERAGE(CJ56,CK56)</f>
        <v>342.5</v>
      </c>
      <c r="CL63" s="299">
        <f>AVERAGE(CH63:CK63)</f>
        <v>351.25</v>
      </c>
      <c r="CM63" s="928">
        <f>AVERAGE(CK56,CM56)</f>
        <v>320</v>
      </c>
      <c r="CN63" s="299">
        <f t="shared" ref="CN63:CO63" si="92">AVERAGE(CM56,CN56)</f>
        <v>307.5</v>
      </c>
      <c r="CO63" s="299">
        <f t="shared" si="92"/>
        <v>305</v>
      </c>
      <c r="CP63" s="929">
        <f>AVERAGE(CO56,CP56)</f>
        <v>292.5</v>
      </c>
      <c r="CQ63" s="299">
        <f>AVERAGE(CM63:CP63)</f>
        <v>306.25</v>
      </c>
    </row>
    <row r="64" spans="1:105" ht="13.5" customHeight="1" outlineLevel="1">
      <c r="A64" s="76"/>
      <c r="B64" s="75" t="s">
        <v>924</v>
      </c>
      <c r="C64" s="76"/>
      <c r="D64" s="104"/>
      <c r="E64" s="104"/>
      <c r="F64" s="104"/>
      <c r="G64" s="104"/>
      <c r="H64" s="104"/>
      <c r="I64" s="104"/>
      <c r="J64" s="104"/>
      <c r="K64" s="300">
        <f>Operations!K57</f>
        <v>5.43</v>
      </c>
      <c r="L64" s="300">
        <f>Operations!L57</f>
        <v>5.97</v>
      </c>
      <c r="M64" s="300">
        <f>Operations!M57</f>
        <v>5.34</v>
      </c>
      <c r="N64" s="300">
        <f>Operations!N57</f>
        <v>6.5</v>
      </c>
      <c r="O64" s="300">
        <f>Operations!O57</f>
        <v>5.81</v>
      </c>
      <c r="P64" s="300">
        <f>Operations!P57</f>
        <v>6.27</v>
      </c>
      <c r="Q64" s="300">
        <f>Operations!Q57</f>
        <v>6.73</v>
      </c>
      <c r="R64" s="300">
        <f>Operations!R57</f>
        <v>9</v>
      </c>
      <c r="S64" s="300">
        <f>Operations!S57</f>
        <v>12.97</v>
      </c>
      <c r="T64" s="300">
        <f>Operations!T57</f>
        <v>8.7424999999999997</v>
      </c>
      <c r="U64" s="300">
        <f>Operations!U57</f>
        <v>8.98</v>
      </c>
      <c r="V64" s="300">
        <f>Operations!V57</f>
        <v>6.79</v>
      </c>
      <c r="W64" s="300">
        <f>Operations!W57</f>
        <v>6.58</v>
      </c>
      <c r="X64" s="300">
        <f>Operations!X57</f>
        <v>6.57</v>
      </c>
      <c r="Y64" s="300">
        <f>Operations!Y57</f>
        <v>7.23</v>
      </c>
      <c r="Z64" s="300">
        <f>Operations!Z57</f>
        <v>6.77</v>
      </c>
      <c r="AA64" s="300">
        <f>Operations!AA57</f>
        <v>7.55</v>
      </c>
      <c r="AB64" s="300">
        <f>Operations!AB57</f>
        <v>6.16</v>
      </c>
      <c r="AC64" s="300">
        <f>Operations!AC57</f>
        <v>6.95</v>
      </c>
      <c r="AD64" s="300">
        <f>Operations!AD57</f>
        <v>6.8574999999999999</v>
      </c>
      <c r="AE64" s="300">
        <f>Operations!AE57</f>
        <v>8.11</v>
      </c>
      <c r="AF64" s="300">
        <f>Operations!AF57</f>
        <v>10</v>
      </c>
      <c r="AG64" s="300">
        <f>Operations!AG57</f>
        <v>8</v>
      </c>
      <c r="AH64" s="300">
        <f>Operations!AH57</f>
        <v>6</v>
      </c>
      <c r="AI64" s="300">
        <f>Operations!AI57</f>
        <v>8.0274999999999999</v>
      </c>
      <c r="AJ64" s="947">
        <f>Operations!AJ57</f>
        <v>6</v>
      </c>
      <c r="AK64" s="300">
        <f>Operations!AK57</f>
        <v>4</v>
      </c>
      <c r="AL64" s="300">
        <f>Operations!AL57</f>
        <v>4</v>
      </c>
      <c r="AM64" s="948">
        <f>Operations!AM57</f>
        <v>5</v>
      </c>
      <c r="AN64" s="300">
        <f>Operations!AN57</f>
        <v>4.75</v>
      </c>
      <c r="AO64" s="947">
        <f>Operations!AO57</f>
        <v>4.8</v>
      </c>
      <c r="AP64" s="300">
        <f>Operations!AP57</f>
        <v>4.2</v>
      </c>
      <c r="AQ64" s="300">
        <f>Operations!AQ57</f>
        <v>4.5</v>
      </c>
      <c r="AR64" s="948">
        <f>Operations!AR57</f>
        <v>3</v>
      </c>
      <c r="AS64" s="300">
        <f>Operations!AS57</f>
        <v>4.125</v>
      </c>
      <c r="AT64" s="947">
        <f>Operations!AT57</f>
        <v>4.3</v>
      </c>
      <c r="AU64" s="300">
        <f>Operations!AU57</f>
        <v>4.3</v>
      </c>
      <c r="AV64" s="300">
        <f>Operations!AV57</f>
        <v>4</v>
      </c>
      <c r="AW64" s="948">
        <f>Operations!AW57</f>
        <v>3.5</v>
      </c>
      <c r="AX64" s="300">
        <f>Operations!AX57</f>
        <v>4.0250000000000004</v>
      </c>
      <c r="AY64" s="947">
        <f>Operations!AY57</f>
        <v>3.5</v>
      </c>
      <c r="AZ64" s="300">
        <f>Operations!AZ57</f>
        <v>2.89</v>
      </c>
      <c r="BA64" s="300">
        <f>Operations!BA57</f>
        <v>3.89</v>
      </c>
      <c r="BB64" s="948">
        <f>Operations!BB57</f>
        <v>3.55</v>
      </c>
      <c r="BC64" s="300">
        <f>Operations!BC57</f>
        <v>3.4575000000000005</v>
      </c>
      <c r="BD64" s="947">
        <f>Operations!BD57</f>
        <v>3.5</v>
      </c>
      <c r="BE64" s="300">
        <f>Operations!BE57</f>
        <v>3.5</v>
      </c>
      <c r="BF64" s="300">
        <f>Operations!BF57</f>
        <v>3.5</v>
      </c>
      <c r="BG64" s="948">
        <f>Operations!BG57</f>
        <v>3.5</v>
      </c>
      <c r="BH64" s="300">
        <f>Operations!BH57</f>
        <v>3.5</v>
      </c>
      <c r="BI64" s="947">
        <f>Operations!BI57</f>
        <v>6</v>
      </c>
      <c r="BJ64" s="300">
        <f>Operations!BJ57</f>
        <v>4</v>
      </c>
      <c r="BK64" s="300">
        <f>Operations!BK57</f>
        <v>4</v>
      </c>
      <c r="BL64" s="948">
        <f>Operations!BL57</f>
        <v>4</v>
      </c>
      <c r="BM64" s="300">
        <f>Operations!BM57</f>
        <v>4.5</v>
      </c>
      <c r="BN64" s="947">
        <f>Operations!BN57</f>
        <v>3.5</v>
      </c>
      <c r="BO64" s="300">
        <f>Operations!BO57</f>
        <v>3</v>
      </c>
      <c r="BP64" s="300">
        <f>Operations!BP57</f>
        <v>2.75</v>
      </c>
      <c r="BQ64" s="948">
        <f>Operations!BQ57</f>
        <v>2.11</v>
      </c>
      <c r="BR64" s="300">
        <f>Operations!BR57</f>
        <v>2.84</v>
      </c>
      <c r="BS64" s="947">
        <f>Operations!BS57</f>
        <v>2.2999999999999998</v>
      </c>
      <c r="BT64" s="300">
        <f>Operations!BT57</f>
        <v>2.4</v>
      </c>
      <c r="BU64" s="300">
        <f>Operations!BU57</f>
        <v>2.8</v>
      </c>
      <c r="BV64" s="948">
        <f>Operations!BV57</f>
        <v>3.1</v>
      </c>
      <c r="BW64" s="300">
        <f>Operations!BW57</f>
        <v>2.65</v>
      </c>
      <c r="BX64" s="947">
        <f>Operations!BX57</f>
        <v>3</v>
      </c>
      <c r="BY64" s="300">
        <f>Operations!BY57</f>
        <v>3</v>
      </c>
      <c r="BZ64" s="300">
        <f>Operations!BZ57</f>
        <v>3</v>
      </c>
      <c r="CA64" s="948">
        <f>Operations!CA57</f>
        <v>3</v>
      </c>
      <c r="CB64" s="300">
        <f>Operations!CB57</f>
        <v>3</v>
      </c>
      <c r="CC64" s="947">
        <f>Operations!CC57</f>
        <v>3</v>
      </c>
      <c r="CD64" s="300">
        <f>Operations!CD57</f>
        <v>3</v>
      </c>
      <c r="CE64" s="300">
        <f>Operations!CE57</f>
        <v>3</v>
      </c>
      <c r="CF64" s="948">
        <f>Operations!CF57</f>
        <v>3</v>
      </c>
      <c r="CG64" s="1488">
        <f>Operations!CG57</f>
        <v>3</v>
      </c>
      <c r="CH64" s="947">
        <f>Operations!CH57</f>
        <v>3</v>
      </c>
      <c r="CI64" s="300">
        <f>Operations!CI57</f>
        <v>3</v>
      </c>
      <c r="CJ64" s="300">
        <f>Operations!CJ57</f>
        <v>3</v>
      </c>
      <c r="CK64" s="948">
        <f>Operations!CK57</f>
        <v>3</v>
      </c>
      <c r="CL64" s="300">
        <f>Operations!CL57</f>
        <v>3</v>
      </c>
      <c r="CM64" s="947">
        <f>Operations!CM57</f>
        <v>3</v>
      </c>
      <c r="CN64" s="300">
        <f>Operations!CN57</f>
        <v>3</v>
      </c>
      <c r="CO64" s="300">
        <f>Operations!CO57</f>
        <v>3</v>
      </c>
      <c r="CP64" s="948">
        <f>Operations!CP57</f>
        <v>3</v>
      </c>
      <c r="CQ64" s="300">
        <f>Operations!CQ57</f>
        <v>3</v>
      </c>
    </row>
    <row r="65" spans="1:105" ht="13.5" customHeight="1" outlineLevel="1">
      <c r="A65" s="76"/>
      <c r="B65" s="75"/>
      <c r="C65" s="76"/>
      <c r="D65" s="104"/>
      <c r="E65" s="104"/>
      <c r="F65" s="104"/>
      <c r="G65" s="104"/>
      <c r="H65" s="104"/>
      <c r="I65" s="104"/>
      <c r="J65" s="104"/>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947"/>
      <c r="AK65" s="300"/>
      <c r="AL65" s="300"/>
      <c r="AM65" s="948"/>
      <c r="AN65" s="300"/>
      <c r="AO65" s="947"/>
      <c r="AP65" s="300"/>
      <c r="AQ65" s="300"/>
      <c r="AR65" s="948"/>
      <c r="AS65" s="300"/>
      <c r="AT65" s="947"/>
      <c r="AU65" s="300"/>
      <c r="AV65" s="300"/>
      <c r="AW65" s="948"/>
      <c r="AX65" s="300"/>
      <c r="AY65" s="947"/>
      <c r="AZ65" s="300"/>
      <c r="BA65" s="300"/>
      <c r="BB65" s="948"/>
      <c r="BC65" s="300"/>
      <c r="BD65" s="947"/>
      <c r="BE65" s="300"/>
      <c r="BF65" s="300"/>
      <c r="BG65" s="948"/>
      <c r="BH65" s="300"/>
      <c r="BI65" s="947"/>
      <c r="BJ65" s="300"/>
      <c r="BK65" s="300"/>
      <c r="BL65" s="948"/>
      <c r="BM65" s="300"/>
      <c r="BN65" s="947"/>
      <c r="BO65" s="300"/>
      <c r="BP65" s="300"/>
      <c r="BQ65" s="948"/>
      <c r="BR65" s="300"/>
      <c r="BS65" s="947"/>
      <c r="BT65" s="300"/>
      <c r="BU65" s="300"/>
      <c r="BV65" s="948"/>
      <c r="BW65" s="300"/>
      <c r="BX65" s="947"/>
      <c r="BY65" s="300"/>
      <c r="BZ65" s="300"/>
      <c r="CA65" s="948"/>
      <c r="CB65" s="300"/>
      <c r="CC65" s="947"/>
      <c r="CD65" s="300"/>
      <c r="CE65" s="300"/>
      <c r="CF65" s="948"/>
      <c r="CG65" s="1488"/>
      <c r="CH65" s="947"/>
      <c r="CI65" s="300"/>
      <c r="CJ65" s="300"/>
      <c r="CK65" s="948"/>
      <c r="CL65" s="300"/>
      <c r="CM65" s="947"/>
      <c r="CN65" s="300"/>
      <c r="CO65" s="300"/>
      <c r="CP65" s="948"/>
      <c r="CQ65" s="300"/>
    </row>
    <row r="66" spans="1:105" ht="13.5" customHeight="1" outlineLevel="1">
      <c r="A66" s="76"/>
      <c r="B66" s="75" t="s">
        <v>925</v>
      </c>
      <c r="C66" s="76"/>
      <c r="D66" s="104"/>
      <c r="E66" s="104"/>
      <c r="F66" s="104"/>
      <c r="G66" s="104"/>
      <c r="H66" s="104"/>
      <c r="I66" s="104"/>
      <c r="J66" s="104"/>
      <c r="K66" s="301"/>
      <c r="L66" s="301"/>
      <c r="M66" s="301"/>
      <c r="N66" s="301"/>
      <c r="O66" s="301"/>
      <c r="P66" s="301"/>
      <c r="Q66" s="301"/>
      <c r="R66" s="301"/>
      <c r="S66" s="301"/>
      <c r="T66" s="301"/>
      <c r="U66" s="301"/>
      <c r="V66" s="301"/>
      <c r="W66" s="301"/>
      <c r="X66" s="301"/>
      <c r="Y66" s="301"/>
      <c r="Z66" s="301"/>
      <c r="AA66" s="301"/>
      <c r="AB66" s="301"/>
      <c r="AC66" s="301"/>
      <c r="AD66" s="301"/>
      <c r="AE66" s="299"/>
      <c r="AF66" s="299"/>
      <c r="AG66" s="301"/>
      <c r="AH66" s="301"/>
      <c r="AI66" s="301"/>
      <c r="AJ66" s="949"/>
      <c r="AK66" s="301"/>
      <c r="AL66" s="301"/>
      <c r="AM66" s="950"/>
      <c r="AN66" s="301"/>
      <c r="AO66" s="949"/>
      <c r="AP66" s="301"/>
      <c r="AQ66" s="301"/>
      <c r="AR66" s="950"/>
      <c r="AS66" s="301"/>
      <c r="AT66" s="949"/>
      <c r="AU66" s="301"/>
      <c r="AV66" s="301"/>
      <c r="AW66" s="950"/>
      <c r="AX66" s="301"/>
      <c r="AY66" s="949"/>
      <c r="AZ66" s="301"/>
      <c r="BA66" s="301"/>
      <c r="BB66" s="950"/>
      <c r="BC66" s="301"/>
      <c r="BD66" s="949"/>
      <c r="BE66" s="301"/>
      <c r="BF66" s="301"/>
      <c r="BG66" s="950"/>
      <c r="BH66" s="301"/>
      <c r="BI66" s="949"/>
      <c r="BJ66" s="301"/>
      <c r="BK66" s="301"/>
      <c r="BL66" s="950"/>
      <c r="BM66" s="301"/>
      <c r="BN66" s="949"/>
      <c r="BO66" s="301"/>
      <c r="BP66" s="301"/>
      <c r="BQ66" s="950"/>
      <c r="BR66" s="301"/>
      <c r="BS66" s="949"/>
      <c r="BT66" s="301"/>
      <c r="BU66" s="301"/>
      <c r="BV66" s="950"/>
      <c r="BW66" s="301"/>
      <c r="BX66" s="949"/>
      <c r="BY66" s="301"/>
      <c r="BZ66" s="301"/>
      <c r="CA66" s="950"/>
      <c r="CB66" s="301"/>
      <c r="CC66" s="949"/>
      <c r="CD66" s="301"/>
      <c r="CE66" s="301"/>
      <c r="CF66" s="950"/>
      <c r="CG66" s="1489"/>
      <c r="CH66" s="949"/>
      <c r="CI66" s="301"/>
      <c r="CJ66" s="301"/>
      <c r="CK66" s="950"/>
      <c r="CL66" s="301"/>
      <c r="CM66" s="949"/>
      <c r="CN66" s="301"/>
      <c r="CO66" s="301"/>
      <c r="CP66" s="950"/>
      <c r="CQ66" s="301"/>
    </row>
    <row r="67" spans="1:105" ht="13.5" customHeight="1" outlineLevel="1">
      <c r="A67" s="76"/>
      <c r="B67" s="75"/>
      <c r="C67" s="81" t="s">
        <v>926</v>
      </c>
      <c r="D67" s="104"/>
      <c r="E67" s="104"/>
      <c r="F67" s="299">
        <f t="shared" ref="F67:AK67" si="93">F60*1/0.65*0.8</f>
        <v>151.38461538461539</v>
      </c>
      <c r="G67" s="299">
        <f t="shared" si="93"/>
        <v>33.146001483754965</v>
      </c>
      <c r="H67" s="299">
        <f t="shared" si="93"/>
        <v>33.146001483754965</v>
      </c>
      <c r="I67" s="299">
        <f t="shared" si="93"/>
        <v>33.146001483754965</v>
      </c>
      <c r="J67" s="299">
        <f t="shared" si="93"/>
        <v>62.705654958970086</v>
      </c>
      <c r="K67" s="299">
        <f t="shared" si="93"/>
        <v>39.620060528178158</v>
      </c>
      <c r="L67" s="299">
        <f t="shared" si="93"/>
        <v>46.094119572601329</v>
      </c>
      <c r="M67" s="299">
        <f t="shared" si="93"/>
        <v>46.094119572601329</v>
      </c>
      <c r="N67" s="299">
        <f t="shared" si="93"/>
        <v>46.094119572601329</v>
      </c>
      <c r="O67" s="299">
        <f t="shared" si="93"/>
        <v>44.475604811495529</v>
      </c>
      <c r="P67" s="299">
        <f t="shared" si="93"/>
        <v>49.33065740138403</v>
      </c>
      <c r="Q67" s="299">
        <f t="shared" si="93"/>
        <v>52.567195230166732</v>
      </c>
      <c r="R67" s="299">
        <f t="shared" si="93"/>
        <v>52.567195230166732</v>
      </c>
      <c r="S67" s="299">
        <f t="shared" si="93"/>
        <v>52.567195230166732</v>
      </c>
      <c r="T67" s="299">
        <f t="shared" si="93"/>
        <v>51.758060772971056</v>
      </c>
      <c r="U67" s="299">
        <f t="shared" si="93"/>
        <v>55.373964382645319</v>
      </c>
      <c r="V67" s="299">
        <f t="shared" si="93"/>
        <v>58.180733535123899</v>
      </c>
      <c r="W67" s="299">
        <f t="shared" si="93"/>
        <v>58.180733535123899</v>
      </c>
      <c r="X67" s="299">
        <f t="shared" si="93"/>
        <v>58.180733535123899</v>
      </c>
      <c r="Y67" s="299">
        <f t="shared" si="93"/>
        <v>57.47904124700424</v>
      </c>
      <c r="Z67" s="299">
        <f t="shared" si="93"/>
        <v>58.579620134739187</v>
      </c>
      <c r="AA67" s="299">
        <f t="shared" si="93"/>
        <v>58.978506734354475</v>
      </c>
      <c r="AB67" s="299">
        <f t="shared" si="93"/>
        <v>58.978506734354475</v>
      </c>
      <c r="AC67" s="299">
        <f t="shared" si="93"/>
        <v>58.978506734354475</v>
      </c>
      <c r="AD67" s="299">
        <f t="shared" si="93"/>
        <v>58.878785084450648</v>
      </c>
      <c r="AE67" s="299">
        <f t="shared" si="93"/>
        <v>63.335407213331088</v>
      </c>
      <c r="AF67" s="299">
        <f t="shared" si="93"/>
        <v>67.692307692307693</v>
      </c>
      <c r="AG67" s="299">
        <f t="shared" si="93"/>
        <v>67.692307692307693</v>
      </c>
      <c r="AH67" s="299">
        <f t="shared" si="93"/>
        <v>67.692307692307693</v>
      </c>
      <c r="AI67" s="299">
        <f t="shared" si="93"/>
        <v>66.603082572563537</v>
      </c>
      <c r="AJ67" s="928">
        <f t="shared" si="93"/>
        <v>70.769230769230759</v>
      </c>
      <c r="AK67" s="299">
        <f t="shared" si="93"/>
        <v>73.846153846153854</v>
      </c>
      <c r="AL67" s="299">
        <f t="shared" ref="AL67:BQ67" si="94">AL60*1/0.65*0.8</f>
        <v>73.846153846153854</v>
      </c>
      <c r="AM67" s="929">
        <f t="shared" si="94"/>
        <v>73.846153846153854</v>
      </c>
      <c r="AN67" s="299">
        <f t="shared" si="94"/>
        <v>73.07692307692308</v>
      </c>
      <c r="AO67" s="928">
        <f t="shared" si="94"/>
        <v>74.215384615384608</v>
      </c>
      <c r="AP67" s="299">
        <f t="shared" si="94"/>
        <v>74.58461538461539</v>
      </c>
      <c r="AQ67" s="299">
        <f t="shared" si="94"/>
        <v>74.58461538461539</v>
      </c>
      <c r="AR67" s="929">
        <f t="shared" si="94"/>
        <v>74.58461538461539</v>
      </c>
      <c r="AS67" s="299">
        <f t="shared" si="94"/>
        <v>74.492307692307691</v>
      </c>
      <c r="AT67" s="928">
        <f t="shared" si="94"/>
        <v>74.957538461538476</v>
      </c>
      <c r="AU67" s="299">
        <f t="shared" si="94"/>
        <v>75.330461538461549</v>
      </c>
      <c r="AV67" s="299">
        <f t="shared" si="94"/>
        <v>75.330461538461549</v>
      </c>
      <c r="AW67" s="929">
        <f t="shared" si="94"/>
        <v>75.330461538461549</v>
      </c>
      <c r="AX67" s="299">
        <f t="shared" si="94"/>
        <v>75.237230769230777</v>
      </c>
      <c r="AY67" s="928">
        <f t="shared" si="94"/>
        <v>75.707113846153845</v>
      </c>
      <c r="AZ67" s="299">
        <f t="shared" si="94"/>
        <v>76.083766153846156</v>
      </c>
      <c r="BA67" s="299">
        <f t="shared" si="94"/>
        <v>76.083766153846156</v>
      </c>
      <c r="BB67" s="929">
        <f t="shared" si="94"/>
        <v>76.083766153846156</v>
      </c>
      <c r="BC67" s="299">
        <f t="shared" si="94"/>
        <v>75.989603076923089</v>
      </c>
      <c r="BD67" s="928">
        <f t="shared" si="94"/>
        <v>76.464184984615386</v>
      </c>
      <c r="BE67" s="299">
        <f t="shared" si="94"/>
        <v>76.84460381538463</v>
      </c>
      <c r="BF67" s="299">
        <f t="shared" si="94"/>
        <v>76.84460381538463</v>
      </c>
      <c r="BG67" s="929">
        <f t="shared" si="94"/>
        <v>76.84460381538463</v>
      </c>
      <c r="BH67" s="299">
        <f t="shared" si="94"/>
        <v>76.749499107692316</v>
      </c>
      <c r="BI67" s="928">
        <f t="shared" si="94"/>
        <v>77.228826834461543</v>
      </c>
      <c r="BJ67" s="299">
        <f t="shared" si="94"/>
        <v>77.613049853538485</v>
      </c>
      <c r="BK67" s="299">
        <f t="shared" si="94"/>
        <v>77.613049853538485</v>
      </c>
      <c r="BL67" s="929">
        <f t="shared" si="94"/>
        <v>77.613049853538485</v>
      </c>
      <c r="BM67" s="299">
        <f t="shared" si="94"/>
        <v>77.516994098769246</v>
      </c>
      <c r="BN67" s="928">
        <f t="shared" si="94"/>
        <v>78.001115102806168</v>
      </c>
      <c r="BO67" s="299">
        <f t="shared" si="94"/>
        <v>78.389180352073865</v>
      </c>
      <c r="BP67" s="299">
        <f t="shared" si="94"/>
        <v>78.389180352073865</v>
      </c>
      <c r="BQ67" s="929">
        <f t="shared" si="94"/>
        <v>78.389180352073865</v>
      </c>
      <c r="BR67" s="299">
        <f t="shared" ref="BR67:CQ67" si="95">BR60*1/0.65*0.8</f>
        <v>78.292164039756926</v>
      </c>
      <c r="BS67" s="928">
        <f t="shared" si="95"/>
        <v>78.781126253834231</v>
      </c>
      <c r="BT67" s="299">
        <f t="shared" si="95"/>
        <v>79.173072155594596</v>
      </c>
      <c r="BU67" s="299">
        <f t="shared" si="95"/>
        <v>79.173072155594596</v>
      </c>
      <c r="BV67" s="929">
        <f t="shared" si="95"/>
        <v>79.173072155594596</v>
      </c>
      <c r="BW67" s="299">
        <f t="shared" si="95"/>
        <v>79.07508568015453</v>
      </c>
      <c r="BX67" s="928">
        <f t="shared" si="95"/>
        <v>79.568937516372586</v>
      </c>
      <c r="BY67" s="299">
        <f t="shared" si="95"/>
        <v>79.964802877150547</v>
      </c>
      <c r="BZ67" s="299">
        <f t="shared" si="95"/>
        <v>79.964802877150547</v>
      </c>
      <c r="CA67" s="929">
        <f t="shared" si="95"/>
        <v>79.964802877150547</v>
      </c>
      <c r="CB67" s="299">
        <f t="shared" si="95"/>
        <v>79.865836536956067</v>
      </c>
      <c r="CC67" s="928">
        <f t="shared" si="95"/>
        <v>80.364626891536304</v>
      </c>
      <c r="CD67" s="299">
        <f t="shared" si="95"/>
        <v>80.764450905922047</v>
      </c>
      <c r="CE67" s="299">
        <f t="shared" si="95"/>
        <v>80.764450905922047</v>
      </c>
      <c r="CF67" s="929">
        <f t="shared" si="95"/>
        <v>80.764450905922047</v>
      </c>
      <c r="CG67" s="1481">
        <f t="shared" si="95"/>
        <v>80.664494902325615</v>
      </c>
      <c r="CH67" s="928">
        <f t="shared" si="95"/>
        <v>81.168273160451676</v>
      </c>
      <c r="CI67" s="299">
        <f t="shared" si="95"/>
        <v>81.572095414981277</v>
      </c>
      <c r="CJ67" s="299">
        <f t="shared" si="95"/>
        <v>81.572095414981277</v>
      </c>
      <c r="CK67" s="929">
        <f t="shared" si="95"/>
        <v>81.572095414981277</v>
      </c>
      <c r="CL67" s="299">
        <f t="shared" si="95"/>
        <v>81.471139851348866</v>
      </c>
      <c r="CM67" s="928">
        <f t="shared" si="95"/>
        <v>81.401432322875252</v>
      </c>
      <c r="CN67" s="299">
        <f t="shared" si="95"/>
        <v>81.230769230769226</v>
      </c>
      <c r="CO67" s="299">
        <f t="shared" si="95"/>
        <v>81.230769230769226</v>
      </c>
      <c r="CP67" s="929">
        <f t="shared" si="95"/>
        <v>81.230769230769226</v>
      </c>
      <c r="CQ67" s="299">
        <f t="shared" si="95"/>
        <v>81.27343500379574</v>
      </c>
    </row>
    <row r="68" spans="1:105" ht="13.5" customHeight="1" outlineLevel="1">
      <c r="A68" s="76"/>
      <c r="B68" s="76"/>
      <c r="C68" s="81" t="s">
        <v>911</v>
      </c>
      <c r="D68" s="104"/>
      <c r="E68" s="104"/>
      <c r="F68" s="299"/>
      <c r="G68" s="299"/>
      <c r="H68" s="299"/>
      <c r="I68" s="299"/>
      <c r="J68" s="299"/>
      <c r="K68" s="299"/>
      <c r="L68" s="299"/>
      <c r="M68" s="299"/>
      <c r="N68" s="299"/>
      <c r="O68" s="299"/>
      <c r="P68" s="299"/>
      <c r="Q68" s="299"/>
      <c r="R68" s="299"/>
      <c r="S68" s="299"/>
      <c r="T68" s="299"/>
      <c r="U68" s="299"/>
      <c r="V68" s="299"/>
      <c r="W68" s="299"/>
      <c r="X68" s="299"/>
      <c r="Y68" s="299"/>
      <c r="Z68" s="299">
        <f>Z61*0.6*0.8</f>
        <v>52.800000000000004</v>
      </c>
      <c r="AA68" s="299">
        <f>AA61*0.6*0.8</f>
        <v>52.800000000000004</v>
      </c>
      <c r="AB68" s="299">
        <f>AB61*0.6*0.8</f>
        <v>52.800000000000004</v>
      </c>
      <c r="AC68" s="299">
        <f>AC61*0.6*0.8</f>
        <v>52.800000000000004</v>
      </c>
      <c r="AD68" s="299">
        <f>AD61*0.56*0.8</f>
        <v>49.280000000000008</v>
      </c>
      <c r="AE68" s="299">
        <f>AE61*0.6*0.8</f>
        <v>57.6</v>
      </c>
      <c r="AF68" s="299">
        <f>AF61*0.6*0.8</f>
        <v>62.400000000000006</v>
      </c>
      <c r="AG68" s="299">
        <f>AG61*0.6*0.8</f>
        <v>62.400000000000006</v>
      </c>
      <c r="AH68" s="299">
        <f>AH61*0.6*0.8</f>
        <v>62.400000000000006</v>
      </c>
      <c r="AI68" s="299">
        <f>AI61*0.56*0.8</f>
        <v>57.120000000000005</v>
      </c>
      <c r="AJ68" s="928">
        <f>AJ61*0.6*0.8</f>
        <v>65.577600000000004</v>
      </c>
      <c r="AK68" s="299">
        <f>AK61*0.6*0.8</f>
        <v>71.712000000000003</v>
      </c>
      <c r="AL68" s="299">
        <f>AL61*0.6*0.8</f>
        <v>76.077600000000004</v>
      </c>
      <c r="AM68" s="929">
        <f>AM61*0.6*0.8</f>
        <v>73.876799999999989</v>
      </c>
      <c r="AN68" s="299">
        <f>AN61*0.56*0.8</f>
        <v>67.023600000000002</v>
      </c>
      <c r="AO68" s="928">
        <f>AO61*0.6*0.8</f>
        <v>71.760000000000005</v>
      </c>
      <c r="AP68" s="299">
        <f>AP61*0.6*0.8</f>
        <v>72.355200000000011</v>
      </c>
      <c r="AQ68" s="299">
        <f>AQ61*0.6*0.8</f>
        <v>71.728800000000007</v>
      </c>
      <c r="AR68" s="929">
        <f>AR61*0.6*0.8</f>
        <v>84</v>
      </c>
      <c r="AS68" s="299">
        <f>AS61*0.56*0.8</f>
        <v>69.9636</v>
      </c>
      <c r="AT68" s="928">
        <f>AT61*0.6*0.8</f>
        <v>89.472000000000023</v>
      </c>
      <c r="AU68" s="299">
        <f>AU61*0.6*0.8</f>
        <v>88.15440000000001</v>
      </c>
      <c r="AV68" s="299">
        <f>AV61*0.6*0.8</f>
        <v>93.170399999999972</v>
      </c>
      <c r="AW68" s="929">
        <f>AW61*0.6*0.8</f>
        <v>95.73599999999999</v>
      </c>
      <c r="AX68" s="299">
        <f>AX61*0.56*0.8</f>
        <v>85.524320000000017</v>
      </c>
      <c r="AY68" s="928">
        <f>AY61*0.6*0.8</f>
        <v>94.60799999999999</v>
      </c>
      <c r="AZ68" s="299">
        <f>AZ61*0.6*0.8</f>
        <v>90.72</v>
      </c>
      <c r="BA68" s="299">
        <f>BA61*0.6*0.8</f>
        <v>90.72</v>
      </c>
      <c r="BB68" s="929">
        <f>BB61*0.6*0.8</f>
        <v>90.72</v>
      </c>
      <c r="BC68" s="299">
        <f>BC61*0.56*0.8</f>
        <v>85.579200000000014</v>
      </c>
      <c r="BD68" s="928">
        <f>BD61*0.6*0.8</f>
        <v>83.750400000000013</v>
      </c>
      <c r="BE68" s="299">
        <f>BE61*0.6*0.8</f>
        <v>69.600000000000009</v>
      </c>
      <c r="BF68" s="299">
        <f>BF61*0.6*0.8</f>
        <v>69.600000000000009</v>
      </c>
      <c r="BG68" s="929">
        <f>BG61*0.6*0.8</f>
        <v>69.600000000000009</v>
      </c>
      <c r="BH68" s="299">
        <f>BH61*0.56*0.8</f>
        <v>68.26176000000001</v>
      </c>
      <c r="BI68" s="928">
        <f>BI61*0.6*0.8</f>
        <v>69.600000000000009</v>
      </c>
      <c r="BJ68" s="299">
        <f>BJ61*0.6*0.8</f>
        <v>63.84</v>
      </c>
      <c r="BK68" s="299">
        <f>BK61*0.6*0.8</f>
        <v>63.84</v>
      </c>
      <c r="BL68" s="929">
        <f>BL61*0.6*0.8</f>
        <v>63.84</v>
      </c>
      <c r="BM68" s="299">
        <f>BM61*0.56*0.8</f>
        <v>60.928000000000011</v>
      </c>
      <c r="BN68" s="928">
        <f>BN61*0.6*0.8</f>
        <v>60.196799999999996</v>
      </c>
      <c r="BO68" s="299">
        <f>BO61*0.6*0.8</f>
        <v>52.800000000000004</v>
      </c>
      <c r="BP68" s="299">
        <f>BP61*0.6*0.8</f>
        <v>52.800000000000004</v>
      </c>
      <c r="BQ68" s="929">
        <f>BQ61*0.6*0.8</f>
        <v>52.800000000000004</v>
      </c>
      <c r="BR68" s="299">
        <f>BR61*0.56*0.8</f>
        <v>51.005920000000003</v>
      </c>
      <c r="BS68" s="928">
        <f t="shared" ref="BS68:CA68" si="96">BS61*0.6*0.8</f>
        <v>53.591999999999999</v>
      </c>
      <c r="BT68" s="299">
        <f t="shared" si="96"/>
        <v>55.2</v>
      </c>
      <c r="BU68" s="299">
        <f t="shared" si="96"/>
        <v>55.2</v>
      </c>
      <c r="BV68" s="946">
        <f t="shared" si="96"/>
        <v>55.2</v>
      </c>
      <c r="BW68" s="763">
        <f t="shared" si="96"/>
        <v>54.797999999999995</v>
      </c>
      <c r="BX68" s="928">
        <f t="shared" si="96"/>
        <v>59.760000000000005</v>
      </c>
      <c r="BY68" s="299">
        <f t="shared" si="96"/>
        <v>64.319999999999993</v>
      </c>
      <c r="BZ68" s="299">
        <f t="shared" si="96"/>
        <v>64.319999999999993</v>
      </c>
      <c r="CA68" s="929">
        <f t="shared" si="96"/>
        <v>64.319999999999993</v>
      </c>
      <c r="CB68" s="299">
        <f>CB61*0.56*0.8</f>
        <v>58.968000000000011</v>
      </c>
      <c r="CC68" s="928">
        <f>CC61*0.6*0.8</f>
        <v>66.062399999999997</v>
      </c>
      <c r="CD68" s="299">
        <f>CD61*0.6*0.8</f>
        <v>69.600000000000009</v>
      </c>
      <c r="CE68" s="299">
        <f>CE61*0.6*0.8</f>
        <v>69.600000000000009</v>
      </c>
      <c r="CF68" s="929">
        <f>CF61*0.6*0.8</f>
        <v>69.600000000000009</v>
      </c>
      <c r="CG68" s="1481">
        <f>CG61*0.56*0.8</f>
        <v>64.134560000000008</v>
      </c>
      <c r="CH68" s="928">
        <f>CH61*0.6*0.8</f>
        <v>68.016000000000005</v>
      </c>
      <c r="CI68" s="299">
        <f>CI61*0.6*0.8</f>
        <v>64.8</v>
      </c>
      <c r="CJ68" s="299">
        <f>CJ61*0.6*0.8</f>
        <v>64.8</v>
      </c>
      <c r="CK68" s="929">
        <f>CK61*0.6*0.8</f>
        <v>64.8</v>
      </c>
      <c r="CL68" s="299">
        <f>CL61*0.56*0.8</f>
        <v>61.23040000000001</v>
      </c>
      <c r="CM68" s="928">
        <f>CM61*0.6*0.8</f>
        <v>64.8</v>
      </c>
      <c r="CN68" s="299">
        <f>CN61*0.6*0.8</f>
        <v>64.8</v>
      </c>
      <c r="CO68" s="299">
        <f>CO61*0.6*0.8</f>
        <v>64.8</v>
      </c>
      <c r="CP68" s="929">
        <f>CP61*0.6*0.8</f>
        <v>64.8</v>
      </c>
      <c r="CQ68" s="299">
        <f>CQ61*0.56*0.8</f>
        <v>60.480000000000011</v>
      </c>
    </row>
    <row r="69" spans="1:105" ht="13.5" customHeight="1" outlineLevel="1">
      <c r="A69" s="76"/>
      <c r="B69" s="76"/>
      <c r="C69" s="81" t="s">
        <v>912</v>
      </c>
      <c r="D69" s="104"/>
      <c r="E69" s="104"/>
      <c r="F69" s="299">
        <f t="shared" ref="F69:BS69" si="97">F62*0.4*0.2</f>
        <v>9.8400000000000016</v>
      </c>
      <c r="G69" s="299">
        <f t="shared" si="97"/>
        <v>9.9342666666666677</v>
      </c>
      <c r="H69" s="299">
        <f t="shared" si="97"/>
        <v>10.299066666666668</v>
      </c>
      <c r="I69" s="299">
        <f t="shared" si="97"/>
        <v>11.266666666666669</v>
      </c>
      <c r="J69" s="299">
        <f t="shared" si="97"/>
        <v>10.335000000000001</v>
      </c>
      <c r="K69" s="299">
        <f t="shared" si="97"/>
        <v>14.113733333333336</v>
      </c>
      <c r="L69" s="299">
        <f t="shared" si="97"/>
        <v>17.051200000000005</v>
      </c>
      <c r="M69" s="299">
        <f t="shared" si="97"/>
        <v>18.258333333333336</v>
      </c>
      <c r="N69" s="299">
        <f t="shared" si="97"/>
        <v>20.389000000000003</v>
      </c>
      <c r="O69" s="299">
        <f t="shared" si="97"/>
        <v>17.453066666666668</v>
      </c>
      <c r="P69" s="299">
        <f t="shared" si="97"/>
        <v>21.717866666666669</v>
      </c>
      <c r="Q69" s="299">
        <f t="shared" si="97"/>
        <v>19.672333333333338</v>
      </c>
      <c r="R69" s="299">
        <f t="shared" si="97"/>
        <v>17.497333333333337</v>
      </c>
      <c r="S69" s="299">
        <f t="shared" si="97"/>
        <v>17.8476</v>
      </c>
      <c r="T69" s="299">
        <f t="shared" si="97"/>
        <v>19.183783333333338</v>
      </c>
      <c r="U69" s="299">
        <f t="shared" si="97"/>
        <v>19.127200000000002</v>
      </c>
      <c r="V69" s="299">
        <f t="shared" si="97"/>
        <v>19.961733333333335</v>
      </c>
      <c r="W69" s="299">
        <f t="shared" si="97"/>
        <v>20.627800000000001</v>
      </c>
      <c r="X69" s="299">
        <f t="shared" si="97"/>
        <v>20.093866666666671</v>
      </c>
      <c r="Y69" s="299">
        <f t="shared" si="97"/>
        <v>19.952650000000002</v>
      </c>
      <c r="Z69" s="299">
        <f t="shared" si="97"/>
        <v>20.225533333333335</v>
      </c>
      <c r="AA69" s="299">
        <f t="shared" si="97"/>
        <v>22.291066666666666</v>
      </c>
      <c r="AB69" s="299">
        <f t="shared" si="97"/>
        <v>23.021333333333335</v>
      </c>
      <c r="AC69" s="299">
        <f t="shared" si="97"/>
        <v>22.785866666666667</v>
      </c>
      <c r="AD69" s="299">
        <f t="shared" si="97"/>
        <v>22.080950000000001</v>
      </c>
      <c r="AE69" s="299">
        <f t="shared" si="97"/>
        <v>25.244200000000003</v>
      </c>
      <c r="AF69" s="299">
        <f t="shared" si="97"/>
        <v>32.553733333333348</v>
      </c>
      <c r="AG69" s="299">
        <f t="shared" si="97"/>
        <v>40.01333333333335</v>
      </c>
      <c r="AH69" s="299">
        <f t="shared" si="97"/>
        <v>35.365933333333338</v>
      </c>
      <c r="AI69" s="299">
        <f t="shared" si="97"/>
        <v>33.294300000000007</v>
      </c>
      <c r="AJ69" s="928">
        <f t="shared" si="97"/>
        <v>22.288266666666672</v>
      </c>
      <c r="AK69" s="299">
        <f t="shared" si="97"/>
        <v>16.244333333333334</v>
      </c>
      <c r="AL69" s="299">
        <f t="shared" si="97"/>
        <v>17.329866666666668</v>
      </c>
      <c r="AM69" s="929">
        <f t="shared" si="97"/>
        <v>19.930666666666667</v>
      </c>
      <c r="AN69" s="299">
        <f t="shared" si="97"/>
        <v>18.948283333333336</v>
      </c>
      <c r="AO69" s="928">
        <f t="shared" si="97"/>
        <v>23.191000000000003</v>
      </c>
      <c r="AP69" s="299">
        <f t="shared" si="97"/>
        <v>27.036799999999999</v>
      </c>
      <c r="AQ69" s="299">
        <f t="shared" si="97"/>
        <v>28.722200000000004</v>
      </c>
      <c r="AR69" s="929">
        <f t="shared" si="97"/>
        <v>28.31646666666667</v>
      </c>
      <c r="AS69" s="299">
        <f t="shared" si="97"/>
        <v>26.816616666666672</v>
      </c>
      <c r="AT69" s="928">
        <f t="shared" si="97"/>
        <v>30.623933333333341</v>
      </c>
      <c r="AU69" s="299">
        <f t="shared" si="97"/>
        <v>34.556466666666665</v>
      </c>
      <c r="AV69" s="299">
        <f t="shared" si="97"/>
        <v>36.024866666666668</v>
      </c>
      <c r="AW69" s="929">
        <f t="shared" si="97"/>
        <v>35.545266666666677</v>
      </c>
      <c r="AX69" s="299">
        <f t="shared" si="97"/>
        <v>34.187633333333338</v>
      </c>
      <c r="AY69" s="928">
        <f t="shared" si="97"/>
        <v>35.18480000000001</v>
      </c>
      <c r="AZ69" s="299">
        <f t="shared" si="97"/>
        <v>34.873933333333341</v>
      </c>
      <c r="BA69" s="299">
        <f t="shared" si="97"/>
        <v>33.057466666666663</v>
      </c>
      <c r="BB69" s="929">
        <f t="shared" si="97"/>
        <v>30.631933333333333</v>
      </c>
      <c r="BC69" s="299">
        <f t="shared" si="97"/>
        <v>33.437033333333339</v>
      </c>
      <c r="BD69" s="928">
        <f t="shared" si="97"/>
        <v>30.049066666666672</v>
      </c>
      <c r="BE69" s="299">
        <f t="shared" si="97"/>
        <v>30.486866666666671</v>
      </c>
      <c r="BF69" s="299">
        <f t="shared" si="97"/>
        <v>30.1282</v>
      </c>
      <c r="BG69" s="929">
        <f t="shared" si="97"/>
        <v>29.841133333333332</v>
      </c>
      <c r="BH69" s="299">
        <f t="shared" si="97"/>
        <v>30.126316666666668</v>
      </c>
      <c r="BI69" s="928">
        <f t="shared" si="97"/>
        <v>30.939666666666671</v>
      </c>
      <c r="BJ69" s="299">
        <f t="shared" si="97"/>
        <v>31.849066666666673</v>
      </c>
      <c r="BK69" s="299">
        <f t="shared" si="97"/>
        <v>31.078866666666677</v>
      </c>
      <c r="BL69" s="929">
        <f t="shared" si="97"/>
        <v>29.410266666666672</v>
      </c>
      <c r="BM69" s="299">
        <f t="shared" si="97"/>
        <v>30.819466666666671</v>
      </c>
      <c r="BN69" s="928">
        <f t="shared" si="97"/>
        <v>26.571933333333341</v>
      </c>
      <c r="BO69" s="299">
        <f t="shared" si="97"/>
        <v>22.854800000000001</v>
      </c>
      <c r="BP69" s="299">
        <f t="shared" si="97"/>
        <v>20.400866666666669</v>
      </c>
      <c r="BQ69" s="929">
        <f t="shared" si="97"/>
        <v>18.184400000000004</v>
      </c>
      <c r="BR69" s="299">
        <f t="shared" ref="BR69" si="98">BR62*0.4*0.2</f>
        <v>22.003000000000004</v>
      </c>
      <c r="BS69" s="928">
        <f t="shared" si="97"/>
        <v>15.640400000000003</v>
      </c>
      <c r="BT69" s="299">
        <f t="shared" ref="BT69:CQ69" si="99">BT62*0.4*0.2</f>
        <v>16.419933333333336</v>
      </c>
      <c r="BU69" s="299">
        <f t="shared" si="99"/>
        <v>19.014199999999999</v>
      </c>
      <c r="BV69" s="929">
        <f t="shared" si="99"/>
        <v>19.166066666666666</v>
      </c>
      <c r="BW69" s="299">
        <f t="shared" si="99"/>
        <v>17.560150000000004</v>
      </c>
      <c r="BX69" s="928">
        <f t="shared" si="99"/>
        <v>19.829599999999999</v>
      </c>
      <c r="BY69" s="299">
        <f t="shared" si="99"/>
        <v>22.45526666666667</v>
      </c>
      <c r="BZ69" s="299">
        <f t="shared" si="99"/>
        <v>23.5032</v>
      </c>
      <c r="CA69" s="929">
        <f t="shared" si="99"/>
        <v>22.86526666666667</v>
      </c>
      <c r="CB69" s="299">
        <f t="shared" si="99"/>
        <v>22.163333333333334</v>
      </c>
      <c r="CC69" s="928">
        <f t="shared" si="99"/>
        <v>23.344666666666665</v>
      </c>
      <c r="CD69" s="299">
        <f t="shared" si="99"/>
        <v>26.256866666666667</v>
      </c>
      <c r="CE69" s="299">
        <f t="shared" si="99"/>
        <v>28.85026666666667</v>
      </c>
      <c r="CF69" s="929">
        <f t="shared" si="99"/>
        <v>28.8</v>
      </c>
      <c r="CG69" s="1481">
        <f t="shared" si="99"/>
        <v>26.812950000000001</v>
      </c>
      <c r="CH69" s="928">
        <f t="shared" si="99"/>
        <v>28.1</v>
      </c>
      <c r="CI69" s="299">
        <f t="shared" si="99"/>
        <v>28.3</v>
      </c>
      <c r="CJ69" s="299">
        <f t="shared" si="99"/>
        <v>28.5</v>
      </c>
      <c r="CK69" s="929">
        <f t="shared" si="99"/>
        <v>27.900000000000002</v>
      </c>
      <c r="CL69" s="299">
        <f t="shared" si="99"/>
        <v>28.200000000000003</v>
      </c>
      <c r="CM69" s="928">
        <f t="shared" si="99"/>
        <v>26.5</v>
      </c>
      <c r="CN69" s="299">
        <f t="shared" si="99"/>
        <v>25.1</v>
      </c>
      <c r="CO69" s="299">
        <f t="shared" si="99"/>
        <v>24.5</v>
      </c>
      <c r="CP69" s="929">
        <f t="shared" si="99"/>
        <v>23.900000000000002</v>
      </c>
      <c r="CQ69" s="299">
        <f t="shared" si="99"/>
        <v>25</v>
      </c>
    </row>
    <row r="70" spans="1:105" ht="13.5" customHeight="1" outlineLevel="1">
      <c r="A70" s="76"/>
      <c r="B70" s="76"/>
      <c r="C70" s="81" t="s">
        <v>688</v>
      </c>
      <c r="D70" s="104"/>
      <c r="E70" s="104"/>
      <c r="F70" s="299"/>
      <c r="G70" s="299"/>
      <c r="H70" s="299"/>
      <c r="I70" s="299"/>
      <c r="J70" s="299"/>
      <c r="K70" s="299">
        <f t="shared" ref="K70:AP70" si="100">K63*0.2</f>
        <v>40.659333333333336</v>
      </c>
      <c r="L70" s="299">
        <f t="shared" si="100"/>
        <v>44.596666666666671</v>
      </c>
      <c r="M70" s="299">
        <f t="shared" si="100"/>
        <v>46.695</v>
      </c>
      <c r="N70" s="299">
        <f t="shared" si="100"/>
        <v>55.25</v>
      </c>
      <c r="O70" s="299">
        <f t="shared" si="100"/>
        <v>46.800250000000005</v>
      </c>
      <c r="P70" s="299">
        <f t="shared" si="100"/>
        <v>53.339333333333343</v>
      </c>
      <c r="Q70" s="299">
        <f t="shared" si="100"/>
        <v>45.022333333333336</v>
      </c>
      <c r="R70" s="299">
        <f t="shared" si="100"/>
        <v>42.464333333333336</v>
      </c>
      <c r="S70" s="299">
        <f t="shared" si="100"/>
        <v>46.773666666666671</v>
      </c>
      <c r="T70" s="299">
        <f t="shared" si="100"/>
        <v>46.899916666666677</v>
      </c>
      <c r="U70" s="299">
        <f t="shared" si="100"/>
        <v>48.862333333333339</v>
      </c>
      <c r="V70" s="299">
        <f t="shared" si="100"/>
        <v>50.946333333333328</v>
      </c>
      <c r="W70" s="299">
        <f t="shared" si="100"/>
        <v>52.192666666666668</v>
      </c>
      <c r="X70" s="299">
        <f t="shared" si="100"/>
        <v>48.276666666666671</v>
      </c>
      <c r="Y70" s="299">
        <f t="shared" si="100"/>
        <v>50.069500000000005</v>
      </c>
      <c r="Z70" s="299">
        <f t="shared" si="100"/>
        <v>52.850999999999999</v>
      </c>
      <c r="AA70" s="299">
        <f t="shared" si="100"/>
        <v>58.604333333333329</v>
      </c>
      <c r="AB70" s="299">
        <f t="shared" si="100"/>
        <v>56.502333333333333</v>
      </c>
      <c r="AC70" s="299">
        <f t="shared" si="100"/>
        <v>57.427</v>
      </c>
      <c r="AD70" s="299">
        <f t="shared" si="100"/>
        <v>56.346166666666662</v>
      </c>
      <c r="AE70" s="299">
        <f t="shared" si="100"/>
        <v>68.794000000000011</v>
      </c>
      <c r="AF70" s="299">
        <f t="shared" si="100"/>
        <v>93.974666666666693</v>
      </c>
      <c r="AG70" s="299">
        <f t="shared" si="100"/>
        <v>106.09200000000001</v>
      </c>
      <c r="AH70" s="299">
        <f t="shared" si="100"/>
        <v>70.737666666666669</v>
      </c>
      <c r="AI70" s="299">
        <f t="shared" si="100"/>
        <v>84.899583333333339</v>
      </c>
      <c r="AJ70" s="928">
        <f t="shared" si="100"/>
        <v>40.703666666666663</v>
      </c>
      <c r="AK70" s="299">
        <f t="shared" si="100"/>
        <v>40.518000000000001</v>
      </c>
      <c r="AL70" s="299">
        <f t="shared" si="100"/>
        <v>46.13133333333333</v>
      </c>
      <c r="AM70" s="929">
        <f t="shared" si="100"/>
        <v>53.522000000000006</v>
      </c>
      <c r="AN70" s="299">
        <f t="shared" si="100"/>
        <v>45.21875</v>
      </c>
      <c r="AO70" s="928">
        <f t="shared" si="100"/>
        <v>62.432999999999993</v>
      </c>
      <c r="AP70" s="299">
        <f t="shared" si="100"/>
        <v>72.751000000000005</v>
      </c>
      <c r="AQ70" s="299">
        <f t="shared" ref="AQ70:BV70" si="101">AQ63*0.2</f>
        <v>70.86</v>
      </c>
      <c r="AR70" s="929">
        <f t="shared" si="101"/>
        <v>70.722333333333339</v>
      </c>
      <c r="AS70" s="299">
        <f t="shared" si="101"/>
        <v>69.191583333333341</v>
      </c>
      <c r="AT70" s="928">
        <f t="shared" si="101"/>
        <v>82.397333333333336</v>
      </c>
      <c r="AU70" s="299">
        <f t="shared" si="101"/>
        <v>90.385000000000005</v>
      </c>
      <c r="AV70" s="299">
        <f t="shared" si="101"/>
        <v>89.739333333333349</v>
      </c>
      <c r="AW70" s="929">
        <f t="shared" si="101"/>
        <v>87.987000000000023</v>
      </c>
      <c r="AX70" s="299">
        <f t="shared" si="101"/>
        <v>87.627166666666682</v>
      </c>
      <c r="AY70" s="928">
        <f t="shared" si="101"/>
        <v>87.937000000000012</v>
      </c>
      <c r="AZ70" s="299">
        <f t="shared" si="101"/>
        <v>86.432666666666663</v>
      </c>
      <c r="BA70" s="299">
        <f t="shared" si="101"/>
        <v>78.854666666666674</v>
      </c>
      <c r="BB70" s="929">
        <f t="shared" si="101"/>
        <v>74.304999999999993</v>
      </c>
      <c r="BC70" s="299">
        <f t="shared" si="101"/>
        <v>81.882333333333335</v>
      </c>
      <c r="BD70" s="928">
        <f t="shared" si="101"/>
        <v>75.940333333333328</v>
      </c>
      <c r="BE70" s="299">
        <f t="shared" si="101"/>
        <v>76.494</v>
      </c>
      <c r="BF70" s="299">
        <f t="shared" si="101"/>
        <v>74.146999999999991</v>
      </c>
      <c r="BG70" s="929">
        <f t="shared" si="101"/>
        <v>75.058666666666667</v>
      </c>
      <c r="BH70" s="299">
        <f t="shared" si="101"/>
        <v>75.41</v>
      </c>
      <c r="BI70" s="928">
        <f t="shared" si="101"/>
        <v>79.639666666666685</v>
      </c>
      <c r="BJ70" s="299">
        <f t="shared" si="101"/>
        <v>79.605666666666679</v>
      </c>
      <c r="BK70" s="299">
        <f t="shared" si="101"/>
        <v>75.788666666666686</v>
      </c>
      <c r="BL70" s="929">
        <f t="shared" si="101"/>
        <v>71.262666666666675</v>
      </c>
      <c r="BM70" s="299">
        <f t="shared" si="101"/>
        <v>76.574166666666684</v>
      </c>
      <c r="BN70" s="928">
        <f t="shared" si="101"/>
        <v>61.597000000000008</v>
      </c>
      <c r="BO70" s="299">
        <f t="shared" si="101"/>
        <v>52.677</v>
      </c>
      <c r="BP70" s="299">
        <f t="shared" si="101"/>
        <v>49.327333333333335</v>
      </c>
      <c r="BQ70" s="929">
        <f t="shared" si="101"/>
        <v>41.594666666666676</v>
      </c>
      <c r="BR70" s="299">
        <f t="shared" si="101"/>
        <v>51.299000000000007</v>
      </c>
      <c r="BS70" s="928">
        <f t="shared" si="101"/>
        <v>36.607333333333337</v>
      </c>
      <c r="BT70" s="299">
        <f t="shared" si="101"/>
        <v>45.492333333333335</v>
      </c>
      <c r="BU70" s="299">
        <f t="shared" si="101"/>
        <v>49.578666666666663</v>
      </c>
      <c r="BV70" s="929">
        <f t="shared" si="101"/>
        <v>46.251666666666665</v>
      </c>
      <c r="BW70" s="299">
        <f t="shared" ref="BW70:CQ70" si="102">BW63*0.2</f>
        <v>44.482500000000002</v>
      </c>
      <c r="BX70" s="928">
        <f t="shared" si="102"/>
        <v>52.896333333333331</v>
      </c>
      <c r="BY70" s="299">
        <f t="shared" si="102"/>
        <v>59.379999999999995</v>
      </c>
      <c r="BZ70" s="299">
        <f t="shared" si="102"/>
        <v>58.135999999999996</v>
      </c>
      <c r="CA70" s="929">
        <f t="shared" si="102"/>
        <v>56.190333333333335</v>
      </c>
      <c r="CB70" s="299">
        <f t="shared" si="102"/>
        <v>56.650666666666666</v>
      </c>
      <c r="CC70" s="928">
        <f t="shared" si="102"/>
        <v>60.532999999999994</v>
      </c>
      <c r="CD70" s="299">
        <f t="shared" si="102"/>
        <v>70.751333333333335</v>
      </c>
      <c r="CE70" s="299">
        <f t="shared" si="102"/>
        <v>73.5</v>
      </c>
      <c r="CF70" s="929">
        <f t="shared" si="102"/>
        <v>70.5</v>
      </c>
      <c r="CG70" s="1481">
        <f t="shared" si="102"/>
        <v>68.821083333333334</v>
      </c>
      <c r="CH70" s="928">
        <f t="shared" si="102"/>
        <v>70</v>
      </c>
      <c r="CI70" s="299">
        <f t="shared" si="102"/>
        <v>71.5</v>
      </c>
      <c r="CJ70" s="299">
        <f t="shared" si="102"/>
        <v>71</v>
      </c>
      <c r="CK70" s="929">
        <f t="shared" si="102"/>
        <v>68.5</v>
      </c>
      <c r="CL70" s="299">
        <f t="shared" si="102"/>
        <v>70.25</v>
      </c>
      <c r="CM70" s="928">
        <f t="shared" si="102"/>
        <v>64</v>
      </c>
      <c r="CN70" s="299">
        <f t="shared" si="102"/>
        <v>61.5</v>
      </c>
      <c r="CO70" s="299">
        <f t="shared" si="102"/>
        <v>61</v>
      </c>
      <c r="CP70" s="929">
        <f t="shared" si="102"/>
        <v>58.5</v>
      </c>
      <c r="CQ70" s="299">
        <f t="shared" si="102"/>
        <v>61.25</v>
      </c>
    </row>
    <row r="71" spans="1:105" ht="13.5" customHeight="1" outlineLevel="1">
      <c r="A71" s="76"/>
      <c r="B71" s="76"/>
      <c r="C71" s="81" t="s">
        <v>924</v>
      </c>
      <c r="D71" s="104"/>
      <c r="E71" s="104"/>
      <c r="F71" s="299"/>
      <c r="G71" s="299"/>
      <c r="H71" s="299"/>
      <c r="I71" s="299"/>
      <c r="J71" s="299"/>
      <c r="K71" s="299">
        <f t="shared" ref="K71:AT71" si="103">K64*4.5</f>
        <v>24.434999999999999</v>
      </c>
      <c r="L71" s="299">
        <f t="shared" si="103"/>
        <v>26.864999999999998</v>
      </c>
      <c r="M71" s="299">
        <f t="shared" si="103"/>
        <v>24.03</v>
      </c>
      <c r="N71" s="299">
        <f t="shared" si="103"/>
        <v>29.25</v>
      </c>
      <c r="O71" s="299">
        <f t="shared" si="103"/>
        <v>26.145</v>
      </c>
      <c r="P71" s="299">
        <f t="shared" si="103"/>
        <v>28.214999999999996</v>
      </c>
      <c r="Q71" s="299">
        <f t="shared" si="103"/>
        <v>30.285000000000004</v>
      </c>
      <c r="R71" s="299">
        <f t="shared" si="103"/>
        <v>40.5</v>
      </c>
      <c r="S71" s="299">
        <f t="shared" si="103"/>
        <v>58.365000000000002</v>
      </c>
      <c r="T71" s="299">
        <f t="shared" si="103"/>
        <v>39.341250000000002</v>
      </c>
      <c r="U71" s="299">
        <f t="shared" si="103"/>
        <v>40.410000000000004</v>
      </c>
      <c r="V71" s="299">
        <f t="shared" si="103"/>
        <v>30.555</v>
      </c>
      <c r="W71" s="299">
        <f t="shared" si="103"/>
        <v>29.61</v>
      </c>
      <c r="X71" s="299">
        <f t="shared" si="103"/>
        <v>29.565000000000001</v>
      </c>
      <c r="Y71" s="299">
        <f t="shared" si="103"/>
        <v>32.535000000000004</v>
      </c>
      <c r="Z71" s="299">
        <f t="shared" si="103"/>
        <v>30.464999999999996</v>
      </c>
      <c r="AA71" s="299">
        <f t="shared" si="103"/>
        <v>33.975000000000001</v>
      </c>
      <c r="AB71" s="299">
        <f t="shared" si="103"/>
        <v>27.72</v>
      </c>
      <c r="AC71" s="299">
        <f t="shared" si="103"/>
        <v>31.275000000000002</v>
      </c>
      <c r="AD71" s="299">
        <f t="shared" si="103"/>
        <v>30.858750000000001</v>
      </c>
      <c r="AE71" s="299">
        <f t="shared" si="103"/>
        <v>36.494999999999997</v>
      </c>
      <c r="AF71" s="299">
        <f t="shared" si="103"/>
        <v>45</v>
      </c>
      <c r="AG71" s="299">
        <f t="shared" si="103"/>
        <v>36</v>
      </c>
      <c r="AH71" s="299">
        <f t="shared" si="103"/>
        <v>27</v>
      </c>
      <c r="AI71" s="299">
        <f t="shared" si="103"/>
        <v>36.123750000000001</v>
      </c>
      <c r="AJ71" s="928">
        <f t="shared" si="103"/>
        <v>27</v>
      </c>
      <c r="AK71" s="299">
        <f t="shared" si="103"/>
        <v>18</v>
      </c>
      <c r="AL71" s="299">
        <f t="shared" si="103"/>
        <v>18</v>
      </c>
      <c r="AM71" s="929">
        <f t="shared" si="103"/>
        <v>22.5</v>
      </c>
      <c r="AN71" s="299">
        <f t="shared" si="103"/>
        <v>21.375</v>
      </c>
      <c r="AO71" s="928">
        <f t="shared" si="103"/>
        <v>21.599999999999998</v>
      </c>
      <c r="AP71" s="299">
        <f t="shared" si="103"/>
        <v>18.900000000000002</v>
      </c>
      <c r="AQ71" s="299">
        <f t="shared" si="103"/>
        <v>20.25</v>
      </c>
      <c r="AR71" s="929">
        <f t="shared" si="103"/>
        <v>13.5</v>
      </c>
      <c r="AS71" s="299">
        <f t="shared" si="103"/>
        <v>18.5625</v>
      </c>
      <c r="AT71" s="928">
        <f t="shared" si="103"/>
        <v>19.349999999999998</v>
      </c>
      <c r="AU71" s="299">
        <f>AU64*5</f>
        <v>21.5</v>
      </c>
      <c r="AV71" s="299">
        <f>AV64*5.5</f>
        <v>22</v>
      </c>
      <c r="AW71" s="929">
        <f>AW64*6</f>
        <v>21</v>
      </c>
      <c r="AX71" s="299">
        <f>AX64*4.5</f>
        <v>18.112500000000001</v>
      </c>
      <c r="AY71" s="928">
        <f t="shared" ref="AY71:CQ71" si="104">AY64*6</f>
        <v>21</v>
      </c>
      <c r="AZ71" s="299">
        <f t="shared" si="104"/>
        <v>17.34</v>
      </c>
      <c r="BA71" s="299">
        <f t="shared" si="104"/>
        <v>23.34</v>
      </c>
      <c r="BB71" s="929">
        <f t="shared" si="104"/>
        <v>21.299999999999997</v>
      </c>
      <c r="BC71" s="299">
        <f t="shared" si="104"/>
        <v>20.745000000000005</v>
      </c>
      <c r="BD71" s="928">
        <f t="shared" si="104"/>
        <v>21</v>
      </c>
      <c r="BE71" s="299">
        <f t="shared" si="104"/>
        <v>21</v>
      </c>
      <c r="BF71" s="299">
        <f t="shared" si="104"/>
        <v>21</v>
      </c>
      <c r="BG71" s="929">
        <f t="shared" si="104"/>
        <v>21</v>
      </c>
      <c r="BH71" s="299">
        <f t="shared" si="104"/>
        <v>21</v>
      </c>
      <c r="BI71" s="928">
        <f t="shared" si="104"/>
        <v>36</v>
      </c>
      <c r="BJ71" s="299">
        <f t="shared" si="104"/>
        <v>24</v>
      </c>
      <c r="BK71" s="299">
        <f t="shared" si="104"/>
        <v>24</v>
      </c>
      <c r="BL71" s="929">
        <f t="shared" si="104"/>
        <v>24</v>
      </c>
      <c r="BM71" s="299">
        <f t="shared" si="104"/>
        <v>27</v>
      </c>
      <c r="BN71" s="928">
        <f t="shared" si="104"/>
        <v>21</v>
      </c>
      <c r="BO71" s="299">
        <f t="shared" si="104"/>
        <v>18</v>
      </c>
      <c r="BP71" s="299">
        <f t="shared" si="104"/>
        <v>16.5</v>
      </c>
      <c r="BQ71" s="929">
        <f t="shared" si="104"/>
        <v>12.66</v>
      </c>
      <c r="BR71" s="299">
        <f t="shared" si="104"/>
        <v>17.04</v>
      </c>
      <c r="BS71" s="928">
        <f t="shared" si="104"/>
        <v>13.799999999999999</v>
      </c>
      <c r="BT71" s="299">
        <f t="shared" si="104"/>
        <v>14.399999999999999</v>
      </c>
      <c r="BU71" s="299">
        <f t="shared" si="104"/>
        <v>16.799999999999997</v>
      </c>
      <c r="BV71" s="946">
        <f t="shared" si="104"/>
        <v>18.600000000000001</v>
      </c>
      <c r="BW71" s="299">
        <f t="shared" si="104"/>
        <v>15.899999999999999</v>
      </c>
      <c r="BX71" s="928">
        <f t="shared" si="104"/>
        <v>18</v>
      </c>
      <c r="BY71" s="299">
        <f t="shared" si="104"/>
        <v>18</v>
      </c>
      <c r="BZ71" s="299">
        <f t="shared" si="104"/>
        <v>18</v>
      </c>
      <c r="CA71" s="929">
        <f t="shared" si="104"/>
        <v>18</v>
      </c>
      <c r="CB71" s="299">
        <f t="shared" si="104"/>
        <v>18</v>
      </c>
      <c r="CC71" s="928">
        <f t="shared" si="104"/>
        <v>18</v>
      </c>
      <c r="CD71" s="299">
        <f t="shared" si="104"/>
        <v>18</v>
      </c>
      <c r="CE71" s="299">
        <f t="shared" si="104"/>
        <v>18</v>
      </c>
      <c r="CF71" s="929">
        <f t="shared" si="104"/>
        <v>18</v>
      </c>
      <c r="CG71" s="1481">
        <f t="shared" si="104"/>
        <v>18</v>
      </c>
      <c r="CH71" s="928">
        <f t="shared" si="104"/>
        <v>18</v>
      </c>
      <c r="CI71" s="299">
        <f t="shared" si="104"/>
        <v>18</v>
      </c>
      <c r="CJ71" s="299">
        <f t="shared" si="104"/>
        <v>18</v>
      </c>
      <c r="CK71" s="929">
        <f t="shared" si="104"/>
        <v>18</v>
      </c>
      <c r="CL71" s="299">
        <f t="shared" si="104"/>
        <v>18</v>
      </c>
      <c r="CM71" s="928">
        <f t="shared" si="104"/>
        <v>18</v>
      </c>
      <c r="CN71" s="299">
        <f t="shared" si="104"/>
        <v>18</v>
      </c>
      <c r="CO71" s="299">
        <f t="shared" si="104"/>
        <v>18</v>
      </c>
      <c r="CP71" s="929">
        <f t="shared" si="104"/>
        <v>18</v>
      </c>
      <c r="CQ71" s="299">
        <f t="shared" si="104"/>
        <v>18</v>
      </c>
    </row>
    <row r="72" spans="1:105" ht="6.2" customHeight="1">
      <c r="A72" s="75"/>
      <c r="B72" s="96"/>
      <c r="C72" s="81"/>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933"/>
      <c r="AK72" s="934"/>
      <c r="AL72" s="934"/>
      <c r="AM72" s="935"/>
      <c r="AN72" s="88"/>
      <c r="AO72" s="933"/>
      <c r="AP72" s="934"/>
      <c r="AQ72" s="934"/>
      <c r="AR72" s="935"/>
      <c r="AS72" s="88"/>
      <c r="AT72" s="933"/>
      <c r="AU72" s="934"/>
      <c r="AV72" s="934"/>
      <c r="AW72" s="935"/>
      <c r="AX72" s="88"/>
      <c r="AY72" s="933"/>
      <c r="AZ72" s="934"/>
      <c r="BA72" s="934"/>
      <c r="BB72" s="935"/>
      <c r="BC72" s="88"/>
      <c r="BD72" s="933"/>
      <c r="BE72" s="934"/>
      <c r="BF72" s="934"/>
      <c r="BG72" s="935"/>
      <c r="BH72" s="88"/>
      <c r="BI72" s="933"/>
      <c r="BJ72" s="934"/>
      <c r="BK72" s="934"/>
      <c r="BL72" s="935"/>
      <c r="BM72" s="88"/>
      <c r="BN72" s="933"/>
      <c r="BO72" s="934"/>
      <c r="BP72" s="934"/>
      <c r="BQ72" s="935"/>
      <c r="BR72" s="88"/>
      <c r="BS72" s="933"/>
      <c r="BT72" s="934"/>
      <c r="BU72" s="934"/>
      <c r="BV72" s="935"/>
      <c r="BW72" s="88"/>
      <c r="BX72" s="933"/>
      <c r="BY72" s="934"/>
      <c r="BZ72" s="934"/>
      <c r="CA72" s="935"/>
      <c r="CB72" s="88"/>
      <c r="CC72" s="933"/>
      <c r="CD72" s="934"/>
      <c r="CE72" s="934"/>
      <c r="CF72" s="935"/>
      <c r="CG72" s="1482"/>
      <c r="CH72" s="933"/>
      <c r="CI72" s="934"/>
      <c r="CJ72" s="934"/>
      <c r="CK72" s="935"/>
      <c r="CL72" s="88"/>
      <c r="CM72" s="933"/>
      <c r="CN72" s="934"/>
      <c r="CO72" s="934"/>
      <c r="CP72" s="935"/>
      <c r="CQ72" s="934"/>
      <c r="CR72" s="1460"/>
      <c r="CS72" s="99"/>
      <c r="CT72" s="99"/>
      <c r="CU72" s="99"/>
    </row>
    <row r="73" spans="1:105" ht="13.5" customHeight="1">
      <c r="A73" s="75"/>
      <c r="B73" s="96"/>
      <c r="C73" s="81" t="s">
        <v>981</v>
      </c>
      <c r="D73" s="88">
        <f t="shared" ref="D73:AI73" si="105">+D51-D87</f>
        <v>372.50973915024491</v>
      </c>
      <c r="E73" s="88">
        <f t="shared" si="105"/>
        <v>385.35353535353534</v>
      </c>
      <c r="F73" s="88">
        <f t="shared" si="105"/>
        <v>403.14285714285717</v>
      </c>
      <c r="G73" s="88">
        <f t="shared" si="105"/>
        <v>415.47158026233603</v>
      </c>
      <c r="H73" s="88">
        <f t="shared" si="105"/>
        <v>415.94167306216423</v>
      </c>
      <c r="I73" s="88">
        <f t="shared" si="105"/>
        <v>396.17380352644835</v>
      </c>
      <c r="J73" s="88">
        <f t="shared" si="105"/>
        <v>407.49974106680475</v>
      </c>
      <c r="K73" s="88">
        <f t="shared" si="105"/>
        <v>431.74116798846433</v>
      </c>
      <c r="L73" s="88">
        <f t="shared" si="105"/>
        <v>482.04570567553992</v>
      </c>
      <c r="M73" s="88">
        <f t="shared" si="105"/>
        <v>512.44726301735648</v>
      </c>
      <c r="N73" s="88">
        <f t="shared" si="105"/>
        <v>503.44115292233784</v>
      </c>
      <c r="O73" s="88">
        <f t="shared" si="105"/>
        <v>481.06747681483853</v>
      </c>
      <c r="P73" s="88">
        <f t="shared" si="105"/>
        <v>537.12871287128712</v>
      </c>
      <c r="Q73" s="88">
        <f t="shared" si="105"/>
        <v>556.69727047146398</v>
      </c>
      <c r="R73" s="88">
        <f t="shared" si="105"/>
        <v>555.91538702601065</v>
      </c>
      <c r="S73" s="88">
        <f t="shared" si="105"/>
        <v>569.20561864913327</v>
      </c>
      <c r="T73" s="88">
        <f t="shared" si="105"/>
        <v>554.27436823104688</v>
      </c>
      <c r="U73" s="88">
        <f t="shared" si="105"/>
        <v>561.31028620005668</v>
      </c>
      <c r="V73" s="88">
        <f t="shared" si="105"/>
        <v>550.76637441980404</v>
      </c>
      <c r="W73" s="88">
        <f t="shared" si="105"/>
        <v>570.07983761840319</v>
      </c>
      <c r="X73" s="88">
        <f t="shared" si="105"/>
        <v>619.73489278752436</v>
      </c>
      <c r="Y73" s="88">
        <f t="shared" si="105"/>
        <v>573.39386459802529</v>
      </c>
      <c r="Z73" s="88">
        <f t="shared" si="105"/>
        <v>606.7126725219573</v>
      </c>
      <c r="AA73" s="88">
        <f t="shared" si="105"/>
        <v>608.65462628507919</v>
      </c>
      <c r="AB73" s="88">
        <f t="shared" si="105"/>
        <v>577.46264926409333</v>
      </c>
      <c r="AC73" s="88">
        <f t="shared" si="105"/>
        <v>592.02653159671968</v>
      </c>
      <c r="AD73" s="88">
        <f t="shared" si="105"/>
        <v>595.75705242878769</v>
      </c>
      <c r="AE73" s="88">
        <f t="shared" si="105"/>
        <v>597.92512231440116</v>
      </c>
      <c r="AF73" s="88">
        <f t="shared" si="105"/>
        <v>656.35656836461123</v>
      </c>
      <c r="AG73" s="88">
        <f t="shared" si="105"/>
        <v>700.11875693673699</v>
      </c>
      <c r="AH73" s="88">
        <f t="shared" si="105"/>
        <v>778.47670250896056</v>
      </c>
      <c r="AI73" s="88">
        <f t="shared" si="105"/>
        <v>671.98005342831698</v>
      </c>
      <c r="AJ73" s="933">
        <f t="shared" ref="AJ73:BO73" si="106">+AJ51-AJ87</f>
        <v>861.96184644371169</v>
      </c>
      <c r="AK73" s="934">
        <f t="shared" si="106"/>
        <v>815.29201101928379</v>
      </c>
      <c r="AL73" s="934">
        <f t="shared" si="106"/>
        <v>656.19152583884397</v>
      </c>
      <c r="AM73" s="935">
        <f t="shared" si="106"/>
        <v>638.12027491408935</v>
      </c>
      <c r="AN73" s="88">
        <f t="shared" si="106"/>
        <v>773.9224470134875</v>
      </c>
      <c r="AO73" s="933">
        <f t="shared" si="106"/>
        <v>589.00419932810746</v>
      </c>
      <c r="AP73" s="934">
        <f t="shared" si="106"/>
        <v>647.30361979807924</v>
      </c>
      <c r="AQ73" s="934">
        <f t="shared" si="106"/>
        <v>640.70199370409239</v>
      </c>
      <c r="AR73" s="935">
        <f t="shared" si="106"/>
        <v>605.7521611341632</v>
      </c>
      <c r="AS73" s="88">
        <f t="shared" si="106"/>
        <v>673.21600440058387</v>
      </c>
      <c r="AT73" s="933">
        <f t="shared" si="106"/>
        <v>698.75569044006068</v>
      </c>
      <c r="AU73" s="934">
        <f t="shared" si="106"/>
        <v>677.49186991869919</v>
      </c>
      <c r="AV73" s="934">
        <f t="shared" si="106"/>
        <v>688.51499348109519</v>
      </c>
      <c r="AW73" s="935">
        <f t="shared" si="106"/>
        <v>727.25792811839324</v>
      </c>
      <c r="AX73" s="88">
        <f t="shared" si="106"/>
        <v>700.80283491306125</v>
      </c>
      <c r="AY73" s="933">
        <f t="shared" si="106"/>
        <v>690.19745845552302</v>
      </c>
      <c r="AZ73" s="934">
        <f t="shared" si="106"/>
        <v>696.98745609633716</v>
      </c>
      <c r="BA73" s="934">
        <f t="shared" si="106"/>
        <v>702.98388721047331</v>
      </c>
      <c r="BB73" s="935">
        <f t="shared" si="106"/>
        <v>685.32212028542301</v>
      </c>
      <c r="BC73" s="88">
        <f t="shared" si="106"/>
        <v>699.04371687325238</v>
      </c>
      <c r="BD73" s="933">
        <f t="shared" si="106"/>
        <v>690.12991538078643</v>
      </c>
      <c r="BE73" s="934">
        <f t="shared" si="106"/>
        <v>704.34549356223181</v>
      </c>
      <c r="BF73" s="934">
        <f t="shared" si="106"/>
        <v>689.57292882147021</v>
      </c>
      <c r="BG73" s="935">
        <f t="shared" si="106"/>
        <v>689.48126801152739</v>
      </c>
      <c r="BH73" s="88">
        <f t="shared" si="106"/>
        <v>693.46476372575796</v>
      </c>
      <c r="BI73" s="933">
        <f t="shared" si="106"/>
        <v>704.11377245508982</v>
      </c>
      <c r="BJ73" s="934">
        <f t="shared" si="106"/>
        <v>731.18741139778854</v>
      </c>
      <c r="BK73" s="934">
        <f t="shared" si="106"/>
        <v>651.86457204767066</v>
      </c>
      <c r="BL73" s="935">
        <f t="shared" si="106"/>
        <v>661.23548922056386</v>
      </c>
      <c r="BM73" s="88">
        <f t="shared" si="106"/>
        <v>687.81427955133745</v>
      </c>
      <c r="BN73" s="933">
        <f t="shared" si="106"/>
        <v>753.86167367214364</v>
      </c>
      <c r="BO73" s="934">
        <f t="shared" si="106"/>
        <v>682.09439528023597</v>
      </c>
      <c r="BP73" s="934">
        <f t="shared" ref="BP73:BZ73" si="107">+BP51-BP87</f>
        <v>643.7309417040359</v>
      </c>
      <c r="BQ73" s="935">
        <f t="shared" si="107"/>
        <v>641.22809725974525</v>
      </c>
      <c r="BR73" s="88">
        <f t="shared" si="107"/>
        <v>680.13797659494151</v>
      </c>
      <c r="BS73" s="933">
        <f t="shared" si="107"/>
        <v>649.83106485188148</v>
      </c>
      <c r="BT73" s="934">
        <f t="shared" si="107"/>
        <v>606.71025260029717</v>
      </c>
      <c r="BU73" s="934">
        <f t="shared" si="107"/>
        <v>638.71005917159766</v>
      </c>
      <c r="BV73" s="935">
        <f t="shared" si="107"/>
        <v>629.94850147741658</v>
      </c>
      <c r="BW73" s="88">
        <f t="shared" si="107"/>
        <v>630.87180503269269</v>
      </c>
      <c r="BX73" s="933">
        <f t="shared" si="107"/>
        <v>715.25623960066559</v>
      </c>
      <c r="BY73" s="934">
        <f t="shared" si="107"/>
        <v>622.25630756908288</v>
      </c>
      <c r="BZ73" s="934">
        <f t="shared" si="107"/>
        <v>632.48113207547169</v>
      </c>
      <c r="CA73" s="935">
        <f t="shared" ref="CA73" si="108">+CA51-CA87</f>
        <v>642.88042588042583</v>
      </c>
      <c r="CB73" s="88">
        <f t="shared" ref="CB73:CB74" si="109">AVERAGE(BX73:CA73)</f>
        <v>653.21852628141141</v>
      </c>
      <c r="CC73" s="933">
        <f>+CC75+CC74</f>
        <v>691.97110494178537</v>
      </c>
      <c r="CD73" s="934">
        <f>+CD75+CD74</f>
        <v>657.17273459545856</v>
      </c>
      <c r="CE73" s="934">
        <f>+CE75+CE74</f>
        <v>672.66626024462767</v>
      </c>
      <c r="CF73" s="935">
        <f>+CF75+CF74</f>
        <v>713.30754476775712</v>
      </c>
      <c r="CG73" s="1482">
        <f t="shared" ref="CG73:CG74" si="110">AVERAGE(CC73:CF73)</f>
        <v>683.77941113740712</v>
      </c>
      <c r="CH73" s="933">
        <f>+CH75+CH74</f>
        <v>752.43301804968769</v>
      </c>
      <c r="CI73" s="934">
        <f>+CI75+CI74</f>
        <v>693.28434298361753</v>
      </c>
      <c r="CJ73" s="934">
        <f>+CJ75+CJ74</f>
        <v>686.81398564858318</v>
      </c>
      <c r="CK73" s="935">
        <f>+CK75+CK74</f>
        <v>683.55247778056571</v>
      </c>
      <c r="CL73" s="88">
        <f t="shared" ref="CL73:CL74" si="111">AVERAGE(CH73:CK73)</f>
        <v>704.02095611561356</v>
      </c>
      <c r="CM73" s="933">
        <f>+CM75+CM74</f>
        <v>690.17592159247147</v>
      </c>
      <c r="CN73" s="934">
        <f>+CN75+CN74</f>
        <v>654.01544721305993</v>
      </c>
      <c r="CO73" s="934">
        <f>+CO75+CO74</f>
        <v>644.14029849398514</v>
      </c>
      <c r="CP73" s="935">
        <f>+CP75+CP74</f>
        <v>643.71708857624037</v>
      </c>
      <c r="CQ73" s="934">
        <f t="shared" ref="CQ73:CQ74" si="112">AVERAGE(CM73:CP73)</f>
        <v>658.0121889689392</v>
      </c>
      <c r="CR73" s="1460"/>
      <c r="CS73" s="99"/>
      <c r="CT73" s="99"/>
      <c r="CU73" s="99"/>
    </row>
    <row r="74" spans="1:105" ht="13.5" customHeight="1">
      <c r="A74" s="75"/>
      <c r="B74" s="96"/>
      <c r="C74" s="81" t="s">
        <v>982</v>
      </c>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933"/>
      <c r="AK74" s="934"/>
      <c r="AL74" s="934"/>
      <c r="AM74" s="935"/>
      <c r="AN74" s="88"/>
      <c r="AO74" s="933"/>
      <c r="AP74" s="934"/>
      <c r="AQ74" s="934"/>
      <c r="AR74" s="935"/>
      <c r="AS74" s="88"/>
      <c r="AT74" s="933"/>
      <c r="AU74" s="934"/>
      <c r="AV74" s="934"/>
      <c r="AW74" s="935"/>
      <c r="AX74" s="88"/>
      <c r="AY74" s="933"/>
      <c r="AZ74" s="934"/>
      <c r="BA74" s="934"/>
      <c r="BB74" s="935"/>
      <c r="BC74" s="88"/>
      <c r="BD74" s="933"/>
      <c r="BE74" s="934"/>
      <c r="BF74" s="934"/>
      <c r="BG74" s="935"/>
      <c r="BH74" s="88"/>
      <c r="BI74" s="933">
        <f>+BI73-BI75</f>
        <v>-12.328057739918791</v>
      </c>
      <c r="BJ74" s="934">
        <f t="shared" ref="BJ74" si="113">+BJ73-BJ75</f>
        <v>33.611741857914353</v>
      </c>
      <c r="BK74" s="934">
        <f t="shared" ref="BK74" si="114">+BK73-BK75</f>
        <v>-47.217669304922993</v>
      </c>
      <c r="BL74" s="935">
        <f t="shared" ref="BL74" si="115">+BL73-BL75</f>
        <v>-40.548331994261275</v>
      </c>
      <c r="BM74" s="88">
        <f t="shared" ref="BM74" si="116">AVERAGE(BI74:BL74)</f>
        <v>-16.620579295297176</v>
      </c>
      <c r="BN74" s="933">
        <f>+BN73-BN75</f>
        <v>64.533003699610163</v>
      </c>
      <c r="BO74" s="934">
        <f t="shared" ref="BO74" si="117">+BO73-BO75</f>
        <v>-16.675383054143708</v>
      </c>
      <c r="BP74" s="934">
        <f t="shared" ref="BP74" si="118">+BP73-BP75</f>
        <v>-17.504247246774412</v>
      </c>
      <c r="BQ74" s="935">
        <f t="shared" ref="BQ74" si="119">+BQ73-BQ75</f>
        <v>7.7794135413224694</v>
      </c>
      <c r="BR74" s="88">
        <f t="shared" ref="BR74" si="120">AVERAGE(BN74:BQ74)</f>
        <v>9.533196735003628</v>
      </c>
      <c r="BS74" s="933">
        <f>+BS73-BS75</f>
        <v>7.4124438866178934</v>
      </c>
      <c r="BT74" s="934">
        <f t="shared" ref="BT74" si="121">+BT73-BT75</f>
        <v>-14.779502027819376</v>
      </c>
      <c r="BU74" s="934">
        <f t="shared" ref="BU74" si="122">+BU73-BU75</f>
        <v>10.126199235950139</v>
      </c>
      <c r="BV74" s="935">
        <f t="shared" ref="BV74" si="123">+BV73-BV75</f>
        <v>-29.41263819877031</v>
      </c>
      <c r="BW74" s="88">
        <f t="shared" ref="BW74" si="124">AVERAGE(BS74:BV74)</f>
        <v>-6.6633742760054133</v>
      </c>
      <c r="BX74" s="933">
        <f>+BX73-BX75</f>
        <v>79.027553480085999</v>
      </c>
      <c r="BY74" s="934">
        <f t="shared" ref="BY74:CA74" si="125">+BY73-BY75</f>
        <v>-64.917731708588576</v>
      </c>
      <c r="BZ74" s="934">
        <f t="shared" si="125"/>
        <v>-0.89555965561623907</v>
      </c>
      <c r="CA74" s="935">
        <f t="shared" si="125"/>
        <v>-11.188608115118313</v>
      </c>
      <c r="CB74" s="88">
        <f t="shared" si="109"/>
        <v>0.50641350019071751</v>
      </c>
      <c r="CC74" s="1101">
        <v>39</v>
      </c>
      <c r="CD74" s="1083">
        <v>-15</v>
      </c>
      <c r="CE74" s="1083">
        <v>40</v>
      </c>
      <c r="CF74" s="1075">
        <v>40</v>
      </c>
      <c r="CG74" s="1482">
        <f t="shared" si="110"/>
        <v>26</v>
      </c>
      <c r="CH74" s="1101">
        <v>60</v>
      </c>
      <c r="CI74" s="1083">
        <v>-10</v>
      </c>
      <c r="CJ74" s="1083">
        <v>10</v>
      </c>
      <c r="CK74" s="1075">
        <v>5</v>
      </c>
      <c r="CL74" s="88">
        <f t="shared" si="111"/>
        <v>16.25</v>
      </c>
      <c r="CM74" s="1101">
        <f>+(CM81-CK81)/CM34*1000+30</f>
        <v>11.776334981870367</v>
      </c>
      <c r="CN74" s="1083">
        <v>-17</v>
      </c>
      <c r="CO74" s="1083">
        <v>-15</v>
      </c>
      <c r="CP74" s="1075">
        <v>-15</v>
      </c>
      <c r="CQ74" s="934">
        <f t="shared" si="112"/>
        <v>-8.8059162545324092</v>
      </c>
      <c r="CR74" s="1460"/>
      <c r="CS74" s="99"/>
      <c r="CT74" s="99"/>
      <c r="CU74" s="99"/>
    </row>
    <row r="75" spans="1:105" ht="13.5" customHeight="1">
      <c r="A75" s="75"/>
      <c r="B75" s="96"/>
      <c r="C75" s="81" t="s">
        <v>983</v>
      </c>
      <c r="D75" s="88"/>
      <c r="E75" s="88"/>
      <c r="F75" s="88"/>
      <c r="G75" s="88"/>
      <c r="H75" s="88"/>
      <c r="I75" s="88"/>
      <c r="J75" s="88"/>
      <c r="K75" s="88"/>
      <c r="L75" s="88"/>
      <c r="M75" s="88"/>
      <c r="N75" s="88"/>
      <c r="O75" s="88"/>
      <c r="P75" s="88"/>
      <c r="Q75" s="88"/>
      <c r="R75" s="88"/>
      <c r="S75" s="88"/>
      <c r="T75" s="88"/>
      <c r="U75" s="88"/>
      <c r="V75" s="88"/>
      <c r="W75" s="88"/>
      <c r="X75" s="88"/>
      <c r="Y75" s="88"/>
      <c r="Z75" s="88">
        <f>1.693*Z67+1.39*Z68-0.7836*Z70+3.507*Z71-215.15*(Z34/X34-1)+0.6349*X73</f>
        <v>623.77477034139474</v>
      </c>
      <c r="AA75" s="88">
        <f>1.693*AA67+1.39*AA68-0.7836*AA70+3.507*AA71-215.15*(AA34/Z34-1)+0.6349*Z73</f>
        <v>603.93511392359585</v>
      </c>
      <c r="AB75" s="88">
        <f t="shared" ref="AB75:AC75" si="126">1.693*AB67+1.39*AB68-0.7836*AB70+3.507*AB71-215.15*(AB34/AA34-1)+0.6349*AA73</f>
        <v>612.49668474049531</v>
      </c>
      <c r="AC75" s="88">
        <f t="shared" si="126"/>
        <v>571.99300135080398</v>
      </c>
      <c r="AD75" s="88">
        <f>AVERAGE(Z75:AC75)</f>
        <v>603.04989258907244</v>
      </c>
      <c r="AE75" s="88">
        <f>1.693*AE67+1.39*AE68-0.7836*AE70+3.507*AE71-215.15*(AE34/AC34-1)+0.6349*AC73</f>
        <v>608.44864379557509</v>
      </c>
      <c r="AF75" s="88">
        <f>1.693*AF67+1.39*AF68-0.7836*AF70+3.507*AF71-215.15*(AF34/AE34-1)+0.6349*AE73</f>
        <v>658.36469327942655</v>
      </c>
      <c r="AG75" s="88">
        <f t="shared" ref="AG75:AH75" si="127">1.693*AG67+1.39*AG68-0.7836*AG70+3.507*AG71-215.15*(AG34/AF34-1)+0.6349*AF73</f>
        <v>676.44144175524843</v>
      </c>
      <c r="AH75" s="88">
        <f t="shared" si="127"/>
        <v>767.00849004671738</v>
      </c>
      <c r="AI75" s="88">
        <f>AVERAGE(AE75:AH75)</f>
        <v>677.56581721924181</v>
      </c>
      <c r="AJ75" s="933">
        <f>1.693*AJ67+1.39*AJ68-0.7836*AJ70+3.507*AJ71-215.15*(AJ34/AH34-1)+0.6349*AH73</f>
        <v>819.4491387073615</v>
      </c>
      <c r="AK75" s="934">
        <f>1.693*AK67+1.39*AK68-0.7836*AK70+3.507*AK71-215.15*(AK34/AJ34-1)+0.6349*AJ73</f>
        <v>834.55036147124167</v>
      </c>
      <c r="AL75" s="934">
        <f t="shared" ref="AL75:AM75" si="128">1.693*AL67+1.39*AL68-0.7836*AL70+3.507*AL71-215.15*(AL34/AK34-1)+0.6349*AK73</f>
        <v>667.86005743013357</v>
      </c>
      <c r="AM75" s="935">
        <f t="shared" si="128"/>
        <v>643.43324197914808</v>
      </c>
      <c r="AN75" s="88">
        <f>AVERAGE(AJ75:AM75)</f>
        <v>741.32319989697123</v>
      </c>
      <c r="AO75" s="933">
        <f>1.693*AO67+1.39*AO68-0.7836*AO70+3.507*AO71-215.15*(AO34/AM34-1)+0.6349*AM73</f>
        <v>632.4281493219811</v>
      </c>
      <c r="AP75" s="934">
        <f>1.693*AP67+1.39*AP68-0.7836*AP70+3.507*AP71-215.15*(AP34/AO34-1)+0.6349*AO73</f>
        <v>580.62523897963649</v>
      </c>
      <c r="AQ75" s="934">
        <f t="shared" ref="AQ75:AR75" si="129">1.693*AQ67+1.39*AQ68-0.7836*AQ70+3.507*AQ71-215.15*(AQ34/AP34-1)+0.6349*AP73</f>
        <v>665.63061891534869</v>
      </c>
      <c r="AR75" s="935">
        <f t="shared" si="129"/>
        <v>639.256560938284</v>
      </c>
      <c r="AS75" s="88">
        <f>AVERAGE(AO75:AR75)</f>
        <v>629.48514203881257</v>
      </c>
      <c r="AT75" s="933">
        <f>1.693*AT67+1.39*AT68-0.7836*AT70+3.507*AT71-215.15*(AT34/AR34-1)+0.6349*AR73</f>
        <v>633.68711546054374</v>
      </c>
      <c r="AU75" s="934">
        <f>1.693*AU67+1.39*AU68-0.7836*AU70+3.507*AU71-215.15*(AU34/AT34-1)+0.6349*AT73</f>
        <v>699.26332778825724</v>
      </c>
      <c r="AV75" s="934">
        <f t="shared" ref="AV75:AW75" si="130">1.693*AV67+1.39*AV68-0.7836*AV70+3.507*AV71-215.15*(AV34/AU34-1)+0.6349*AU73</f>
        <v>699.53604543908682</v>
      </c>
      <c r="AW75" s="935">
        <f t="shared" si="130"/>
        <v>705.30725398644063</v>
      </c>
      <c r="AX75" s="88">
        <f>AVERAGE(AT75:AW75)</f>
        <v>684.44843566858208</v>
      </c>
      <c r="AY75" s="933">
        <f>1.693*AY67+1.39*AY68-0.7836*AY70+3.507*AY71-215.15*(AY34/AW34-1)+0.6349*AW73</f>
        <v>708.64067980158075</v>
      </c>
      <c r="AZ75" s="934">
        <f>1.693*AZ67+1.39*AZ68-0.7836*AZ70+3.507*AZ71-215.15*(AZ34/AY34-1)+0.6349*AY73</f>
        <v>691.77301421693664</v>
      </c>
      <c r="BA75" s="934">
        <f t="shared" ref="BA75:BB75" si="131">1.693*BA67+1.39*BA68-0.7836*BA70+3.507*BA71-215.15*(BA34/AZ34-1)+0.6349*AZ73</f>
        <v>718.24648501848162</v>
      </c>
      <c r="BB75" s="935">
        <f t="shared" si="131"/>
        <v>720.30878808839111</v>
      </c>
      <c r="BC75" s="88">
        <f>AVERAGE(AY75:BB75)</f>
        <v>709.7422417813475</v>
      </c>
      <c r="BD75" s="933">
        <f>1.693*BD67+1.39*BD68-0.7836*BD70+3.507*BD71-215.15*(BD34/BB34-1)+0.6349*BB73</f>
        <v>689.96414009720058</v>
      </c>
      <c r="BE75" s="934">
        <f>1.693*BE67+1.39*BE68-0.7836*BE70+3.507*BE71-215.15*(BE34/BD34-1)+0.6349*BD73</f>
        <v>694.24019589926706</v>
      </c>
      <c r="BF75" s="934">
        <f t="shared" ref="BF75:BG75" si="132">1.693*BF67+1.39*BF68-0.7836*BF70+3.507*BF71-215.15*(BF34/BE34-1)+0.6349*BE73</f>
        <v>706.88985188348056</v>
      </c>
      <c r="BG75" s="935">
        <f t="shared" si="132"/>
        <v>676.84676873039143</v>
      </c>
      <c r="BH75" s="88">
        <f>AVERAGE(BD75:BG75)</f>
        <v>691.985239152585</v>
      </c>
      <c r="BI75" s="933">
        <f>1.693*BI67+1.39*BI68-0.7836*BI70+3.507*BI71-215.15*(BI34/BG34-1)+0.6349*BG73</f>
        <v>716.44183019500861</v>
      </c>
      <c r="BJ75" s="934">
        <f>1.693*BJ67+1.39*BJ68-0.7836*BJ70+3.507*BJ71-215.15*(BJ34/BI34-1)+0.6349*BI73</f>
        <v>697.57566953987418</v>
      </c>
      <c r="BK75" s="934">
        <f t="shared" ref="BK75:BL75" si="133">1.693*BK67+1.39*BK68-0.7836*BK70+3.507*BK71-215.15*(BK34/BJ34-1)+0.6349*BJ73</f>
        <v>699.08224135259366</v>
      </c>
      <c r="BL75" s="935">
        <f t="shared" si="133"/>
        <v>701.78382121482514</v>
      </c>
      <c r="BM75" s="88">
        <f>AVERAGE(BI75:BL75)</f>
        <v>703.72089057557537</v>
      </c>
      <c r="BN75" s="933">
        <f>1.693*BN67+1.39*BN68-0.7836*BN70+3.507*BN71-215.15*(BN34/BL34-1)+0.6349*BL73</f>
        <v>689.32866997253348</v>
      </c>
      <c r="BO75" s="934">
        <f>1.693*BO67+1.39*BO68-0.7836*BO70+3.507*BO71-215.15*(BO34/BN34-1)+0.6349*BN73</f>
        <v>698.76977833437968</v>
      </c>
      <c r="BP75" s="934">
        <f t="shared" ref="BP75:BQ75" si="134">1.693*BP67+1.39*BP68-0.7836*BP70+3.507*BP71-215.15*(BP34/BO34-1)+0.6349*BO73</f>
        <v>661.23518895081031</v>
      </c>
      <c r="BQ75" s="935">
        <f t="shared" si="134"/>
        <v>633.44868371842279</v>
      </c>
      <c r="BR75" s="88">
        <f>AVERAGE(BN75:BQ75)</f>
        <v>670.69558024403659</v>
      </c>
      <c r="BS75" s="933">
        <f>1.693*BS67+1.39*BS68-0.7836*BS70+3.507*BS71-215.15*(BS34/BQ34-1)+0.6349*BQ73</f>
        <v>642.41862096526359</v>
      </c>
      <c r="BT75" s="934">
        <f>1.693*BT67+1.39*BT68-0.7836*BT70+3.507*BT71-215.15*(BT34/BS34-1)+0.6349*BS73</f>
        <v>621.48975462811654</v>
      </c>
      <c r="BU75" s="934">
        <f t="shared" ref="BU75:BV75" si="135">1.693*BU67+1.39*BU68-0.7836*BU70+3.507*BU71-215.15*(BU34/BT34-1)+0.6349*BT73</f>
        <v>628.58385993564752</v>
      </c>
      <c r="BV75" s="935">
        <f t="shared" si="135"/>
        <v>659.36113967618689</v>
      </c>
      <c r="BW75" s="88">
        <f>AVERAGE(BS75:BV75)</f>
        <v>637.96334380130361</v>
      </c>
      <c r="BX75" s="933">
        <f>1.693*BX67+1.39*BX68-0.7836*BX70+3.507*BX71-215.15*(BX34/BV34-1)+0.6349*BV73</f>
        <v>636.2286861205796</v>
      </c>
      <c r="BY75" s="934">
        <f>1.693*BY67+1.39*BY68-0.7836*BY70+3.507*BY71-215.15*(BY34/BX34-1)+0.6349*BX73</f>
        <v>687.17403927767145</v>
      </c>
      <c r="BZ75" s="934">
        <f t="shared" ref="BZ75:CA75" si="136">1.693*BZ67+1.39*BZ68-0.7836*BZ70+3.507*BZ71-215.15*(BZ34/BY34-1)+0.6349*BY73</f>
        <v>633.37669173108793</v>
      </c>
      <c r="CA75" s="935">
        <f t="shared" si="136"/>
        <v>654.06903399554415</v>
      </c>
      <c r="CB75" s="88">
        <f>AVERAGE(BX75:CA75)</f>
        <v>652.71211278122075</v>
      </c>
      <c r="CC75" s="933">
        <f>1.693*CC67+1.39*CC68-0.7836*CC70+3.507*CC71-215.15*(CC34/CA34-1)+0.6349*CA73</f>
        <v>652.97110494178537</v>
      </c>
      <c r="CD75" s="934">
        <f>1.693*CD67+1.39*CD68-0.7836*CD70+3.507*CD71-215.15*(CD34/CC34-1)+0.6349*CC73</f>
        <v>672.17273459545856</v>
      </c>
      <c r="CE75" s="934">
        <f t="shared" ref="CE75:CF75" si="137">1.693*CE67+1.39*CE68-0.7836*CE70+3.507*CE71-215.15*(CE34/CD34-1)+0.6349*CD73</f>
        <v>632.66626024462767</v>
      </c>
      <c r="CF75" s="935">
        <f t="shared" si="137"/>
        <v>673.30754476775712</v>
      </c>
      <c r="CG75" s="1482">
        <f t="shared" ref="CG75" si="138">AVERAGE(CC75:CF75)</f>
        <v>657.77941113740712</v>
      </c>
      <c r="CH75" s="933">
        <f>1.693*CH67+1.39*CH68-0.7836*CH70+3.507*CH71-215.15*(CH34/CF34-1)+0.6349*CF73</f>
        <v>692.43301804968769</v>
      </c>
      <c r="CI75" s="934">
        <f>1.693*CI67+1.39*CI68-0.7836*CI70+3.507*CI71-215.15*(CI34/CH34-1)+0.6349*CH73</f>
        <v>703.28434298361753</v>
      </c>
      <c r="CJ75" s="934">
        <f t="shared" ref="CJ75:CK75" si="139">1.693*CJ67+1.39*CJ68-0.7836*CJ70+3.507*CJ71-215.15*(CJ34/CI34-1)+0.6349*CI73</f>
        <v>676.81398564858318</v>
      </c>
      <c r="CK75" s="935">
        <f t="shared" si="139"/>
        <v>678.55247778056571</v>
      </c>
      <c r="CL75" s="88">
        <f t="shared" ref="CL75" si="140">AVERAGE(CH75:CK75)</f>
        <v>687.77095611561356</v>
      </c>
      <c r="CM75" s="933">
        <f>1.693*CM67+1.39*CM68-0.7836*CM70+3.507*CM71-215.15*(CM34/CK34-1)+0.6349*CK73</f>
        <v>678.39958661060109</v>
      </c>
      <c r="CN75" s="934">
        <f>1.693*CN67+1.39*CN68-0.7836*CN70+3.507*CN71-215.15*(CN34/CM34-1)+0.6349*CM73</f>
        <v>671.01544721305993</v>
      </c>
      <c r="CO75" s="934">
        <f t="shared" ref="CO75:CP75" si="141">1.693*CO67+1.39*CO68-0.7836*CO70+3.507*CO71-215.15*(CO34/CN34-1)+0.6349*CN73</f>
        <v>659.14029849398514</v>
      </c>
      <c r="CP75" s="935">
        <f t="shared" si="141"/>
        <v>658.71708857624037</v>
      </c>
      <c r="CQ75" s="934">
        <f t="shared" ref="CQ75" si="142">AVERAGE(CM75:CP75)</f>
        <v>666.81810522347155</v>
      </c>
      <c r="CR75" s="1460"/>
      <c r="CS75" s="99"/>
      <c r="CT75" s="99"/>
      <c r="CU75" s="99"/>
    </row>
    <row r="76" spans="1:105" s="880" customFormat="1" ht="13.5" customHeight="1">
      <c r="A76" s="115"/>
      <c r="B76" s="878"/>
      <c r="C76" s="159" t="s">
        <v>987</v>
      </c>
      <c r="D76" s="877"/>
      <c r="E76" s="877"/>
      <c r="F76" s="877"/>
      <c r="G76" s="877"/>
      <c r="H76" s="877"/>
      <c r="I76" s="877"/>
      <c r="J76" s="877"/>
      <c r="K76" s="877"/>
      <c r="L76" s="877"/>
      <c r="M76" s="877"/>
      <c r="N76" s="877"/>
      <c r="O76" s="877"/>
      <c r="P76" s="877"/>
      <c r="Q76" s="877"/>
      <c r="R76" s="877"/>
      <c r="S76" s="877"/>
      <c r="T76" s="877"/>
      <c r="U76" s="877"/>
      <c r="V76" s="877"/>
      <c r="W76" s="877"/>
      <c r="X76" s="877"/>
      <c r="Y76" s="877"/>
      <c r="Z76" s="877">
        <f>2.172*Z67+1.568*Z68-0.986*Z70+3.877*Z71-219*(Z34/X34-1)+0.57257*X73</f>
        <v>623.04215077475874</v>
      </c>
      <c r="AA76" s="877">
        <f>2.172*AA67+1.568*AA68-0.986*AA70+3.877*AA71-219*(AA34/Z34-1)+0.57257*Z73</f>
        <v>603.9807050331242</v>
      </c>
      <c r="AB76" s="877">
        <f t="shared" ref="AB76:AC76" si="143">2.172*AB67+1.568*AB68-0.986*AB70+3.877*AB71-219*(AB34/AA34-1)+0.57257*AA73</f>
        <v>611.02653486004556</v>
      </c>
      <c r="AC76" s="877">
        <f t="shared" si="143"/>
        <v>573.01469898275241</v>
      </c>
      <c r="AD76" s="877">
        <f>AVERAGE(Z76:AC76)</f>
        <v>602.76602241267028</v>
      </c>
      <c r="AE76" s="877">
        <f>2.172*AE67+1.568*AE68-0.986*AE70+3.877*AE71-219*(AE34/AC34-1)+0.57257*AC73</f>
        <v>611.20195827005648</v>
      </c>
      <c r="AF76" s="877">
        <f>2.172*AF67+1.568*AF68-0.986*AF70+3.877*AF71-219*(AF34/AE34-1)+0.57257*AE73</f>
        <v>662.13615500328899</v>
      </c>
      <c r="AG76" s="877">
        <f t="shared" ref="AG76:AH76" si="144">2.172*AG67+1.568*AG68-0.986*AG70+3.877*AG71-219*(AG34/AF34-1)+0.57257*AF73</f>
        <v>671.18265991379667</v>
      </c>
      <c r="AH76" s="877">
        <f t="shared" si="144"/>
        <v>764.04024885671197</v>
      </c>
      <c r="AI76" s="877">
        <f>AVERAGE(AE76:AH76)</f>
        <v>677.14025551096347</v>
      </c>
      <c r="AJ76" s="951">
        <f>2.172*AJ67+1.568*AJ68-0.986*AJ70+3.877*AJ71-219*(AJ34/AH34-1)+0.57257*AH73</f>
        <v>819.16995023148615</v>
      </c>
      <c r="AK76" s="952">
        <f>2.172*AK67+1.568*AK68-0.986*AK70+3.877*AK71-219*(AK34/AJ34-1)+0.57257*AJ73</f>
        <v>827.97902929751081</v>
      </c>
      <c r="AL76" s="952">
        <f t="shared" ref="AL76:AM76" si="145">2.172*AL67+1.568*AL68-0.986*AL70+3.877*AL71-219*(AL34/AK34-1)+0.57257*AK73</f>
        <v>661.35610561500323</v>
      </c>
      <c r="AM76" s="953">
        <f t="shared" si="145"/>
        <v>647.86985130280527</v>
      </c>
      <c r="AN76" s="877">
        <f>AVERAGE(AJ76:AM76)</f>
        <v>739.09373411170134</v>
      </c>
      <c r="AO76" s="951">
        <f>2.172*AO67+1.568*AO68-0.986*AO70+3.877*AO71-219*(AO34/AM34-1)+0.57257*AM73</f>
        <v>635.88590268608368</v>
      </c>
      <c r="AP76" s="952">
        <f>2.172*AP67+1.568*AP68-0.986*AP70+3.877*AP71-219*(AP34/AO34-1)+0.57257*AO73</f>
        <v>584.25900353397367</v>
      </c>
      <c r="AQ76" s="952">
        <f t="shared" ref="AQ76:AR76" si="146">2.172*AQ67+1.568*AQ68-0.986*AQ70+3.877*AQ71-219*(AQ34/AP34-1)+0.57257*AP73</f>
        <v>667.16444000873605</v>
      </c>
      <c r="AR76" s="953">
        <f t="shared" si="146"/>
        <v>640.63599755837186</v>
      </c>
      <c r="AS76" s="877">
        <f>AVERAGE(AO76:AR76)</f>
        <v>631.98633594679131</v>
      </c>
      <c r="AT76" s="951">
        <f>2.172*AT67+1.568*AT68-0.986*AT70+3.877*AT71-219*(AT34/AR34-1)+0.57257*AR73</f>
        <v>638.14569240308822</v>
      </c>
      <c r="AU76" s="952">
        <f>2.172*AU67+1.568*AU68-0.986*AU70+3.877*AU71-219*(AU34/AT34-1)+0.57257*AT73</f>
        <v>697.16326243543836</v>
      </c>
      <c r="AV76" s="952">
        <f t="shared" ref="AV76:AW76" si="147">2.172*AV67+1.568*AV68-0.986*AV70+3.877*AV71-219*(AV34/AU34-1)+0.57257*AU73</f>
        <v>700.0511515883677</v>
      </c>
      <c r="AW76" s="953">
        <f t="shared" si="147"/>
        <v>705.52904419817469</v>
      </c>
      <c r="AX76" s="877">
        <f>AVERAGE(AT76:AW76)</f>
        <v>685.22228765626721</v>
      </c>
      <c r="AY76" s="951">
        <f>2.172*AY67+1.568*AY68-0.986*AY70+3.877*AY71-219*(AY34/AW34-1)+0.57257*AW73</f>
        <v>706.07280378124574</v>
      </c>
      <c r="AZ76" s="952">
        <f>2.172*AZ67+1.568*AZ68-0.986*AZ70+3.877*AZ71-219*(AZ34/AY34-1)+0.57257*AY73</f>
        <v>690.36685006855862</v>
      </c>
      <c r="BA76" s="952">
        <f t="shared" ref="BA76:BB76" si="148">2.172*BA67+1.568*BA68-0.986*BA70+3.877*BA71-219*(BA34/AZ34-1)+0.57257*AZ73</f>
        <v>720.08467866250442</v>
      </c>
      <c r="BB76" s="953">
        <f t="shared" si="148"/>
        <v>721.9722800660129</v>
      </c>
      <c r="BC76" s="877">
        <f>AVERAGE(AY76:BB76)</f>
        <v>709.62415314458042</v>
      </c>
      <c r="BD76" s="951">
        <f>2.172*BD67+1.568*BD68-0.986*BD70+3.877*BD71-219*(BD34/BB34-1)+0.57257*BB73</f>
        <v>691.08937736171208</v>
      </c>
      <c r="BE76" s="952">
        <f>2.172*BE67+1.568*BE68-0.986*BE70+3.877*BE71-219*(BE34/BD34-1)+0.57257*BD73</f>
        <v>692.98725246561173</v>
      </c>
      <c r="BF76" s="952">
        <f t="shared" ref="BF76:BG76" si="149">2.172*BF67+1.568*BF68-0.986*BF70+3.877*BF71-219*(BF34/BE34-1)+0.57257*BE73</f>
        <v>705.25782729388243</v>
      </c>
      <c r="BG76" s="953">
        <f t="shared" si="149"/>
        <v>675.59400880945805</v>
      </c>
      <c r="BH76" s="877">
        <f>AVERAGE(BD76:BG76)</f>
        <v>691.23211648266613</v>
      </c>
      <c r="BI76" s="951">
        <f>2.172*BI67+1.568*BI68-0.986*BI70+3.877*BI71-219*(BI34/BG34-1)+0.57257*BG73</f>
        <v>719.82246222258698</v>
      </c>
      <c r="BJ76" s="952">
        <f>2.172*BJ67+1.568*BJ68-0.986*BJ70+3.877*BJ71-219*(BJ34/BI34-1)+0.57257*BI73</f>
        <v>695.15028396542766</v>
      </c>
      <c r="BK76" s="952">
        <f t="shared" ref="BK76:BL76" si="150">2.172*BK67+1.568*BK68-0.986*BK70+3.877*BK71-219*(BK34/BJ34-1)+0.57257*BJ73</f>
        <v>695.40776417112102</v>
      </c>
      <c r="BL76" s="953">
        <f t="shared" si="150"/>
        <v>704.85568195830319</v>
      </c>
      <c r="BM76" s="877">
        <f>AVERAGE(BI76:BL76)</f>
        <v>703.80904807935974</v>
      </c>
      <c r="BN76" s="951">
        <f>2.172*BN67+1.568*BN68-0.986*BN70+3.877*BN71-219*(BN34/BL34-1)+0.57257*BL73</f>
        <v>692.0024192026317</v>
      </c>
      <c r="BO76" s="952">
        <f>2.172*BO67+1.568*BO68-0.986*BO70+3.877*BO71-219*(BO34/BN34-1)+0.57257*BN73</f>
        <v>694.58681353670295</v>
      </c>
      <c r="BP76" s="952">
        <f t="shared" ref="BP76:BQ76" si="151">2.172*BP67+1.568*BP68-0.986*BP70+3.877*BP71-219*(BP34/BO34-1)+0.57257*BO73</f>
        <v>661.83931660966027</v>
      </c>
      <c r="BQ76" s="953">
        <f t="shared" si="151"/>
        <v>636.65948170975685</v>
      </c>
      <c r="BR76" s="877">
        <f>AVERAGE(BN76:BQ76)</f>
        <v>671.27200776468794</v>
      </c>
      <c r="BS76" s="951">
        <f>2.172*BS67+1.568*BS68-0.986*BS70+3.877*BS71-219*(BS34/BQ34-1)+0.57257*BQ73</f>
        <v>647.56127476005759</v>
      </c>
      <c r="BT76" s="952">
        <f>2.172*BT67+1.568*BT68-0.986*BT70+3.877*BT71-219*(BT34/BS34-1)+0.57257*BS73</f>
        <v>624.55663845240258</v>
      </c>
      <c r="BU76" s="952">
        <f t="shared" ref="BU76:BV76" si="152">2.172*BU67+1.568*BU68-0.986*BU70+3.877*BU71-219*(BU34/BT34-1)+0.57257*BT73</f>
        <v>634.92292498148595</v>
      </c>
      <c r="BV76" s="953">
        <f t="shared" si="152"/>
        <v>665.07261637086674</v>
      </c>
      <c r="BW76" s="877">
        <f>AVERAGE(BS76:BV76)</f>
        <v>643.02836364120321</v>
      </c>
      <c r="BX76" s="951">
        <f>2.172*BX67+1.568*BX68-0.986*BX70+3.877*BX71-219*(BX34/BV34-1)+0.57257*BV73</f>
        <v>641.61169868685579</v>
      </c>
      <c r="BY76" s="952">
        <f>2.172*BY67+1.568*BY68-0.986*BY70+3.877*BY71-219*(BY34/BX34-1)+0.57257*BX73</f>
        <v>686.83676717363028</v>
      </c>
      <c r="BZ76" s="952">
        <f t="shared" ref="BZ76:CA76" si="153">2.172*BZ67+1.568*BZ68-0.986*BZ70+3.877*BZ71-219*(BZ34/BY34-1)+0.57257*BY73</f>
        <v>639.16436329810972</v>
      </c>
      <c r="CA76" s="953">
        <f t="shared" si="153"/>
        <v>659.84002535231571</v>
      </c>
      <c r="CB76" s="877">
        <f>AVERAGE(BX76:CA76)</f>
        <v>656.86321362772787</v>
      </c>
      <c r="CC76" s="951">
        <f>2.172*CC67+1.568*CC68-0.986*CC70+3.877*CC71-219*(CC34/CA34-1)+0.57257*CA73</f>
        <v>657.5842612867134</v>
      </c>
      <c r="CD76" s="952">
        <f>2.172*CD67+1.568*CD68-0.986*CD70+3.877*CD71-219*(CD34/CC34-1)+0.57257*CC73</f>
        <v>672.30813847382024</v>
      </c>
      <c r="CE76" s="952">
        <f t="shared" ref="CE76:CF76" si="154">2.172*CE67+1.568*CE68-0.986*CE70+3.877*CE71-219*(CE34/CD34-1)+0.57257*CD73</f>
        <v>634.1412619620337</v>
      </c>
      <c r="CF76" s="953">
        <f t="shared" si="154"/>
        <v>674.93319856196683</v>
      </c>
      <c r="CG76" s="1490">
        <f>AVERAGE(CC76:CF76)</f>
        <v>659.74171507113351</v>
      </c>
      <c r="CH76" s="951">
        <f>2.172*CH67+1.568*CH68-0.986*CH70+3.877*CH71-219*(CH34/CF34-1)+0.57257*CF73</f>
        <v>691.43884014618766</v>
      </c>
      <c r="CI76" s="952">
        <f>2.172*CI67+1.568*CI68-0.986*CI70+3.877*CI71-219*(CI34/CH34-1)+0.57257*CH73</f>
        <v>699.00731521431453</v>
      </c>
      <c r="CJ76" s="952">
        <f t="shared" ref="CJ76:CK76" si="155">2.172*CJ67+1.568*CJ68-0.986*CJ70+3.877*CJ71-219*(CJ34/CI34-1)+0.57257*CI73</f>
        <v>676.51621083327609</v>
      </c>
      <c r="CK76" s="953">
        <f t="shared" si="155"/>
        <v>679.23356557018633</v>
      </c>
      <c r="CL76" s="877">
        <f>AVERAGE(CH76:CK76)</f>
        <v>686.54898294099121</v>
      </c>
      <c r="CM76" s="951">
        <f>2.172*CM67+1.568*CM68-0.986*CM70+3.877*CM71-219*(CM34/CK34-1)+0.57257*CK73</f>
        <v>680.0894060845859</v>
      </c>
      <c r="CN76" s="952">
        <f>2.172*CN67+1.568*CN68-0.986*CN70+3.877*CN71-219*(CN34/CM34-1)+0.57257*CM73</f>
        <v>672.47940902369783</v>
      </c>
      <c r="CO76" s="952">
        <f t="shared" ref="CO76:CP76" si="156">2.172*CO67+1.568*CO68-0.986*CO70+3.877*CO71-219*(CO34/CN34-1)+0.57257*CN73</f>
        <v>663.15065870981925</v>
      </c>
      <c r="CP76" s="953">
        <f t="shared" si="156"/>
        <v>663.91853204396966</v>
      </c>
      <c r="CQ76" s="952">
        <f>AVERAGE(CM76:CP76)</f>
        <v>669.90950146551813</v>
      </c>
      <c r="CR76" s="1464"/>
      <c r="CS76" s="879"/>
      <c r="CT76" s="879"/>
      <c r="CU76" s="879"/>
      <c r="CV76"/>
      <c r="CW76"/>
      <c r="CX76"/>
      <c r="CY76"/>
      <c r="CZ76"/>
      <c r="DA76"/>
    </row>
    <row r="77" spans="1:105" ht="6.2" customHeight="1">
      <c r="A77" s="75"/>
      <c r="B77" s="96"/>
      <c r="C77" s="81"/>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933"/>
      <c r="AK77" s="934"/>
      <c r="AL77" s="934"/>
      <c r="AM77" s="935"/>
      <c r="AN77" s="88"/>
      <c r="AO77" s="933"/>
      <c r="AP77" s="934"/>
      <c r="AQ77" s="934"/>
      <c r="AR77" s="935"/>
      <c r="AS77" s="88"/>
      <c r="AT77" s="933"/>
      <c r="AU77" s="934"/>
      <c r="AV77" s="934"/>
      <c r="AW77" s="935"/>
      <c r="AX77" s="88"/>
      <c r="AY77" s="933"/>
      <c r="AZ77" s="934"/>
      <c r="BA77" s="934"/>
      <c r="BB77" s="935"/>
      <c r="BC77" s="88"/>
      <c r="BD77" s="933"/>
      <c r="BE77" s="934"/>
      <c r="BF77" s="934"/>
      <c r="BG77" s="935"/>
      <c r="BH77" s="88"/>
      <c r="BI77" s="933"/>
      <c r="BJ77" s="934"/>
      <c r="BK77" s="934"/>
      <c r="BL77" s="935"/>
      <c r="BM77" s="88"/>
      <c r="BN77" s="933"/>
      <c r="BO77" s="934"/>
      <c r="BP77" s="934"/>
      <c r="BQ77" s="935"/>
      <c r="BR77" s="88"/>
      <c r="BS77" s="933"/>
      <c r="BT77" s="934"/>
      <c r="BU77" s="934"/>
      <c r="BV77" s="935"/>
      <c r="BW77" s="88"/>
      <c r="BX77" s="933"/>
      <c r="BY77" s="934"/>
      <c r="BZ77" s="934"/>
      <c r="CA77" s="935"/>
      <c r="CB77" s="88"/>
      <c r="CC77" s="933"/>
      <c r="CD77" s="934"/>
      <c r="CE77" s="934"/>
      <c r="CF77" s="935"/>
      <c r="CG77" s="1482"/>
      <c r="CH77" s="933"/>
      <c r="CI77" s="934"/>
      <c r="CJ77" s="934"/>
      <c r="CK77" s="935"/>
      <c r="CL77" s="88"/>
      <c r="CM77" s="933"/>
      <c r="CN77" s="934"/>
      <c r="CO77" s="934"/>
      <c r="CP77" s="935"/>
      <c r="CQ77" s="934"/>
      <c r="CR77" s="1460"/>
      <c r="CS77" s="99"/>
      <c r="CT77" s="99"/>
      <c r="CU77" s="99"/>
    </row>
    <row r="78" spans="1:105" ht="13.5" customHeight="1">
      <c r="A78" s="75"/>
      <c r="B78" s="96"/>
      <c r="C78" s="81" t="s">
        <v>988</v>
      </c>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933"/>
      <c r="AK78" s="934"/>
      <c r="AL78" s="934"/>
      <c r="AM78" s="935"/>
      <c r="AN78" s="88"/>
      <c r="AO78" s="933"/>
      <c r="AP78" s="934"/>
      <c r="AQ78" s="934"/>
      <c r="AR78" s="935"/>
      <c r="AS78" s="88"/>
      <c r="AT78" s="933"/>
      <c r="AU78" s="934"/>
      <c r="AV78" s="934"/>
      <c r="AW78" s="935"/>
      <c r="AX78" s="88"/>
      <c r="AY78" s="933"/>
      <c r="AZ78" s="934"/>
      <c r="BA78" s="934"/>
      <c r="BB78" s="935"/>
      <c r="BC78" s="88"/>
      <c r="BD78" s="933"/>
      <c r="BE78" s="934"/>
      <c r="BF78" s="934"/>
      <c r="BG78" s="935"/>
      <c r="BH78" s="88"/>
      <c r="BI78" s="933"/>
      <c r="BJ78" s="934"/>
      <c r="BK78" s="934"/>
      <c r="BL78" s="935"/>
      <c r="BM78" s="88"/>
      <c r="BN78" s="933">
        <f>(BN80+BN79)/BN34*1000</f>
        <v>92.090179594956055</v>
      </c>
      <c r="BO78" s="934">
        <f>(BO80+BO79)/BO34*1000</f>
        <v>0</v>
      </c>
      <c r="BP78" s="934">
        <f>(BP80+BP79)/BP34*1000</f>
        <v>0</v>
      </c>
      <c r="BQ78" s="935">
        <f>(BQ80+BQ79)/BQ34*1000</f>
        <v>0</v>
      </c>
      <c r="BR78" s="88">
        <f>AVERAGE(BN78:BQ78)</f>
        <v>23.022544898739014</v>
      </c>
      <c r="BS78" s="933">
        <f>(BS80+BS79)/BS34*1000</f>
        <v>-1.4011208967173738</v>
      </c>
      <c r="BT78" s="934">
        <f>(BT80+BT79)/BT34*1000</f>
        <v>0</v>
      </c>
      <c r="BU78" s="934">
        <f>(BU80+BU79)/BU34*1000</f>
        <v>0</v>
      </c>
      <c r="BV78" s="935">
        <f>(BV80+BV79)/BV34*1000</f>
        <v>0</v>
      </c>
      <c r="BW78" s="88">
        <f>AVERAGE(BS78:BV78)</f>
        <v>-0.35028022417934346</v>
      </c>
      <c r="BX78" s="933">
        <f>(BX80+BX79)/BX34*1000</f>
        <v>35.565723793677208</v>
      </c>
      <c r="BY78" s="934">
        <f>(BY80+BY79)/BY34*1000</f>
        <v>-63.275931117340811</v>
      </c>
      <c r="BZ78" s="934">
        <f>(BZ80+BZ79)/BZ34*1000</f>
        <v>-24.764150943396228</v>
      </c>
      <c r="CA78" s="935">
        <f>(CA80+CA79)/CA34*1000</f>
        <v>-48.321048321048316</v>
      </c>
      <c r="CB78" s="88">
        <f>AVERAGE(BX78:CA78)</f>
        <v>-25.198851647027034</v>
      </c>
      <c r="CC78" s="933">
        <f>(CC80+CC79)/CC34*1000</f>
        <v>-1.235564488229189</v>
      </c>
      <c r="CD78" s="934">
        <f>(CD80+CD79)/CD34*1000</f>
        <v>-6.6085903744559555</v>
      </c>
      <c r="CE78" s="934">
        <f>(CE80+CE79)/CE34*1000</f>
        <v>0</v>
      </c>
      <c r="CF78" s="935">
        <f>(CF80+CF79)/CF34*1000</f>
        <v>0</v>
      </c>
      <c r="CG78" s="1482">
        <f>AVERAGE(CC78:CF78)</f>
        <v>-1.9610387156712861</v>
      </c>
      <c r="CH78" s="933">
        <f>(CH80+CH79)/CH34*1000</f>
        <v>-12.149110012086435</v>
      </c>
      <c r="CI78" s="934">
        <f>(CI80+CI79)/CI34*1000</f>
        <v>0</v>
      </c>
      <c r="CJ78" s="934">
        <f>(CJ80+CJ79)/CJ34*1000</f>
        <v>0</v>
      </c>
      <c r="CK78" s="935">
        <f>(CK80+CK79)/CK34*1000</f>
        <v>0</v>
      </c>
      <c r="CL78" s="88">
        <f>AVERAGE(CH78:CK78)</f>
        <v>-3.0372775030216088</v>
      </c>
      <c r="CM78" s="933">
        <f>(CM80+CM79)/CM34*1000</f>
        <v>-18.223665018129633</v>
      </c>
      <c r="CN78" s="934">
        <f>(CN80+CN79)/CN34*1000</f>
        <v>0</v>
      </c>
      <c r="CO78" s="934">
        <f>(CO80+CO79)/CO34*1000</f>
        <v>0</v>
      </c>
      <c r="CP78" s="935">
        <f>(CP80+CP79)/CP34*1000</f>
        <v>0</v>
      </c>
      <c r="CQ78" s="934">
        <f>AVERAGE(CM78:CP78)</f>
        <v>-4.5559162545324083</v>
      </c>
      <c r="CR78" s="1460"/>
      <c r="CS78" s="99"/>
      <c r="CT78" s="99"/>
      <c r="CU78" s="99"/>
    </row>
    <row r="79" spans="1:105" ht="13.5" customHeight="1">
      <c r="A79" s="75"/>
      <c r="B79" s="96"/>
      <c r="C79" s="81" t="s">
        <v>986</v>
      </c>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933"/>
      <c r="AK79" s="934"/>
      <c r="AL79" s="934"/>
      <c r="AM79" s="935"/>
      <c r="AN79" s="88"/>
      <c r="AO79" s="933"/>
      <c r="AP79" s="934"/>
      <c r="AQ79" s="934"/>
      <c r="AR79" s="935"/>
      <c r="AS79" s="88"/>
      <c r="AT79" s="933"/>
      <c r="AU79" s="934"/>
      <c r="AV79" s="934"/>
      <c r="AW79" s="935"/>
      <c r="AX79" s="88"/>
      <c r="AY79" s="933"/>
      <c r="AZ79" s="934"/>
      <c r="BA79" s="934"/>
      <c r="BB79" s="935"/>
      <c r="BC79" s="88"/>
      <c r="BD79" s="933"/>
      <c r="BE79" s="934"/>
      <c r="BF79" s="934"/>
      <c r="BG79" s="935"/>
      <c r="BH79" s="88"/>
      <c r="BI79" s="933"/>
      <c r="BJ79" s="934"/>
      <c r="BK79" s="934"/>
      <c r="BL79" s="935"/>
      <c r="BM79" s="88"/>
      <c r="BN79" s="933">
        <v>0</v>
      </c>
      <c r="BO79" s="934">
        <v>0</v>
      </c>
      <c r="BP79" s="934">
        <v>0</v>
      </c>
      <c r="BQ79" s="935">
        <v>0</v>
      </c>
      <c r="BR79" s="88">
        <f t="shared" ref="BR79:BR80" si="157">SUM(BN79:BQ79)</f>
        <v>0</v>
      </c>
      <c r="BS79" s="933">
        <v>0</v>
      </c>
      <c r="BT79" s="934">
        <v>0</v>
      </c>
      <c r="BU79" s="934">
        <v>0</v>
      </c>
      <c r="BV79" s="935">
        <v>0</v>
      </c>
      <c r="BW79" s="88">
        <f t="shared" ref="BW79" si="158">SUM(BS79:BV79)</f>
        <v>0</v>
      </c>
      <c r="BX79" s="909">
        <v>-17</v>
      </c>
      <c r="BY79" s="910">
        <f>-118</f>
        <v>-118</v>
      </c>
      <c r="BZ79" s="910">
        <v>-95</v>
      </c>
      <c r="CA79" s="1014">
        <v>-139</v>
      </c>
      <c r="CB79" s="88">
        <f t="shared" ref="CB79:CB80" si="159">SUM(BX79:CA79)</f>
        <v>-369</v>
      </c>
      <c r="CC79" s="1101">
        <v>0</v>
      </c>
      <c r="CD79" s="1083">
        <v>0</v>
      </c>
      <c r="CE79" s="1083">
        <v>0</v>
      </c>
      <c r="CF79" s="1075">
        <v>0</v>
      </c>
      <c r="CG79" s="1482">
        <f t="shared" ref="CG79:CG80" si="160">SUM(CC79:CF79)</f>
        <v>0</v>
      </c>
      <c r="CH79" s="1101">
        <v>0</v>
      </c>
      <c r="CI79" s="1083">
        <v>0</v>
      </c>
      <c r="CJ79" s="1083">
        <v>0</v>
      </c>
      <c r="CK79" s="1075">
        <v>0</v>
      </c>
      <c r="CL79" s="88">
        <f t="shared" ref="CL79:CL80" si="161">SUM(CH79:CK79)</f>
        <v>0</v>
      </c>
      <c r="CM79" s="1101">
        <v>0</v>
      </c>
      <c r="CN79" s="1083">
        <v>0</v>
      </c>
      <c r="CO79" s="1083">
        <v>0</v>
      </c>
      <c r="CP79" s="1075">
        <v>0</v>
      </c>
      <c r="CQ79" s="934">
        <f t="shared" ref="CQ79:CQ80" si="162">SUM(CM79:CP79)</f>
        <v>0</v>
      </c>
      <c r="CR79" s="1460"/>
      <c r="CS79" s="99"/>
      <c r="CT79" s="99"/>
      <c r="CU79" s="99"/>
    </row>
    <row r="80" spans="1:105" ht="13.5" customHeight="1">
      <c r="A80" s="75"/>
      <c r="B80" s="96"/>
      <c r="C80" s="81" t="s">
        <v>989</v>
      </c>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933"/>
      <c r="AK80" s="934"/>
      <c r="AL80" s="934"/>
      <c r="AM80" s="935"/>
      <c r="AN80" s="88"/>
      <c r="AO80" s="933"/>
      <c r="AP80" s="934"/>
      <c r="AQ80" s="934"/>
      <c r="AR80" s="935"/>
      <c r="AS80" s="88"/>
      <c r="AT80" s="933"/>
      <c r="AU80" s="934"/>
      <c r="AV80" s="934"/>
      <c r="AW80" s="935"/>
      <c r="AX80" s="88"/>
      <c r="AY80" s="933"/>
      <c r="AZ80" s="934"/>
      <c r="BA80" s="934"/>
      <c r="BB80" s="935"/>
      <c r="BC80" s="88"/>
      <c r="BD80" s="933"/>
      <c r="BE80" s="934"/>
      <c r="BF80" s="934"/>
      <c r="BG80" s="935"/>
      <c r="BH80" s="88"/>
      <c r="BI80" s="933"/>
      <c r="BJ80" s="934"/>
      <c r="BK80" s="934"/>
      <c r="BL80" s="935"/>
      <c r="BM80" s="88"/>
      <c r="BN80" s="933">
        <f>+BN81-BL81</f>
        <v>241</v>
      </c>
      <c r="BO80" s="934">
        <f>+BO81-BN81</f>
        <v>0</v>
      </c>
      <c r="BP80" s="934">
        <f t="shared" ref="BP80:BQ80" si="163">+BP81-BO81</f>
        <v>0</v>
      </c>
      <c r="BQ80" s="935">
        <f t="shared" si="163"/>
        <v>0</v>
      </c>
      <c r="BR80" s="88">
        <f t="shared" si="157"/>
        <v>241</v>
      </c>
      <c r="BS80" s="933">
        <f>+BS81-BQ81</f>
        <v>-3.5</v>
      </c>
      <c r="BT80" s="934">
        <f>+BT81-BS81</f>
        <v>0</v>
      </c>
      <c r="BU80" s="934">
        <f t="shared" ref="BU80:BV80" si="164">+BU81-BT81</f>
        <v>0</v>
      </c>
      <c r="BV80" s="935">
        <f t="shared" si="164"/>
        <v>0</v>
      </c>
      <c r="BW80" s="88">
        <f t="shared" ref="BW80" si="165">SUM(BS80:BV80)</f>
        <v>-3.5</v>
      </c>
      <c r="BX80" s="933">
        <f>+BX81-BV81</f>
        <v>102.5</v>
      </c>
      <c r="BY80" s="934">
        <f>+BY81-BX81</f>
        <v>-40</v>
      </c>
      <c r="BZ80" s="934">
        <f t="shared" ref="BZ80:CA80" si="166">+BZ81-BY81</f>
        <v>32</v>
      </c>
      <c r="CA80" s="935">
        <f t="shared" si="166"/>
        <v>21</v>
      </c>
      <c r="CB80" s="88">
        <f t="shared" si="159"/>
        <v>115.5</v>
      </c>
      <c r="CC80" s="933">
        <f>+CC81-CA81</f>
        <v>-3</v>
      </c>
      <c r="CD80" s="934">
        <f>+CD81-CC81</f>
        <v>-16.666666666666686</v>
      </c>
      <c r="CE80" s="934">
        <f t="shared" ref="CE80:CF80" si="167">+CE81-CD81</f>
        <v>0</v>
      </c>
      <c r="CF80" s="935">
        <f t="shared" si="167"/>
        <v>0</v>
      </c>
      <c r="CG80" s="1482">
        <f t="shared" si="160"/>
        <v>-19.666666666666686</v>
      </c>
      <c r="CH80" s="933">
        <f>+CH81-CF81</f>
        <v>-33.333333333333371</v>
      </c>
      <c r="CI80" s="934">
        <f>+CI81-CH81</f>
        <v>0</v>
      </c>
      <c r="CJ80" s="934">
        <f t="shared" ref="CJ80:CK80" si="168">+CJ81-CI81</f>
        <v>0</v>
      </c>
      <c r="CK80" s="935">
        <f t="shared" si="168"/>
        <v>0</v>
      </c>
      <c r="CL80" s="88">
        <f t="shared" si="161"/>
        <v>-33.333333333333371</v>
      </c>
      <c r="CM80" s="933">
        <f>+CM81-CK81</f>
        <v>-50</v>
      </c>
      <c r="CN80" s="934">
        <f>+CN81-CM81</f>
        <v>0</v>
      </c>
      <c r="CO80" s="934">
        <f t="shared" ref="CO80:CP80" si="169">+CO81-CN81</f>
        <v>0</v>
      </c>
      <c r="CP80" s="935">
        <f t="shared" si="169"/>
        <v>0</v>
      </c>
      <c r="CQ80" s="934">
        <f t="shared" si="162"/>
        <v>-50</v>
      </c>
      <c r="CR80" s="1460"/>
      <c r="CS80" s="99"/>
      <c r="CT80" s="99"/>
      <c r="CU80" s="99"/>
    </row>
    <row r="81" spans="1:105" ht="13.5" customHeight="1">
      <c r="A81" s="75"/>
      <c r="B81" s="96"/>
      <c r="C81" s="81" t="s">
        <v>984</v>
      </c>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933"/>
      <c r="AK81" s="934"/>
      <c r="AL81" s="934"/>
      <c r="AM81" s="935"/>
      <c r="AN81" s="88"/>
      <c r="AO81" s="933"/>
      <c r="AP81" s="934"/>
      <c r="AQ81" s="934"/>
      <c r="AR81" s="935"/>
      <c r="AS81" s="88"/>
      <c r="AT81" s="933"/>
      <c r="AU81" s="934"/>
      <c r="AV81" s="934"/>
      <c r="AW81" s="935"/>
      <c r="AX81" s="88"/>
      <c r="AY81" s="933"/>
      <c r="AZ81" s="934"/>
      <c r="BA81" s="934"/>
      <c r="BB81" s="935"/>
      <c r="BC81" s="88"/>
      <c r="BD81" s="933"/>
      <c r="BE81" s="934"/>
      <c r="BF81" s="934"/>
      <c r="BG81" s="935"/>
      <c r="BH81" s="88"/>
      <c r="BI81" s="933"/>
      <c r="BJ81" s="934"/>
      <c r="BK81" s="934"/>
      <c r="BL81" s="935"/>
      <c r="BM81" s="88"/>
      <c r="BN81" s="951">
        <f>BR81/4</f>
        <v>241</v>
      </c>
      <c r="BO81" s="952">
        <f t="shared" ref="BO81:BQ81" si="170">+BN81</f>
        <v>241</v>
      </c>
      <c r="BP81" s="952">
        <f t="shared" si="170"/>
        <v>241</v>
      </c>
      <c r="BQ81" s="953">
        <f t="shared" si="170"/>
        <v>241</v>
      </c>
      <c r="BR81" s="622">
        <v>964</v>
      </c>
      <c r="BS81" s="951">
        <f>BW81/4</f>
        <v>237.5</v>
      </c>
      <c r="BT81" s="952">
        <f t="shared" ref="BT81:BV81" si="171">+BS81</f>
        <v>237.5</v>
      </c>
      <c r="BU81" s="952">
        <f t="shared" si="171"/>
        <v>237.5</v>
      </c>
      <c r="BV81" s="953">
        <f t="shared" si="171"/>
        <v>237.5</v>
      </c>
      <c r="BW81" s="622">
        <v>950</v>
      </c>
      <c r="BX81" s="1086">
        <v>340</v>
      </c>
      <c r="BY81" s="1087">
        <f>640-BX81</f>
        <v>300</v>
      </c>
      <c r="BZ81" s="1087">
        <f>972-BX81-BY81</f>
        <v>332</v>
      </c>
      <c r="CA81" s="1517">
        <f>+CB81-BX81-BY81-BZ81</f>
        <v>353</v>
      </c>
      <c r="CB81" s="622">
        <v>1325</v>
      </c>
      <c r="CC81" s="1086">
        <v>350</v>
      </c>
      <c r="CD81" s="952">
        <f>+(CG81-CC81)/3</f>
        <v>333.33333333333331</v>
      </c>
      <c r="CE81" s="952">
        <f>+(CG81-CC81-CD81)/2</f>
        <v>333.33333333333337</v>
      </c>
      <c r="CF81" s="953">
        <f>+CG81-CC81-CD81-CE81</f>
        <v>333.33333333333337</v>
      </c>
      <c r="CG81" s="1491">
        <v>1350</v>
      </c>
      <c r="CH81" s="951">
        <f>CL81/4</f>
        <v>300</v>
      </c>
      <c r="CI81" s="952">
        <f t="shared" ref="CI81:CK81" si="172">+CH81</f>
        <v>300</v>
      </c>
      <c r="CJ81" s="952">
        <f t="shared" si="172"/>
        <v>300</v>
      </c>
      <c r="CK81" s="953">
        <f t="shared" si="172"/>
        <v>300</v>
      </c>
      <c r="CL81" s="622">
        <v>1200</v>
      </c>
      <c r="CM81" s="951">
        <f>CQ81/4</f>
        <v>250</v>
      </c>
      <c r="CN81" s="952">
        <f t="shared" ref="CN81:CP81" si="173">+CM81</f>
        <v>250</v>
      </c>
      <c r="CO81" s="952">
        <f t="shared" si="173"/>
        <v>250</v>
      </c>
      <c r="CP81" s="953">
        <f t="shared" si="173"/>
        <v>250</v>
      </c>
      <c r="CQ81" s="910">
        <v>1000</v>
      </c>
      <c r="CR81" s="1460"/>
      <c r="CS81" s="99"/>
      <c r="CT81" s="99"/>
      <c r="CU81" s="99"/>
    </row>
    <row r="82" spans="1:105" ht="13.5" customHeight="1">
      <c r="A82" s="75"/>
      <c r="B82" s="96"/>
      <c r="C82" s="81" t="s">
        <v>985</v>
      </c>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933"/>
      <c r="AK82" s="934"/>
      <c r="AL82" s="934"/>
      <c r="AM82" s="935"/>
      <c r="AN82" s="88"/>
      <c r="AO82" s="933"/>
      <c r="AP82" s="934"/>
      <c r="AQ82" s="934"/>
      <c r="AR82" s="935"/>
      <c r="AS82" s="88"/>
      <c r="AT82" s="933"/>
      <c r="AU82" s="934"/>
      <c r="AV82" s="934"/>
      <c r="AW82" s="935"/>
      <c r="AX82" s="88"/>
      <c r="AY82" s="933"/>
      <c r="AZ82" s="934"/>
      <c r="BA82" s="934"/>
      <c r="BB82" s="935"/>
      <c r="BC82" s="88"/>
      <c r="BD82" s="933"/>
      <c r="BE82" s="934"/>
      <c r="BF82" s="934"/>
      <c r="BG82" s="935"/>
      <c r="BH82" s="88"/>
      <c r="BI82" s="933"/>
      <c r="BJ82" s="934"/>
      <c r="BK82" s="934"/>
      <c r="BL82" s="935"/>
      <c r="BM82" s="88"/>
      <c r="BN82" s="951">
        <f t="shared" ref="BN82:CQ82" si="174">+BN81/BN34*1000</f>
        <v>92.090179594956055</v>
      </c>
      <c r="BO82" s="952">
        <f t="shared" si="174"/>
        <v>88.864306784660769</v>
      </c>
      <c r="BP82" s="952">
        <f t="shared" si="174"/>
        <v>90.059790732436468</v>
      </c>
      <c r="BQ82" s="953">
        <f t="shared" si="174"/>
        <v>93.014280200694714</v>
      </c>
      <c r="BR82" s="877">
        <f t="shared" si="174"/>
        <v>90.977727444318603</v>
      </c>
      <c r="BS82" s="951">
        <f t="shared" si="174"/>
        <v>95.076060848678935</v>
      </c>
      <c r="BT82" s="952">
        <f t="shared" si="174"/>
        <v>88.224368499257068</v>
      </c>
      <c r="BU82" s="952">
        <f t="shared" si="174"/>
        <v>93.68836291913216</v>
      </c>
      <c r="BV82" s="953">
        <f t="shared" si="174"/>
        <v>100.25327142254116</v>
      </c>
      <c r="BW82" s="877">
        <f t="shared" si="174"/>
        <v>94.115316029324347</v>
      </c>
      <c r="BX82" s="951">
        <f t="shared" si="174"/>
        <v>141.43094841930119</v>
      </c>
      <c r="BY82" s="952">
        <f t="shared" si="174"/>
        <v>120.14417300760913</v>
      </c>
      <c r="BZ82" s="952">
        <f t="shared" si="174"/>
        <v>130.50314465408806</v>
      </c>
      <c r="CA82" s="953">
        <f t="shared" si="174"/>
        <v>144.55364455364455</v>
      </c>
      <c r="CB82" s="877">
        <f t="shared" si="174"/>
        <v>134.01436229392129</v>
      </c>
      <c r="CC82" s="951">
        <f t="shared" si="174"/>
        <v>144.14919029340538</v>
      </c>
      <c r="CD82" s="952">
        <f t="shared" si="174"/>
        <v>132.17180748911898</v>
      </c>
      <c r="CE82" s="952">
        <f t="shared" si="174"/>
        <v>119.11568515342101</v>
      </c>
      <c r="CF82" s="953">
        <f t="shared" si="174"/>
        <v>121.87512187512186</v>
      </c>
      <c r="CG82" s="1490">
        <f t="shared" si="174"/>
        <v>128.77440155673941</v>
      </c>
      <c r="CH82" s="951">
        <f t="shared" si="174"/>
        <v>109.34199010877779</v>
      </c>
      <c r="CI82" s="952">
        <f t="shared" si="174"/>
        <v>104.62148350062188</v>
      </c>
      <c r="CJ82" s="952">
        <f t="shared" si="174"/>
        <v>105.10207513537148</v>
      </c>
      <c r="CK82" s="953">
        <f t="shared" si="174"/>
        <v>107.53687224275457</v>
      </c>
      <c r="CL82" s="877">
        <f t="shared" si="174"/>
        <v>106.61668580683468</v>
      </c>
      <c r="CM82" s="951">
        <f t="shared" si="174"/>
        <v>91.118325090648156</v>
      </c>
      <c r="CN82" s="952">
        <f t="shared" si="174"/>
        <v>87.18456958385157</v>
      </c>
      <c r="CO82" s="952">
        <f t="shared" si="174"/>
        <v>87.585062612809551</v>
      </c>
      <c r="CP82" s="953">
        <f t="shared" si="174"/>
        <v>89.614060202295477</v>
      </c>
      <c r="CQ82" s="952">
        <f t="shared" si="174"/>
        <v>88.847238172362225</v>
      </c>
      <c r="CR82" s="1460"/>
      <c r="CS82" s="99"/>
      <c r="CT82" s="99"/>
      <c r="CU82" s="99"/>
    </row>
    <row r="83" spans="1:105" ht="6.2" customHeight="1">
      <c r="A83" s="75"/>
      <c r="B83" s="96"/>
      <c r="C83" s="81"/>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933"/>
      <c r="AK83" s="934"/>
      <c r="AL83" s="934"/>
      <c r="AM83" s="935"/>
      <c r="AN83" s="88"/>
      <c r="AO83" s="933"/>
      <c r="AP83" s="934"/>
      <c r="AQ83" s="934"/>
      <c r="AR83" s="935"/>
      <c r="AS83" s="88"/>
      <c r="AT83" s="933"/>
      <c r="AU83" s="934"/>
      <c r="AV83" s="934"/>
      <c r="AW83" s="935"/>
      <c r="AX83" s="88"/>
      <c r="AY83" s="933"/>
      <c r="AZ83" s="934"/>
      <c r="BA83" s="934"/>
      <c r="BB83" s="935"/>
      <c r="BC83" s="88"/>
      <c r="BD83" s="933"/>
      <c r="BE83" s="934"/>
      <c r="BF83" s="934"/>
      <c r="BG83" s="935"/>
      <c r="BH83" s="88"/>
      <c r="BI83" s="933"/>
      <c r="BJ83" s="934"/>
      <c r="BK83" s="934"/>
      <c r="BL83" s="935"/>
      <c r="BM83" s="88"/>
      <c r="BN83" s="951"/>
      <c r="BO83" s="952"/>
      <c r="BP83" s="952"/>
      <c r="BQ83" s="953"/>
      <c r="BR83" s="877"/>
      <c r="BS83" s="951"/>
      <c r="BT83" s="952"/>
      <c r="BU83" s="952"/>
      <c r="BV83" s="953"/>
      <c r="BW83" s="877"/>
      <c r="BX83" s="951"/>
      <c r="BY83" s="952"/>
      <c r="BZ83" s="952"/>
      <c r="CA83" s="953"/>
      <c r="CB83" s="877"/>
      <c r="CC83" s="951"/>
      <c r="CD83" s="952"/>
      <c r="CE83" s="952"/>
      <c r="CF83" s="953"/>
      <c r="CG83" s="1490"/>
      <c r="CH83" s="951"/>
      <c r="CI83" s="952"/>
      <c r="CJ83" s="952"/>
      <c r="CK83" s="953"/>
      <c r="CL83" s="877"/>
      <c r="CM83" s="951"/>
      <c r="CN83" s="952"/>
      <c r="CO83" s="952"/>
      <c r="CP83" s="953"/>
      <c r="CQ83" s="952"/>
      <c r="CR83" s="1460"/>
      <c r="CS83" s="99"/>
      <c r="CT83" s="99"/>
      <c r="CU83" s="99"/>
    </row>
    <row r="84" spans="1:105" ht="13.5" customHeight="1">
      <c r="A84" s="291"/>
      <c r="B84" s="93" t="s">
        <v>918</v>
      </c>
      <c r="C84" s="291"/>
      <c r="D84" s="228"/>
      <c r="E84" s="228"/>
      <c r="F84" s="228">
        <f>Financials!F32</f>
        <v>-19</v>
      </c>
      <c r="G84" s="228">
        <f>Financials!G32</f>
        <v>-48</v>
      </c>
      <c r="H84" s="228">
        <f>Financials!H32</f>
        <v>-31</v>
      </c>
      <c r="I84" s="228">
        <f>Financials!I32</f>
        <v>44</v>
      </c>
      <c r="J84" s="228">
        <f>Financials!J32</f>
        <v>-54</v>
      </c>
      <c r="K84" s="228">
        <f>Financials!K32</f>
        <v>113</v>
      </c>
      <c r="L84" s="228">
        <f>Financials!L32</f>
        <v>335</v>
      </c>
      <c r="M84" s="228">
        <f>Financials!M32</f>
        <v>362</v>
      </c>
      <c r="N84" s="228">
        <f>Financials!N32</f>
        <v>375</v>
      </c>
      <c r="O84" s="228">
        <f>Financials!O32</f>
        <v>1185</v>
      </c>
      <c r="P84" s="228">
        <f>Financials!P32</f>
        <v>335</v>
      </c>
      <c r="Q84" s="228">
        <f>Financials!Q32</f>
        <v>190</v>
      </c>
      <c r="R84" s="228">
        <f>Financials!R32</f>
        <v>41</v>
      </c>
      <c r="S84" s="228">
        <f>Financials!S32</f>
        <v>36</v>
      </c>
      <c r="T84" s="228">
        <f>Financials!T32</f>
        <v>602</v>
      </c>
      <c r="U84" s="618">
        <v>127</v>
      </c>
      <c r="V84" s="618">
        <v>212</v>
      </c>
      <c r="W84" s="618">
        <v>230</v>
      </c>
      <c r="X84" s="618">
        <f>31</f>
        <v>31</v>
      </c>
      <c r="Y84" s="228">
        <f>SUM(U84:X84)</f>
        <v>600</v>
      </c>
      <c r="Z84" s="618">
        <v>75</v>
      </c>
      <c r="AA84" s="618">
        <v>92</v>
      </c>
      <c r="AB84" s="618">
        <v>170</v>
      </c>
      <c r="AC84" s="618">
        <v>53</v>
      </c>
      <c r="AD84" s="228">
        <f>SUM(Z84:AC84)</f>
        <v>390</v>
      </c>
      <c r="AE84" s="618">
        <v>120</v>
      </c>
      <c r="AF84" s="618">
        <v>478</v>
      </c>
      <c r="AG84" s="618">
        <v>835</v>
      </c>
      <c r="AH84" s="618">
        <v>-2</v>
      </c>
      <c r="AI84" s="228">
        <f>SUM(AE84:AH84)</f>
        <v>1431</v>
      </c>
      <c r="AJ84" s="916">
        <v>-422</v>
      </c>
      <c r="AK84" s="618">
        <v>-362</v>
      </c>
      <c r="AL84" s="618">
        <v>-370</v>
      </c>
      <c r="AM84" s="917">
        <v>-284</v>
      </c>
      <c r="AN84" s="228">
        <f>SUM(AJ84:AM84)</f>
        <v>-1438</v>
      </c>
      <c r="AO84" s="916">
        <v>-80</v>
      </c>
      <c r="AP84" s="618">
        <v>98</v>
      </c>
      <c r="AQ84" s="618">
        <v>-174</v>
      </c>
      <c r="AR84" s="917">
        <v>-156</v>
      </c>
      <c r="AS84" s="228">
        <f>SUM(AO84:AR84)</f>
        <v>-312</v>
      </c>
      <c r="AT84" s="916">
        <v>-36</v>
      </c>
      <c r="AU84" s="618">
        <v>374</v>
      </c>
      <c r="AV84" s="667">
        <v>203</v>
      </c>
      <c r="AW84" s="917">
        <v>-72</v>
      </c>
      <c r="AX84" s="228">
        <f>SUM(AT84:AW84)</f>
        <v>469</v>
      </c>
      <c r="AY84" s="916">
        <v>183</v>
      </c>
      <c r="AZ84" s="618">
        <v>177</v>
      </c>
      <c r="BA84" s="618">
        <v>29</v>
      </c>
      <c r="BB84" s="917">
        <v>11</v>
      </c>
      <c r="BC84" s="228">
        <f>SUM(AY84:BB84)</f>
        <v>400</v>
      </c>
      <c r="BD84" s="916">
        <v>-13</v>
      </c>
      <c r="BE84" s="618">
        <v>-51</v>
      </c>
      <c r="BF84" s="618">
        <v>82</v>
      </c>
      <c r="BG84" s="917">
        <v>87</v>
      </c>
      <c r="BH84" s="228">
        <f>SUM(BD84:BG84)</f>
        <v>105</v>
      </c>
      <c r="BI84" s="916">
        <v>85</v>
      </c>
      <c r="BJ84" s="618">
        <v>30</v>
      </c>
      <c r="BK84" s="618">
        <v>347</v>
      </c>
      <c r="BL84" s="917">
        <v>247</v>
      </c>
      <c r="BM84" s="228">
        <f>SUM(BI84:BL84)</f>
        <v>709</v>
      </c>
      <c r="BN84" s="916">
        <v>-67</v>
      </c>
      <c r="BO84" s="618">
        <v>-64</v>
      </c>
      <c r="BP84" s="618">
        <v>-18</v>
      </c>
      <c r="BQ84" s="917">
        <f>-237-SUM(BN84:BP84)</f>
        <v>-88</v>
      </c>
      <c r="BR84" s="228">
        <f>SUM(BN84:BQ84)</f>
        <v>-237</v>
      </c>
      <c r="BS84" s="916">
        <v>-188</v>
      </c>
      <c r="BT84" s="618">
        <v>6</v>
      </c>
      <c r="BU84" s="618">
        <v>114</v>
      </c>
      <c r="BV84" s="917">
        <v>65</v>
      </c>
      <c r="BW84" s="228">
        <f>SUM(BS84:BV84)</f>
        <v>-3</v>
      </c>
      <c r="BX84" s="916">
        <v>-90</v>
      </c>
      <c r="BY84" s="618">
        <v>218</v>
      </c>
      <c r="BZ84" s="618">
        <v>160</v>
      </c>
      <c r="CA84" s="917">
        <v>92</v>
      </c>
      <c r="CB84" s="228">
        <f>SUM(BX84:CA84)</f>
        <v>380</v>
      </c>
      <c r="CC84" s="955">
        <f t="shared" ref="CC84:CF84" si="175">+CC86-CC85</f>
        <v>12.182773877665724</v>
      </c>
      <c r="CD84" s="228">
        <f t="shared" si="175"/>
        <v>238.49193922147333</v>
      </c>
      <c r="CE84" s="228">
        <f t="shared" si="175"/>
        <v>303.1320080755936</v>
      </c>
      <c r="CF84" s="956">
        <f t="shared" si="175"/>
        <v>208.56297442298262</v>
      </c>
      <c r="CG84" s="1476">
        <f>SUM(CC84:CF84)</f>
        <v>762.36969559771535</v>
      </c>
      <c r="CH84" s="955">
        <f t="shared" ref="CH84:CK84" si="176">+CH86-CH85</f>
        <v>107.96101278390674</v>
      </c>
      <c r="CI84" s="228">
        <f t="shared" si="176"/>
        <v>284.65964273098268</v>
      </c>
      <c r="CJ84" s="228">
        <f t="shared" si="176"/>
        <v>285.67141799045856</v>
      </c>
      <c r="CK84" s="956">
        <f t="shared" si="176"/>
        <v>246.79272818215185</v>
      </c>
      <c r="CL84" s="228">
        <f>SUM(CH84:CK84)</f>
        <v>925.08480168749998</v>
      </c>
      <c r="CM84" s="955">
        <f t="shared" ref="CM84:CP84" si="177">+CM86-CM85</f>
        <v>128.83760177827739</v>
      </c>
      <c r="CN84" s="228">
        <f t="shared" si="177"/>
        <v>207.17660767470176</v>
      </c>
      <c r="CO84" s="228">
        <f t="shared" si="177"/>
        <v>179.1237118427224</v>
      </c>
      <c r="CP84" s="956">
        <f t="shared" si="177"/>
        <v>145.62485128372748</v>
      </c>
      <c r="CQ84" s="228">
        <f>SUM(CM84:CP84)</f>
        <v>660.762772579429</v>
      </c>
    </row>
    <row r="85" spans="1:105" ht="13.5" customHeight="1">
      <c r="A85" s="75"/>
      <c r="B85" s="93"/>
      <c r="C85" s="75" t="s">
        <v>722</v>
      </c>
      <c r="D85" s="608">
        <v>215</v>
      </c>
      <c r="E85" s="608">
        <v>244</v>
      </c>
      <c r="F85" s="153">
        <f>G85</f>
        <v>62.5</v>
      </c>
      <c r="G85" s="153">
        <f>H85</f>
        <v>62.5</v>
      </c>
      <c r="H85" s="153">
        <f>I85</f>
        <v>62.5</v>
      </c>
      <c r="I85" s="153">
        <f>J85/4</f>
        <v>62.5</v>
      </c>
      <c r="J85" s="608">
        <v>250</v>
      </c>
      <c r="K85" s="153">
        <f>O85/4</f>
        <v>67</v>
      </c>
      <c r="L85" s="153">
        <f>O85/4</f>
        <v>67</v>
      </c>
      <c r="M85" s="153">
        <f>O85/4</f>
        <v>67</v>
      </c>
      <c r="N85" s="153">
        <f>O85/4</f>
        <v>67</v>
      </c>
      <c r="O85" s="608">
        <v>268</v>
      </c>
      <c r="P85" s="608">
        <v>64</v>
      </c>
      <c r="Q85" s="608">
        <v>56</v>
      </c>
      <c r="R85" s="608">
        <v>55</v>
      </c>
      <c r="S85" s="608">
        <v>57</v>
      </c>
      <c r="T85" s="608">
        <v>232</v>
      </c>
      <c r="U85" s="608">
        <v>66</v>
      </c>
      <c r="V85" s="608">
        <v>72</v>
      </c>
      <c r="W85" s="608">
        <v>69</v>
      </c>
      <c r="X85" s="153">
        <f>Y85-W85-V85-U85</f>
        <v>56</v>
      </c>
      <c r="Y85" s="608">
        <v>263</v>
      </c>
      <c r="Z85" s="608">
        <v>63</v>
      </c>
      <c r="AA85" s="608">
        <v>64</v>
      </c>
      <c r="AB85" s="608">
        <v>66</v>
      </c>
      <c r="AC85" s="608">
        <v>92</v>
      </c>
      <c r="AD85" s="153">
        <f>SUM(Z85:AC85)</f>
        <v>285</v>
      </c>
      <c r="AE85" s="608">
        <v>106</v>
      </c>
      <c r="AF85" s="608">
        <v>107</v>
      </c>
      <c r="AG85" s="608">
        <v>97</v>
      </c>
      <c r="AH85" s="608">
        <v>76</v>
      </c>
      <c r="AI85" s="153">
        <f>SUM(AE85:AH85)</f>
        <v>386</v>
      </c>
      <c r="AJ85" s="954">
        <v>110</v>
      </c>
      <c r="AK85" s="608">
        <v>111</v>
      </c>
      <c r="AL85" s="153">
        <f>AL63</f>
        <v>230.65666666666664</v>
      </c>
      <c r="AM85" s="915">
        <f>AM63</f>
        <v>267.61</v>
      </c>
      <c r="AN85" s="153">
        <f>AN63</f>
        <v>226.09374999999997</v>
      </c>
      <c r="AO85" s="914">
        <f>AO63</f>
        <v>312.16499999999996</v>
      </c>
      <c r="AP85" s="608">
        <v>116</v>
      </c>
      <c r="AQ85" s="153">
        <f>AQ63</f>
        <v>354.3</v>
      </c>
      <c r="AR85" s="915">
        <f>AR63</f>
        <v>353.61166666666668</v>
      </c>
      <c r="AS85" s="153">
        <f>AS63</f>
        <v>345.95791666666668</v>
      </c>
      <c r="AT85" s="954">
        <v>120</v>
      </c>
      <c r="AU85" s="608">
        <v>120</v>
      </c>
      <c r="AV85" s="608">
        <v>121</v>
      </c>
      <c r="AW85" s="960">
        <v>124</v>
      </c>
      <c r="AX85" s="153">
        <f>AX63</f>
        <v>438.13583333333338</v>
      </c>
      <c r="AY85" s="954">
        <v>119</v>
      </c>
      <c r="AZ85" s="608">
        <v>122</v>
      </c>
      <c r="BA85" s="608">
        <v>122</v>
      </c>
      <c r="BB85" s="960">
        <v>129</v>
      </c>
      <c r="BC85" s="153">
        <f>BC63</f>
        <v>409.41166666666663</v>
      </c>
      <c r="BD85" s="1033">
        <v>129</v>
      </c>
      <c r="BE85" s="639">
        <v>128</v>
      </c>
      <c r="BF85" s="639">
        <v>132</v>
      </c>
      <c r="BG85" s="1034">
        <v>123</v>
      </c>
      <c r="BH85" s="153">
        <f>SUM(BD85:BG85)</f>
        <v>512</v>
      </c>
      <c r="BI85" s="1033">
        <v>124</v>
      </c>
      <c r="BJ85" s="639">
        <v>121</v>
      </c>
      <c r="BK85" s="639">
        <v>115</v>
      </c>
      <c r="BL85" s="1034">
        <v>96</v>
      </c>
      <c r="BM85" s="153">
        <f>SUM(BI85:BL85)</f>
        <v>456</v>
      </c>
      <c r="BN85" s="1033">
        <v>104</v>
      </c>
      <c r="BO85" s="639">
        <v>99</v>
      </c>
      <c r="BP85" s="608">
        <v>99</v>
      </c>
      <c r="BQ85" s="1034">
        <v>90</v>
      </c>
      <c r="BR85" s="153">
        <f>SUM(BN85:BQ85)</f>
        <v>392</v>
      </c>
      <c r="BS85" s="1033">
        <v>91</v>
      </c>
      <c r="BT85" s="608">
        <v>89</v>
      </c>
      <c r="BU85" s="608">
        <v>87</v>
      </c>
      <c r="BV85" s="960">
        <v>82</v>
      </c>
      <c r="BW85" s="153">
        <f>SUM(BS85:BV85)</f>
        <v>349</v>
      </c>
      <c r="BX85" s="1033">
        <v>99</v>
      </c>
      <c r="BY85" s="639">
        <v>81</v>
      </c>
      <c r="BZ85" s="639">
        <v>83</v>
      </c>
      <c r="CA85" s="1034">
        <v>89</v>
      </c>
      <c r="CB85" s="153">
        <f>SUM(BX85:CA85)</f>
        <v>352</v>
      </c>
      <c r="CC85" s="1107">
        <v>100</v>
      </c>
      <c r="CD85" s="868">
        <v>92</v>
      </c>
      <c r="CE85" s="868">
        <v>92</v>
      </c>
      <c r="CF85" s="1088">
        <v>83</v>
      </c>
      <c r="CG85" s="1475">
        <f>SUM(CC85:CF85)</f>
        <v>367</v>
      </c>
      <c r="CH85" s="1107">
        <v>100</v>
      </c>
      <c r="CI85" s="868">
        <v>92</v>
      </c>
      <c r="CJ85" s="868">
        <v>92</v>
      </c>
      <c r="CK85" s="1088">
        <v>83</v>
      </c>
      <c r="CL85" s="153">
        <f>SUM(CH85:CK85)</f>
        <v>367</v>
      </c>
      <c r="CM85" s="1107">
        <v>100</v>
      </c>
      <c r="CN85" s="868">
        <v>92</v>
      </c>
      <c r="CO85" s="868">
        <v>92</v>
      </c>
      <c r="CP85" s="1088">
        <v>83</v>
      </c>
      <c r="CQ85" s="153">
        <f>SUM(CM85:CP85)</f>
        <v>367</v>
      </c>
    </row>
    <row r="86" spans="1:105" s="873" customFormat="1" ht="13.5" customHeight="1">
      <c r="A86" s="93"/>
      <c r="B86" s="93"/>
      <c r="C86" s="93" t="s">
        <v>588</v>
      </c>
      <c r="D86" s="228">
        <f t="shared" ref="D86:AI86" si="178">D84+D85</f>
        <v>215</v>
      </c>
      <c r="E86" s="228">
        <f t="shared" si="178"/>
        <v>244</v>
      </c>
      <c r="F86" s="228">
        <f t="shared" si="178"/>
        <v>43.5</v>
      </c>
      <c r="G86" s="228">
        <f t="shared" si="178"/>
        <v>14.5</v>
      </c>
      <c r="H86" s="228">
        <f t="shared" si="178"/>
        <v>31.5</v>
      </c>
      <c r="I86" s="228">
        <f t="shared" si="178"/>
        <v>106.5</v>
      </c>
      <c r="J86" s="228">
        <f t="shared" si="178"/>
        <v>196</v>
      </c>
      <c r="K86" s="228">
        <f t="shared" si="178"/>
        <v>180</v>
      </c>
      <c r="L86" s="228">
        <f t="shared" si="178"/>
        <v>402</v>
      </c>
      <c r="M86" s="228">
        <f t="shared" si="178"/>
        <v>429</v>
      </c>
      <c r="N86" s="228">
        <f t="shared" si="178"/>
        <v>442</v>
      </c>
      <c r="O86" s="228">
        <f t="shared" si="178"/>
        <v>1453</v>
      </c>
      <c r="P86" s="228">
        <f t="shared" si="178"/>
        <v>399</v>
      </c>
      <c r="Q86" s="228">
        <f t="shared" si="178"/>
        <v>246</v>
      </c>
      <c r="R86" s="228">
        <f t="shared" si="178"/>
        <v>96</v>
      </c>
      <c r="S86" s="228">
        <f t="shared" si="178"/>
        <v>93</v>
      </c>
      <c r="T86" s="228">
        <f t="shared" si="178"/>
        <v>834</v>
      </c>
      <c r="U86" s="228">
        <f t="shared" si="178"/>
        <v>193</v>
      </c>
      <c r="V86" s="228">
        <f t="shared" si="178"/>
        <v>284</v>
      </c>
      <c r="W86" s="228">
        <f t="shared" si="178"/>
        <v>299</v>
      </c>
      <c r="X86" s="228">
        <f t="shared" si="178"/>
        <v>87</v>
      </c>
      <c r="Y86" s="228">
        <f t="shared" si="178"/>
        <v>863</v>
      </c>
      <c r="Z86" s="228">
        <f t="shared" si="178"/>
        <v>138</v>
      </c>
      <c r="AA86" s="228">
        <f t="shared" si="178"/>
        <v>156</v>
      </c>
      <c r="AB86" s="228">
        <f t="shared" si="178"/>
        <v>236</v>
      </c>
      <c r="AC86" s="228">
        <f t="shared" si="178"/>
        <v>145</v>
      </c>
      <c r="AD86" s="228">
        <f t="shared" si="178"/>
        <v>675</v>
      </c>
      <c r="AE86" s="228">
        <f t="shared" si="178"/>
        <v>226</v>
      </c>
      <c r="AF86" s="228">
        <f t="shared" si="178"/>
        <v>585</v>
      </c>
      <c r="AG86" s="228">
        <f t="shared" si="178"/>
        <v>932</v>
      </c>
      <c r="AH86" s="228">
        <f t="shared" si="178"/>
        <v>74</v>
      </c>
      <c r="AI86" s="228">
        <f t="shared" si="178"/>
        <v>1817</v>
      </c>
      <c r="AJ86" s="955">
        <f t="shared" ref="AJ86:BO86" si="179">AJ84+AJ85</f>
        <v>-312</v>
      </c>
      <c r="AK86" s="228">
        <f t="shared" si="179"/>
        <v>-251</v>
      </c>
      <c r="AL86" s="228">
        <f t="shared" si="179"/>
        <v>-139.34333333333336</v>
      </c>
      <c r="AM86" s="956">
        <f t="shared" si="179"/>
        <v>-16.389999999999986</v>
      </c>
      <c r="AN86" s="228">
        <f t="shared" si="179"/>
        <v>-1211.90625</v>
      </c>
      <c r="AO86" s="955">
        <f t="shared" si="179"/>
        <v>232.16499999999996</v>
      </c>
      <c r="AP86" s="228">
        <f t="shared" si="179"/>
        <v>214</v>
      </c>
      <c r="AQ86" s="228">
        <f t="shared" si="179"/>
        <v>180.3</v>
      </c>
      <c r="AR86" s="956">
        <f t="shared" si="179"/>
        <v>197.61166666666668</v>
      </c>
      <c r="AS86" s="228">
        <f t="shared" si="179"/>
        <v>33.957916666666677</v>
      </c>
      <c r="AT86" s="955">
        <f t="shared" si="179"/>
        <v>84</v>
      </c>
      <c r="AU86" s="228">
        <f t="shared" si="179"/>
        <v>494</v>
      </c>
      <c r="AV86" s="228">
        <f t="shared" si="179"/>
        <v>324</v>
      </c>
      <c r="AW86" s="956">
        <f t="shared" si="179"/>
        <v>52</v>
      </c>
      <c r="AX86" s="228">
        <f t="shared" si="179"/>
        <v>907.13583333333338</v>
      </c>
      <c r="AY86" s="955">
        <f t="shared" si="179"/>
        <v>302</v>
      </c>
      <c r="AZ86" s="228">
        <f t="shared" si="179"/>
        <v>299</v>
      </c>
      <c r="BA86" s="228">
        <f t="shared" si="179"/>
        <v>151</v>
      </c>
      <c r="BB86" s="956">
        <f t="shared" si="179"/>
        <v>140</v>
      </c>
      <c r="BC86" s="228">
        <f t="shared" si="179"/>
        <v>809.41166666666663</v>
      </c>
      <c r="BD86" s="955">
        <f t="shared" si="179"/>
        <v>116</v>
      </c>
      <c r="BE86" s="228">
        <f t="shared" si="179"/>
        <v>77</v>
      </c>
      <c r="BF86" s="228">
        <f t="shared" si="179"/>
        <v>214</v>
      </c>
      <c r="BG86" s="956">
        <f t="shared" si="179"/>
        <v>210</v>
      </c>
      <c r="BH86" s="228">
        <f t="shared" si="179"/>
        <v>617</v>
      </c>
      <c r="BI86" s="955">
        <f t="shared" si="179"/>
        <v>209</v>
      </c>
      <c r="BJ86" s="228">
        <f t="shared" si="179"/>
        <v>151</v>
      </c>
      <c r="BK86" s="228">
        <f t="shared" si="179"/>
        <v>462</v>
      </c>
      <c r="BL86" s="956">
        <f t="shared" si="179"/>
        <v>343</v>
      </c>
      <c r="BM86" s="228">
        <f t="shared" si="179"/>
        <v>1165</v>
      </c>
      <c r="BN86" s="955">
        <f t="shared" si="179"/>
        <v>37</v>
      </c>
      <c r="BO86" s="228">
        <f t="shared" si="179"/>
        <v>35</v>
      </c>
      <c r="BP86" s="228">
        <f t="shared" ref="BP86:CA86" si="180">BP84+BP85</f>
        <v>81</v>
      </c>
      <c r="BQ86" s="956">
        <f t="shared" si="180"/>
        <v>2</v>
      </c>
      <c r="BR86" s="228">
        <f t="shared" si="180"/>
        <v>155</v>
      </c>
      <c r="BS86" s="955">
        <f t="shared" si="180"/>
        <v>-97</v>
      </c>
      <c r="BT86" s="228">
        <f t="shared" si="180"/>
        <v>95</v>
      </c>
      <c r="BU86" s="228">
        <f t="shared" si="180"/>
        <v>201</v>
      </c>
      <c r="BV86" s="956">
        <f t="shared" si="180"/>
        <v>147</v>
      </c>
      <c r="BW86" s="228">
        <f t="shared" si="180"/>
        <v>346</v>
      </c>
      <c r="BX86" s="955">
        <f t="shared" si="180"/>
        <v>9</v>
      </c>
      <c r="BY86" s="228">
        <f t="shared" si="180"/>
        <v>299</v>
      </c>
      <c r="BZ86" s="228">
        <f t="shared" si="180"/>
        <v>243</v>
      </c>
      <c r="CA86" s="956">
        <f t="shared" si="180"/>
        <v>181</v>
      </c>
      <c r="CB86" s="228">
        <f>SUM(BX86:CA86)</f>
        <v>732</v>
      </c>
      <c r="CC86" s="955">
        <f>+CC87*CC34/1000</f>
        <v>112.18277387766572</v>
      </c>
      <c r="CD86" s="228">
        <f>+CD87*CD34/1000</f>
        <v>330.49193922147333</v>
      </c>
      <c r="CE86" s="228">
        <f>+CE87*CE34/1000</f>
        <v>395.1320080755936</v>
      </c>
      <c r="CF86" s="956">
        <f>+CF87*CF34/1000</f>
        <v>291.56297442298262</v>
      </c>
      <c r="CG86" s="1476">
        <f>SUM(CC86:CF86)</f>
        <v>1129.3696955977152</v>
      </c>
      <c r="CH86" s="955">
        <f>+CH87*CH34/1000</f>
        <v>207.96101278390674</v>
      </c>
      <c r="CI86" s="228">
        <f>+CI87*CI34/1000</f>
        <v>376.65964273098268</v>
      </c>
      <c r="CJ86" s="228">
        <f>+CJ87*CJ34/1000</f>
        <v>377.67141799045856</v>
      </c>
      <c r="CK86" s="956">
        <f>+CK87*CK34/1000</f>
        <v>329.79272818215185</v>
      </c>
      <c r="CL86" s="228">
        <f>SUM(CH86:CK86)</f>
        <v>1292.0848016875</v>
      </c>
      <c r="CM86" s="955">
        <f>+CM87*CM34/1000</f>
        <v>228.83760177827739</v>
      </c>
      <c r="CN86" s="228">
        <f>+CN87*CN34/1000</f>
        <v>299.17660767470176</v>
      </c>
      <c r="CO86" s="228">
        <f>+CO87*CO34/1000</f>
        <v>271.1237118427224</v>
      </c>
      <c r="CP86" s="956">
        <f>+CP87*CP34/1000</f>
        <v>228.62485128372748</v>
      </c>
      <c r="CQ86" s="228">
        <f>SUM(CM86:CP86)</f>
        <v>1027.7627725794291</v>
      </c>
      <c r="CR86" s="1461"/>
      <c r="CV86"/>
      <c r="CW86"/>
      <c r="CX86"/>
      <c r="CY86"/>
      <c r="CZ86"/>
      <c r="DA86"/>
    </row>
    <row r="87" spans="1:105" ht="13.5" customHeight="1">
      <c r="A87" s="75"/>
      <c r="B87" s="75"/>
      <c r="C87" s="81" t="s">
        <v>919</v>
      </c>
      <c r="D87" s="153">
        <f t="shared" ref="D87:AI87" si="181">D86/D34*1000</f>
        <v>24.490260849755096</v>
      </c>
      <c r="E87" s="153">
        <f t="shared" si="181"/>
        <v>24.646464646464647</v>
      </c>
      <c r="F87" s="153">
        <f t="shared" si="181"/>
        <v>17.857142857142858</v>
      </c>
      <c r="G87" s="153">
        <f t="shared" si="181"/>
        <v>4.5284197376639597</v>
      </c>
      <c r="H87" s="153">
        <f t="shared" si="181"/>
        <v>8.0583269378357638</v>
      </c>
      <c r="I87" s="153">
        <f t="shared" si="181"/>
        <v>26.82619647355164</v>
      </c>
      <c r="J87" s="153">
        <f t="shared" si="181"/>
        <v>14.500258933195235</v>
      </c>
      <c r="K87" s="153">
        <f t="shared" si="181"/>
        <v>43.258832011535688</v>
      </c>
      <c r="L87" s="153">
        <f t="shared" si="181"/>
        <v>100.95429432446007</v>
      </c>
      <c r="M87" s="153">
        <f t="shared" si="181"/>
        <v>114.55273698264352</v>
      </c>
      <c r="N87" s="153">
        <f t="shared" si="181"/>
        <v>117.96103549506272</v>
      </c>
      <c r="O87" s="153">
        <f t="shared" si="181"/>
        <v>92.9325231851615</v>
      </c>
      <c r="P87" s="153">
        <f t="shared" si="181"/>
        <v>112.87128712871288</v>
      </c>
      <c r="Q87" s="153">
        <f t="shared" si="181"/>
        <v>76.302729528535977</v>
      </c>
      <c r="R87" s="153">
        <f t="shared" si="181"/>
        <v>30.084612973989344</v>
      </c>
      <c r="S87" s="153">
        <f t="shared" si="181"/>
        <v>27.794381350866708</v>
      </c>
      <c r="T87" s="153">
        <f t="shared" si="181"/>
        <v>62.725631768953072</v>
      </c>
      <c r="U87" s="153">
        <f t="shared" si="181"/>
        <v>54.689713799943327</v>
      </c>
      <c r="V87" s="153">
        <f t="shared" si="181"/>
        <v>73.233625580195977</v>
      </c>
      <c r="W87" s="153">
        <f t="shared" si="181"/>
        <v>80.920162381596754</v>
      </c>
      <c r="X87" s="153">
        <f t="shared" si="181"/>
        <v>28.26510721247563</v>
      </c>
      <c r="Y87" s="153">
        <f t="shared" si="181"/>
        <v>60.860366713681238</v>
      </c>
      <c r="Z87" s="153">
        <f t="shared" si="181"/>
        <v>43.287327478042663</v>
      </c>
      <c r="AA87" s="153">
        <f t="shared" si="181"/>
        <v>43.345373714920811</v>
      </c>
      <c r="AB87" s="153">
        <f t="shared" si="181"/>
        <v>65.537350735906685</v>
      </c>
      <c r="AC87" s="153">
        <f t="shared" si="181"/>
        <v>34.973468403280272</v>
      </c>
      <c r="AD87" s="153">
        <f t="shared" si="181"/>
        <v>46.442823723682402</v>
      </c>
      <c r="AE87" s="153">
        <f t="shared" si="181"/>
        <v>48.074877685598807</v>
      </c>
      <c r="AF87" s="153">
        <f t="shared" si="181"/>
        <v>120.64343163538874</v>
      </c>
      <c r="AG87" s="153">
        <f t="shared" si="181"/>
        <v>206.88124306326304</v>
      </c>
      <c r="AH87" s="153">
        <f t="shared" si="181"/>
        <v>26.523297491039425</v>
      </c>
      <c r="AI87" s="153">
        <f t="shared" si="181"/>
        <v>107.8658355595132</v>
      </c>
      <c r="AJ87" s="914">
        <f t="shared" ref="AJ87:BO87" si="182">AJ86/AJ34*1000</f>
        <v>-146.96184644371175</v>
      </c>
      <c r="AK87" s="153">
        <f t="shared" si="182"/>
        <v>-138.29201101928373</v>
      </c>
      <c r="AL87" s="153">
        <f t="shared" si="182"/>
        <v>-51.191525838843994</v>
      </c>
      <c r="AM87" s="915">
        <f t="shared" si="182"/>
        <v>-5.1202749140893422</v>
      </c>
      <c r="AN87" s="153">
        <f t="shared" si="182"/>
        <v>-122.89891998783085</v>
      </c>
      <c r="AO87" s="914">
        <f t="shared" si="182"/>
        <v>64.995800671892496</v>
      </c>
      <c r="AP87" s="153">
        <f t="shared" si="182"/>
        <v>52.696380201920711</v>
      </c>
      <c r="AQ87" s="153">
        <f t="shared" si="182"/>
        <v>47.298006295907662</v>
      </c>
      <c r="AR87" s="915">
        <f t="shared" si="182"/>
        <v>51.247838865836798</v>
      </c>
      <c r="AS87" s="153">
        <f t="shared" si="182"/>
        <v>2.2193266235322318</v>
      </c>
      <c r="AT87" s="914">
        <f t="shared" si="182"/>
        <v>21.244309559939303</v>
      </c>
      <c r="AU87" s="153">
        <f t="shared" si="182"/>
        <v>125.50813008130082</v>
      </c>
      <c r="AV87" s="153">
        <f t="shared" si="182"/>
        <v>84.485006518904825</v>
      </c>
      <c r="AW87" s="915">
        <f t="shared" si="182"/>
        <v>13.742071881606766</v>
      </c>
      <c r="AX87" s="153">
        <f t="shared" si="182"/>
        <v>58.490929997635781</v>
      </c>
      <c r="AY87" s="914">
        <f t="shared" si="182"/>
        <v>73.802541544477037</v>
      </c>
      <c r="AZ87" s="153">
        <f t="shared" si="182"/>
        <v>75.012543903662831</v>
      </c>
      <c r="BA87" s="153">
        <f t="shared" si="182"/>
        <v>38.016112789526687</v>
      </c>
      <c r="BB87" s="915">
        <f t="shared" si="182"/>
        <v>35.67787971457696</v>
      </c>
      <c r="BC87" s="153">
        <f t="shared" si="182"/>
        <v>50.670568841033344</v>
      </c>
      <c r="BD87" s="914">
        <f t="shared" si="182"/>
        <v>28.870084619213539</v>
      </c>
      <c r="BE87" s="153">
        <f t="shared" si="182"/>
        <v>20.654506437768241</v>
      </c>
      <c r="BF87" s="153">
        <f t="shared" si="182"/>
        <v>62.427071178529751</v>
      </c>
      <c r="BG87" s="915">
        <f t="shared" si="182"/>
        <v>60.518731988472624</v>
      </c>
      <c r="BH87" s="153">
        <f t="shared" si="182"/>
        <v>42.133296913411641</v>
      </c>
      <c r="BI87" s="914">
        <f t="shared" si="182"/>
        <v>56.886227544910177</v>
      </c>
      <c r="BJ87" s="153">
        <f t="shared" si="182"/>
        <v>42.812588602211505</v>
      </c>
      <c r="BK87" s="153">
        <f t="shared" si="182"/>
        <v>125.13542795232935</v>
      </c>
      <c r="BL87" s="915">
        <f t="shared" si="182"/>
        <v>113.76451077943615</v>
      </c>
      <c r="BM87" s="153">
        <f t="shared" si="182"/>
        <v>83.764739718147823</v>
      </c>
      <c r="BN87" s="914">
        <f t="shared" si="182"/>
        <v>14.138326327856323</v>
      </c>
      <c r="BO87" s="153">
        <f t="shared" si="182"/>
        <v>12.905604719764012</v>
      </c>
      <c r="BP87" s="153">
        <f t="shared" ref="BP87:CA87" si="183">BP86/BP34*1000</f>
        <v>30.269058295964125</v>
      </c>
      <c r="BQ87" s="915">
        <f t="shared" si="183"/>
        <v>0.77190274025472794</v>
      </c>
      <c r="BR87" s="153">
        <f t="shared" si="183"/>
        <v>14.628161570403925</v>
      </c>
      <c r="BS87" s="914">
        <f t="shared" si="183"/>
        <v>-38.831064851881507</v>
      </c>
      <c r="BT87" s="153">
        <f t="shared" si="183"/>
        <v>35.289747399702826</v>
      </c>
      <c r="BU87" s="153">
        <f t="shared" si="183"/>
        <v>79.289940828402365</v>
      </c>
      <c r="BV87" s="915">
        <f t="shared" si="183"/>
        <v>62.051498522583366</v>
      </c>
      <c r="BW87" s="153">
        <f t="shared" si="183"/>
        <v>34.27778878541708</v>
      </c>
      <c r="BX87" s="914">
        <f t="shared" si="183"/>
        <v>3.7437603993344428</v>
      </c>
      <c r="BY87" s="153">
        <f t="shared" si="183"/>
        <v>119.74369243091711</v>
      </c>
      <c r="BZ87" s="153">
        <f t="shared" si="183"/>
        <v>95.518867924528308</v>
      </c>
      <c r="CA87" s="915">
        <f t="shared" si="183"/>
        <v>74.119574119574125</v>
      </c>
      <c r="CB87" s="153">
        <f t="shared" ref="CB87:CQ87" si="184">CB51-CB73</f>
        <v>73.411998650317173</v>
      </c>
      <c r="CC87" s="914">
        <f t="shared" si="184"/>
        <v>46.20301719809629</v>
      </c>
      <c r="CD87" s="153">
        <f t="shared" si="184"/>
        <v>131.04515090245854</v>
      </c>
      <c r="CE87" s="153">
        <f t="shared" si="184"/>
        <v>141.19925960391424</v>
      </c>
      <c r="CF87" s="915">
        <f t="shared" si="184"/>
        <v>106.60281912622213</v>
      </c>
      <c r="CG87" s="1475">
        <f t="shared" si="184"/>
        <v>107.96253150728023</v>
      </c>
      <c r="CH87" s="914">
        <f t="shared" si="184"/>
        <v>75.796236676097806</v>
      </c>
      <c r="CI87" s="153">
        <f t="shared" si="184"/>
        <v>131.35563532443211</v>
      </c>
      <c r="CJ87" s="153">
        <f t="shared" si="184"/>
        <v>132.31349916705153</v>
      </c>
      <c r="CK87" s="915">
        <f t="shared" si="184"/>
        <v>118.21626159037851</v>
      </c>
      <c r="CL87" s="153">
        <f t="shared" si="184"/>
        <v>114.42710989164186</v>
      </c>
      <c r="CM87" s="914">
        <f t="shared" si="184"/>
        <v>83.405195967189456</v>
      </c>
      <c r="CN87" s="153">
        <f t="shared" si="184"/>
        <v>104.33433507870279</v>
      </c>
      <c r="CO87" s="153">
        <f t="shared" si="184"/>
        <v>94.985549110248712</v>
      </c>
      <c r="CP87" s="915">
        <f t="shared" si="184"/>
        <v>81.952004746723219</v>
      </c>
      <c r="CQ87" s="153">
        <f t="shared" si="184"/>
        <v>91.075015862456553</v>
      </c>
    </row>
    <row r="88" spans="1:105" ht="6.2" customHeight="1">
      <c r="A88" s="82"/>
      <c r="B88" s="81"/>
      <c r="C88" s="83"/>
      <c r="D88" s="76"/>
      <c r="E88" s="76"/>
      <c r="F88" s="299"/>
      <c r="G88" s="299"/>
      <c r="H88" s="299"/>
      <c r="I88" s="299"/>
      <c r="J88" s="299"/>
      <c r="K88" s="299"/>
      <c r="L88" s="299"/>
      <c r="M88" s="299"/>
      <c r="N88" s="299"/>
      <c r="O88" s="299"/>
      <c r="P88" s="299"/>
      <c r="Q88" s="299"/>
      <c r="R88" s="299"/>
      <c r="S88" s="299"/>
      <c r="T88" s="299"/>
      <c r="U88" s="299"/>
      <c r="V88" s="299"/>
      <c r="W88" s="299"/>
      <c r="X88" s="299"/>
      <c r="Y88" s="299"/>
      <c r="Z88" s="299"/>
      <c r="AA88" s="299"/>
      <c r="AB88" s="299"/>
      <c r="AC88" s="299"/>
      <c r="AD88" s="299"/>
      <c r="AE88" s="299"/>
      <c r="AF88" s="299"/>
      <c r="AG88" s="299"/>
      <c r="AH88" s="299"/>
      <c r="AI88" s="299"/>
      <c r="AJ88" s="928"/>
      <c r="AK88" s="299"/>
      <c r="AL88" s="299"/>
      <c r="AM88" s="929"/>
      <c r="AN88" s="299"/>
      <c r="AO88" s="928"/>
      <c r="AP88" s="299"/>
      <c r="AQ88" s="299"/>
      <c r="AR88" s="929"/>
      <c r="AS88" s="299"/>
      <c r="AT88" s="928"/>
      <c r="AU88" s="299"/>
      <c r="AV88" s="299"/>
      <c r="AW88" s="929"/>
      <c r="AX88" s="299"/>
      <c r="AY88" s="928"/>
      <c r="AZ88" s="299"/>
      <c r="BA88" s="299"/>
      <c r="BB88" s="929"/>
      <c r="BC88" s="299"/>
      <c r="BD88" s="928"/>
      <c r="BE88" s="299"/>
      <c r="BF88" s="299"/>
      <c r="BG88" s="929"/>
      <c r="BH88" s="299"/>
      <c r="BI88" s="928"/>
      <c r="BJ88" s="299"/>
      <c r="BK88" s="299"/>
      <c r="BL88" s="929"/>
      <c r="BM88" s="299"/>
      <c r="BN88" s="928"/>
      <c r="BO88" s="299"/>
      <c r="BP88" s="299"/>
      <c r="BQ88" s="929"/>
      <c r="BR88" s="299"/>
      <c r="BS88" s="928"/>
      <c r="BT88" s="299"/>
      <c r="BU88" s="299"/>
      <c r="BV88" s="929"/>
      <c r="BW88" s="299"/>
      <c r="BX88" s="928"/>
      <c r="BY88" s="299"/>
      <c r="BZ88" s="299"/>
      <c r="CA88" s="929"/>
      <c r="CB88" s="299"/>
      <c r="CC88" s="928"/>
      <c r="CD88" s="299"/>
      <c r="CE88" s="299"/>
      <c r="CF88" s="929"/>
      <c r="CG88" s="1481"/>
      <c r="CH88" s="928"/>
      <c r="CI88" s="299"/>
      <c r="CJ88" s="299"/>
      <c r="CK88" s="929"/>
      <c r="CL88" s="299"/>
      <c r="CM88" s="928"/>
      <c r="CN88" s="299"/>
      <c r="CO88" s="299"/>
      <c r="CP88" s="929"/>
      <c r="CQ88" s="299"/>
    </row>
    <row r="89" spans="1:105" s="389" customFormat="1" ht="13.5" customHeight="1">
      <c r="A89" s="303" t="s">
        <v>929</v>
      </c>
      <c r="B89" s="81"/>
      <c r="C89" s="83"/>
      <c r="D89" s="75"/>
      <c r="E89" s="679"/>
      <c r="F89" s="299">
        <f>G89</f>
        <v>-12</v>
      </c>
      <c r="G89" s="299">
        <f>H89</f>
        <v>-12</v>
      </c>
      <c r="H89" s="299">
        <f>I89</f>
        <v>-12</v>
      </c>
      <c r="I89" s="299">
        <f>J89/4</f>
        <v>-12</v>
      </c>
      <c r="J89" s="679">
        <f>-155-Financials!J36</f>
        <v>-48</v>
      </c>
      <c r="K89" s="299">
        <f>L89</f>
        <v>-37</v>
      </c>
      <c r="L89" s="299">
        <f>M89</f>
        <v>-37</v>
      </c>
      <c r="M89" s="299">
        <f>N89</f>
        <v>-37</v>
      </c>
      <c r="N89" s="299">
        <f>O89/4</f>
        <v>-37</v>
      </c>
      <c r="O89" s="304">
        <f>-360-Financials!O36</f>
        <v>-148</v>
      </c>
      <c r="P89" s="299">
        <f>Q89</f>
        <v>-30.5</v>
      </c>
      <c r="Q89" s="299">
        <f>R89</f>
        <v>-30.5</v>
      </c>
      <c r="R89" s="299">
        <f>S89</f>
        <v>-30.5</v>
      </c>
      <c r="S89" s="299">
        <f>T89/4</f>
        <v>-30.5</v>
      </c>
      <c r="T89" s="304">
        <f>-389-Financials!T36</f>
        <v>-122</v>
      </c>
      <c r="U89" s="299">
        <f>V89</f>
        <v>-17.25</v>
      </c>
      <c r="V89" s="299">
        <f>W89</f>
        <v>-17.25</v>
      </c>
      <c r="W89" s="299">
        <f>X89</f>
        <v>-17.25</v>
      </c>
      <c r="X89" s="299">
        <f>Y89/4</f>
        <v>-17.25</v>
      </c>
      <c r="Y89" s="304">
        <f>-312-Financials!Y36</f>
        <v>-69</v>
      </c>
      <c r="Z89" s="299">
        <f>AA89</f>
        <v>-41.25</v>
      </c>
      <c r="AA89" s="299">
        <f>AB89</f>
        <v>-41.25</v>
      </c>
      <c r="AB89" s="299">
        <f>AC89</f>
        <v>-41.25</v>
      </c>
      <c r="AC89" s="299">
        <f>AD89/4</f>
        <v>-41.25</v>
      </c>
      <c r="AD89" s="304">
        <f>-265-Financials!AD36</f>
        <v>-165</v>
      </c>
      <c r="AE89" s="299">
        <f>AF89</f>
        <v>-51.25</v>
      </c>
      <c r="AF89" s="299">
        <f>AG89</f>
        <v>-51.25</v>
      </c>
      <c r="AG89" s="299">
        <f>AH89</f>
        <v>-51.25</v>
      </c>
      <c r="AH89" s="299">
        <f>AI89/4</f>
        <v>-51.25</v>
      </c>
      <c r="AI89" s="304">
        <f>-227-Financials!AI36</f>
        <v>-205</v>
      </c>
      <c r="AJ89" s="928">
        <f>AK89</f>
        <v>-82</v>
      </c>
      <c r="AK89" s="299">
        <f>AL89</f>
        <v>-82</v>
      </c>
      <c r="AL89" s="299">
        <f>AM89</f>
        <v>-82</v>
      </c>
      <c r="AM89" s="929">
        <f>AN89/4</f>
        <v>-82</v>
      </c>
      <c r="AN89" s="304">
        <f>-462-Financials!AN36</f>
        <v>-328</v>
      </c>
      <c r="AO89" s="928">
        <f>AP89</f>
        <v>-60</v>
      </c>
      <c r="AP89" s="299">
        <f>AQ89</f>
        <v>-60</v>
      </c>
      <c r="AQ89" s="299">
        <f>AR89</f>
        <v>-60</v>
      </c>
      <c r="AR89" s="929">
        <f>AS89/4</f>
        <v>-60</v>
      </c>
      <c r="AS89" s="304">
        <f>-428-Financials!AS36</f>
        <v>-240</v>
      </c>
      <c r="AT89" s="928">
        <f>AU89</f>
        <v>-54</v>
      </c>
      <c r="AU89" s="299">
        <f>AV89</f>
        <v>-54</v>
      </c>
      <c r="AV89" s="299">
        <f>AW89</f>
        <v>-54</v>
      </c>
      <c r="AW89" s="929">
        <f>AX89/4</f>
        <v>-54</v>
      </c>
      <c r="AX89" s="673">
        <f>-Pension!J25-OPEB!J25-Financials!AX36</f>
        <v>-216</v>
      </c>
      <c r="AY89" s="928">
        <f>AZ89</f>
        <v>-53.75</v>
      </c>
      <c r="AZ89" s="299">
        <f>BA89</f>
        <v>-53.75</v>
      </c>
      <c r="BA89" s="299">
        <f>BB89</f>
        <v>-53.75</v>
      </c>
      <c r="BB89" s="929">
        <f>BC89/4</f>
        <v>-53.75</v>
      </c>
      <c r="BC89" s="673">
        <f>-Pension!K25-OPEB!K25-Financials!BC36</f>
        <v>-215</v>
      </c>
      <c r="BD89" s="928">
        <f>BE89</f>
        <v>-57.5</v>
      </c>
      <c r="BE89" s="299">
        <f>BF89</f>
        <v>-57.5</v>
      </c>
      <c r="BF89" s="299">
        <f>BG89</f>
        <v>-57.5</v>
      </c>
      <c r="BG89" s="929">
        <f>BH89/4</f>
        <v>-57.5</v>
      </c>
      <c r="BH89" s="673">
        <f>-Pension!L25-OPEB!L25-Financials!BH36</f>
        <v>-230</v>
      </c>
      <c r="BI89" s="928">
        <f>BJ89</f>
        <v>-54.25</v>
      </c>
      <c r="BJ89" s="299">
        <f>BK89</f>
        <v>-54.25</v>
      </c>
      <c r="BK89" s="299">
        <f>BL89</f>
        <v>-54.25</v>
      </c>
      <c r="BL89" s="929">
        <f>BM89/4</f>
        <v>-54.25</v>
      </c>
      <c r="BM89" s="673">
        <f>-Pension!M25-OPEB!M25-Financials!BM36</f>
        <v>-217</v>
      </c>
      <c r="BN89" s="928">
        <f>BO89</f>
        <v>-53</v>
      </c>
      <c r="BO89" s="299">
        <f>BP89</f>
        <v>-53</v>
      </c>
      <c r="BP89" s="299">
        <f>BQ89</f>
        <v>-53</v>
      </c>
      <c r="BQ89" s="929">
        <f>BR89/4</f>
        <v>-53</v>
      </c>
      <c r="BR89" s="673">
        <f>-Pension!N25-OPEB!N25-Financials!BR36</f>
        <v>-212</v>
      </c>
      <c r="BS89" s="928">
        <f>BT89</f>
        <v>-41</v>
      </c>
      <c r="BT89" s="299">
        <f>BU89</f>
        <v>-41</v>
      </c>
      <c r="BU89" s="299">
        <f>BV89</f>
        <v>-41</v>
      </c>
      <c r="BV89" s="929">
        <f>BW89/4</f>
        <v>-41</v>
      </c>
      <c r="BW89" s="673">
        <f>-Pension!O25-OPEB!O25-Financials!BW36</f>
        <v>-164</v>
      </c>
      <c r="BX89" s="928">
        <f>BY89</f>
        <v>-30.25</v>
      </c>
      <c r="BY89" s="299">
        <f>BZ89</f>
        <v>-30.25</v>
      </c>
      <c r="BZ89" s="299">
        <f>CA89</f>
        <v>-30.25</v>
      </c>
      <c r="CA89" s="929">
        <f>CB89/4</f>
        <v>-30.25</v>
      </c>
      <c r="CB89" s="673">
        <f>-Pension!P25-OPEB!P25-Financials!CB36</f>
        <v>-121</v>
      </c>
      <c r="CC89" s="928">
        <f>CD89</f>
        <v>-27.148874999999983</v>
      </c>
      <c r="CD89" s="299">
        <f>CE89</f>
        <v>-27.148874999999983</v>
      </c>
      <c r="CE89" s="299">
        <f>CF89</f>
        <v>-27.148874999999983</v>
      </c>
      <c r="CF89" s="929">
        <f>CG89/4</f>
        <v>-27.148874999999983</v>
      </c>
      <c r="CG89" s="1509">
        <f>-Pension!Q25-OPEB!Q25-Financials!CG36</f>
        <v>-108.59549999999993</v>
      </c>
      <c r="CH89" s="928">
        <f>CI89</f>
        <v>-26.915510437499996</v>
      </c>
      <c r="CI89" s="299">
        <f>CJ89</f>
        <v>-26.915510437499996</v>
      </c>
      <c r="CJ89" s="299">
        <f>CK89</f>
        <v>-26.915510437499996</v>
      </c>
      <c r="CK89" s="929">
        <f>CL89/4</f>
        <v>-26.915510437499996</v>
      </c>
      <c r="CL89" s="673">
        <f>-Pension!R25-OPEB!R25-Financials!CL36</f>
        <v>-107.66204174999999</v>
      </c>
      <c r="CM89" s="928">
        <f>CN89</f>
        <v>-26.507146374343741</v>
      </c>
      <c r="CN89" s="299">
        <f>CO89</f>
        <v>-26.507146374343741</v>
      </c>
      <c r="CO89" s="299">
        <f>CP89</f>
        <v>-26.507146374343741</v>
      </c>
      <c r="CP89" s="929">
        <f>CQ89/4</f>
        <v>-26.507146374343741</v>
      </c>
      <c r="CQ89" s="673">
        <f>-Pension!S25-OPEB!S25-Financials!CQ36</f>
        <v>-106.02858549737496</v>
      </c>
      <c r="CR89" s="1465"/>
      <c r="CV89"/>
      <c r="CW89"/>
      <c r="CX89"/>
      <c r="CY89"/>
      <c r="CZ89"/>
      <c r="DA89"/>
    </row>
    <row r="90" spans="1:105" ht="6.2" customHeight="1">
      <c r="A90" s="82"/>
      <c r="B90" s="82"/>
      <c r="C90" s="82"/>
      <c r="D90" s="76"/>
      <c r="E90" s="76"/>
      <c r="F90" s="76"/>
      <c r="G90" s="76"/>
      <c r="H90" s="76"/>
      <c r="I90" s="76"/>
      <c r="J90" s="76"/>
      <c r="K90" s="76"/>
      <c r="L90" s="76"/>
      <c r="M90" s="76"/>
      <c r="N90" s="76"/>
      <c r="O90" s="76"/>
      <c r="P90" s="76"/>
      <c r="Q90" s="76"/>
      <c r="R90" s="76"/>
      <c r="S90" s="76"/>
      <c r="T90" s="76"/>
      <c r="U90" s="76"/>
      <c r="V90" s="76"/>
      <c r="W90" s="76"/>
      <c r="X90" s="76"/>
      <c r="Y90" s="76"/>
      <c r="Z90" s="302"/>
      <c r="AA90" s="302"/>
      <c r="AB90" s="302"/>
      <c r="AC90" s="302"/>
      <c r="AD90" s="302"/>
      <c r="AE90" s="302"/>
      <c r="AF90" s="302"/>
      <c r="AG90" s="76"/>
      <c r="AH90" s="670"/>
      <c r="AI90" s="305"/>
      <c r="AJ90" s="957"/>
      <c r="AK90" s="958"/>
      <c r="AL90" s="958"/>
      <c r="AM90" s="959"/>
      <c r="AN90" s="305"/>
      <c r="AO90" s="957"/>
      <c r="AP90" s="958"/>
      <c r="AQ90" s="958"/>
      <c r="AR90" s="959"/>
      <c r="AS90" s="76"/>
      <c r="AT90" s="957"/>
      <c r="AU90" s="958"/>
      <c r="AV90" s="1019"/>
      <c r="AW90" s="959"/>
      <c r="AX90" s="76"/>
      <c r="AY90" s="957"/>
      <c r="AZ90" s="958"/>
      <c r="BA90" s="958"/>
      <c r="BB90" s="959"/>
      <c r="BC90" s="292"/>
      <c r="BD90" s="957"/>
      <c r="BE90" s="958"/>
      <c r="BF90" s="958"/>
      <c r="BG90" s="959"/>
      <c r="BH90" s="76"/>
      <c r="BI90" s="957"/>
      <c r="BJ90" s="958"/>
      <c r="BK90" s="958"/>
      <c r="BL90" s="959"/>
      <c r="BM90" s="76"/>
      <c r="BN90" s="1052"/>
      <c r="BO90" s="1053"/>
      <c r="BP90" s="1053"/>
      <c r="BQ90" s="1054"/>
      <c r="BR90" s="76"/>
      <c r="BS90" s="1052"/>
      <c r="BT90" s="1053"/>
      <c r="BU90" s="1053"/>
      <c r="BV90" s="1054"/>
      <c r="BW90" s="76"/>
      <c r="BX90" s="1052"/>
      <c r="BY90" s="1053"/>
      <c r="BZ90" s="1053"/>
      <c r="CA90" s="1054"/>
      <c r="CB90" s="76"/>
      <c r="CC90" s="1052"/>
      <c r="CD90" s="1053"/>
      <c r="CE90" s="1053"/>
      <c r="CF90" s="1054"/>
      <c r="CG90" s="1492"/>
      <c r="CH90" s="1052"/>
      <c r="CI90" s="1053"/>
      <c r="CJ90" s="1053"/>
      <c r="CK90" s="1054"/>
      <c r="CL90" s="76"/>
      <c r="CM90" s="1052"/>
      <c r="CN90" s="1053"/>
      <c r="CO90" s="1053"/>
      <c r="CP90" s="1054"/>
      <c r="CQ90" s="82"/>
    </row>
    <row r="91" spans="1:105" ht="13.5" customHeight="1">
      <c r="A91" s="82"/>
      <c r="B91" s="81" t="s">
        <v>700</v>
      </c>
      <c r="C91" s="81"/>
      <c r="D91" s="671">
        <v>144</v>
      </c>
      <c r="E91" s="671">
        <v>47</v>
      </c>
      <c r="F91" s="671">
        <v>11</v>
      </c>
      <c r="G91" s="608">
        <v>21</v>
      </c>
      <c r="H91" s="608">
        <v>23</v>
      </c>
      <c r="I91" s="153">
        <f>J91-SUM(F91:H91)</f>
        <v>46</v>
      </c>
      <c r="J91" s="608">
        <v>101</v>
      </c>
      <c r="K91" s="608">
        <v>21</v>
      </c>
      <c r="L91" s="608">
        <v>37</v>
      </c>
      <c r="M91" s="608">
        <v>109</v>
      </c>
      <c r="N91" s="153">
        <f>O91-SUM(K91:M91)</f>
        <v>86</v>
      </c>
      <c r="O91" s="608">
        <v>253</v>
      </c>
      <c r="P91" s="608">
        <v>59</v>
      </c>
      <c r="Q91" s="608">
        <v>78</v>
      </c>
      <c r="R91" s="608">
        <v>83</v>
      </c>
      <c r="S91" s="153">
        <f>T91-SUM(P91:R91)</f>
        <v>157</v>
      </c>
      <c r="T91" s="608">
        <v>377</v>
      </c>
      <c r="U91" s="608">
        <v>69</v>
      </c>
      <c r="V91" s="608">
        <v>32</v>
      </c>
      <c r="W91" s="608">
        <v>46</v>
      </c>
      <c r="X91" s="608">
        <v>127</v>
      </c>
      <c r="Y91" s="153">
        <f>SUM(U91:X91)</f>
        <v>274</v>
      </c>
      <c r="Z91" s="608">
        <v>50</v>
      </c>
      <c r="AA91" s="608">
        <v>69</v>
      </c>
      <c r="AB91" s="608">
        <v>121</v>
      </c>
      <c r="AC91" s="608">
        <v>79</v>
      </c>
      <c r="AD91" s="153">
        <f>SUM(Z91:AC91)</f>
        <v>319</v>
      </c>
      <c r="AE91" s="608">
        <v>83</v>
      </c>
      <c r="AF91" s="608">
        <v>145</v>
      </c>
      <c r="AG91" s="608">
        <v>192</v>
      </c>
      <c r="AH91" s="608">
        <v>175</v>
      </c>
      <c r="AI91" s="153">
        <f>SUM(AE91:AH91)</f>
        <v>595</v>
      </c>
      <c r="AJ91" s="954">
        <v>98</v>
      </c>
      <c r="AK91" s="608">
        <v>65</v>
      </c>
      <c r="AL91" s="608">
        <v>68</v>
      </c>
      <c r="AM91" s="960">
        <v>107</v>
      </c>
      <c r="AN91" s="153">
        <f>SUM(AJ91:AM91)</f>
        <v>338</v>
      </c>
      <c r="AO91" s="954">
        <v>80</v>
      </c>
      <c r="AP91" s="608">
        <v>74</v>
      </c>
      <c r="AQ91" s="608">
        <v>151</v>
      </c>
      <c r="AR91" s="960">
        <v>194</v>
      </c>
      <c r="AS91" s="153">
        <f>SUM(AO91:AR91)</f>
        <v>499</v>
      </c>
      <c r="AT91" s="954">
        <v>125</v>
      </c>
      <c r="AU91" s="608">
        <v>142</v>
      </c>
      <c r="AV91" s="608">
        <v>160</v>
      </c>
      <c r="AW91" s="960">
        <v>189</v>
      </c>
      <c r="AX91" s="153">
        <f>SUM(AT91:AW91)</f>
        <v>616</v>
      </c>
      <c r="AY91" s="954">
        <v>119</v>
      </c>
      <c r="AZ91" s="608">
        <v>151</v>
      </c>
      <c r="BA91" s="608">
        <v>89</v>
      </c>
      <c r="BB91" s="960">
        <v>141</v>
      </c>
      <c r="BC91" s="153">
        <f>SUM(AY91:BB91)</f>
        <v>500</v>
      </c>
      <c r="BD91" s="954">
        <v>96</v>
      </c>
      <c r="BE91" s="608">
        <v>80</v>
      </c>
      <c r="BF91" s="608">
        <v>72</v>
      </c>
      <c r="BG91" s="960">
        <v>101</v>
      </c>
      <c r="BH91" s="153">
        <f>SUM(BD91:BG91)</f>
        <v>349</v>
      </c>
      <c r="BI91" s="1033">
        <v>55</v>
      </c>
      <c r="BJ91" s="639">
        <v>47</v>
      </c>
      <c r="BK91" s="608">
        <v>56</v>
      </c>
      <c r="BL91" s="960">
        <v>103</v>
      </c>
      <c r="BM91" s="153">
        <f>SUM(BI91:BL91)</f>
        <v>261</v>
      </c>
      <c r="BN91" s="954">
        <v>132</v>
      </c>
      <c r="BO91" s="608">
        <v>56</v>
      </c>
      <c r="BP91" s="608">
        <v>63</v>
      </c>
      <c r="BQ91" s="960">
        <v>84</v>
      </c>
      <c r="BR91" s="153">
        <f>SUM(BN91:BQ91)</f>
        <v>335</v>
      </c>
      <c r="BS91" s="954">
        <v>46</v>
      </c>
      <c r="BT91" s="608">
        <v>28</v>
      </c>
      <c r="BU91" s="608">
        <v>23</v>
      </c>
      <c r="BV91" s="960">
        <v>14</v>
      </c>
      <c r="BW91" s="153">
        <f>SUM(BS91:BV91)</f>
        <v>111</v>
      </c>
      <c r="BX91" s="954">
        <v>25</v>
      </c>
      <c r="BY91" s="608">
        <v>47</v>
      </c>
      <c r="BZ91" s="608">
        <v>134</v>
      </c>
      <c r="CA91" s="960">
        <v>182</v>
      </c>
      <c r="CB91" s="153">
        <f>SUM(BX91:CA91)</f>
        <v>388</v>
      </c>
      <c r="CC91" s="914">
        <f>CD91</f>
        <v>175</v>
      </c>
      <c r="CD91" s="153">
        <f>CE91</f>
        <v>175</v>
      </c>
      <c r="CE91" s="153">
        <f>CG91/4</f>
        <v>175</v>
      </c>
      <c r="CF91" s="915">
        <f>CG91-SUM(CC91:CE91)</f>
        <v>175</v>
      </c>
      <c r="CG91" s="1493">
        <v>700</v>
      </c>
      <c r="CH91" s="914">
        <f>CI91</f>
        <v>250</v>
      </c>
      <c r="CI91" s="153">
        <f>CJ91</f>
        <v>250</v>
      </c>
      <c r="CJ91" s="153">
        <f>CL91/4</f>
        <v>250</v>
      </c>
      <c r="CK91" s="915">
        <f>CL91-SUM(CH91:CJ91)</f>
        <v>250</v>
      </c>
      <c r="CL91" s="608">
        <f>250+(2000-200-300)/2</f>
        <v>1000</v>
      </c>
      <c r="CM91" s="914">
        <f>CN91</f>
        <v>250</v>
      </c>
      <c r="CN91" s="153">
        <f>CO91</f>
        <v>250</v>
      </c>
      <c r="CO91" s="153">
        <f>CQ91/4</f>
        <v>250</v>
      </c>
      <c r="CP91" s="915">
        <f>CQ91-SUM(CM91:CO91)</f>
        <v>250</v>
      </c>
      <c r="CQ91" s="608">
        <f>250+(2000-200-300)/2</f>
        <v>1000</v>
      </c>
    </row>
    <row r="92" spans="1:105" ht="13.5" customHeight="1">
      <c r="A92" s="82"/>
      <c r="B92" s="81" t="s">
        <v>931</v>
      </c>
      <c r="C92" s="81"/>
      <c r="D92" s="109">
        <f t="shared" ref="D92:AI92" si="185">D91/D34*1000</f>
        <v>16.402779359835971</v>
      </c>
      <c r="E92" s="109">
        <f t="shared" si="185"/>
        <v>4.7474747474747474</v>
      </c>
      <c r="F92" s="109">
        <f t="shared" si="185"/>
        <v>4.5155993431855501</v>
      </c>
      <c r="G92" s="109">
        <f t="shared" si="185"/>
        <v>6.5584009993753902</v>
      </c>
      <c r="H92" s="109">
        <f t="shared" si="185"/>
        <v>5.8838577641340493</v>
      </c>
      <c r="I92" s="109">
        <f t="shared" si="185"/>
        <v>11.586901763224182</v>
      </c>
      <c r="J92" s="109">
        <f t="shared" si="185"/>
        <v>7.4720722053710142</v>
      </c>
      <c r="K92" s="109">
        <f t="shared" si="185"/>
        <v>5.0468637346791638</v>
      </c>
      <c r="L92" s="109">
        <f t="shared" si="185"/>
        <v>9.2918131592164741</v>
      </c>
      <c r="M92" s="109">
        <f t="shared" si="185"/>
        <v>29.105473965287047</v>
      </c>
      <c r="N92" s="109">
        <f t="shared" si="185"/>
        <v>22.951694689084601</v>
      </c>
      <c r="O92" s="109">
        <f t="shared" si="185"/>
        <v>16.181643748001278</v>
      </c>
      <c r="P92" s="109">
        <f t="shared" si="185"/>
        <v>16.690240452616688</v>
      </c>
      <c r="Q92" s="109">
        <f t="shared" si="185"/>
        <v>24.193548387096772</v>
      </c>
      <c r="R92" s="109">
        <f t="shared" si="185"/>
        <v>26.010654967094954</v>
      </c>
      <c r="S92" s="109">
        <f t="shared" si="185"/>
        <v>46.921697549312611</v>
      </c>
      <c r="T92" s="109">
        <f t="shared" si="185"/>
        <v>28.35439229843562</v>
      </c>
      <c r="U92" s="109">
        <f t="shared" si="185"/>
        <v>19.552281099461602</v>
      </c>
      <c r="V92" s="109">
        <f t="shared" si="185"/>
        <v>8.2516761217122223</v>
      </c>
      <c r="W92" s="109">
        <f t="shared" si="185"/>
        <v>12.449255751014885</v>
      </c>
      <c r="X92" s="109">
        <f t="shared" si="185"/>
        <v>41.260558804418451</v>
      </c>
      <c r="Y92" s="109">
        <f t="shared" si="185"/>
        <v>19.322990126939349</v>
      </c>
      <c r="Z92" s="109">
        <f t="shared" si="185"/>
        <v>15.683814303638647</v>
      </c>
      <c r="AA92" s="109">
        <f t="shared" si="185"/>
        <v>19.171992220061128</v>
      </c>
      <c r="AB92" s="109">
        <f t="shared" si="185"/>
        <v>33.601777284087753</v>
      </c>
      <c r="AC92" s="109">
        <f t="shared" si="185"/>
        <v>19.054510371442351</v>
      </c>
      <c r="AD92" s="109">
        <f t="shared" si="185"/>
        <v>21.948534470895833</v>
      </c>
      <c r="AE92" s="109">
        <f t="shared" si="185"/>
        <v>17.65581791108275</v>
      </c>
      <c r="AF92" s="109">
        <f t="shared" si="185"/>
        <v>29.903072798515154</v>
      </c>
      <c r="AG92" s="109">
        <f t="shared" si="185"/>
        <v>42.619311875693668</v>
      </c>
      <c r="AH92" s="109">
        <f t="shared" si="185"/>
        <v>62.724014336917556</v>
      </c>
      <c r="AI92" s="109">
        <f t="shared" si="185"/>
        <v>35.322054021964973</v>
      </c>
      <c r="AJ92" s="918">
        <f t="shared" ref="AJ92:BO92" si="186">AJ91/AJ34*1000</f>
        <v>46.161092793217144</v>
      </c>
      <c r="AK92" s="216">
        <f t="shared" si="186"/>
        <v>35.812672176308538</v>
      </c>
      <c r="AL92" s="216">
        <f t="shared" si="186"/>
        <v>24.981631153563555</v>
      </c>
      <c r="AM92" s="919">
        <f t="shared" si="186"/>
        <v>33.427054045610745</v>
      </c>
      <c r="AN92" s="109">
        <f t="shared" si="186"/>
        <v>34.276442551465372</v>
      </c>
      <c r="AO92" s="918">
        <f t="shared" si="186"/>
        <v>22.396416573348265</v>
      </c>
      <c r="AP92" s="216">
        <f t="shared" si="186"/>
        <v>18.222112780103423</v>
      </c>
      <c r="AQ92" s="216">
        <f t="shared" si="186"/>
        <v>39.611752360965376</v>
      </c>
      <c r="AR92" s="919">
        <f t="shared" si="186"/>
        <v>50.311203319502077</v>
      </c>
      <c r="AS92" s="109">
        <f t="shared" si="186"/>
        <v>32.612247565518594</v>
      </c>
      <c r="AT92" s="918">
        <f t="shared" si="186"/>
        <v>31.613555892766819</v>
      </c>
      <c r="AU92" s="216">
        <f t="shared" si="186"/>
        <v>36.077235772357724</v>
      </c>
      <c r="AV92" s="216">
        <f t="shared" si="186"/>
        <v>41.720990873533246</v>
      </c>
      <c r="AW92" s="919">
        <f t="shared" si="186"/>
        <v>49.947145877378432</v>
      </c>
      <c r="AX92" s="109">
        <f t="shared" si="186"/>
        <v>39.71887291250242</v>
      </c>
      <c r="AY92" s="918">
        <f t="shared" si="186"/>
        <v>29.081133919843595</v>
      </c>
      <c r="AZ92" s="216">
        <f t="shared" si="186"/>
        <v>37.882589061716011</v>
      </c>
      <c r="BA92" s="216">
        <f t="shared" si="186"/>
        <v>22.406847935548839</v>
      </c>
      <c r="BB92" s="919">
        <f t="shared" si="186"/>
        <v>35.932721712538225</v>
      </c>
      <c r="BC92" s="109">
        <f t="shared" si="186"/>
        <v>31.300863903843748</v>
      </c>
      <c r="BD92" s="918">
        <f t="shared" si="186"/>
        <v>23.892483822797413</v>
      </c>
      <c r="BE92" s="216">
        <f t="shared" si="186"/>
        <v>21.459227467811157</v>
      </c>
      <c r="BF92" s="216">
        <f t="shared" si="186"/>
        <v>21.003500583430572</v>
      </c>
      <c r="BG92" s="919">
        <f t="shared" si="186"/>
        <v>29.10662824207493</v>
      </c>
      <c r="BH92" s="109">
        <f t="shared" si="186"/>
        <v>23.832286260584542</v>
      </c>
      <c r="BI92" s="918">
        <f t="shared" si="186"/>
        <v>14.970059880239521</v>
      </c>
      <c r="BJ92" s="216">
        <f t="shared" si="186"/>
        <v>13.325772611284377</v>
      </c>
      <c r="BK92" s="216">
        <f t="shared" si="186"/>
        <v>15.167930660888407</v>
      </c>
      <c r="BL92" s="919">
        <f t="shared" si="186"/>
        <v>34.162520729684914</v>
      </c>
      <c r="BM92" s="109">
        <f t="shared" si="186"/>
        <v>18.766177739430542</v>
      </c>
      <c r="BN92" s="918">
        <f t="shared" si="186"/>
        <v>50.439434466946892</v>
      </c>
      <c r="BO92" s="216">
        <f t="shared" si="186"/>
        <v>20.64896755162242</v>
      </c>
      <c r="BP92" s="216">
        <f t="shared" ref="BP92:CQ92" si="187">BP91/BP34*1000</f>
        <v>23.542600896860986</v>
      </c>
      <c r="BQ92" s="919">
        <f t="shared" si="187"/>
        <v>32.419915090698574</v>
      </c>
      <c r="BR92" s="109">
        <f t="shared" si="187"/>
        <v>31.615704039260098</v>
      </c>
      <c r="BS92" s="918">
        <f t="shared" si="187"/>
        <v>18.414731785428344</v>
      </c>
      <c r="BT92" s="216">
        <f t="shared" si="187"/>
        <v>10.401188707280832</v>
      </c>
      <c r="BU92" s="216">
        <f t="shared" si="187"/>
        <v>9.0729783037475347</v>
      </c>
      <c r="BV92" s="919">
        <f t="shared" si="187"/>
        <v>5.9096665259603203</v>
      </c>
      <c r="BW92" s="109">
        <f t="shared" si="187"/>
        <v>10.996631662373687</v>
      </c>
      <c r="BX92" s="918">
        <f t="shared" si="187"/>
        <v>10.399334442595674</v>
      </c>
      <c r="BY92" s="216">
        <f t="shared" si="187"/>
        <v>18.822587104525432</v>
      </c>
      <c r="BZ92" s="216">
        <f t="shared" si="187"/>
        <v>52.672955974842772</v>
      </c>
      <c r="CA92" s="919">
        <f t="shared" ref="CA92:CB92" si="188">CA91/CA34*1000</f>
        <v>74.529074529074535</v>
      </c>
      <c r="CB92" s="109">
        <f t="shared" si="188"/>
        <v>39.243450996257714</v>
      </c>
      <c r="CC92" s="918">
        <f t="shared" si="187"/>
        <v>72.074595146702691</v>
      </c>
      <c r="CD92" s="216">
        <f t="shared" si="187"/>
        <v>69.390198931787452</v>
      </c>
      <c r="CE92" s="216">
        <f t="shared" si="187"/>
        <v>62.53573470554602</v>
      </c>
      <c r="CF92" s="919">
        <f t="shared" si="187"/>
        <v>63.984438984438981</v>
      </c>
      <c r="CG92" s="1477">
        <f t="shared" si="187"/>
        <v>66.771911918309328</v>
      </c>
      <c r="CH92" s="918">
        <f t="shared" si="187"/>
        <v>91.118325090648156</v>
      </c>
      <c r="CI92" s="216">
        <f t="shared" si="187"/>
        <v>87.18456958385157</v>
      </c>
      <c r="CJ92" s="216">
        <f t="shared" si="187"/>
        <v>87.585062612809551</v>
      </c>
      <c r="CK92" s="919">
        <f t="shared" si="187"/>
        <v>89.614060202295477</v>
      </c>
      <c r="CL92" s="109">
        <f t="shared" si="187"/>
        <v>88.847238172362225</v>
      </c>
      <c r="CM92" s="918">
        <f t="shared" si="187"/>
        <v>91.118325090648156</v>
      </c>
      <c r="CN92" s="216">
        <f t="shared" si="187"/>
        <v>87.18456958385157</v>
      </c>
      <c r="CO92" s="216">
        <f t="shared" si="187"/>
        <v>87.585062612809551</v>
      </c>
      <c r="CP92" s="919">
        <f t="shared" si="187"/>
        <v>89.614060202295477</v>
      </c>
      <c r="CQ92" s="216">
        <f t="shared" si="187"/>
        <v>88.847238172362225</v>
      </c>
    </row>
    <row r="93" spans="1:105" ht="6.2" customHeight="1">
      <c r="A93" s="82"/>
      <c r="B93" s="82"/>
      <c r="C93" s="82"/>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961"/>
      <c r="AK93" s="82"/>
      <c r="AL93" s="82"/>
      <c r="AM93" s="962"/>
      <c r="AN93" s="76"/>
      <c r="AO93" s="961"/>
      <c r="AP93" s="82"/>
      <c r="AQ93" s="82"/>
      <c r="AR93" s="962"/>
      <c r="AS93" s="76"/>
      <c r="AT93" s="961"/>
      <c r="AU93" s="82"/>
      <c r="AV93" s="82"/>
      <c r="AW93" s="962"/>
      <c r="AX93" s="76"/>
      <c r="AY93" s="961"/>
      <c r="AZ93" s="82"/>
      <c r="BA93" s="82"/>
      <c r="BB93" s="962"/>
      <c r="BC93" s="76"/>
      <c r="BD93" s="961"/>
      <c r="BE93" s="82"/>
      <c r="BF93" s="82"/>
      <c r="BG93" s="962"/>
      <c r="BH93" s="76"/>
      <c r="BI93" s="961"/>
      <c r="BJ93" s="82"/>
      <c r="BK93" s="82"/>
      <c r="BL93" s="962"/>
      <c r="BM93" s="76"/>
      <c r="BN93" s="961"/>
      <c r="BO93" s="82"/>
      <c r="BP93" s="82"/>
      <c r="BQ93" s="962"/>
      <c r="BR93" s="76"/>
      <c r="BS93" s="961"/>
      <c r="BT93" s="82"/>
      <c r="BU93" s="82"/>
      <c r="BV93" s="962"/>
      <c r="BW93" s="76"/>
      <c r="BX93" s="1089"/>
      <c r="BY93" s="82"/>
      <c r="BZ93" s="82"/>
      <c r="CA93" s="962"/>
      <c r="CB93" s="76"/>
      <c r="CC93" s="961"/>
      <c r="CD93" s="82"/>
      <c r="CE93" s="82"/>
      <c r="CF93" s="962"/>
      <c r="CG93" s="1492"/>
      <c r="CH93" s="961"/>
      <c r="CI93" s="82"/>
      <c r="CJ93" s="82"/>
      <c r="CK93" s="962"/>
      <c r="CL93" s="76"/>
      <c r="CM93" s="961"/>
      <c r="CN93" s="82"/>
      <c r="CO93" s="82"/>
      <c r="CP93" s="962"/>
      <c r="CQ93" s="82"/>
    </row>
    <row r="94" spans="1:105" ht="13.5" customHeight="1">
      <c r="A94" s="797" t="s">
        <v>713</v>
      </c>
      <c r="B94" s="797"/>
      <c r="C94" s="797"/>
      <c r="D94" s="798"/>
      <c r="E94" s="798"/>
      <c r="F94" s="800"/>
      <c r="G94" s="800"/>
      <c r="H94" s="800"/>
      <c r="I94" s="800"/>
      <c r="J94" s="798"/>
      <c r="K94" s="800"/>
      <c r="L94" s="800"/>
      <c r="M94" s="800"/>
      <c r="N94" s="800"/>
      <c r="O94" s="799"/>
      <c r="P94" s="800"/>
      <c r="Q94" s="800"/>
      <c r="R94" s="800"/>
      <c r="S94" s="800"/>
      <c r="T94" s="799"/>
      <c r="U94" s="800"/>
      <c r="V94" s="800"/>
      <c r="W94" s="800"/>
      <c r="X94" s="800"/>
      <c r="Y94" s="799"/>
      <c r="Z94" s="800"/>
      <c r="AA94" s="800"/>
      <c r="AB94" s="800"/>
      <c r="AC94" s="800"/>
      <c r="AD94" s="799"/>
      <c r="AE94" s="800"/>
      <c r="AF94" s="800"/>
      <c r="AG94" s="800"/>
      <c r="AH94" s="800"/>
      <c r="AI94" s="799"/>
      <c r="AJ94" s="898"/>
      <c r="AK94" s="800"/>
      <c r="AL94" s="800"/>
      <c r="AM94" s="899"/>
      <c r="AN94" s="799"/>
      <c r="AO94" s="898"/>
      <c r="AP94" s="800"/>
      <c r="AQ94" s="800"/>
      <c r="AR94" s="899"/>
      <c r="AS94" s="799"/>
      <c r="AT94" s="898"/>
      <c r="AU94" s="800"/>
      <c r="AV94" s="800"/>
      <c r="AW94" s="899"/>
      <c r="AX94" s="799"/>
      <c r="AY94" s="898"/>
      <c r="AZ94" s="800"/>
      <c r="BA94" s="800"/>
      <c r="BB94" s="899"/>
      <c r="BC94" s="799"/>
      <c r="BD94" s="898"/>
      <c r="BE94" s="800"/>
      <c r="BF94" s="800"/>
      <c r="BG94" s="899"/>
      <c r="BH94" s="799"/>
      <c r="BI94" s="898"/>
      <c r="BJ94" s="800"/>
      <c r="BK94" s="800"/>
      <c r="BL94" s="899"/>
      <c r="BM94" s="799"/>
      <c r="BN94" s="898"/>
      <c r="BO94" s="800"/>
      <c r="BP94" s="800"/>
      <c r="BQ94" s="899"/>
      <c r="BR94" s="799"/>
      <c r="BS94" s="898"/>
      <c r="BT94" s="800"/>
      <c r="BU94" s="800"/>
      <c r="BV94" s="899"/>
      <c r="BW94" s="799"/>
      <c r="BX94" s="898"/>
      <c r="BY94" s="800"/>
      <c r="BZ94" s="800"/>
      <c r="CA94" s="899"/>
      <c r="CB94" s="799"/>
      <c r="CC94" s="898"/>
      <c r="CD94" s="800"/>
      <c r="CE94" s="800"/>
      <c r="CF94" s="899"/>
      <c r="CG94" s="1466"/>
      <c r="CH94" s="898"/>
      <c r="CI94" s="800"/>
      <c r="CJ94" s="800"/>
      <c r="CK94" s="899"/>
      <c r="CL94" s="799"/>
      <c r="CM94" s="898"/>
      <c r="CN94" s="800"/>
      <c r="CO94" s="800"/>
      <c r="CP94" s="899"/>
      <c r="CQ94" s="799"/>
      <c r="CR94" s="657"/>
      <c r="CS94" s="657"/>
      <c r="CT94" s="657"/>
      <c r="CU94" s="657"/>
    </row>
    <row r="95" spans="1:105" ht="13.5" customHeight="1">
      <c r="A95" s="75"/>
      <c r="B95" s="75"/>
      <c r="C95" s="96" t="s">
        <v>975</v>
      </c>
      <c r="D95" s="98"/>
      <c r="E95" s="98">
        <f>Operations!E100/Operations!D100-1</f>
        <v>-0.24363992172211346</v>
      </c>
      <c r="F95" s="98"/>
      <c r="G95" s="98"/>
      <c r="H95" s="98"/>
      <c r="I95" s="98"/>
      <c r="J95" s="98">
        <f>Operations!J100/Operations!E100-1</f>
        <v>0.14100905562742572</v>
      </c>
      <c r="K95" s="98">
        <f>Operations!K100/Operations!F100-1</f>
        <v>0.32038834951456319</v>
      </c>
      <c r="L95" s="98">
        <f>Operations!L100/Operations!G100-1</f>
        <v>0.27488151658767768</v>
      </c>
      <c r="M95" s="98">
        <f>Operations!M100/Operations!H100-1</f>
        <v>0.1515151515151516</v>
      </c>
      <c r="N95" s="98">
        <f>Operations!N100/Operations!I100-1</f>
        <v>0.21794871794871784</v>
      </c>
      <c r="O95" s="98">
        <f>Operations!O100/Operations!J100-1</f>
        <v>0.23809523809523814</v>
      </c>
      <c r="P95" s="98">
        <f>Operations!P100/Operations!K100-1</f>
        <v>0.11397058823529416</v>
      </c>
      <c r="Q95" s="98">
        <f>Operations!Q100/Operations!L100-1</f>
        <v>0.10408921933085491</v>
      </c>
      <c r="R95" s="98">
        <f>Operations!R100/Operations!M100-1</f>
        <v>-7.5187969924812581E-3</v>
      </c>
      <c r="S95" s="98">
        <f>Operations!S100/Operations!N100-1</f>
        <v>2.4561403508772006E-2</v>
      </c>
      <c r="T95" s="98">
        <f>Operations!T100/Operations!O100-1</f>
        <v>5.8608058608058622E-2</v>
      </c>
      <c r="U95" s="98">
        <f>Operations!U100/Operations!P100-1</f>
        <v>5.2805280528052778E-2</v>
      </c>
      <c r="V95" s="98">
        <f>Operations!V100/Operations!Q100-1</f>
        <v>3.3670033670034627E-3</v>
      </c>
      <c r="W95" s="98">
        <f>Operations!W100/Operations!R100-1</f>
        <v>0.14772727272727271</v>
      </c>
      <c r="X95" s="98">
        <f>Operations!X100/Operations!S100-1</f>
        <v>-7.1917808219178037E-2</v>
      </c>
      <c r="Y95" s="98">
        <f>Operations!Y100/Operations!T100-1</f>
        <v>3.0276816608996615E-2</v>
      </c>
      <c r="Z95" s="98">
        <f>Operations!Z100/Operations!U100-1</f>
        <v>-0.22570532915360497</v>
      </c>
      <c r="AA95" s="98">
        <f>Operations!AA100/Operations!V100-1</f>
        <v>-3.0201342281879207E-2</v>
      </c>
      <c r="AB95" s="98">
        <f>Operations!AB100/Operations!W100-1</f>
        <v>0.56105610561056096</v>
      </c>
      <c r="AC95" s="98">
        <f>Operations!AC100/Operations!X100-1</f>
        <v>0.57564575645756455</v>
      </c>
      <c r="AD95" s="98">
        <f>Operations!AD100/Operations!Y100-1</f>
        <v>0.20570948782535692</v>
      </c>
      <c r="AE95" s="98">
        <f>Operations!AE100/Operations!Z100-1</f>
        <v>0.75303643724696356</v>
      </c>
      <c r="AF95" s="98">
        <f>Operations!AF100/Operations!AA100-1</f>
        <v>0.73010380622837379</v>
      </c>
      <c r="AG95" s="98">
        <f>Operations!AG100/Operations!AB100-1</f>
        <v>9.7251585623678638E-2</v>
      </c>
      <c r="AH95" s="98">
        <f>Operations!AH100/Operations!AC100-1</f>
        <v>0.17096018735362994</v>
      </c>
      <c r="AI95" s="98">
        <f>Operations!AI100/Operations!AD100-1</f>
        <v>0.35933147632311968</v>
      </c>
      <c r="AJ95" s="912">
        <f>Operations!AJ100/Operations!AE100-1</f>
        <v>-0.52193995381062352</v>
      </c>
      <c r="AK95" s="278">
        <f>Operations!AK100/Operations!AF100-1</f>
        <v>-0.81600000000000006</v>
      </c>
      <c r="AL95" s="278">
        <f>Operations!AL100/Operations!AG100-1</f>
        <v>-0.70905587668593451</v>
      </c>
      <c r="AM95" s="913">
        <f>Operations!AM100/Operations!AH100-1</f>
        <v>-0.58600000000000008</v>
      </c>
      <c r="AN95" s="98">
        <f>Operations!AN100/Operations!AI100-1</f>
        <v>-0.66342213114754101</v>
      </c>
      <c r="AO95" s="912">
        <f>Operations!AO100/Operations!AJ100-1</f>
        <v>0.49758454106280192</v>
      </c>
      <c r="AP95" s="278">
        <f>Operations!AP100/Operations!AK100-1</f>
        <v>3.7065217391304346</v>
      </c>
      <c r="AQ95" s="278">
        <f>Operations!AQ100/Operations!AL100-1</f>
        <v>1.7947019867549669</v>
      </c>
      <c r="AR95" s="913">
        <f>Operations!AR100/Operations!AM100-1</f>
        <v>0.86473429951690828</v>
      </c>
      <c r="AS95" s="98">
        <f>Operations!AS100/Operations!AN100-1</f>
        <v>1.3607305936073057</v>
      </c>
      <c r="AT95" s="912">
        <f>Operations!AT100/Operations!AO100-1</f>
        <v>0.37096774193548376</v>
      </c>
      <c r="AU95" s="278">
        <f>Operations!AU100/Operations!AP100-1</f>
        <v>-2.0785219399538146E-2</v>
      </c>
      <c r="AV95" s="278">
        <f>Operations!AV100/Operations!AQ100-1</f>
        <v>0.13981042654028442</v>
      </c>
      <c r="AW95" s="913">
        <f>Operations!AW100/Operations!AR100-1</f>
        <v>0.24870466321243523</v>
      </c>
      <c r="AX95" s="98">
        <f>Operations!AX100/Operations!AS100-1</f>
        <v>0.16827852998065773</v>
      </c>
      <c r="AY95" s="912">
        <f>Operations!AY100/Operations!AT100-1</f>
        <v>0.24470588235294111</v>
      </c>
      <c r="AZ95" s="278">
        <f>Operations!AZ100/Operations!AU100-1</f>
        <v>0.16273584905660377</v>
      </c>
      <c r="BA95" s="278">
        <f>Operations!BA100/Operations!AV100-1</f>
        <v>-4.9896049896049899E-2</v>
      </c>
      <c r="BB95" s="913">
        <f>Operations!BB100/Operations!AW100-1</f>
        <v>-0.15560165975103735</v>
      </c>
      <c r="BC95" s="98">
        <f>Operations!BC100/Operations!AX100-1</f>
        <v>4.083885209713034E-2</v>
      </c>
      <c r="BD95" s="912">
        <f>Operations!BD100/Operations!AY100-1</f>
        <v>-0.19092627599243861</v>
      </c>
      <c r="BE95" s="278">
        <f>Operations!BE100/Operations!AZ100-1</f>
        <v>-7.5050709939148086E-2</v>
      </c>
      <c r="BF95" s="278">
        <f>Operations!BF100/Operations!BA100-1</f>
        <v>4.3763676148795838E-3</v>
      </c>
      <c r="BG95" s="913">
        <f>Operations!BG100/Operations!BB100-1</f>
        <v>1.7199017199017286E-2</v>
      </c>
      <c r="BH95" s="98">
        <f>Operations!BH100/Operations!BC100-1</f>
        <v>-6.8398727465535547E-2</v>
      </c>
      <c r="BI95" s="912">
        <f>Operations!BI100/Operations!BD100-1</f>
        <v>-2.10280373831776E-2</v>
      </c>
      <c r="BJ95" s="278">
        <f>Operations!BJ100/Operations!BE100-1</f>
        <v>-1.5350877192982448E-2</v>
      </c>
      <c r="BK95" s="278">
        <f>Operations!BK100/Operations!BF100-1</f>
        <v>-6.7538126361655793E-2</v>
      </c>
      <c r="BL95" s="913">
        <f>Operations!BL100/Operations!BG100-1</f>
        <v>8.212560386473422E-2</v>
      </c>
      <c r="BM95" s="98">
        <f>Operations!BM100/Operations!BH100-1</f>
        <v>-7.3989755264655122E-3</v>
      </c>
      <c r="BN95" s="912">
        <f>Operations!BN100/Operations!BI100-1</f>
        <v>-0.47494033412887826</v>
      </c>
      <c r="BO95" s="278">
        <f>Operations!BO100/Operations!BJ100-1</f>
        <v>-0.7951002227171492</v>
      </c>
      <c r="BP95" s="278">
        <f>Operations!BP100/Operations!BK100-1</f>
        <v>-0.64018691588785048</v>
      </c>
      <c r="BQ95" s="913">
        <f>Operations!BQ100/Operations!BL100-1</f>
        <v>-0.71651785714285721</v>
      </c>
      <c r="BR95" s="98">
        <f>Operations!BR100/Operations!BM100-1</f>
        <v>-0.65997706422018343</v>
      </c>
      <c r="BS95" s="912">
        <f>Operations!BS100/Operations!BN100-1</f>
        <v>-0.59545454545454546</v>
      </c>
      <c r="BT95" s="278">
        <f>Operations!BT100/Operations!BO100-1</f>
        <v>-0.23913043478260865</v>
      </c>
      <c r="BU95" s="278">
        <f>Operations!BU100/Operations!BP100-1</f>
        <v>-0.33116883116883122</v>
      </c>
      <c r="BV95" s="913">
        <f>Operations!BV100/Operations!BQ100-1</f>
        <v>8.6614173228346525E-2</v>
      </c>
      <c r="BW95" s="98">
        <f>Operations!BW100/Operations!BR100-1</f>
        <v>-0.32546374367622255</v>
      </c>
      <c r="BX95" s="912">
        <f>Operations!BX100/Operations!BS100-1</f>
        <v>0.6179775280898876</v>
      </c>
      <c r="BY95" s="278">
        <f>Operations!BY100/Operations!BT100-1</f>
        <v>1.5714285714285716</v>
      </c>
      <c r="BZ95" s="278">
        <f>Operations!BZ100/Operations!BU100-1</f>
        <v>0.79611650485436902</v>
      </c>
      <c r="CA95" s="913">
        <f>Operations!CA100/Operations!BV100-1</f>
        <v>0.29710144927536231</v>
      </c>
      <c r="CB95" s="98">
        <f>Operations!CB100/Operations!BW100-1</f>
        <v>0.72</v>
      </c>
      <c r="CC95" s="1102">
        <v>0.05</v>
      </c>
      <c r="CD95" s="1557">
        <v>0.2</v>
      </c>
      <c r="CE95" s="1557">
        <v>0.2</v>
      </c>
      <c r="CF95" s="1077">
        <v>0.05</v>
      </c>
      <c r="CG95" s="1474">
        <f>Operations!CG100/Operations!CB100-1</f>
        <v>0.12957848837209318</v>
      </c>
      <c r="CH95" s="1102">
        <v>0.03</v>
      </c>
      <c r="CI95" s="758">
        <v>0.03</v>
      </c>
      <c r="CJ95" s="758">
        <v>0.03</v>
      </c>
      <c r="CK95" s="1077">
        <v>0.03</v>
      </c>
      <c r="CL95" s="98">
        <f>Operations!CL100/Operations!CG100-1</f>
        <v>3.0000000000000027E-2</v>
      </c>
      <c r="CM95" s="1102">
        <v>0.03</v>
      </c>
      <c r="CN95" s="758">
        <v>0.03</v>
      </c>
      <c r="CO95" s="758">
        <v>0.03</v>
      </c>
      <c r="CP95" s="1077">
        <v>0.03</v>
      </c>
      <c r="CQ95" s="278">
        <f>Operations!CQ100/Operations!CL100-1</f>
        <v>3.0000000000000027E-2</v>
      </c>
      <c r="CR95" s="1460"/>
      <c r="CS95" s="99"/>
      <c r="CT95" s="99"/>
      <c r="CU95" s="99"/>
    </row>
    <row r="96" spans="1:105" ht="6.2" customHeight="1">
      <c r="A96" s="93"/>
      <c r="B96" s="75"/>
      <c r="C96" s="75"/>
      <c r="D96" s="75"/>
      <c r="E96" s="75"/>
      <c r="F96" s="75"/>
      <c r="G96" s="75"/>
      <c r="H96" s="97"/>
      <c r="I96" s="75"/>
      <c r="J96" s="75"/>
      <c r="K96" s="75"/>
      <c r="L96" s="97"/>
      <c r="M96" s="97"/>
      <c r="N96" s="75"/>
      <c r="O96" s="75"/>
      <c r="P96" s="75"/>
      <c r="Q96" s="75"/>
      <c r="R96" s="75"/>
      <c r="S96" s="75"/>
      <c r="T96" s="75"/>
      <c r="U96" s="75"/>
      <c r="V96" s="75"/>
      <c r="W96" s="75"/>
      <c r="X96" s="75"/>
      <c r="Y96" s="97"/>
      <c r="Z96" s="75"/>
      <c r="AA96" s="75"/>
      <c r="AB96" s="75"/>
      <c r="AC96" s="75"/>
      <c r="AD96" s="75"/>
      <c r="AE96" s="75"/>
      <c r="AF96" s="75"/>
      <c r="AG96" s="75"/>
      <c r="AH96" s="75"/>
      <c r="AI96" s="289"/>
      <c r="AJ96" s="904"/>
      <c r="AK96" s="81"/>
      <c r="AL96" s="81"/>
      <c r="AM96" s="905"/>
      <c r="AN96" s="289"/>
      <c r="AO96" s="904"/>
      <c r="AP96" s="81"/>
      <c r="AQ96" s="81"/>
      <c r="AR96" s="905"/>
      <c r="AS96" s="289"/>
      <c r="AT96" s="904"/>
      <c r="AU96" s="81"/>
      <c r="AV96" s="81"/>
      <c r="AW96" s="905"/>
      <c r="AX96" s="289"/>
      <c r="AY96" s="904"/>
      <c r="AZ96" s="81"/>
      <c r="BA96" s="81"/>
      <c r="BB96" s="905"/>
      <c r="BC96" s="289"/>
      <c r="BD96" s="904"/>
      <c r="BE96" s="81"/>
      <c r="BF96" s="81"/>
      <c r="BG96" s="905"/>
      <c r="BH96" s="289"/>
      <c r="BI96" s="904"/>
      <c r="BJ96" s="81"/>
      <c r="BK96" s="81"/>
      <c r="BL96" s="905"/>
      <c r="BM96" s="289"/>
      <c r="BN96" s="904"/>
      <c r="BO96" s="81"/>
      <c r="BP96" s="81"/>
      <c r="BQ96" s="905"/>
      <c r="BR96" s="289"/>
      <c r="BS96" s="904"/>
      <c r="BT96" s="81"/>
      <c r="BU96" s="81"/>
      <c r="BV96" s="905"/>
      <c r="BW96" s="289"/>
      <c r="BX96" s="904"/>
      <c r="BY96" s="81"/>
      <c r="BZ96" s="81"/>
      <c r="CA96" s="905"/>
      <c r="CB96" s="289"/>
      <c r="CC96" s="904"/>
      <c r="CD96" s="81"/>
      <c r="CE96" s="81"/>
      <c r="CF96" s="905"/>
      <c r="CG96" s="1494"/>
      <c r="CH96" s="1122"/>
      <c r="CI96" s="289"/>
      <c r="CJ96" s="289"/>
      <c r="CK96" s="1123"/>
      <c r="CL96" s="289"/>
      <c r="CM96" s="1122"/>
      <c r="CN96" s="289"/>
      <c r="CO96" s="289"/>
      <c r="CP96" s="1123"/>
      <c r="CQ96" s="289"/>
    </row>
    <row r="97" spans="1:99" ht="13.5" customHeight="1">
      <c r="A97" s="242" t="s">
        <v>0</v>
      </c>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961"/>
      <c r="AK97" s="82"/>
      <c r="AL97" s="82"/>
      <c r="AM97" s="962"/>
      <c r="AN97" s="76"/>
      <c r="AO97" s="961"/>
      <c r="AP97" s="82"/>
      <c r="AQ97" s="82"/>
      <c r="AR97" s="962"/>
      <c r="AS97" s="76"/>
      <c r="AT97" s="961"/>
      <c r="AU97" s="82"/>
      <c r="AV97" s="82"/>
      <c r="AW97" s="962"/>
      <c r="AX97" s="76"/>
      <c r="AY97" s="961"/>
      <c r="AZ97" s="82"/>
      <c r="BA97" s="82"/>
      <c r="BB97" s="962"/>
      <c r="BC97" s="76"/>
      <c r="BD97" s="961"/>
      <c r="BE97" s="82"/>
      <c r="BF97" s="82"/>
      <c r="BG97" s="962"/>
      <c r="BH97" s="76"/>
      <c r="BI97" s="961"/>
      <c r="BJ97" s="82"/>
      <c r="BK97" s="82"/>
      <c r="BL97" s="962"/>
      <c r="BM97" s="76"/>
      <c r="BN97" s="961"/>
      <c r="BO97" s="82"/>
      <c r="BP97" s="82"/>
      <c r="BQ97" s="962"/>
      <c r="BR97" s="76"/>
      <c r="BS97" s="961"/>
      <c r="BT97" s="82"/>
      <c r="BU97" s="82"/>
      <c r="BV97" s="962"/>
      <c r="BW97" s="76"/>
      <c r="BX97" s="1089"/>
      <c r="BY97" s="82"/>
      <c r="BZ97" s="82"/>
      <c r="CA97" s="962"/>
      <c r="CB97" s="76"/>
      <c r="CC97" s="961"/>
      <c r="CD97" s="82"/>
      <c r="CE97" s="82"/>
      <c r="CF97" s="962"/>
      <c r="CG97" s="1492"/>
      <c r="CH97" s="961"/>
      <c r="CI97" s="82"/>
      <c r="CJ97" s="82"/>
      <c r="CK97" s="962"/>
      <c r="CL97" s="76"/>
      <c r="CM97" s="961"/>
      <c r="CN97" s="82"/>
      <c r="CO97" s="82"/>
      <c r="CP97" s="962"/>
      <c r="CQ97" s="82"/>
    </row>
    <row r="98" spans="1:99" ht="13.5" customHeight="1">
      <c r="A98" s="76"/>
      <c r="B98" s="81" t="s">
        <v>677</v>
      </c>
      <c r="C98" s="76"/>
      <c r="D98" s="97">
        <f t="shared" ref="D98:AA98" si="189">D100</f>
        <v>1022</v>
      </c>
      <c r="E98" s="97">
        <f t="shared" si="189"/>
        <v>773</v>
      </c>
      <c r="F98" s="97">
        <f t="shared" si="189"/>
        <v>206</v>
      </c>
      <c r="G98" s="97">
        <f t="shared" si="189"/>
        <v>211</v>
      </c>
      <c r="H98" s="97">
        <f t="shared" si="189"/>
        <v>231</v>
      </c>
      <c r="I98" s="97">
        <f t="shared" si="189"/>
        <v>234</v>
      </c>
      <c r="J98" s="97">
        <f t="shared" si="189"/>
        <v>882</v>
      </c>
      <c r="K98" s="97">
        <f t="shared" si="189"/>
        <v>272</v>
      </c>
      <c r="L98" s="97">
        <f t="shared" si="189"/>
        <v>269</v>
      </c>
      <c r="M98" s="97">
        <f t="shared" si="189"/>
        <v>266</v>
      </c>
      <c r="N98" s="97">
        <f t="shared" si="189"/>
        <v>285</v>
      </c>
      <c r="O98" s="97">
        <f t="shared" si="189"/>
        <v>1092</v>
      </c>
      <c r="P98" s="97">
        <f t="shared" si="189"/>
        <v>303</v>
      </c>
      <c r="Q98" s="97">
        <f t="shared" si="189"/>
        <v>297</v>
      </c>
      <c r="R98" s="97">
        <f t="shared" si="189"/>
        <v>264</v>
      </c>
      <c r="S98" s="97">
        <f t="shared" si="189"/>
        <v>292</v>
      </c>
      <c r="T98" s="97">
        <f t="shared" si="189"/>
        <v>1156</v>
      </c>
      <c r="U98" s="97">
        <f t="shared" si="189"/>
        <v>319</v>
      </c>
      <c r="V98" s="97">
        <f t="shared" si="189"/>
        <v>298</v>
      </c>
      <c r="W98" s="97">
        <f t="shared" si="189"/>
        <v>303</v>
      </c>
      <c r="X98" s="97">
        <f t="shared" si="189"/>
        <v>271</v>
      </c>
      <c r="Y98" s="97">
        <f t="shared" si="189"/>
        <v>1191</v>
      </c>
      <c r="Z98" s="97">
        <f t="shared" si="189"/>
        <v>247</v>
      </c>
      <c r="AA98" s="97">
        <f t="shared" si="189"/>
        <v>289</v>
      </c>
      <c r="AB98" s="97">
        <f>0.47*AB100</f>
        <v>222.30999999999997</v>
      </c>
      <c r="AC98" s="97">
        <f>0.47*AC100</f>
        <v>200.69</v>
      </c>
      <c r="AD98" s="97">
        <f>SUM(Z98:AC98)</f>
        <v>959</v>
      </c>
      <c r="AE98" s="97">
        <f>0.47*AE100</f>
        <v>203.51</v>
      </c>
      <c r="AF98" s="97">
        <f>0.47*AF100</f>
        <v>235</v>
      </c>
      <c r="AG98" s="97">
        <f>0.47*AG100</f>
        <v>243.92999999999998</v>
      </c>
      <c r="AH98" s="97">
        <f>0.47*AH100</f>
        <v>235</v>
      </c>
      <c r="AI98" s="97">
        <f>SUM(AE98:AH98)</f>
        <v>917.43999999999994</v>
      </c>
      <c r="AJ98" s="939">
        <f>0.47*AJ100</f>
        <v>97.289999999999992</v>
      </c>
      <c r="AK98" s="290">
        <f>0.47*AK100</f>
        <v>43.239999999999995</v>
      </c>
      <c r="AL98" s="290">
        <f>0.47*AL100</f>
        <v>70.97</v>
      </c>
      <c r="AM98" s="940">
        <f>0.47*AM100</f>
        <v>97.289999999999992</v>
      </c>
      <c r="AN98" s="97">
        <f>SUM(AJ98:AM98)</f>
        <v>308.78999999999996</v>
      </c>
      <c r="AO98" s="939">
        <f>0.47*AO100</f>
        <v>145.69999999999999</v>
      </c>
      <c r="AP98" s="290">
        <f>0.47*AP100</f>
        <v>203.51</v>
      </c>
      <c r="AQ98" s="290">
        <f>0.47*AQ100</f>
        <v>198.33999999999997</v>
      </c>
      <c r="AR98" s="940">
        <f>0.47*AR100</f>
        <v>181.42</v>
      </c>
      <c r="AS98" s="97">
        <f>SUM(AO98:AR98)</f>
        <v>728.96999999999991</v>
      </c>
      <c r="AT98" s="939">
        <f>0.47*AT100</f>
        <v>199.75</v>
      </c>
      <c r="AU98" s="290">
        <f>0.47*AU100</f>
        <v>199.28</v>
      </c>
      <c r="AV98" s="290">
        <f>0.47*AV100</f>
        <v>226.07</v>
      </c>
      <c r="AW98" s="940">
        <f>0.47*AW100</f>
        <v>226.54</v>
      </c>
      <c r="AX98" s="97">
        <f>SUM(AT98:AW98)</f>
        <v>851.63999999999987</v>
      </c>
      <c r="AY98" s="939">
        <f>0.47*AY100</f>
        <v>248.63</v>
      </c>
      <c r="AZ98" s="290">
        <f>0.47*AZ100</f>
        <v>231.70999999999998</v>
      </c>
      <c r="BA98" s="290">
        <f>0.47*BA100</f>
        <v>214.79</v>
      </c>
      <c r="BB98" s="940">
        <f>0.47*BB100</f>
        <v>191.29</v>
      </c>
      <c r="BC98" s="97">
        <f>SUM(AY98:BB98)</f>
        <v>886.42</v>
      </c>
      <c r="BD98" s="939">
        <f>0.47*BD100</f>
        <v>201.16</v>
      </c>
      <c r="BE98" s="290">
        <f>0.47*BE100</f>
        <v>214.32</v>
      </c>
      <c r="BF98" s="290">
        <f>0.47*BF100</f>
        <v>215.73</v>
      </c>
      <c r="BG98" s="940">
        <f>0.47*BG100</f>
        <v>194.57999999999998</v>
      </c>
      <c r="BH98" s="97">
        <f>SUM(BD98:BG98)</f>
        <v>825.79</v>
      </c>
      <c r="BI98" s="939">
        <f>0.47*BI100</f>
        <v>196.92999999999998</v>
      </c>
      <c r="BJ98" s="290">
        <f>0.47*BJ100</f>
        <v>211.03</v>
      </c>
      <c r="BK98" s="290">
        <f>0.47*BK100</f>
        <v>201.16</v>
      </c>
      <c r="BL98" s="940">
        <f>0.47*BL100</f>
        <v>210.56</v>
      </c>
      <c r="BM98" s="97">
        <f>SUM(BI98:BL98)</f>
        <v>819.68000000000006</v>
      </c>
      <c r="BN98" s="939">
        <f>0.47*BN100</f>
        <v>103.39999999999999</v>
      </c>
      <c r="BO98" s="290">
        <f>0.47*BO100</f>
        <v>43.239999999999995</v>
      </c>
      <c r="BP98" s="290">
        <f>0.47*BP100</f>
        <v>72.38</v>
      </c>
      <c r="BQ98" s="940">
        <f>0.47*BQ100</f>
        <v>59.69</v>
      </c>
      <c r="BR98" s="97">
        <f>SUM(BN98:BQ98)</f>
        <v>278.70999999999998</v>
      </c>
      <c r="BS98" s="939">
        <f>0.47*BS100</f>
        <v>41.83</v>
      </c>
      <c r="BT98" s="290">
        <f>0.47*BT100</f>
        <v>32.9</v>
      </c>
      <c r="BU98" s="290">
        <f>0.47*BU100</f>
        <v>48.41</v>
      </c>
      <c r="BV98" s="940">
        <f>0.47*BV100</f>
        <v>64.86</v>
      </c>
      <c r="BW98" s="97">
        <f>SUM(BS98:BV98)</f>
        <v>188</v>
      </c>
      <c r="BX98" s="939">
        <f>0.47*BX100</f>
        <v>67.679999999999993</v>
      </c>
      <c r="BY98" s="290">
        <f>0.47*BY100</f>
        <v>84.6</v>
      </c>
      <c r="BZ98" s="290">
        <f>0.47*BZ100</f>
        <v>86.949999999999989</v>
      </c>
      <c r="CA98" s="940">
        <f>0.47*CA100</f>
        <v>84.13</v>
      </c>
      <c r="CB98" s="97">
        <f>SUM(BX98:CA98)</f>
        <v>323.35999999999996</v>
      </c>
      <c r="CC98" s="939">
        <f>0.47*CC100</f>
        <v>71.064000000000007</v>
      </c>
      <c r="CD98" s="290">
        <f>0.47*CD100</f>
        <v>101.52</v>
      </c>
      <c r="CE98" s="290">
        <f>0.47*CE100</f>
        <v>104.33999999999999</v>
      </c>
      <c r="CF98" s="940">
        <f>0.47*CF100</f>
        <v>88.336500000000001</v>
      </c>
      <c r="CG98" s="1484">
        <f>SUM(CC98:CF98)</f>
        <v>365.26049999999998</v>
      </c>
      <c r="CH98" s="939">
        <f>0.47*CH100</f>
        <v>73.195920000000001</v>
      </c>
      <c r="CI98" s="290">
        <f>0.47*CI100</f>
        <v>104.5656</v>
      </c>
      <c r="CJ98" s="290">
        <f>0.47*CJ100</f>
        <v>107.47019999999999</v>
      </c>
      <c r="CK98" s="940">
        <f>0.47*CK100</f>
        <v>90.986594999999994</v>
      </c>
      <c r="CL98" s="97">
        <f>SUM(CH98:CK98)</f>
        <v>376.21831499999996</v>
      </c>
      <c r="CM98" s="939">
        <f>0.47*CM100</f>
        <v>75.391797600000004</v>
      </c>
      <c r="CN98" s="290">
        <f>0.47*CN100</f>
        <v>107.70256800000001</v>
      </c>
      <c r="CO98" s="290">
        <f>0.47*CO100</f>
        <v>110.694306</v>
      </c>
      <c r="CP98" s="940">
        <f>0.47*CP100</f>
        <v>93.716192849999999</v>
      </c>
      <c r="CQ98" s="290">
        <f>SUM(CM98:CP98)</f>
        <v>387.50486445000001</v>
      </c>
    </row>
    <row r="99" spans="1:99" ht="13.5" customHeight="1">
      <c r="A99" s="76"/>
      <c r="B99" s="81" t="s">
        <v>678</v>
      </c>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97">
        <f>AB100-AB98</f>
        <v>250.69000000000003</v>
      </c>
      <c r="AC99" s="97">
        <f>AC100-AC98</f>
        <v>226.31</v>
      </c>
      <c r="AD99" s="97">
        <f>SUM(Z99:AC99)</f>
        <v>477</v>
      </c>
      <c r="AE99" s="97">
        <f>AE100-AE98</f>
        <v>229.49</v>
      </c>
      <c r="AF99" s="97">
        <f>AF100-AF98</f>
        <v>265</v>
      </c>
      <c r="AG99" s="97">
        <f>AG100-AG98</f>
        <v>275.07000000000005</v>
      </c>
      <c r="AH99" s="97">
        <f>AH100-AH98</f>
        <v>265</v>
      </c>
      <c r="AI99" s="97">
        <f>SUM(AE99:AH99)</f>
        <v>1034.56</v>
      </c>
      <c r="AJ99" s="939">
        <f>AJ100-AJ98</f>
        <v>109.71000000000001</v>
      </c>
      <c r="AK99" s="290">
        <f>AK100-AK98</f>
        <v>48.760000000000005</v>
      </c>
      <c r="AL99" s="290">
        <f>AL100-AL98</f>
        <v>80.03</v>
      </c>
      <c r="AM99" s="940">
        <f>AM100-AM98</f>
        <v>109.71000000000001</v>
      </c>
      <c r="AN99" s="97">
        <f>SUM(AJ99:AM99)</f>
        <v>348.21000000000004</v>
      </c>
      <c r="AO99" s="939">
        <f>AO100-AO98</f>
        <v>164.3</v>
      </c>
      <c r="AP99" s="290">
        <f>AP100-AP98</f>
        <v>229.49</v>
      </c>
      <c r="AQ99" s="290">
        <f>AQ100-AQ98</f>
        <v>223.66000000000003</v>
      </c>
      <c r="AR99" s="940">
        <f>AR100-AR98</f>
        <v>204.58</v>
      </c>
      <c r="AS99" s="97">
        <f>SUM(AO99:AR99)</f>
        <v>822.03000000000009</v>
      </c>
      <c r="AT99" s="939">
        <f>AT100-AT98</f>
        <v>225.25</v>
      </c>
      <c r="AU99" s="290">
        <f>AU100-AU98</f>
        <v>224.72</v>
      </c>
      <c r="AV99" s="290">
        <f>AV100-AV98</f>
        <v>254.93</v>
      </c>
      <c r="AW99" s="940">
        <f>AW100-AW98</f>
        <v>255.46</v>
      </c>
      <c r="AX99" s="97">
        <f>SUM(AT99:AW99)</f>
        <v>960.36000000000013</v>
      </c>
      <c r="AY99" s="939">
        <f>AY100-AY98</f>
        <v>280.37</v>
      </c>
      <c r="AZ99" s="290">
        <f>AZ100-AZ98</f>
        <v>261.29000000000002</v>
      </c>
      <c r="BA99" s="290">
        <f>BA100-BA98</f>
        <v>242.21</v>
      </c>
      <c r="BB99" s="940">
        <f>BB100-BB98</f>
        <v>215.71</v>
      </c>
      <c r="BC99" s="97">
        <f>SUM(AY99:BB99)</f>
        <v>999.58000000000015</v>
      </c>
      <c r="BD99" s="939">
        <f>BD100-BD98</f>
        <v>226.84</v>
      </c>
      <c r="BE99" s="290">
        <f>BE100-BE98</f>
        <v>241.68</v>
      </c>
      <c r="BF99" s="290">
        <f>BF100-BF98</f>
        <v>243.27</v>
      </c>
      <c r="BG99" s="940">
        <f>BG100-BG98</f>
        <v>219.42000000000002</v>
      </c>
      <c r="BH99" s="97">
        <f>SUM(BD99:BG99)</f>
        <v>931.21</v>
      </c>
      <c r="BI99" s="939">
        <f>BI100-BI98</f>
        <v>222.07000000000002</v>
      </c>
      <c r="BJ99" s="290">
        <f>BJ100-BJ98</f>
        <v>237.97</v>
      </c>
      <c r="BK99" s="290">
        <f>BK100-BK98</f>
        <v>226.84</v>
      </c>
      <c r="BL99" s="940">
        <f>BL100-BL98</f>
        <v>237.44</v>
      </c>
      <c r="BM99" s="97">
        <f>SUM(BI99:BL99)</f>
        <v>924.31999999999994</v>
      </c>
      <c r="BN99" s="939">
        <f>BN100-BN98</f>
        <v>116.60000000000001</v>
      </c>
      <c r="BO99" s="290">
        <f>BO100-BO98</f>
        <v>48.760000000000005</v>
      </c>
      <c r="BP99" s="290">
        <f>BP100-BP98</f>
        <v>81.62</v>
      </c>
      <c r="BQ99" s="940">
        <f>BQ100-BQ98</f>
        <v>67.31</v>
      </c>
      <c r="BR99" s="97">
        <f>SUM(BN99:BQ99)</f>
        <v>314.29000000000002</v>
      </c>
      <c r="BS99" s="939">
        <f>BS100-BS98</f>
        <v>47.17</v>
      </c>
      <c r="BT99" s="290">
        <f>BT100-BT98</f>
        <v>37.1</v>
      </c>
      <c r="BU99" s="290">
        <f>BU100-BU98</f>
        <v>54.59</v>
      </c>
      <c r="BV99" s="940">
        <f>BV100-BV98</f>
        <v>73.14</v>
      </c>
      <c r="BW99" s="97">
        <f>SUM(BS99:BV99)</f>
        <v>212</v>
      </c>
      <c r="BX99" s="939">
        <f>BX100-BX98</f>
        <v>76.320000000000007</v>
      </c>
      <c r="BY99" s="290">
        <f>BY100-BY98</f>
        <v>95.4</v>
      </c>
      <c r="BZ99" s="290">
        <f>BZ100-BZ98</f>
        <v>98.050000000000011</v>
      </c>
      <c r="CA99" s="940">
        <f>CA100-CA98</f>
        <v>94.87</v>
      </c>
      <c r="CB99" s="97">
        <f>SUM(BX99:CA99)</f>
        <v>364.64000000000004</v>
      </c>
      <c r="CC99" s="939">
        <f>CC100-CC98</f>
        <v>80.13600000000001</v>
      </c>
      <c r="CD99" s="290">
        <f>CD100-CD98</f>
        <v>114.48</v>
      </c>
      <c r="CE99" s="290">
        <f>CE100-CE98</f>
        <v>117.66000000000001</v>
      </c>
      <c r="CF99" s="940">
        <f>CF100-CF98</f>
        <v>99.613500000000016</v>
      </c>
      <c r="CG99" s="1484">
        <f>SUM(CC99:CF99)</f>
        <v>411.8895</v>
      </c>
      <c r="CH99" s="939">
        <f>CH100-CH98</f>
        <v>82.540080000000017</v>
      </c>
      <c r="CI99" s="290">
        <f>CI100-CI98</f>
        <v>117.91440000000001</v>
      </c>
      <c r="CJ99" s="290">
        <f>CJ100-CJ98</f>
        <v>121.18980000000001</v>
      </c>
      <c r="CK99" s="940">
        <f>CK100-CK98</f>
        <v>102.60190500000002</v>
      </c>
      <c r="CL99" s="97">
        <f>SUM(CH99:CK99)</f>
        <v>424.24618500000008</v>
      </c>
      <c r="CM99" s="939">
        <f>CM100-CM98</f>
        <v>85.016282400000009</v>
      </c>
      <c r="CN99" s="290">
        <f>CN100-CN98</f>
        <v>121.45183200000002</v>
      </c>
      <c r="CO99" s="290">
        <f>CO100-CO98</f>
        <v>124.82549400000001</v>
      </c>
      <c r="CP99" s="940">
        <f>CP100-CP98</f>
        <v>105.67996215000002</v>
      </c>
      <c r="CQ99" s="290">
        <f>SUM(CM99:CP99)</f>
        <v>436.97357055000009</v>
      </c>
    </row>
    <row r="100" spans="1:99" ht="13.5" customHeight="1">
      <c r="A100" s="76"/>
      <c r="C100" s="75" t="s">
        <v>992</v>
      </c>
      <c r="D100" s="608">
        <v>1022</v>
      </c>
      <c r="E100" s="608">
        <v>773</v>
      </c>
      <c r="F100" s="608">
        <v>206</v>
      </c>
      <c r="G100" s="608">
        <v>211</v>
      </c>
      <c r="H100" s="608">
        <v>231</v>
      </c>
      <c r="I100" s="608">
        <v>234</v>
      </c>
      <c r="J100" s="608">
        <v>882</v>
      </c>
      <c r="K100" s="608">
        <v>272</v>
      </c>
      <c r="L100" s="608">
        <v>269</v>
      </c>
      <c r="M100" s="608">
        <v>266</v>
      </c>
      <c r="N100" s="608">
        <v>285</v>
      </c>
      <c r="O100" s="608">
        <v>1092</v>
      </c>
      <c r="P100" s="608">
        <v>303</v>
      </c>
      <c r="Q100" s="608">
        <v>297</v>
      </c>
      <c r="R100" s="608">
        <v>264</v>
      </c>
      <c r="S100" s="608">
        <v>292</v>
      </c>
      <c r="T100" s="608">
        <v>1156</v>
      </c>
      <c r="U100" s="608">
        <v>319</v>
      </c>
      <c r="V100" s="608">
        <v>298</v>
      </c>
      <c r="W100" s="608">
        <v>303</v>
      </c>
      <c r="X100" s="608">
        <v>271</v>
      </c>
      <c r="Y100" s="153">
        <f>SUM(U100:X100)</f>
        <v>1191</v>
      </c>
      <c r="Z100" s="608">
        <v>247</v>
      </c>
      <c r="AA100" s="608">
        <v>289</v>
      </c>
      <c r="AB100" s="608">
        <v>473</v>
      </c>
      <c r="AC100" s="608">
        <v>427</v>
      </c>
      <c r="AD100" s="153">
        <f>SUM(Z100:AC100)</f>
        <v>1436</v>
      </c>
      <c r="AE100" s="608">
        <v>433</v>
      </c>
      <c r="AF100" s="608">
        <v>500</v>
      </c>
      <c r="AG100" s="608">
        <v>519</v>
      </c>
      <c r="AH100" s="608">
        <v>500</v>
      </c>
      <c r="AI100" s="153">
        <f>SUM(AE100:AH100)</f>
        <v>1952</v>
      </c>
      <c r="AJ100" s="954">
        <v>207</v>
      </c>
      <c r="AK100" s="608">
        <v>92</v>
      </c>
      <c r="AL100" s="608">
        <v>151</v>
      </c>
      <c r="AM100" s="960">
        <v>207</v>
      </c>
      <c r="AN100" s="153">
        <f>SUM(AJ100:AM100)</f>
        <v>657</v>
      </c>
      <c r="AO100" s="954">
        <v>310</v>
      </c>
      <c r="AP100" s="608">
        <v>433</v>
      </c>
      <c r="AQ100" s="608">
        <v>422</v>
      </c>
      <c r="AR100" s="960">
        <v>386</v>
      </c>
      <c r="AS100" s="153">
        <f>SUM(AO100:AR100)</f>
        <v>1551</v>
      </c>
      <c r="AT100" s="954">
        <v>425</v>
      </c>
      <c r="AU100" s="608">
        <v>424</v>
      </c>
      <c r="AV100" s="639">
        <v>481</v>
      </c>
      <c r="AW100" s="960">
        <v>482</v>
      </c>
      <c r="AX100" s="153">
        <f>SUM(AT100:AW100)</f>
        <v>1812</v>
      </c>
      <c r="AY100" s="954">
        <v>529</v>
      </c>
      <c r="AZ100" s="608">
        <v>493</v>
      </c>
      <c r="BA100" s="608">
        <v>457</v>
      </c>
      <c r="BB100" s="960">
        <v>407</v>
      </c>
      <c r="BC100" s="153">
        <f>SUM(AY100:BB100)</f>
        <v>1886</v>
      </c>
      <c r="BD100" s="954">
        <v>428</v>
      </c>
      <c r="BE100" s="608">
        <v>456</v>
      </c>
      <c r="BF100" s="608">
        <v>459</v>
      </c>
      <c r="BG100" s="960">
        <v>414</v>
      </c>
      <c r="BH100" s="153">
        <f>SUM(BD100:BG100)</f>
        <v>1757</v>
      </c>
      <c r="BI100" s="954">
        <v>419</v>
      </c>
      <c r="BJ100" s="608">
        <v>449</v>
      </c>
      <c r="BK100" s="608">
        <v>428</v>
      </c>
      <c r="BL100" s="960">
        <v>448</v>
      </c>
      <c r="BM100" s="153">
        <f>SUM(BI100:BL100)</f>
        <v>1744</v>
      </c>
      <c r="BN100" s="954">
        <v>220</v>
      </c>
      <c r="BO100" s="608">
        <v>92</v>
      </c>
      <c r="BP100" s="608">
        <v>154</v>
      </c>
      <c r="BQ100" s="960">
        <v>127</v>
      </c>
      <c r="BR100" s="153">
        <f>SUM(BN100:BQ100)</f>
        <v>593</v>
      </c>
      <c r="BS100" s="954">
        <v>89</v>
      </c>
      <c r="BT100" s="608">
        <v>70</v>
      </c>
      <c r="BU100" s="608">
        <v>103</v>
      </c>
      <c r="BV100" s="960">
        <v>138</v>
      </c>
      <c r="BW100" s="153">
        <f>SUM(BS100:BV100)</f>
        <v>400</v>
      </c>
      <c r="BX100" s="1090">
        <v>144</v>
      </c>
      <c r="BY100" s="863">
        <v>180</v>
      </c>
      <c r="BZ100" s="863">
        <v>185</v>
      </c>
      <c r="CA100" s="1518">
        <v>179</v>
      </c>
      <c r="CB100" s="153">
        <f>SUM(BX100:CA100)</f>
        <v>688</v>
      </c>
      <c r="CC100" s="914">
        <f>BX100*(1+CC95)</f>
        <v>151.20000000000002</v>
      </c>
      <c r="CD100" s="153">
        <f>BY100*(1+CD95)</f>
        <v>216</v>
      </c>
      <c r="CE100" s="153">
        <f>BZ100*(1+CE95)</f>
        <v>222</v>
      </c>
      <c r="CF100" s="915">
        <f>CA100*(1+CF95)</f>
        <v>187.95000000000002</v>
      </c>
      <c r="CG100" s="1475">
        <f>SUM(CC100:CF100)</f>
        <v>777.15000000000009</v>
      </c>
      <c r="CH100" s="914">
        <f>CC100*(1+CH95)</f>
        <v>155.73600000000002</v>
      </c>
      <c r="CI100" s="153">
        <f>CD100*(1+CI95)</f>
        <v>222.48000000000002</v>
      </c>
      <c r="CJ100" s="153">
        <f>CE100*(1+CJ95)</f>
        <v>228.66</v>
      </c>
      <c r="CK100" s="915">
        <f>CF100*(1+CK95)</f>
        <v>193.58850000000001</v>
      </c>
      <c r="CL100" s="153">
        <f>SUM(CH100:CK100)</f>
        <v>800.46450000000004</v>
      </c>
      <c r="CM100" s="914">
        <f>CH100*(1+CM95)</f>
        <v>160.40808000000001</v>
      </c>
      <c r="CN100" s="153">
        <f>CI100*(1+CN95)</f>
        <v>229.15440000000004</v>
      </c>
      <c r="CO100" s="153">
        <f>CJ100*(1+CO95)</f>
        <v>235.5198</v>
      </c>
      <c r="CP100" s="915">
        <f>CK100*(1+CP95)</f>
        <v>199.39615500000002</v>
      </c>
      <c r="CQ100" s="153">
        <f>SUM(CM100:CP100)</f>
        <v>824.4784350000001</v>
      </c>
    </row>
    <row r="101" spans="1:99" ht="6.2" customHeight="1">
      <c r="A101" s="75"/>
      <c r="B101" s="75"/>
      <c r="C101" s="81"/>
      <c r="D101" s="88"/>
      <c r="E101" s="88"/>
      <c r="F101" s="88"/>
      <c r="G101" s="88"/>
      <c r="H101" s="88"/>
      <c r="I101" s="88"/>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906"/>
      <c r="AK101" s="907"/>
      <c r="AL101" s="907"/>
      <c r="AM101" s="908"/>
      <c r="AN101" s="89"/>
      <c r="AO101" s="906"/>
      <c r="AP101" s="907"/>
      <c r="AQ101" s="907"/>
      <c r="AR101" s="908"/>
      <c r="AS101" s="89"/>
      <c r="AT101" s="906"/>
      <c r="AU101" s="907"/>
      <c r="AV101" s="907"/>
      <c r="AW101" s="908"/>
      <c r="AX101" s="89"/>
      <c r="AY101" s="906"/>
      <c r="AZ101" s="907"/>
      <c r="BA101" s="907"/>
      <c r="BB101" s="908"/>
      <c r="BC101" s="89"/>
      <c r="BD101" s="906"/>
      <c r="BE101" s="907"/>
      <c r="BF101" s="907"/>
      <c r="BG101" s="908"/>
      <c r="BH101" s="89"/>
      <c r="BI101" s="906"/>
      <c r="BJ101" s="907"/>
      <c r="BK101" s="907"/>
      <c r="BL101" s="908"/>
      <c r="BM101" s="89"/>
      <c r="BN101" s="906"/>
      <c r="BO101" s="907"/>
      <c r="BP101" s="907"/>
      <c r="BQ101" s="908"/>
      <c r="BR101" s="89"/>
      <c r="BS101" s="906"/>
      <c r="BT101" s="907"/>
      <c r="BU101" s="907"/>
      <c r="BV101" s="908"/>
      <c r="BW101" s="89"/>
      <c r="BX101" s="906"/>
      <c r="BY101" s="907"/>
      <c r="BZ101" s="907"/>
      <c r="CA101" s="908"/>
      <c r="CB101" s="89"/>
      <c r="CC101" s="906"/>
      <c r="CD101" s="907"/>
      <c r="CE101" s="907"/>
      <c r="CF101" s="908"/>
      <c r="CG101" s="1471"/>
      <c r="CH101" s="906"/>
      <c r="CI101" s="907"/>
      <c r="CJ101" s="907"/>
      <c r="CK101" s="908"/>
      <c r="CL101" s="89"/>
      <c r="CM101" s="906"/>
      <c r="CN101" s="907"/>
      <c r="CO101" s="907"/>
      <c r="CP101" s="908"/>
      <c r="CQ101" s="907"/>
      <c r="CR101" s="1459"/>
      <c r="CS101" s="90"/>
      <c r="CT101" s="90"/>
      <c r="CU101" s="75"/>
    </row>
    <row r="102" spans="1:99" ht="13.5" customHeight="1">
      <c r="A102" s="75"/>
      <c r="B102" s="75"/>
      <c r="C102" s="96" t="s">
        <v>697</v>
      </c>
      <c r="D102" s="108"/>
      <c r="E102" s="108"/>
      <c r="F102" s="108"/>
      <c r="G102" s="108"/>
      <c r="H102" s="108"/>
      <c r="I102" s="108"/>
      <c r="J102" s="108">
        <f>Operations!J110</f>
        <v>1800.0000000000002</v>
      </c>
      <c r="K102" s="108">
        <f>Operations!K110</f>
        <v>448.76712328767127</v>
      </c>
      <c r="L102" s="108">
        <f>Operations!L110</f>
        <v>448.76712328767127</v>
      </c>
      <c r="M102" s="108">
        <f>Operations!M110</f>
        <v>453.69863013698631</v>
      </c>
      <c r="N102" s="108">
        <f>Operations!N110</f>
        <v>453.69863013698631</v>
      </c>
      <c r="O102" s="108">
        <f>Operations!O110</f>
        <v>1804.9315068493152</v>
      </c>
      <c r="P102" s="108">
        <f>Operations!P110</f>
        <v>443.83561643835617</v>
      </c>
      <c r="Q102" s="108">
        <f>Operations!Q110</f>
        <v>448.76712328767127</v>
      </c>
      <c r="R102" s="108">
        <f>Operations!R110</f>
        <v>453.69863013698631</v>
      </c>
      <c r="S102" s="108">
        <f>Operations!S110</f>
        <v>453.69863013698631</v>
      </c>
      <c r="T102" s="108">
        <f>Operations!T110</f>
        <v>1800.0000000000002</v>
      </c>
      <c r="U102" s="108">
        <f>Operations!U110</f>
        <v>443.83561643835617</v>
      </c>
      <c r="V102" s="108">
        <f>Operations!V110</f>
        <v>448.76712328767127</v>
      </c>
      <c r="W102" s="108">
        <f>Operations!W110</f>
        <v>453.69863013698631</v>
      </c>
      <c r="X102" s="108">
        <f>Operations!X110</f>
        <v>453.69863013698631</v>
      </c>
      <c r="Y102" s="108">
        <f>Operations!Y110</f>
        <v>1800.0000000000002</v>
      </c>
      <c r="Z102" s="108">
        <f>Operations!Z110</f>
        <v>443.83561643835617</v>
      </c>
      <c r="AA102" s="108">
        <f>Operations!AA110</f>
        <v>448.76712328767127</v>
      </c>
      <c r="AB102" s="108">
        <f>Operations!AB110</f>
        <v>705.7534246575342</v>
      </c>
      <c r="AC102" s="108">
        <f>Operations!AC110</f>
        <v>705.7534246575342</v>
      </c>
      <c r="AD102" s="108">
        <f>Operations!AD110</f>
        <v>2304.1095890410961</v>
      </c>
      <c r="AE102" s="108">
        <f>Operations!AE110</f>
        <v>698.08219178082186</v>
      </c>
      <c r="AF102" s="108">
        <f>Operations!AF110</f>
        <v>698.08219178082186</v>
      </c>
      <c r="AG102" s="108">
        <f>Operations!AG110</f>
        <v>705.7534246575342</v>
      </c>
      <c r="AH102" s="108">
        <f>Operations!AH110</f>
        <v>705.7534246575342</v>
      </c>
      <c r="AI102" s="108">
        <f>Operations!AI110</f>
        <v>2807.6712328767121</v>
      </c>
      <c r="AJ102" s="922">
        <f>Operations!AJ110</f>
        <v>690.41095890410952</v>
      </c>
      <c r="AK102" s="923">
        <f>Operations!AK110</f>
        <v>698.08219178082186</v>
      </c>
      <c r="AL102" s="923">
        <f>Operations!AL110</f>
        <v>705.7534246575342</v>
      </c>
      <c r="AM102" s="924">
        <f>Operations!AM110</f>
        <v>705.7534246575342</v>
      </c>
      <c r="AN102" s="108">
        <f>Operations!AN110</f>
        <v>2800</v>
      </c>
      <c r="AO102" s="922">
        <f>Operations!AO110</f>
        <v>690.41095890410952</v>
      </c>
      <c r="AP102" s="923">
        <f>Operations!AP110</f>
        <v>698.08219178082186</v>
      </c>
      <c r="AQ102" s="923">
        <f>Operations!AQ110</f>
        <v>705.7534246575342</v>
      </c>
      <c r="AR102" s="924">
        <f>Operations!AR110</f>
        <v>705.7534246575342</v>
      </c>
      <c r="AS102" s="108">
        <f>Operations!AS110</f>
        <v>2800</v>
      </c>
      <c r="AT102" s="922">
        <f>Operations!AT110</f>
        <v>690.41095890410952</v>
      </c>
      <c r="AU102" s="923">
        <f>Operations!AU110</f>
        <v>698.08219178082186</v>
      </c>
      <c r="AV102" s="923">
        <f>Operations!AV110</f>
        <v>698.08219178082186</v>
      </c>
      <c r="AW102" s="924">
        <f>Operations!AW110</f>
        <v>705.7534246575342</v>
      </c>
      <c r="AX102" s="108">
        <f>Operations!AX110</f>
        <v>2792.3287671232874</v>
      </c>
      <c r="AY102" s="922">
        <f>Operations!AY110</f>
        <v>698.08219178082186</v>
      </c>
      <c r="AZ102" s="923">
        <f>Operations!AZ110</f>
        <v>698.08219178082186</v>
      </c>
      <c r="BA102" s="923">
        <f>Operations!BA110</f>
        <v>705.7534246575342</v>
      </c>
      <c r="BB102" s="924">
        <f>Operations!BB110</f>
        <v>705.7534246575342</v>
      </c>
      <c r="BC102" s="108">
        <f>Operations!BC110</f>
        <v>2807.6712328767121</v>
      </c>
      <c r="BD102" s="922">
        <f>Operations!BD110</f>
        <v>698.08219178082186</v>
      </c>
      <c r="BE102" s="923">
        <f>Operations!BE110</f>
        <v>705.7534246575342</v>
      </c>
      <c r="BF102" s="923">
        <f>Operations!BF110</f>
        <v>705.7534246575342</v>
      </c>
      <c r="BG102" s="924">
        <f>Operations!BG110</f>
        <v>705.7534246575342</v>
      </c>
      <c r="BH102" s="108">
        <f>Operations!BH110</f>
        <v>2815.3424657534242</v>
      </c>
      <c r="BI102" s="922">
        <f>Operations!BI110</f>
        <v>705.7534246575342</v>
      </c>
      <c r="BJ102" s="923">
        <f>Operations!BJ110</f>
        <v>705.7534246575342</v>
      </c>
      <c r="BK102" s="923">
        <f>Operations!BK110</f>
        <v>610</v>
      </c>
      <c r="BL102" s="924">
        <f>Operations!BL110</f>
        <v>566</v>
      </c>
      <c r="BM102" s="108">
        <f>Operations!BM110</f>
        <v>2587.5068493150684</v>
      </c>
      <c r="BN102" s="922">
        <f>Operations!BN110</f>
        <v>700</v>
      </c>
      <c r="BO102" s="923">
        <f>Operations!BO110</f>
        <v>700</v>
      </c>
      <c r="BP102" s="923">
        <f>Operations!BP110</f>
        <v>700</v>
      </c>
      <c r="BQ102" s="924">
        <f>Operations!BQ110</f>
        <v>700</v>
      </c>
      <c r="BR102" s="108">
        <f>Operations!BR110</f>
        <v>2800</v>
      </c>
      <c r="BS102" s="1070">
        <f>Operations!BS110</f>
        <v>700</v>
      </c>
      <c r="BT102" s="1017">
        <f>Operations!BT110</f>
        <v>700</v>
      </c>
      <c r="BU102" s="1017">
        <f>Operations!BU110</f>
        <v>700</v>
      </c>
      <c r="BV102" s="1071">
        <f>Operations!BV110</f>
        <v>700</v>
      </c>
      <c r="BW102" s="108">
        <f>Operations!BW110</f>
        <v>2800</v>
      </c>
      <c r="BX102" s="1070">
        <f>Operations!BX110</f>
        <v>700</v>
      </c>
      <c r="BY102" s="923">
        <f>Operations!BY110</f>
        <v>700</v>
      </c>
      <c r="BZ102" s="923">
        <f>Operations!BZ110</f>
        <v>700</v>
      </c>
      <c r="CA102" s="924">
        <f>Operations!CA110</f>
        <v>700</v>
      </c>
      <c r="CB102" s="108">
        <f>Operations!CB110</f>
        <v>2800</v>
      </c>
      <c r="CC102" s="922">
        <f>Operations!CC110</f>
        <v>700</v>
      </c>
      <c r="CD102" s="923">
        <f>Operations!CD110</f>
        <v>700</v>
      </c>
      <c r="CE102" s="923">
        <f>Operations!CE110</f>
        <v>700</v>
      </c>
      <c r="CF102" s="924">
        <f>Operations!CF110</f>
        <v>700</v>
      </c>
      <c r="CG102" s="1479">
        <f>Operations!CG110</f>
        <v>2800</v>
      </c>
      <c r="CH102" s="922">
        <f>Operations!CH110</f>
        <v>700</v>
      </c>
      <c r="CI102" s="923">
        <f>Operations!CI110</f>
        <v>700</v>
      </c>
      <c r="CJ102" s="923">
        <f>Operations!CJ110</f>
        <v>700</v>
      </c>
      <c r="CK102" s="924">
        <f>Operations!CK110</f>
        <v>700</v>
      </c>
      <c r="CL102" s="108">
        <f>Operations!CL110</f>
        <v>2800</v>
      </c>
      <c r="CM102" s="922">
        <f>Operations!CM110</f>
        <v>700</v>
      </c>
      <c r="CN102" s="923">
        <f>Operations!CN110</f>
        <v>700</v>
      </c>
      <c r="CO102" s="923">
        <f>Operations!CO110</f>
        <v>700</v>
      </c>
      <c r="CP102" s="924">
        <f>Operations!CP110</f>
        <v>700</v>
      </c>
      <c r="CQ102" s="923">
        <f>Operations!CQ110</f>
        <v>2800</v>
      </c>
      <c r="CR102" s="159"/>
      <c r="CS102" s="119"/>
      <c r="CT102" s="115"/>
      <c r="CU102" s="115"/>
    </row>
    <row r="103" spans="1:99" ht="13.5" customHeight="1">
      <c r="A103" s="115"/>
      <c r="B103" s="115"/>
      <c r="C103" s="115" t="s">
        <v>698</v>
      </c>
      <c r="D103" s="116"/>
      <c r="E103" s="116"/>
      <c r="F103" s="116"/>
      <c r="G103" s="116"/>
      <c r="H103" s="116"/>
      <c r="I103" s="116"/>
      <c r="J103" s="116">
        <f>Operations!J111</f>
        <v>0.48999999999999994</v>
      </c>
      <c r="K103" s="116">
        <f>Operations!K111</f>
        <v>0.60610500610500606</v>
      </c>
      <c r="L103" s="116">
        <f>Operations!L111</f>
        <v>0.5994200244200244</v>
      </c>
      <c r="M103" s="116">
        <f>Operations!M111</f>
        <v>0.58629227053140098</v>
      </c>
      <c r="N103" s="116">
        <f>Operations!N111</f>
        <v>0.62817028985507251</v>
      </c>
      <c r="O103" s="116">
        <f>Operations!O111</f>
        <v>0.60500910746812386</v>
      </c>
      <c r="P103" s="116">
        <f>Operations!P111</f>
        <v>0.68268518518518517</v>
      </c>
      <c r="Q103" s="116">
        <f>Operations!Q111</f>
        <v>0.66181318681318679</v>
      </c>
      <c r="R103" s="116">
        <f>Operations!R111</f>
        <v>0.5818840579710145</v>
      </c>
      <c r="S103" s="116">
        <f>Operations!S111</f>
        <v>0.64359903381642514</v>
      </c>
      <c r="T103" s="116">
        <f>Operations!T111</f>
        <v>0.64222222222222214</v>
      </c>
      <c r="U103" s="116">
        <f>Operations!U111</f>
        <v>0.71873456790123458</v>
      </c>
      <c r="V103" s="116">
        <f>Operations!V111</f>
        <v>0.66404151404151401</v>
      </c>
      <c r="W103" s="116">
        <f>Operations!W111</f>
        <v>0.66784420289855073</v>
      </c>
      <c r="X103" s="116">
        <f>Operations!X111</f>
        <v>0.59731280193236713</v>
      </c>
      <c r="Y103" s="116">
        <f>Operations!Y111</f>
        <v>0.66166666666666663</v>
      </c>
      <c r="Z103" s="116">
        <f>Operations!Z111</f>
        <v>0.55651234567901231</v>
      </c>
      <c r="AA103" s="116">
        <f>Operations!AA111</f>
        <v>0.64398656898656892</v>
      </c>
      <c r="AB103" s="116">
        <f>Operations!AB111</f>
        <v>0.67020574534161492</v>
      </c>
      <c r="AC103" s="116">
        <f>Operations!AC111</f>
        <v>0.6050271739130435</v>
      </c>
      <c r="AD103" s="116">
        <f>Operations!AD111</f>
        <v>0.62323424494649216</v>
      </c>
      <c r="AE103" s="116">
        <f>Operations!AE111</f>
        <v>0.62027080062794349</v>
      </c>
      <c r="AF103" s="116">
        <f>Operations!AF111</f>
        <v>0.71624803767660916</v>
      </c>
      <c r="AG103" s="116">
        <f>Operations!AG111</f>
        <v>0.73538431677018634</v>
      </c>
      <c r="AH103" s="116">
        <f>Operations!AH111</f>
        <v>0.70846273291925466</v>
      </c>
      <c r="AI103" s="116">
        <f>Operations!AI111</f>
        <v>0.69523809523809532</v>
      </c>
      <c r="AJ103" s="925">
        <f>Operations!AJ111</f>
        <v>0.29982142857142863</v>
      </c>
      <c r="AK103" s="926">
        <f>Operations!AK111</f>
        <v>0.13178963893249609</v>
      </c>
      <c r="AL103" s="926">
        <f>Operations!AL111</f>
        <v>0.21395574534161493</v>
      </c>
      <c r="AM103" s="927">
        <f>Operations!AM111</f>
        <v>0.29330357142857144</v>
      </c>
      <c r="AN103" s="116">
        <f>Operations!AN111</f>
        <v>0.23464285714285715</v>
      </c>
      <c r="AO103" s="925">
        <f>Operations!AO111</f>
        <v>0.44900793650793658</v>
      </c>
      <c r="AP103" s="926">
        <f>Operations!AP111</f>
        <v>0.62027080062794349</v>
      </c>
      <c r="AQ103" s="926">
        <f>Operations!AQ111</f>
        <v>0.59794254658385093</v>
      </c>
      <c r="AR103" s="927">
        <f>Operations!AR111</f>
        <v>0.54693322981366466</v>
      </c>
      <c r="AS103" s="116">
        <f>Operations!AS111</f>
        <v>0.55392857142857144</v>
      </c>
      <c r="AT103" s="925">
        <f>Operations!AT111</f>
        <v>0.61557539682539686</v>
      </c>
      <c r="AU103" s="926">
        <f>Operations!AU111</f>
        <v>0.60737833594976454</v>
      </c>
      <c r="AV103" s="926">
        <f>Operations!AV111</f>
        <v>0.68903061224489803</v>
      </c>
      <c r="AW103" s="927">
        <f>Operations!AW111</f>
        <v>0.68295807453416157</v>
      </c>
      <c r="AX103" s="116">
        <f>Operations!AX111</f>
        <v>0.64892072213500795</v>
      </c>
      <c r="AY103" s="925">
        <f>Operations!AY111</f>
        <v>0.75779042386185247</v>
      </c>
      <c r="AZ103" s="926">
        <f>Operations!AZ111</f>
        <v>0.70622056514913667</v>
      </c>
      <c r="BA103" s="926">
        <f>Operations!BA111</f>
        <v>0.64753493788819882</v>
      </c>
      <c r="BB103" s="927">
        <f>Operations!BB111</f>
        <v>0.57668866459627333</v>
      </c>
      <c r="BC103" s="116">
        <f>Operations!BC111</f>
        <v>0.67173106947697114</v>
      </c>
      <c r="BD103" s="925">
        <f>Operations!BD111</f>
        <v>0.61310832025117745</v>
      </c>
      <c r="BE103" s="926">
        <f>Operations!BE111</f>
        <v>0.64611801242236033</v>
      </c>
      <c r="BF103" s="926">
        <f>Operations!BF111</f>
        <v>0.65036878881987581</v>
      </c>
      <c r="BG103" s="927">
        <f>Operations!BG111</f>
        <v>0.58660714285714288</v>
      </c>
      <c r="BH103" s="116">
        <f>Operations!BH111</f>
        <v>0.62408038147138978</v>
      </c>
      <c r="BI103" s="925">
        <f>Operations!BI111</f>
        <v>0.59369177018633545</v>
      </c>
      <c r="BJ103" s="926">
        <f>Operations!BJ111</f>
        <v>0.63619953416149078</v>
      </c>
      <c r="BK103" s="926">
        <f>Operations!BK111</f>
        <v>0.70163934426229513</v>
      </c>
      <c r="BL103" s="927">
        <f>Operations!BL111</f>
        <v>0.79151943462897523</v>
      </c>
      <c r="BM103" s="116">
        <f>Operations!BM111</f>
        <v>0.67400787768413029</v>
      </c>
      <c r="BN103" s="925">
        <f>Operations!BN111</f>
        <v>0.31428571428571428</v>
      </c>
      <c r="BO103" s="926">
        <f>Operations!BO111</f>
        <v>0.13142857142857142</v>
      </c>
      <c r="BP103" s="926">
        <f>Operations!BP111</f>
        <v>0.22</v>
      </c>
      <c r="BQ103" s="927">
        <f>Operations!BQ111</f>
        <v>0.18142857142857144</v>
      </c>
      <c r="BR103" s="116">
        <f>Operations!BR111</f>
        <v>0.2117857142857143</v>
      </c>
      <c r="BS103" s="1068">
        <f>Operations!BS111</f>
        <v>0.12714285714285714</v>
      </c>
      <c r="BT103" s="1069">
        <f>Operations!BT111</f>
        <v>0.1</v>
      </c>
      <c r="BU103" s="1069">
        <f>Operations!BU111</f>
        <v>0.14714285714285713</v>
      </c>
      <c r="BV103" s="927">
        <f>Operations!BV111</f>
        <v>0.19714285714285715</v>
      </c>
      <c r="BW103" s="116">
        <f>Operations!BW111</f>
        <v>0.14285714285714285</v>
      </c>
      <c r="BX103" s="1068">
        <f>Operations!BX111</f>
        <v>0.20571428571428571</v>
      </c>
      <c r="BY103" s="926">
        <f>Operations!BY111</f>
        <v>0.25714285714285712</v>
      </c>
      <c r="BZ103" s="926">
        <f>Operations!BZ111</f>
        <v>0.26428571428571429</v>
      </c>
      <c r="CA103" s="927">
        <f>Operations!CA111</f>
        <v>0.25571428571428573</v>
      </c>
      <c r="CB103" s="116">
        <f>Operations!CB111</f>
        <v>0.24571428571428572</v>
      </c>
      <c r="CC103" s="925">
        <f>Operations!CC111</f>
        <v>0.21600000000000003</v>
      </c>
      <c r="CD103" s="926">
        <f>Operations!CD111</f>
        <v>0.30857142857142855</v>
      </c>
      <c r="CE103" s="926">
        <f>Operations!CE111</f>
        <v>0.31714285714285712</v>
      </c>
      <c r="CF103" s="927">
        <f>Operations!CF111</f>
        <v>0.26850000000000002</v>
      </c>
      <c r="CG103" s="1480">
        <f>Operations!CG111</f>
        <v>0.27755357142857146</v>
      </c>
      <c r="CH103" s="925">
        <f>Operations!CH111</f>
        <v>0.22248000000000004</v>
      </c>
      <c r="CI103" s="926">
        <f>Operations!CI111</f>
        <v>0.31782857142857146</v>
      </c>
      <c r="CJ103" s="926">
        <f>Operations!CJ111</f>
        <v>0.32665714285714287</v>
      </c>
      <c r="CK103" s="927">
        <f>Operations!CK111</f>
        <v>0.276555</v>
      </c>
      <c r="CL103" s="116">
        <f>Operations!CL111</f>
        <v>0.28588017857142861</v>
      </c>
      <c r="CM103" s="925">
        <f>Operations!CM111</f>
        <v>0.22915440000000001</v>
      </c>
      <c r="CN103" s="926">
        <f>Operations!CN111</f>
        <v>0.32736342857142864</v>
      </c>
      <c r="CO103" s="926">
        <f>Operations!CO111</f>
        <v>0.33645685714285717</v>
      </c>
      <c r="CP103" s="927">
        <f>Operations!CP111</f>
        <v>0.28485165000000001</v>
      </c>
      <c r="CQ103" s="926">
        <f>Operations!CQ111</f>
        <v>0.29445658392857149</v>
      </c>
      <c r="CR103" s="81"/>
      <c r="CS103" s="75"/>
      <c r="CT103" s="75"/>
      <c r="CU103" s="75"/>
    </row>
    <row r="104" spans="1:99" ht="6.2" customHeight="1">
      <c r="A104" s="75"/>
      <c r="B104" s="75"/>
      <c r="C104" s="81"/>
      <c r="D104" s="88"/>
      <c r="E104" s="88"/>
      <c r="F104" s="88"/>
      <c r="G104" s="88"/>
      <c r="H104" s="88"/>
      <c r="I104" s="88"/>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906"/>
      <c r="AK104" s="907"/>
      <c r="AL104" s="907"/>
      <c r="AM104" s="908"/>
      <c r="AN104" s="89"/>
      <c r="AO104" s="906"/>
      <c r="AP104" s="907"/>
      <c r="AQ104" s="907"/>
      <c r="AR104" s="908"/>
      <c r="AS104" s="89"/>
      <c r="AT104" s="906"/>
      <c r="AU104" s="907"/>
      <c r="AV104" s="907"/>
      <c r="AW104" s="908"/>
      <c r="AX104" s="89"/>
      <c r="AY104" s="906"/>
      <c r="AZ104" s="907"/>
      <c r="BA104" s="907"/>
      <c r="BB104" s="908"/>
      <c r="BC104" s="89"/>
      <c r="BD104" s="906"/>
      <c r="BE104" s="907"/>
      <c r="BF104" s="907"/>
      <c r="BG104" s="908"/>
      <c r="BH104" s="89"/>
      <c r="BI104" s="906"/>
      <c r="BJ104" s="907"/>
      <c r="BK104" s="907"/>
      <c r="BL104" s="908"/>
      <c r="BM104" s="89"/>
      <c r="BN104" s="906"/>
      <c r="BO104" s="907"/>
      <c r="BP104" s="907"/>
      <c r="BQ104" s="908"/>
      <c r="BR104" s="89"/>
      <c r="BS104" s="906"/>
      <c r="BT104" s="907"/>
      <c r="BU104" s="907"/>
      <c r="BV104" s="908"/>
      <c r="BW104" s="89"/>
      <c r="BX104" s="906"/>
      <c r="BY104" s="907"/>
      <c r="BZ104" s="907"/>
      <c r="CA104" s="908"/>
      <c r="CB104" s="89"/>
      <c r="CC104" s="906"/>
      <c r="CD104" s="907"/>
      <c r="CE104" s="907"/>
      <c r="CF104" s="908"/>
      <c r="CG104" s="1471"/>
      <c r="CH104" s="906"/>
      <c r="CI104" s="907"/>
      <c r="CJ104" s="907"/>
      <c r="CK104" s="908"/>
      <c r="CL104" s="89"/>
      <c r="CM104" s="906"/>
      <c r="CN104" s="907"/>
      <c r="CO104" s="907"/>
      <c r="CP104" s="908"/>
      <c r="CQ104" s="907"/>
      <c r="CR104" s="1459"/>
      <c r="CS104" s="90"/>
      <c r="CT104" s="90"/>
      <c r="CU104" s="75"/>
    </row>
    <row r="105" spans="1:99" ht="13.5" customHeight="1">
      <c r="A105" s="242" t="s">
        <v>927</v>
      </c>
      <c r="B105" s="225"/>
      <c r="C105" s="225"/>
      <c r="D105" s="225"/>
      <c r="E105" s="297"/>
      <c r="F105" s="297"/>
      <c r="G105" s="297"/>
      <c r="H105" s="297"/>
      <c r="I105" s="297"/>
      <c r="J105" s="297"/>
      <c r="K105" s="297"/>
      <c r="L105" s="297"/>
      <c r="M105" s="297"/>
      <c r="N105" s="297"/>
      <c r="O105" s="297"/>
      <c r="P105" s="297"/>
      <c r="Q105" s="297"/>
      <c r="R105" s="297"/>
      <c r="S105" s="297"/>
      <c r="T105" s="297"/>
      <c r="U105" s="297"/>
      <c r="V105" s="225"/>
      <c r="W105" s="294"/>
      <c r="X105" s="294"/>
      <c r="Y105" s="294"/>
      <c r="Z105" s="297"/>
      <c r="AA105" s="225"/>
      <c r="AB105" s="294"/>
      <c r="AC105" s="294"/>
      <c r="AD105" s="294"/>
      <c r="AE105" s="297"/>
      <c r="AF105" s="225"/>
      <c r="AG105" s="225"/>
      <c r="AH105" s="225"/>
      <c r="AI105" s="294"/>
      <c r="AJ105" s="963"/>
      <c r="AK105" s="964"/>
      <c r="AL105" s="965"/>
      <c r="AM105" s="966"/>
      <c r="AN105" s="294"/>
      <c r="AO105" s="963"/>
      <c r="AP105" s="964"/>
      <c r="AQ105" s="965"/>
      <c r="AR105" s="966"/>
      <c r="AS105" s="294"/>
      <c r="AT105" s="963"/>
      <c r="AU105" s="964"/>
      <c r="AV105" s="964"/>
      <c r="AW105" s="966"/>
      <c r="AX105" s="294"/>
      <c r="AY105" s="963"/>
      <c r="AZ105" s="964"/>
      <c r="BA105" s="965"/>
      <c r="BB105" s="966"/>
      <c r="BC105" s="294"/>
      <c r="BD105" s="963"/>
      <c r="BE105" s="964"/>
      <c r="BF105" s="965"/>
      <c r="BG105" s="966"/>
      <c r="BH105" s="294"/>
      <c r="BI105" s="963"/>
      <c r="BJ105" s="964"/>
      <c r="BK105" s="965"/>
      <c r="BL105" s="966"/>
      <c r="BM105" s="294"/>
      <c r="BN105" s="963"/>
      <c r="BO105" s="964"/>
      <c r="BP105" s="965"/>
      <c r="BQ105" s="966"/>
      <c r="BR105" s="294"/>
      <c r="BS105" s="963"/>
      <c r="BT105" s="964"/>
      <c r="BU105" s="965"/>
      <c r="BV105" s="966"/>
      <c r="BW105" s="294"/>
      <c r="BX105" s="963"/>
      <c r="BY105" s="964"/>
      <c r="BZ105" s="964"/>
      <c r="CA105" s="966"/>
      <c r="CB105" s="294"/>
      <c r="CC105" s="963"/>
      <c r="CD105" s="964"/>
      <c r="CE105" s="965"/>
      <c r="CF105" s="966"/>
      <c r="CG105" s="1495"/>
      <c r="CH105" s="963"/>
      <c r="CI105" s="964"/>
      <c r="CJ105" s="965"/>
      <c r="CK105" s="966"/>
      <c r="CL105" s="294"/>
      <c r="CM105" s="963"/>
      <c r="CN105" s="964"/>
      <c r="CO105" s="965"/>
      <c r="CP105" s="966"/>
      <c r="CQ105" s="965"/>
    </row>
    <row r="106" spans="1:99" ht="13.5" customHeight="1">
      <c r="A106" s="76"/>
      <c r="B106" s="81" t="s">
        <v>677</v>
      </c>
      <c r="C106" s="76"/>
      <c r="D106" s="76"/>
      <c r="E106" s="76"/>
      <c r="F106" s="669">
        <v>877.33333333333337</v>
      </c>
      <c r="G106" s="669">
        <v>882.66666666666663</v>
      </c>
      <c r="H106" s="669">
        <v>882.66666666666663</v>
      </c>
      <c r="I106" s="669">
        <v>888</v>
      </c>
      <c r="J106" s="669">
        <v>882.66666666666663</v>
      </c>
      <c r="K106" s="299">
        <f>Operations!K15</f>
        <v>929.33333333333337</v>
      </c>
      <c r="L106" s="299">
        <f>Operations!L15</f>
        <v>1297.3333333333333</v>
      </c>
      <c r="M106" s="299">
        <f>Operations!M15</f>
        <v>1454.6666666666667</v>
      </c>
      <c r="N106" s="299">
        <f>Operations!N15</f>
        <v>1480.3333333333333</v>
      </c>
      <c r="O106" s="299">
        <f>Operations!O15</f>
        <v>1290.4166666666665</v>
      </c>
      <c r="P106" s="299">
        <f>Operations!P15</f>
        <v>1527</v>
      </c>
      <c r="Q106" s="299">
        <f>Operations!Q15</f>
        <v>1569.6666666666667</v>
      </c>
      <c r="R106" s="299">
        <f>Operations!R15</f>
        <v>1556</v>
      </c>
      <c r="S106" s="299">
        <f>Operations!S15</f>
        <v>1553.6666666666667</v>
      </c>
      <c r="T106" s="299">
        <f>Operations!T15</f>
        <v>1551.5833333333335</v>
      </c>
      <c r="U106" s="299">
        <f>Operations!U15</f>
        <v>1569.3333333333333</v>
      </c>
      <c r="V106" s="299">
        <f>Operations!V15</f>
        <v>1565</v>
      </c>
      <c r="W106" s="299">
        <f>Operations!W15</f>
        <v>1576</v>
      </c>
      <c r="X106" s="299">
        <f>Operations!X15</f>
        <v>1536</v>
      </c>
      <c r="Y106" s="299">
        <f>Operations!Y15</f>
        <v>1561.5833333333333</v>
      </c>
      <c r="Z106" s="299">
        <f>Operations!Z15</f>
        <v>1517.3333333333333</v>
      </c>
      <c r="AA106" s="299">
        <f>Operations!AA15</f>
        <v>1467.6666666666667</v>
      </c>
      <c r="AB106" s="299">
        <f>Operations!AB15</f>
        <v>1472.3333333333333</v>
      </c>
      <c r="AC106" s="299">
        <f>Operations!AC15</f>
        <v>1470</v>
      </c>
      <c r="AD106" s="299">
        <f>Operations!AD15</f>
        <v>1481.8333333333333</v>
      </c>
      <c r="AE106" s="299">
        <f>Operations!AE15</f>
        <v>1499</v>
      </c>
      <c r="AF106" s="299">
        <f>Operations!AF15</f>
        <v>2108</v>
      </c>
      <c r="AG106" s="299">
        <f>Operations!AG15</f>
        <v>3196</v>
      </c>
      <c r="AH106" s="299">
        <f>Operations!AH15</f>
        <v>3086.6666666666665</v>
      </c>
      <c r="AI106" s="299">
        <f>Operations!AI15</f>
        <v>2472.4166666666665</v>
      </c>
      <c r="AJ106" s="928">
        <f>Operations!AJ15</f>
        <v>2260</v>
      </c>
      <c r="AK106" s="299">
        <f>Operations!AK15</f>
        <v>1563</v>
      </c>
      <c r="AL106" s="299">
        <f>Operations!AL15</f>
        <v>1477</v>
      </c>
      <c r="AM106" s="929">
        <f>Operations!AM15</f>
        <v>1503.3333333333333</v>
      </c>
      <c r="AN106" s="299">
        <f>Operations!AN15</f>
        <v>1700.8333333333333</v>
      </c>
      <c r="AO106" s="928">
        <f>Operations!AO15</f>
        <v>1616.6666666666667</v>
      </c>
      <c r="AP106" s="299">
        <f>Operations!AP15</f>
        <v>1779</v>
      </c>
      <c r="AQ106" s="299">
        <f>Operations!AQ15</f>
        <v>1829</v>
      </c>
      <c r="AR106" s="929">
        <f>Operations!AR15</f>
        <v>1767</v>
      </c>
      <c r="AS106" s="299">
        <f>Operations!AS15</f>
        <v>1747.9166666666667</v>
      </c>
      <c r="AT106" s="928">
        <f>Operations!AT15</f>
        <v>1757.6666666666667</v>
      </c>
      <c r="AU106" s="299">
        <f>Operations!AU15</f>
        <v>1926.3333333333333</v>
      </c>
      <c r="AV106" s="299">
        <f>Operations!AV15</f>
        <v>1996.6666666666667</v>
      </c>
      <c r="AW106" s="929">
        <f>Operations!AW15</f>
        <v>2040.6666666666667</v>
      </c>
      <c r="AX106" s="299">
        <f>Operations!AX15</f>
        <v>1930.3333333333335</v>
      </c>
      <c r="AY106" s="928">
        <f>Operations!AY15</f>
        <v>2028.3333333333333</v>
      </c>
      <c r="AZ106" s="299">
        <f>Operations!AZ15</f>
        <v>2000.3333333333333</v>
      </c>
      <c r="BA106" s="299">
        <f>Operations!BA15</f>
        <v>1927</v>
      </c>
      <c r="BB106" s="929">
        <f>Operations!BB15</f>
        <v>1888.6666666666667</v>
      </c>
      <c r="BC106" s="299">
        <f>Operations!BC15</f>
        <v>1961.0833333333333</v>
      </c>
      <c r="BD106" s="928">
        <f>Operations!BD15</f>
        <v>1837.6666666666667</v>
      </c>
      <c r="BE106" s="299">
        <f>Operations!BE15</f>
        <v>1759.3333333333333</v>
      </c>
      <c r="BF106" s="299">
        <f>Operations!BF15</f>
        <v>1725.3333333333333</v>
      </c>
      <c r="BG106" s="929">
        <f>Operations!BG15</f>
        <v>1723</v>
      </c>
      <c r="BH106" s="299">
        <f>Operations!BH15</f>
        <v>1761.3333333333333</v>
      </c>
      <c r="BI106" s="928">
        <f>Operations!BI15</f>
        <v>1691.6666666666667</v>
      </c>
      <c r="BJ106" s="299">
        <f>Operations!BJ15</f>
        <v>1705.3333333333333</v>
      </c>
      <c r="BK106" s="299">
        <f>Operations!BK15</f>
        <v>1792.3333333333333</v>
      </c>
      <c r="BL106" s="929">
        <f>Operations!BL15</f>
        <v>1929.6666666666667</v>
      </c>
      <c r="BM106" s="299">
        <f>Operations!BM15</f>
        <v>1779.75</v>
      </c>
      <c r="BN106" s="928">
        <f>Operations!BN15</f>
        <v>1768</v>
      </c>
      <c r="BO106" s="299">
        <f>Operations!BO15</f>
        <v>1593.3333333333333</v>
      </c>
      <c r="BP106" s="299">
        <f>Operations!BP15</f>
        <v>1445</v>
      </c>
      <c r="BQ106" s="929">
        <f>Operations!BQ15</f>
        <v>1304.3333333333333</v>
      </c>
      <c r="BR106" s="299">
        <f>Operations!BR15</f>
        <v>1527.6666666666665</v>
      </c>
      <c r="BS106" s="928">
        <f>Operations!BS15</f>
        <v>1213.3333333333333</v>
      </c>
      <c r="BT106" s="299">
        <f>Operations!BT15</f>
        <v>1171.6666666666667</v>
      </c>
      <c r="BU106" s="299">
        <f>Operations!BU15</f>
        <v>1198.3333333333333</v>
      </c>
      <c r="BV106" s="929">
        <f>Operations!BV15</f>
        <v>1182.3333333333333</v>
      </c>
      <c r="BW106" s="299">
        <f>Operations!BW15</f>
        <v>1191.4166666666665</v>
      </c>
      <c r="BX106" s="928">
        <f>Operations!BX15</f>
        <v>1312.3333333333333</v>
      </c>
      <c r="BY106" s="299">
        <f>Operations!BY15</f>
        <v>1504.6666666666667</v>
      </c>
      <c r="BZ106" s="299">
        <f>Operations!BZ15</f>
        <v>1509.6666666666667</v>
      </c>
      <c r="CA106" s="929">
        <f>Operations!CA15</f>
        <v>1524</v>
      </c>
      <c r="CB106" s="299">
        <f>Operations!CB15</f>
        <v>1462.6666666666667</v>
      </c>
      <c r="CC106" s="928">
        <f>Operations!CC15</f>
        <v>1584.6666666666667</v>
      </c>
      <c r="CD106" s="299">
        <f>Operations!CD15</f>
        <v>1780</v>
      </c>
      <c r="CE106" s="299">
        <f>Operations!CE15</f>
        <v>1760</v>
      </c>
      <c r="CF106" s="929">
        <f>Operations!CF15</f>
        <v>1745</v>
      </c>
      <c r="CG106" s="1481">
        <f>Operations!CG15</f>
        <v>1717.4166666666667</v>
      </c>
      <c r="CH106" s="928">
        <f>Operations!CH15</f>
        <v>1755</v>
      </c>
      <c r="CI106" s="299">
        <f>Operations!CI15</f>
        <v>1760</v>
      </c>
      <c r="CJ106" s="299">
        <f>Operations!CJ15</f>
        <v>1755</v>
      </c>
      <c r="CK106" s="929">
        <f>Operations!CK15</f>
        <v>1735</v>
      </c>
      <c r="CL106" s="299">
        <f>Operations!CL15</f>
        <v>1751.25</v>
      </c>
      <c r="CM106" s="928">
        <f>Operations!CM15</f>
        <v>1705</v>
      </c>
      <c r="CN106" s="299">
        <f>Operations!CN15</f>
        <v>1710</v>
      </c>
      <c r="CO106" s="299">
        <f>Operations!CO15</f>
        <v>1705</v>
      </c>
      <c r="CP106" s="929">
        <f>Operations!CP15</f>
        <v>1685</v>
      </c>
      <c r="CQ106" s="299">
        <f>Operations!CQ15</f>
        <v>1701.25</v>
      </c>
    </row>
    <row r="107" spans="1:99" ht="13.5" customHeight="1">
      <c r="A107" s="76"/>
      <c r="B107" s="81" t="s">
        <v>678</v>
      </c>
      <c r="C107" s="76"/>
      <c r="D107" s="76"/>
      <c r="E107" s="76"/>
      <c r="F107" s="669">
        <v>776</v>
      </c>
      <c r="G107" s="669">
        <v>783.66666666666663</v>
      </c>
      <c r="H107" s="669">
        <v>797</v>
      </c>
      <c r="I107" s="669">
        <v>802</v>
      </c>
      <c r="J107" s="669">
        <v>789.66666666666663</v>
      </c>
      <c r="K107" s="299">
        <f>Operations!K16</f>
        <v>831</v>
      </c>
      <c r="L107" s="299">
        <f>Operations!L16</f>
        <v>1259.3333333333333</v>
      </c>
      <c r="M107" s="299">
        <f>Operations!M16</f>
        <v>1315.6666666666667</v>
      </c>
      <c r="N107" s="299">
        <f>Operations!N16</f>
        <v>1318.3333333333333</v>
      </c>
      <c r="O107" s="299">
        <f>Operations!O16</f>
        <v>1181.0833333333333</v>
      </c>
      <c r="P107" s="299">
        <f>Operations!P16</f>
        <v>1358.3333333333333</v>
      </c>
      <c r="Q107" s="299">
        <f>Operations!Q16</f>
        <v>1330.3333333333333</v>
      </c>
      <c r="R107" s="299">
        <f>Operations!R16</f>
        <v>1352</v>
      </c>
      <c r="S107" s="299">
        <f>Operations!S16</f>
        <v>1358.3333333333333</v>
      </c>
      <c r="T107" s="299">
        <f>Operations!T16</f>
        <v>1349.75</v>
      </c>
      <c r="U107" s="299">
        <f>Operations!U16</f>
        <v>1352.3333333333333</v>
      </c>
      <c r="V107" s="299">
        <f>Operations!V16</f>
        <v>1369.6666666666667</v>
      </c>
      <c r="W107" s="299">
        <f>Operations!W16</f>
        <v>1385</v>
      </c>
      <c r="X107" s="299">
        <f>Operations!X16</f>
        <v>1360.6666666666667</v>
      </c>
      <c r="Y107" s="299">
        <f>Operations!Y16</f>
        <v>1366.9166666666667</v>
      </c>
      <c r="Z107" s="299">
        <f>Operations!Z16</f>
        <v>1332.3333333333333</v>
      </c>
      <c r="AA107" s="299">
        <f>Operations!AA16</f>
        <v>1305.3333333333333</v>
      </c>
      <c r="AB107" s="299">
        <f>Operations!AB16</f>
        <v>1276.3333333333333</v>
      </c>
      <c r="AC107" s="299">
        <f>Operations!AC16</f>
        <v>1289</v>
      </c>
      <c r="AD107" s="299">
        <f>Operations!AD16</f>
        <v>1300.75</v>
      </c>
      <c r="AE107" s="299">
        <f>Operations!AE16</f>
        <v>1321.3333333333333</v>
      </c>
      <c r="AF107" s="299">
        <f>Operations!AF16</f>
        <v>1921</v>
      </c>
      <c r="AG107" s="299">
        <f>Operations!AG16</f>
        <v>2941.6666666666665</v>
      </c>
      <c r="AH107" s="299">
        <f>Operations!AH16</f>
        <v>2769</v>
      </c>
      <c r="AI107" s="299">
        <f>Operations!AI16</f>
        <v>2238.25</v>
      </c>
      <c r="AJ107" s="928">
        <f>Operations!AJ16</f>
        <v>2164</v>
      </c>
      <c r="AK107" s="299">
        <f>Operations!AK16</f>
        <v>1602</v>
      </c>
      <c r="AL107" s="299">
        <f>Operations!AL16</f>
        <v>1430</v>
      </c>
      <c r="AM107" s="929">
        <f>Operations!AM16</f>
        <v>1376.3333333333333</v>
      </c>
      <c r="AN107" s="299">
        <f>Operations!AN16</f>
        <v>1643.0833333333333</v>
      </c>
      <c r="AO107" s="928">
        <f>Operations!AO16</f>
        <v>1540</v>
      </c>
      <c r="AP107" s="299">
        <f>Operations!AP16</f>
        <v>1683.6666666666667</v>
      </c>
      <c r="AQ107" s="299">
        <f>Operations!AQ16</f>
        <v>1744.3333333333333</v>
      </c>
      <c r="AR107" s="929">
        <f>Operations!AR16</f>
        <v>1677.3333333333333</v>
      </c>
      <c r="AS107" s="299">
        <f>Operations!AS16</f>
        <v>1661.3333333333333</v>
      </c>
      <c r="AT107" s="928">
        <f>Operations!AT16</f>
        <v>1691.3333333333333</v>
      </c>
      <c r="AU107" s="299">
        <f>Operations!AU16</f>
        <v>1749.6666666666667</v>
      </c>
      <c r="AV107" s="299">
        <f>Operations!AV16</f>
        <v>1780</v>
      </c>
      <c r="AW107" s="929">
        <f>Operations!AW16</f>
        <v>1759.3333333333333</v>
      </c>
      <c r="AX107" s="299">
        <f>Operations!AX16</f>
        <v>1745.0833333333333</v>
      </c>
      <c r="AY107" s="928">
        <f>Operations!AY16</f>
        <v>1699.3333333333333</v>
      </c>
      <c r="AZ107" s="299">
        <f>Operations!AZ16</f>
        <v>1624</v>
      </c>
      <c r="BA107" s="299">
        <f>Operations!BA16</f>
        <v>1584</v>
      </c>
      <c r="BB107" s="929">
        <f>Operations!BB16</f>
        <v>1518.6666666666667</v>
      </c>
      <c r="BC107" s="299">
        <f>Operations!BC16</f>
        <v>1606.5</v>
      </c>
      <c r="BD107" s="928">
        <f>Operations!BD16</f>
        <v>1475.6666666666667</v>
      </c>
      <c r="BE107" s="299">
        <f>Operations!BE16</f>
        <v>1441.3333333333333</v>
      </c>
      <c r="BF107" s="299">
        <f>Operations!BF16</f>
        <v>1397.3333333333333</v>
      </c>
      <c r="BG107" s="929">
        <f>Operations!BG16</f>
        <v>1406.3333333333333</v>
      </c>
      <c r="BH107" s="299">
        <f>Operations!BH16</f>
        <v>1430.1666666666665</v>
      </c>
      <c r="BI107" s="928">
        <f>Operations!BI16</f>
        <v>1395.6666666666667</v>
      </c>
      <c r="BJ107" s="299">
        <f>Operations!BJ16</f>
        <v>1436.3333333333333</v>
      </c>
      <c r="BK107" s="299">
        <f>Operations!BK16</f>
        <v>1557.3333333333333</v>
      </c>
      <c r="BL107" s="929">
        <f>Operations!BL16</f>
        <v>1606.6666666666667</v>
      </c>
      <c r="BM107" s="299">
        <f>Operations!BM16</f>
        <v>1499</v>
      </c>
      <c r="BN107" s="928">
        <f>Operations!BN16</f>
        <v>1466.6666666666667</v>
      </c>
      <c r="BO107" s="299">
        <f>Operations!BO16</f>
        <v>1296</v>
      </c>
      <c r="BP107" s="299">
        <f>Operations!BP16</f>
        <v>1184.6666666666667</v>
      </c>
      <c r="BQ107" s="929">
        <f>Operations!BQ16</f>
        <v>1088</v>
      </c>
      <c r="BR107" s="299">
        <f>Operations!BR16</f>
        <v>1258.8333333333335</v>
      </c>
      <c r="BS107" s="928">
        <f>Operations!BS16</f>
        <v>1034.3333333333333</v>
      </c>
      <c r="BT107" s="299">
        <f>Operations!BT16</f>
        <v>995</v>
      </c>
      <c r="BU107" s="299">
        <f>Operations!BU16</f>
        <v>1011.6666666666666</v>
      </c>
      <c r="BV107" s="929">
        <f>Operations!BV16</f>
        <v>1000.3333333333334</v>
      </c>
      <c r="BW107" s="299">
        <f>Operations!BW16</f>
        <v>1010.3333333333334</v>
      </c>
      <c r="BX107" s="928">
        <f>Operations!BX16</f>
        <v>1117</v>
      </c>
      <c r="BY107" s="299">
        <f>Operations!BY16</f>
        <v>1316.3333333333333</v>
      </c>
      <c r="BZ107" s="299">
        <f>Operations!BZ16</f>
        <v>1308.6666666666667</v>
      </c>
      <c r="CA107" s="929">
        <f>Operations!CA16</f>
        <v>1302.6666666666667</v>
      </c>
      <c r="CB107" s="299">
        <f>Operations!CB16</f>
        <v>1261.1666666666667</v>
      </c>
      <c r="CC107" s="928">
        <f>Operations!CC16</f>
        <v>1352.6666666666667</v>
      </c>
      <c r="CD107" s="299">
        <f>Operations!CD16</f>
        <v>1535</v>
      </c>
      <c r="CE107" s="299">
        <f>Operations!CE16</f>
        <v>1505</v>
      </c>
      <c r="CF107" s="929">
        <f>Operations!CF16</f>
        <v>1485</v>
      </c>
      <c r="CG107" s="1481">
        <f>Operations!CG16</f>
        <v>1469.4166666666667</v>
      </c>
      <c r="CH107" s="928">
        <f>Operations!CH16</f>
        <v>1500</v>
      </c>
      <c r="CI107" s="299">
        <f>Operations!CI16</f>
        <v>1470</v>
      </c>
      <c r="CJ107" s="299">
        <f>Operations!CJ16</f>
        <v>1460</v>
      </c>
      <c r="CK107" s="929">
        <f>Operations!CK16</f>
        <v>1415</v>
      </c>
      <c r="CL107" s="299">
        <f>Operations!CL16</f>
        <v>1461.25</v>
      </c>
      <c r="CM107" s="928">
        <f>Operations!CM16</f>
        <v>1360</v>
      </c>
      <c r="CN107" s="299">
        <f>Operations!CN16</f>
        <v>1375</v>
      </c>
      <c r="CO107" s="299">
        <f>Operations!CO16</f>
        <v>1345</v>
      </c>
      <c r="CP107" s="929">
        <f>Operations!CP16</f>
        <v>1345</v>
      </c>
      <c r="CQ107" s="299">
        <f>Operations!CQ16</f>
        <v>1356.25</v>
      </c>
    </row>
    <row r="108" spans="1:99" ht="13.5" customHeight="1">
      <c r="A108" s="76"/>
      <c r="B108" s="75"/>
      <c r="C108" s="93" t="s">
        <v>928</v>
      </c>
      <c r="D108" s="76"/>
      <c r="E108" s="76"/>
      <c r="F108" s="299">
        <f t="shared" ref="F108:AK108" si="190">(F106*F98+F107*F99)/SUM(F98:F99)</f>
        <v>877.33333333333337</v>
      </c>
      <c r="G108" s="299">
        <f t="shared" si="190"/>
        <v>882.66666666666663</v>
      </c>
      <c r="H108" s="299">
        <f t="shared" si="190"/>
        <v>882.66666666666663</v>
      </c>
      <c r="I108" s="299">
        <f t="shared" si="190"/>
        <v>888</v>
      </c>
      <c r="J108" s="299">
        <f t="shared" si="190"/>
        <v>882.66666666666663</v>
      </c>
      <c r="K108" s="299">
        <f t="shared" si="190"/>
        <v>929.33333333333337</v>
      </c>
      <c r="L108" s="299">
        <f t="shared" si="190"/>
        <v>1297.3333333333333</v>
      </c>
      <c r="M108" s="299">
        <f t="shared" si="190"/>
        <v>1454.6666666666667</v>
      </c>
      <c r="N108" s="299">
        <f t="shared" si="190"/>
        <v>1480.3333333333333</v>
      </c>
      <c r="O108" s="299">
        <f t="shared" si="190"/>
        <v>1290.4166666666665</v>
      </c>
      <c r="P108" s="299">
        <f t="shared" si="190"/>
        <v>1527</v>
      </c>
      <c r="Q108" s="299">
        <f t="shared" si="190"/>
        <v>1569.6666666666667</v>
      </c>
      <c r="R108" s="299">
        <f t="shared" si="190"/>
        <v>1556</v>
      </c>
      <c r="S108" s="299">
        <f t="shared" si="190"/>
        <v>1553.6666666666667</v>
      </c>
      <c r="T108" s="299">
        <f t="shared" si="190"/>
        <v>1551.5833333333335</v>
      </c>
      <c r="U108" s="299">
        <f t="shared" si="190"/>
        <v>1569.3333333333333</v>
      </c>
      <c r="V108" s="299">
        <f t="shared" si="190"/>
        <v>1565</v>
      </c>
      <c r="W108" s="299">
        <f t="shared" si="190"/>
        <v>1576</v>
      </c>
      <c r="X108" s="299">
        <f t="shared" si="190"/>
        <v>1536</v>
      </c>
      <c r="Y108" s="299">
        <f t="shared" si="190"/>
        <v>1561.5833333333333</v>
      </c>
      <c r="Z108" s="299">
        <f t="shared" si="190"/>
        <v>1517.3333333333333</v>
      </c>
      <c r="AA108" s="299">
        <f t="shared" si="190"/>
        <v>1467.6666666666667</v>
      </c>
      <c r="AB108" s="299">
        <f t="shared" si="190"/>
        <v>1368.4533333333334</v>
      </c>
      <c r="AC108" s="299">
        <f t="shared" si="190"/>
        <v>1374.07</v>
      </c>
      <c r="AD108" s="299">
        <f t="shared" si="190"/>
        <v>1421.6823932219127</v>
      </c>
      <c r="AE108" s="299">
        <f t="shared" si="190"/>
        <v>1404.8366666666666</v>
      </c>
      <c r="AF108" s="299">
        <f t="shared" si="190"/>
        <v>2008.89</v>
      </c>
      <c r="AG108" s="299">
        <f t="shared" si="190"/>
        <v>3061.2033333333334</v>
      </c>
      <c r="AH108" s="299">
        <f t="shared" si="190"/>
        <v>2918.3033333333328</v>
      </c>
      <c r="AI108" s="299">
        <f t="shared" si="190"/>
        <v>2348.3083333333329</v>
      </c>
      <c r="AJ108" s="928">
        <f t="shared" si="190"/>
        <v>2209.1200000000003</v>
      </c>
      <c r="AK108" s="299">
        <f t="shared" si="190"/>
        <v>1583.67</v>
      </c>
      <c r="AL108" s="299">
        <f t="shared" ref="AL108:BQ108" si="191">(AL106*AL98+AL107*AL99)/SUM(AL98:AL99)</f>
        <v>1452.0900000000001</v>
      </c>
      <c r="AM108" s="929">
        <f t="shared" si="191"/>
        <v>1436.0233333333331</v>
      </c>
      <c r="AN108" s="299">
        <f t="shared" si="191"/>
        <v>1670.2258333333334</v>
      </c>
      <c r="AO108" s="928">
        <f t="shared" si="191"/>
        <v>1576.0333333333335</v>
      </c>
      <c r="AP108" s="299">
        <f t="shared" si="191"/>
        <v>1728.4733333333334</v>
      </c>
      <c r="AQ108" s="299">
        <f t="shared" si="191"/>
        <v>1784.1266666666668</v>
      </c>
      <c r="AR108" s="929">
        <f t="shared" si="191"/>
        <v>1719.4766666666665</v>
      </c>
      <c r="AS108" s="299">
        <f t="shared" si="191"/>
        <v>1702.0274999999999</v>
      </c>
      <c r="AT108" s="928">
        <f t="shared" si="191"/>
        <v>1722.51</v>
      </c>
      <c r="AU108" s="299">
        <f t="shared" si="191"/>
        <v>1832.7</v>
      </c>
      <c r="AV108" s="299">
        <f t="shared" si="191"/>
        <v>1881.8333333333335</v>
      </c>
      <c r="AW108" s="929">
        <f t="shared" si="191"/>
        <v>1891.56</v>
      </c>
      <c r="AX108" s="299">
        <f t="shared" si="191"/>
        <v>1832.1508333333334</v>
      </c>
      <c r="AY108" s="928">
        <f t="shared" si="191"/>
        <v>1853.9633333333331</v>
      </c>
      <c r="AZ108" s="299">
        <f t="shared" si="191"/>
        <v>1800.8766666666666</v>
      </c>
      <c r="BA108" s="299">
        <f t="shared" si="191"/>
        <v>1745.21</v>
      </c>
      <c r="BB108" s="929">
        <f t="shared" si="191"/>
        <v>1692.5666666666666</v>
      </c>
      <c r="BC108" s="299">
        <f t="shared" si="191"/>
        <v>1773.1541666666669</v>
      </c>
      <c r="BD108" s="928">
        <f t="shared" si="191"/>
        <v>1645.8066666666668</v>
      </c>
      <c r="BE108" s="299">
        <f t="shared" si="191"/>
        <v>1590.7933333333333</v>
      </c>
      <c r="BF108" s="299">
        <f t="shared" si="191"/>
        <v>1551.4933333333331</v>
      </c>
      <c r="BG108" s="929">
        <f t="shared" si="191"/>
        <v>1555.1666666666667</v>
      </c>
      <c r="BH108" s="299">
        <f t="shared" si="191"/>
        <v>1585.8149999999998</v>
      </c>
      <c r="BI108" s="928">
        <f t="shared" si="191"/>
        <v>1534.7866666666666</v>
      </c>
      <c r="BJ108" s="299">
        <f t="shared" si="191"/>
        <v>1562.7633333333331</v>
      </c>
      <c r="BK108" s="299">
        <f t="shared" si="191"/>
        <v>1667.7833333333331</v>
      </c>
      <c r="BL108" s="929">
        <f t="shared" si="191"/>
        <v>1758.4766666666667</v>
      </c>
      <c r="BM108" s="299">
        <f t="shared" si="191"/>
        <v>1630.9525000000001</v>
      </c>
      <c r="BN108" s="928">
        <f t="shared" si="191"/>
        <v>1608.2933333333333</v>
      </c>
      <c r="BO108" s="299">
        <f t="shared" si="191"/>
        <v>1435.7466666666667</v>
      </c>
      <c r="BP108" s="299">
        <f t="shared" si="191"/>
        <v>1307.0233333333333</v>
      </c>
      <c r="BQ108" s="929">
        <f t="shared" si="191"/>
        <v>1189.6766666666665</v>
      </c>
      <c r="BR108" s="299">
        <f t="shared" ref="BR108:CQ108" si="192">(BR106*BR98+BR107*BR99)/SUM(BR98:BR99)</f>
        <v>1385.1849999999999</v>
      </c>
      <c r="BS108" s="928">
        <f t="shared" si="192"/>
        <v>1118.4633333333334</v>
      </c>
      <c r="BT108" s="299">
        <f t="shared" si="192"/>
        <v>1078.0333333333335</v>
      </c>
      <c r="BU108" s="299">
        <f t="shared" si="192"/>
        <v>1099.3999999999999</v>
      </c>
      <c r="BV108" s="929">
        <f t="shared" si="192"/>
        <v>1085.8733333333334</v>
      </c>
      <c r="BW108" s="299">
        <f t="shared" si="192"/>
        <v>1095.4425000000001</v>
      </c>
      <c r="BX108" s="928">
        <f t="shared" si="192"/>
        <v>1208.8066666666664</v>
      </c>
      <c r="BY108" s="299">
        <f t="shared" si="192"/>
        <v>1404.85</v>
      </c>
      <c r="BZ108" s="299">
        <f t="shared" si="192"/>
        <v>1403.1366666666668</v>
      </c>
      <c r="CA108" s="929">
        <f t="shared" si="192"/>
        <v>1406.6933333333334</v>
      </c>
      <c r="CB108" s="299">
        <f t="shared" si="192"/>
        <v>1355.8716666666669</v>
      </c>
      <c r="CC108" s="928">
        <f t="shared" si="192"/>
        <v>1461.7066666666667</v>
      </c>
      <c r="CD108" s="299">
        <f t="shared" si="192"/>
        <v>1650.15</v>
      </c>
      <c r="CE108" s="299">
        <f t="shared" si="192"/>
        <v>1624.8500000000001</v>
      </c>
      <c r="CF108" s="929">
        <f t="shared" si="192"/>
        <v>1607.1999999999998</v>
      </c>
      <c r="CG108" s="1481">
        <f t="shared" si="192"/>
        <v>1585.9766666666667</v>
      </c>
      <c r="CH108" s="928">
        <f t="shared" si="192"/>
        <v>1619.85</v>
      </c>
      <c r="CI108" s="299">
        <f t="shared" si="192"/>
        <v>1606.3000000000002</v>
      </c>
      <c r="CJ108" s="299">
        <f t="shared" si="192"/>
        <v>1598.65</v>
      </c>
      <c r="CK108" s="929">
        <f t="shared" si="192"/>
        <v>1565.4</v>
      </c>
      <c r="CL108" s="299">
        <f t="shared" si="192"/>
        <v>1597.55</v>
      </c>
      <c r="CM108" s="928">
        <f t="shared" si="192"/>
        <v>1522.1499999999999</v>
      </c>
      <c r="CN108" s="299">
        <f t="shared" si="192"/>
        <v>1532.45</v>
      </c>
      <c r="CO108" s="299">
        <f t="shared" si="192"/>
        <v>1514.2</v>
      </c>
      <c r="CP108" s="929">
        <f t="shared" si="192"/>
        <v>1504.8</v>
      </c>
      <c r="CQ108" s="299">
        <f t="shared" si="192"/>
        <v>1518.4</v>
      </c>
    </row>
    <row r="109" spans="1:99" ht="6.2" customHeight="1">
      <c r="A109" s="76"/>
      <c r="B109" s="75"/>
      <c r="C109" s="93"/>
      <c r="D109" s="76"/>
      <c r="E109" s="76"/>
      <c r="F109" s="299"/>
      <c r="G109" s="299"/>
      <c r="H109" s="299"/>
      <c r="I109" s="299"/>
      <c r="J109" s="299"/>
      <c r="K109" s="299"/>
      <c r="L109" s="299"/>
      <c r="M109" s="299"/>
      <c r="N109" s="299"/>
      <c r="O109" s="299"/>
      <c r="P109" s="299"/>
      <c r="Q109" s="299"/>
      <c r="R109" s="299"/>
      <c r="S109" s="299"/>
      <c r="T109" s="299"/>
      <c r="U109" s="299"/>
      <c r="V109" s="299"/>
      <c r="W109" s="299"/>
      <c r="X109" s="299"/>
      <c r="Y109" s="299"/>
      <c r="Z109" s="299"/>
      <c r="AA109" s="299"/>
      <c r="AB109" s="299"/>
      <c r="AC109" s="299"/>
      <c r="AD109" s="299"/>
      <c r="AE109" s="669"/>
      <c r="AF109" s="669"/>
      <c r="AG109" s="669"/>
      <c r="AH109" s="669"/>
      <c r="AI109" s="299"/>
      <c r="AJ109" s="928"/>
      <c r="AK109" s="299"/>
      <c r="AL109" s="299"/>
      <c r="AM109" s="929"/>
      <c r="AN109" s="299"/>
      <c r="AO109" s="928"/>
      <c r="AP109" s="299"/>
      <c r="AQ109" s="299"/>
      <c r="AR109" s="929"/>
      <c r="AS109" s="299"/>
      <c r="AT109" s="928"/>
      <c r="AU109" s="299"/>
      <c r="AV109" s="299"/>
      <c r="AW109" s="929"/>
      <c r="AX109" s="299"/>
      <c r="AY109" s="928"/>
      <c r="AZ109" s="299"/>
      <c r="BA109" s="299"/>
      <c r="BB109" s="929"/>
      <c r="BC109" s="299"/>
      <c r="BD109" s="928"/>
      <c r="BE109" s="299"/>
      <c r="BF109" s="299"/>
      <c r="BG109" s="929"/>
      <c r="BH109" s="299"/>
      <c r="BI109" s="928"/>
      <c r="BJ109" s="299"/>
      <c r="BK109" s="299"/>
      <c r="BL109" s="929"/>
      <c r="BM109" s="299"/>
      <c r="BN109" s="928"/>
      <c r="BO109" s="299"/>
      <c r="BP109" s="299"/>
      <c r="BQ109" s="929"/>
      <c r="BR109" s="299"/>
      <c r="BS109" s="928"/>
      <c r="BT109" s="299"/>
      <c r="BU109" s="299"/>
      <c r="BV109" s="929"/>
      <c r="BW109" s="299"/>
      <c r="BX109" s="928"/>
      <c r="BY109" s="299"/>
      <c r="BZ109" s="299"/>
      <c r="CA109" s="929"/>
      <c r="CB109" s="299"/>
      <c r="CC109" s="928"/>
      <c r="CD109" s="299"/>
      <c r="CE109" s="299"/>
      <c r="CF109" s="929"/>
      <c r="CG109" s="1481"/>
      <c r="CH109" s="928"/>
      <c r="CI109" s="299"/>
      <c r="CJ109" s="299"/>
      <c r="CK109" s="929"/>
      <c r="CL109" s="299"/>
      <c r="CM109" s="928"/>
      <c r="CN109" s="299"/>
      <c r="CO109" s="299"/>
      <c r="CP109" s="929"/>
      <c r="CQ109" s="299"/>
    </row>
    <row r="110" spans="1:99" ht="13.5" customHeight="1">
      <c r="A110" s="242" t="s">
        <v>697</v>
      </c>
      <c r="B110" s="75"/>
      <c r="C110" s="93"/>
      <c r="D110" s="620">
        <v>1800</v>
      </c>
      <c r="E110" s="620">
        <v>1800</v>
      </c>
      <c r="F110" s="620">
        <f>1800/365*90</f>
        <v>443.83561643835617</v>
      </c>
      <c r="G110" s="620">
        <f>1800/365*91</f>
        <v>448.76712328767127</v>
      </c>
      <c r="H110" s="620">
        <f>1800/365*92</f>
        <v>453.69863013698631</v>
      </c>
      <c r="I110" s="620">
        <f>1800/365*92</f>
        <v>453.69863013698631</v>
      </c>
      <c r="J110" s="97">
        <f>SUM(F110:I110)</f>
        <v>1800.0000000000002</v>
      </c>
      <c r="K110" s="620">
        <f>1800/365*91</f>
        <v>448.76712328767127</v>
      </c>
      <c r="L110" s="620">
        <f>1800/365*91</f>
        <v>448.76712328767127</v>
      </c>
      <c r="M110" s="620">
        <f>1800/365*92</f>
        <v>453.69863013698631</v>
      </c>
      <c r="N110" s="620">
        <f>1800/365*92</f>
        <v>453.69863013698631</v>
      </c>
      <c r="O110" s="97">
        <f>SUM(K110:N110)</f>
        <v>1804.9315068493152</v>
      </c>
      <c r="P110" s="620">
        <f>1800/365*90</f>
        <v>443.83561643835617</v>
      </c>
      <c r="Q110" s="620">
        <f>1800/365*91</f>
        <v>448.76712328767127</v>
      </c>
      <c r="R110" s="620">
        <f>1800/365*92</f>
        <v>453.69863013698631</v>
      </c>
      <c r="S110" s="620">
        <f>1800/365*92</f>
        <v>453.69863013698631</v>
      </c>
      <c r="T110" s="97">
        <f>SUM(P110:S110)</f>
        <v>1800.0000000000002</v>
      </c>
      <c r="U110" s="620">
        <f>1800/365*90</f>
        <v>443.83561643835617</v>
      </c>
      <c r="V110" s="620">
        <f>1800/365*91</f>
        <v>448.76712328767127</v>
      </c>
      <c r="W110" s="620">
        <f>1800/365*92</f>
        <v>453.69863013698631</v>
      </c>
      <c r="X110" s="620">
        <f>1800/365*92</f>
        <v>453.69863013698631</v>
      </c>
      <c r="Y110" s="97">
        <f>SUM(U110:X110)</f>
        <v>1800.0000000000002</v>
      </c>
      <c r="Z110" s="620">
        <f>1800/365*90</f>
        <v>443.83561643835617</v>
      </c>
      <c r="AA110" s="620">
        <f>1800/365*91</f>
        <v>448.76712328767127</v>
      </c>
      <c r="AB110" s="620">
        <f>2800/365*92</f>
        <v>705.7534246575342</v>
      </c>
      <c r="AC110" s="620">
        <f>2800/365*92</f>
        <v>705.7534246575342</v>
      </c>
      <c r="AD110" s="97">
        <f>SUM(Z110:AC110)</f>
        <v>2304.1095890410961</v>
      </c>
      <c r="AE110" s="620">
        <f>2800/365*91</f>
        <v>698.08219178082186</v>
      </c>
      <c r="AF110" s="620">
        <f>2800/365*91</f>
        <v>698.08219178082186</v>
      </c>
      <c r="AG110" s="620">
        <f>2800/365*92</f>
        <v>705.7534246575342</v>
      </c>
      <c r="AH110" s="620">
        <f>2800/365*92</f>
        <v>705.7534246575342</v>
      </c>
      <c r="AI110" s="97">
        <f>SUM(AE110:AH110)</f>
        <v>2807.6712328767121</v>
      </c>
      <c r="AJ110" s="967">
        <f>2800/365*90</f>
        <v>690.41095890410952</v>
      </c>
      <c r="AK110" s="968">
        <f>2800/365*91</f>
        <v>698.08219178082186</v>
      </c>
      <c r="AL110" s="968">
        <f>2800/365*92</f>
        <v>705.7534246575342</v>
      </c>
      <c r="AM110" s="969">
        <f>2800/365*92</f>
        <v>705.7534246575342</v>
      </c>
      <c r="AN110" s="97">
        <f>SUM(AJ110:AM110)</f>
        <v>2800</v>
      </c>
      <c r="AO110" s="967">
        <f>2800/365*90</f>
        <v>690.41095890410952</v>
      </c>
      <c r="AP110" s="968">
        <f>2800/365*91</f>
        <v>698.08219178082186</v>
      </c>
      <c r="AQ110" s="968">
        <f>2800/365*92</f>
        <v>705.7534246575342</v>
      </c>
      <c r="AR110" s="969">
        <f>2800/365*92</f>
        <v>705.7534246575342</v>
      </c>
      <c r="AS110" s="97">
        <f>SUM(AO110:AR110)</f>
        <v>2800</v>
      </c>
      <c r="AT110" s="967">
        <f>2800/365*90</f>
        <v>690.41095890410952</v>
      </c>
      <c r="AU110" s="968">
        <f>2800/365*91</f>
        <v>698.08219178082186</v>
      </c>
      <c r="AV110" s="968">
        <f>2800/365*91</f>
        <v>698.08219178082186</v>
      </c>
      <c r="AW110" s="969">
        <f>2800/365*92</f>
        <v>705.7534246575342</v>
      </c>
      <c r="AX110" s="97">
        <f>SUM(AT110:AW110)</f>
        <v>2792.3287671232874</v>
      </c>
      <c r="AY110" s="967">
        <f>2800/365*91</f>
        <v>698.08219178082186</v>
      </c>
      <c r="AZ110" s="968">
        <f>2800/365*91</f>
        <v>698.08219178082186</v>
      </c>
      <c r="BA110" s="968">
        <f>2800/365*92</f>
        <v>705.7534246575342</v>
      </c>
      <c r="BB110" s="969">
        <f>2800/365*92</f>
        <v>705.7534246575342</v>
      </c>
      <c r="BC110" s="97">
        <f>SUM(AY110:BB110)</f>
        <v>2807.6712328767121</v>
      </c>
      <c r="BD110" s="967">
        <f>2800/365*91</f>
        <v>698.08219178082186</v>
      </c>
      <c r="BE110" s="968">
        <f>2800/365*92</f>
        <v>705.7534246575342</v>
      </c>
      <c r="BF110" s="968">
        <f>2800/365*92</f>
        <v>705.7534246575342</v>
      </c>
      <c r="BG110" s="969">
        <f>2800/365*92</f>
        <v>705.7534246575342</v>
      </c>
      <c r="BH110" s="97">
        <f>SUM(BD110:BG110)</f>
        <v>2815.3424657534242</v>
      </c>
      <c r="BI110" s="967">
        <f>2800/365*92</f>
        <v>705.7534246575342</v>
      </c>
      <c r="BJ110" s="968">
        <f>2800/365*92</f>
        <v>705.7534246575342</v>
      </c>
      <c r="BK110" s="1020">
        <v>610</v>
      </c>
      <c r="BL110" s="1041">
        <v>566</v>
      </c>
      <c r="BM110" s="97">
        <f>SUM(BI110:BL110)</f>
        <v>2587.5068493150684</v>
      </c>
      <c r="BN110" s="967">
        <f>2800/4</f>
        <v>700</v>
      </c>
      <c r="BO110" s="968">
        <f>2800/4</f>
        <v>700</v>
      </c>
      <c r="BP110" s="968">
        <f>2800/4</f>
        <v>700</v>
      </c>
      <c r="BQ110" s="969">
        <f>2800/4</f>
        <v>700</v>
      </c>
      <c r="BR110" s="97">
        <f>SUM(BN110:BQ110)</f>
        <v>2800</v>
      </c>
      <c r="BS110" s="967">
        <f>2800/4</f>
        <v>700</v>
      </c>
      <c r="BT110" s="968">
        <f>2800/4</f>
        <v>700</v>
      </c>
      <c r="BU110" s="968">
        <f>2800/4</f>
        <v>700</v>
      </c>
      <c r="BV110" s="969">
        <f>2800/4</f>
        <v>700</v>
      </c>
      <c r="BW110" s="97">
        <f>SUM(BS110:BV110)</f>
        <v>2800</v>
      </c>
      <c r="BX110" s="967">
        <f>2800/4</f>
        <v>700</v>
      </c>
      <c r="BY110" s="968">
        <f>2800/4</f>
        <v>700</v>
      </c>
      <c r="BZ110" s="968">
        <f>2800/4</f>
        <v>700</v>
      </c>
      <c r="CA110" s="969">
        <f>2800/4</f>
        <v>700</v>
      </c>
      <c r="CB110" s="97">
        <f>SUM(BX110:CA110)</f>
        <v>2800</v>
      </c>
      <c r="CC110" s="1105">
        <f>2800/4</f>
        <v>700</v>
      </c>
      <c r="CD110" s="1108">
        <f>2800/4</f>
        <v>700</v>
      </c>
      <c r="CE110" s="1108">
        <f>2800/4</f>
        <v>700</v>
      </c>
      <c r="CF110" s="1091">
        <f>2800/4</f>
        <v>700</v>
      </c>
      <c r="CG110" s="1484">
        <f>SUM(CC110:CF110)</f>
        <v>2800</v>
      </c>
      <c r="CH110" s="1105">
        <f>2800/4</f>
        <v>700</v>
      </c>
      <c r="CI110" s="1108">
        <f>2800/4</f>
        <v>700</v>
      </c>
      <c r="CJ110" s="1108">
        <f>2800/4</f>
        <v>700</v>
      </c>
      <c r="CK110" s="1091">
        <f>2800/4</f>
        <v>700</v>
      </c>
      <c r="CL110" s="97">
        <f>SUM(CH110:CK110)</f>
        <v>2800</v>
      </c>
      <c r="CM110" s="1105">
        <f>2800/4</f>
        <v>700</v>
      </c>
      <c r="CN110" s="1108">
        <f>2800/4</f>
        <v>700</v>
      </c>
      <c r="CO110" s="1108">
        <f>2800/4</f>
        <v>700</v>
      </c>
      <c r="CP110" s="1091">
        <f>2800/4</f>
        <v>700</v>
      </c>
      <c r="CQ110" s="290">
        <f>SUM(CM110:CP110)</f>
        <v>2800</v>
      </c>
    </row>
    <row r="111" spans="1:99" ht="13.5" customHeight="1">
      <c r="A111" s="76"/>
      <c r="B111" s="75" t="s">
        <v>698</v>
      </c>
      <c r="C111" s="93"/>
      <c r="D111" s="288">
        <f t="shared" ref="D111:AI111" si="193">D100/D110</f>
        <v>0.56777777777777783</v>
      </c>
      <c r="E111" s="288">
        <f t="shared" si="193"/>
        <v>0.42944444444444446</v>
      </c>
      <c r="F111" s="288">
        <f t="shared" si="193"/>
        <v>0.46413580246913577</v>
      </c>
      <c r="G111" s="288">
        <f t="shared" si="193"/>
        <v>0.47017704517704512</v>
      </c>
      <c r="H111" s="288">
        <f t="shared" si="193"/>
        <v>0.50914855072463772</v>
      </c>
      <c r="I111" s="288">
        <f t="shared" si="193"/>
        <v>0.51576086956521738</v>
      </c>
      <c r="J111" s="288">
        <f t="shared" si="193"/>
        <v>0.48999999999999994</v>
      </c>
      <c r="K111" s="288">
        <f t="shared" si="193"/>
        <v>0.60610500610500606</v>
      </c>
      <c r="L111" s="288">
        <f t="shared" si="193"/>
        <v>0.5994200244200244</v>
      </c>
      <c r="M111" s="288">
        <f t="shared" si="193"/>
        <v>0.58629227053140098</v>
      </c>
      <c r="N111" s="288">
        <f t="shared" si="193"/>
        <v>0.62817028985507251</v>
      </c>
      <c r="O111" s="288">
        <f t="shared" si="193"/>
        <v>0.60500910746812386</v>
      </c>
      <c r="P111" s="288">
        <f t="shared" si="193"/>
        <v>0.68268518518518517</v>
      </c>
      <c r="Q111" s="288">
        <f t="shared" si="193"/>
        <v>0.66181318681318679</v>
      </c>
      <c r="R111" s="288">
        <f t="shared" si="193"/>
        <v>0.5818840579710145</v>
      </c>
      <c r="S111" s="288">
        <f t="shared" si="193"/>
        <v>0.64359903381642514</v>
      </c>
      <c r="T111" s="288">
        <f t="shared" si="193"/>
        <v>0.64222222222222214</v>
      </c>
      <c r="U111" s="288">
        <f t="shared" si="193"/>
        <v>0.71873456790123458</v>
      </c>
      <c r="V111" s="288">
        <f t="shared" si="193"/>
        <v>0.66404151404151401</v>
      </c>
      <c r="W111" s="288">
        <f t="shared" si="193"/>
        <v>0.66784420289855073</v>
      </c>
      <c r="X111" s="288">
        <f t="shared" si="193"/>
        <v>0.59731280193236713</v>
      </c>
      <c r="Y111" s="288">
        <f t="shared" si="193"/>
        <v>0.66166666666666663</v>
      </c>
      <c r="Z111" s="288">
        <f t="shared" si="193"/>
        <v>0.55651234567901231</v>
      </c>
      <c r="AA111" s="288">
        <f t="shared" si="193"/>
        <v>0.64398656898656892</v>
      </c>
      <c r="AB111" s="288">
        <f t="shared" si="193"/>
        <v>0.67020574534161492</v>
      </c>
      <c r="AC111" s="288">
        <f t="shared" si="193"/>
        <v>0.6050271739130435</v>
      </c>
      <c r="AD111" s="288">
        <f t="shared" si="193"/>
        <v>0.62323424494649216</v>
      </c>
      <c r="AE111" s="288">
        <f t="shared" si="193"/>
        <v>0.62027080062794349</v>
      </c>
      <c r="AF111" s="288">
        <f t="shared" si="193"/>
        <v>0.71624803767660916</v>
      </c>
      <c r="AG111" s="288">
        <f t="shared" si="193"/>
        <v>0.73538431677018634</v>
      </c>
      <c r="AH111" s="288">
        <f t="shared" si="193"/>
        <v>0.70846273291925466</v>
      </c>
      <c r="AI111" s="288">
        <f t="shared" si="193"/>
        <v>0.69523809523809532</v>
      </c>
      <c r="AJ111" s="970">
        <f t="shared" ref="AJ111:BO111" si="194">AJ100/AJ110</f>
        <v>0.29982142857142863</v>
      </c>
      <c r="AK111" s="288">
        <f t="shared" si="194"/>
        <v>0.13178963893249609</v>
      </c>
      <c r="AL111" s="288">
        <f t="shared" si="194"/>
        <v>0.21395574534161493</v>
      </c>
      <c r="AM111" s="971">
        <f t="shared" si="194"/>
        <v>0.29330357142857144</v>
      </c>
      <c r="AN111" s="288">
        <f t="shared" si="194"/>
        <v>0.23464285714285715</v>
      </c>
      <c r="AO111" s="970">
        <f t="shared" si="194"/>
        <v>0.44900793650793658</v>
      </c>
      <c r="AP111" s="288">
        <f t="shared" si="194"/>
        <v>0.62027080062794349</v>
      </c>
      <c r="AQ111" s="288">
        <f t="shared" si="194"/>
        <v>0.59794254658385093</v>
      </c>
      <c r="AR111" s="971">
        <f t="shared" si="194"/>
        <v>0.54693322981366466</v>
      </c>
      <c r="AS111" s="288">
        <f t="shared" si="194"/>
        <v>0.55392857142857144</v>
      </c>
      <c r="AT111" s="970">
        <f t="shared" si="194"/>
        <v>0.61557539682539686</v>
      </c>
      <c r="AU111" s="288">
        <f t="shared" si="194"/>
        <v>0.60737833594976454</v>
      </c>
      <c r="AV111" s="288">
        <f t="shared" si="194"/>
        <v>0.68903061224489803</v>
      </c>
      <c r="AW111" s="971">
        <f t="shared" si="194"/>
        <v>0.68295807453416157</v>
      </c>
      <c r="AX111" s="288">
        <f t="shared" si="194"/>
        <v>0.64892072213500795</v>
      </c>
      <c r="AY111" s="970">
        <f t="shared" si="194"/>
        <v>0.75779042386185247</v>
      </c>
      <c r="AZ111" s="288">
        <f t="shared" si="194"/>
        <v>0.70622056514913667</v>
      </c>
      <c r="BA111" s="288">
        <f t="shared" si="194"/>
        <v>0.64753493788819882</v>
      </c>
      <c r="BB111" s="971">
        <f t="shared" si="194"/>
        <v>0.57668866459627333</v>
      </c>
      <c r="BC111" s="288">
        <f t="shared" si="194"/>
        <v>0.67173106947697114</v>
      </c>
      <c r="BD111" s="970">
        <f t="shared" si="194"/>
        <v>0.61310832025117745</v>
      </c>
      <c r="BE111" s="288">
        <f t="shared" si="194"/>
        <v>0.64611801242236033</v>
      </c>
      <c r="BF111" s="288">
        <f t="shared" si="194"/>
        <v>0.65036878881987581</v>
      </c>
      <c r="BG111" s="971">
        <f t="shared" si="194"/>
        <v>0.58660714285714288</v>
      </c>
      <c r="BH111" s="288">
        <f t="shared" si="194"/>
        <v>0.62408038147138978</v>
      </c>
      <c r="BI111" s="970">
        <f t="shared" si="194"/>
        <v>0.59369177018633545</v>
      </c>
      <c r="BJ111" s="288">
        <f t="shared" si="194"/>
        <v>0.63619953416149078</v>
      </c>
      <c r="BK111" s="288">
        <f t="shared" si="194"/>
        <v>0.70163934426229513</v>
      </c>
      <c r="BL111" s="971">
        <f t="shared" si="194"/>
        <v>0.79151943462897523</v>
      </c>
      <c r="BM111" s="288">
        <f t="shared" si="194"/>
        <v>0.67400787768413029</v>
      </c>
      <c r="BN111" s="970">
        <f t="shared" si="194"/>
        <v>0.31428571428571428</v>
      </c>
      <c r="BO111" s="288">
        <f t="shared" si="194"/>
        <v>0.13142857142857142</v>
      </c>
      <c r="BP111" s="288">
        <f t="shared" ref="BP111:CQ111" si="195">BP100/BP110</f>
        <v>0.22</v>
      </c>
      <c r="BQ111" s="971">
        <f t="shared" si="195"/>
        <v>0.18142857142857144</v>
      </c>
      <c r="BR111" s="288">
        <f t="shared" si="195"/>
        <v>0.2117857142857143</v>
      </c>
      <c r="BS111" s="970">
        <f t="shared" si="195"/>
        <v>0.12714285714285714</v>
      </c>
      <c r="BT111" s="288">
        <f t="shared" si="195"/>
        <v>0.1</v>
      </c>
      <c r="BU111" s="288">
        <f t="shared" si="195"/>
        <v>0.14714285714285713</v>
      </c>
      <c r="BV111" s="971">
        <f t="shared" si="195"/>
        <v>0.19714285714285715</v>
      </c>
      <c r="BW111" s="288">
        <f t="shared" si="195"/>
        <v>0.14285714285714285</v>
      </c>
      <c r="BX111" s="970">
        <f t="shared" si="195"/>
        <v>0.20571428571428571</v>
      </c>
      <c r="BY111" s="288">
        <f t="shared" si="195"/>
        <v>0.25714285714285712</v>
      </c>
      <c r="BZ111" s="288">
        <f t="shared" si="195"/>
        <v>0.26428571428571429</v>
      </c>
      <c r="CA111" s="971">
        <f t="shared" si="195"/>
        <v>0.25571428571428573</v>
      </c>
      <c r="CB111" s="288">
        <f t="shared" si="195"/>
        <v>0.24571428571428572</v>
      </c>
      <c r="CC111" s="970">
        <f t="shared" si="195"/>
        <v>0.21600000000000003</v>
      </c>
      <c r="CD111" s="288">
        <f t="shared" si="195"/>
        <v>0.30857142857142855</v>
      </c>
      <c r="CE111" s="288">
        <f t="shared" si="195"/>
        <v>0.31714285714285712</v>
      </c>
      <c r="CF111" s="971">
        <f t="shared" si="195"/>
        <v>0.26850000000000002</v>
      </c>
      <c r="CG111" s="1478">
        <f t="shared" si="195"/>
        <v>0.27755357142857146</v>
      </c>
      <c r="CH111" s="970">
        <f t="shared" si="195"/>
        <v>0.22248000000000004</v>
      </c>
      <c r="CI111" s="288">
        <f t="shared" si="195"/>
        <v>0.31782857142857146</v>
      </c>
      <c r="CJ111" s="288">
        <f t="shared" si="195"/>
        <v>0.32665714285714287</v>
      </c>
      <c r="CK111" s="971">
        <f t="shared" si="195"/>
        <v>0.276555</v>
      </c>
      <c r="CL111" s="288">
        <f t="shared" si="195"/>
        <v>0.28588017857142861</v>
      </c>
      <c r="CM111" s="970">
        <f t="shared" si="195"/>
        <v>0.22915440000000001</v>
      </c>
      <c r="CN111" s="288">
        <f t="shared" si="195"/>
        <v>0.32736342857142864</v>
      </c>
      <c r="CO111" s="288">
        <f t="shared" si="195"/>
        <v>0.33645685714285717</v>
      </c>
      <c r="CP111" s="971">
        <f t="shared" si="195"/>
        <v>0.28485165000000001</v>
      </c>
      <c r="CQ111" s="288">
        <f t="shared" si="195"/>
        <v>0.29445658392857149</v>
      </c>
    </row>
    <row r="112" spans="1:99" ht="6.2" customHeight="1">
      <c r="A112" s="75"/>
      <c r="B112" s="75"/>
      <c r="C112" s="81"/>
      <c r="D112" s="88"/>
      <c r="E112" s="88"/>
      <c r="F112" s="88"/>
      <c r="G112" s="88"/>
      <c r="H112" s="88"/>
      <c r="I112" s="88"/>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c r="AG112" s="89"/>
      <c r="AH112" s="89"/>
      <c r="AI112" s="89"/>
      <c r="AJ112" s="906"/>
      <c r="AK112" s="907"/>
      <c r="AL112" s="907"/>
      <c r="AM112" s="908"/>
      <c r="AN112" s="89"/>
      <c r="AO112" s="906"/>
      <c r="AP112" s="907"/>
      <c r="AQ112" s="907"/>
      <c r="AR112" s="908"/>
      <c r="AS112" s="89"/>
      <c r="AT112" s="906"/>
      <c r="AU112" s="907"/>
      <c r="AV112" s="907"/>
      <c r="AW112" s="908"/>
      <c r="AX112" s="89"/>
      <c r="AY112" s="906"/>
      <c r="AZ112" s="907"/>
      <c r="BA112" s="907"/>
      <c r="BB112" s="908"/>
      <c r="BC112" s="89"/>
      <c r="BD112" s="906"/>
      <c r="BE112" s="907"/>
      <c r="BF112" s="907"/>
      <c r="BG112" s="908"/>
      <c r="BH112" s="89"/>
      <c r="BI112" s="906"/>
      <c r="BJ112" s="907"/>
      <c r="BK112" s="907"/>
      <c r="BL112" s="908"/>
      <c r="BM112" s="89"/>
      <c r="BN112" s="906"/>
      <c r="BO112" s="907"/>
      <c r="BP112" s="907"/>
      <c r="BQ112" s="908"/>
      <c r="BR112" s="89"/>
      <c r="BS112" s="906"/>
      <c r="BT112" s="907"/>
      <c r="BU112" s="907"/>
      <c r="BV112" s="908"/>
      <c r="BW112" s="89"/>
      <c r="BX112" s="906"/>
      <c r="BY112" s="907"/>
      <c r="BZ112" s="907"/>
      <c r="CA112" s="908"/>
      <c r="CB112" s="89"/>
      <c r="CC112" s="906"/>
      <c r="CD112" s="907"/>
      <c r="CE112" s="907"/>
      <c r="CF112" s="908"/>
      <c r="CG112" s="1471"/>
      <c r="CH112" s="906"/>
      <c r="CI112" s="907"/>
      <c r="CJ112" s="907"/>
      <c r="CK112" s="908"/>
      <c r="CL112" s="89"/>
      <c r="CM112" s="906"/>
      <c r="CN112" s="907"/>
      <c r="CO112" s="907"/>
      <c r="CP112" s="908"/>
      <c r="CQ112" s="907"/>
      <c r="CR112" s="1459"/>
      <c r="CS112" s="90"/>
      <c r="CT112" s="90"/>
      <c r="CU112" s="75"/>
    </row>
    <row r="113" spans="1:105" ht="13.5" customHeight="1">
      <c r="B113" s="83" t="s">
        <v>991</v>
      </c>
      <c r="C113" s="76"/>
      <c r="D113" s="123"/>
      <c r="E113" s="123"/>
      <c r="F113" s="123">
        <f>Financials!F11</f>
        <v>136</v>
      </c>
      <c r="G113" s="123">
        <f>Financials!G11</f>
        <v>140</v>
      </c>
      <c r="H113" s="123">
        <f>Financials!H11</f>
        <v>149</v>
      </c>
      <c r="I113" s="123">
        <f>Financials!I11</f>
        <v>148</v>
      </c>
      <c r="J113" s="123">
        <f>Financials!J11</f>
        <v>573</v>
      </c>
      <c r="K113" s="123">
        <f>Financials!K11</f>
        <v>190</v>
      </c>
      <c r="L113" s="123">
        <f>Financials!L11</f>
        <v>198</v>
      </c>
      <c r="M113" s="123">
        <f>Financials!M11</f>
        <v>246</v>
      </c>
      <c r="N113" s="123">
        <f>Financials!N11</f>
        <v>314</v>
      </c>
      <c r="O113" s="123">
        <f>Financials!O11</f>
        <v>948</v>
      </c>
      <c r="P113" s="123">
        <f>Financials!P11</f>
        <v>357</v>
      </c>
      <c r="Q113" s="123">
        <f>Financials!Q11</f>
        <v>396</v>
      </c>
      <c r="R113" s="123">
        <f>Financials!R11</f>
        <v>368</v>
      </c>
      <c r="S113" s="123">
        <f>Financials!S11</f>
        <v>425</v>
      </c>
      <c r="T113" s="123">
        <f>Financials!T11</f>
        <v>1546</v>
      </c>
      <c r="U113" s="668">
        <v>485</v>
      </c>
      <c r="V113" s="668">
        <v>444</v>
      </c>
      <c r="W113" s="668">
        <v>455</v>
      </c>
      <c r="X113" s="123">
        <f>Y113-W113-V113-U113</f>
        <v>414</v>
      </c>
      <c r="Y113" s="668">
        <v>1798</v>
      </c>
      <c r="Z113" s="668">
        <v>356</v>
      </c>
      <c r="AA113" s="668">
        <v>405</v>
      </c>
      <c r="AB113" s="668">
        <v>637</v>
      </c>
      <c r="AC113" s="668">
        <v>587</v>
      </c>
      <c r="AD113" s="123">
        <f>SUM(Z113:AC113)</f>
        <v>1985</v>
      </c>
      <c r="AE113" s="668">
        <v>621</v>
      </c>
      <c r="AF113" s="668">
        <v>912</v>
      </c>
      <c r="AG113" s="668">
        <v>1333</v>
      </c>
      <c r="AH113" s="668">
        <v>1386</v>
      </c>
      <c r="AI113" s="123">
        <f>AI114+AI115</f>
        <v>4252</v>
      </c>
      <c r="AJ113" s="936">
        <v>515</v>
      </c>
      <c r="AK113" s="937">
        <v>157</v>
      </c>
      <c r="AL113" s="937">
        <v>234</v>
      </c>
      <c r="AM113" s="938">
        <v>310</v>
      </c>
      <c r="AN113" s="123">
        <f>AN114+AN115</f>
        <v>1216</v>
      </c>
      <c r="AO113" s="936">
        <v>445</v>
      </c>
      <c r="AP113" s="937">
        <v>679</v>
      </c>
      <c r="AQ113" s="937">
        <v>680</v>
      </c>
      <c r="AR113" s="938">
        <v>599</v>
      </c>
      <c r="AS113" s="123">
        <f>AS114+AS115</f>
        <v>2402.9999999999995</v>
      </c>
      <c r="AT113" s="936">
        <v>642</v>
      </c>
      <c r="AU113" s="937">
        <v>695</v>
      </c>
      <c r="AV113" s="1018">
        <v>846</v>
      </c>
      <c r="AW113" s="938">
        <v>851</v>
      </c>
      <c r="AX113" s="123">
        <f>AX114+AX115</f>
        <v>3034</v>
      </c>
      <c r="AY113" s="936">
        <v>946</v>
      </c>
      <c r="AZ113" s="1018">
        <v>871</v>
      </c>
      <c r="BA113" s="937">
        <v>787</v>
      </c>
      <c r="BB113" s="938">
        <v>679</v>
      </c>
      <c r="BC113" s="123">
        <f>BC114+BC115</f>
        <v>3283</v>
      </c>
      <c r="BD113" s="936">
        <v>686</v>
      </c>
      <c r="BE113" s="937">
        <v>709</v>
      </c>
      <c r="BF113" s="937">
        <v>731</v>
      </c>
      <c r="BG113" s="938">
        <v>646</v>
      </c>
      <c r="BH113" s="123">
        <f>BH114+BH115</f>
        <v>2772</v>
      </c>
      <c r="BI113" s="1040">
        <v>643</v>
      </c>
      <c r="BJ113" s="1018">
        <v>686</v>
      </c>
      <c r="BK113" s="1018">
        <v>700</v>
      </c>
      <c r="BL113" s="938">
        <v>743</v>
      </c>
      <c r="BM113" s="123">
        <f>BM114+BM115</f>
        <v>2772</v>
      </c>
      <c r="BN113" s="936">
        <v>371</v>
      </c>
      <c r="BO113" s="1018">
        <v>160</v>
      </c>
      <c r="BP113" s="1018">
        <v>199</v>
      </c>
      <c r="BQ113" s="938">
        <f>898-SUM(BN113:BP113)</f>
        <v>168</v>
      </c>
      <c r="BR113" s="123">
        <f>BR114+BR115</f>
        <v>898</v>
      </c>
      <c r="BS113" s="936">
        <v>108</v>
      </c>
      <c r="BT113" s="937">
        <v>83</v>
      </c>
      <c r="BU113" s="937">
        <v>114</v>
      </c>
      <c r="BV113" s="938">
        <v>145</v>
      </c>
      <c r="BW113" s="123">
        <f>BW114+BW115</f>
        <v>450</v>
      </c>
      <c r="BX113" s="936">
        <v>171</v>
      </c>
      <c r="BY113" s="937">
        <v>234</v>
      </c>
      <c r="BZ113" s="937">
        <v>276</v>
      </c>
      <c r="CA113" s="938">
        <v>264</v>
      </c>
      <c r="CB113" s="123">
        <f>SUM(BX113:CA113)</f>
        <v>945</v>
      </c>
      <c r="CC113" s="972">
        <f>+CC114+CC115</f>
        <v>232.61791356800001</v>
      </c>
      <c r="CD113" s="282">
        <f>+CD114+CD115</f>
        <v>355.15913191999994</v>
      </c>
      <c r="CE113" s="282">
        <f>+CE114+CE115</f>
        <v>376.23134382000006</v>
      </c>
      <c r="CF113" s="973">
        <f>+CF114+CF115</f>
        <v>317.06530914600006</v>
      </c>
      <c r="CG113" s="1483">
        <f>SUM(CC113:CF113)</f>
        <v>1281.0736984540001</v>
      </c>
      <c r="CH113" s="972">
        <f>+CH114+CH115</f>
        <v>239.22145097504003</v>
      </c>
      <c r="CI113" s="282">
        <f>+CI114+CI115</f>
        <v>365.43890587760001</v>
      </c>
      <c r="CJ113" s="282">
        <f>+CJ114+CJ115</f>
        <v>387.14328413460009</v>
      </c>
      <c r="CK113" s="973">
        <f>+CK114+CK115</f>
        <v>326.20226842038005</v>
      </c>
      <c r="CL113" s="123">
        <f>SUM(CH113:CK113)</f>
        <v>1318.00590940762</v>
      </c>
      <c r="CM113" s="972">
        <f>+CM114+CM115</f>
        <v>246.02309450429121</v>
      </c>
      <c r="CN113" s="282">
        <f>+CN114+CN115</f>
        <v>376.02707305392801</v>
      </c>
      <c r="CO113" s="282">
        <f>+CO114+CO115</f>
        <v>398.38258265863806</v>
      </c>
      <c r="CP113" s="973">
        <f>+CP114+CP115</f>
        <v>335.61333647299142</v>
      </c>
      <c r="CQ113" s="282">
        <f>SUM(CM113:CP113)</f>
        <v>1356.0460866898486</v>
      </c>
    </row>
    <row r="114" spans="1:105" ht="13.5" customHeight="1">
      <c r="A114" s="75"/>
      <c r="B114" s="93" t="s">
        <v>920</v>
      </c>
      <c r="C114" s="75"/>
      <c r="D114" s="123">
        <f>D113</f>
        <v>0</v>
      </c>
      <c r="E114" s="123">
        <f t="shared" ref="E114:X114" si="196">E113-E115</f>
        <v>503.22300000000001</v>
      </c>
      <c r="F114" s="123">
        <f t="shared" si="196"/>
        <v>131.428</v>
      </c>
      <c r="G114" s="123">
        <f t="shared" si="196"/>
        <v>135.88399999999999</v>
      </c>
      <c r="H114" s="123">
        <f t="shared" si="196"/>
        <v>144.375</v>
      </c>
      <c r="I114" s="123">
        <f t="shared" si="196"/>
        <v>143.97300000000001</v>
      </c>
      <c r="J114" s="123">
        <f t="shared" si="196"/>
        <v>555.66</v>
      </c>
      <c r="K114" s="123">
        <f t="shared" si="196"/>
        <v>182.78399999999999</v>
      </c>
      <c r="L114" s="123">
        <f t="shared" si="196"/>
        <v>209.55099999999999</v>
      </c>
      <c r="M114" s="123">
        <f t="shared" si="196"/>
        <v>241.262</v>
      </c>
      <c r="N114" s="123">
        <f t="shared" si="196"/>
        <v>308.79899999999998</v>
      </c>
      <c r="O114" s="123">
        <f t="shared" si="196"/>
        <v>942.39599999999996</v>
      </c>
      <c r="P114" s="123">
        <f t="shared" si="196"/>
        <v>352.995</v>
      </c>
      <c r="Q114" s="123">
        <f t="shared" si="196"/>
        <v>386.69400000000002</v>
      </c>
      <c r="R114" s="123">
        <f t="shared" si="196"/>
        <v>367.75200000000001</v>
      </c>
      <c r="S114" s="123">
        <f t="shared" si="196"/>
        <v>425.41500000000002</v>
      </c>
      <c r="T114" s="123">
        <f t="shared" si="196"/>
        <v>1532.856</v>
      </c>
      <c r="U114" s="123">
        <f t="shared" si="196"/>
        <v>480.41399999999999</v>
      </c>
      <c r="V114" s="123">
        <f t="shared" si="196"/>
        <v>440.74200000000002</v>
      </c>
      <c r="W114" s="123">
        <f t="shared" si="196"/>
        <v>451.77300000000002</v>
      </c>
      <c r="X114" s="123">
        <f t="shared" si="196"/>
        <v>412.733</v>
      </c>
      <c r="Y114" s="123">
        <f>SUM(U114:X114)</f>
        <v>1785.662</v>
      </c>
      <c r="Z114" s="123">
        <f>Z113-Z115</f>
        <v>354.44499999999999</v>
      </c>
      <c r="AA114" s="123">
        <f>AA113-AA115</f>
        <v>401.42099999999999</v>
      </c>
      <c r="AB114" s="123">
        <f>AB113-AB115</f>
        <v>606.38599999999997</v>
      </c>
      <c r="AC114" s="123">
        <f>AC113-AC115</f>
        <v>554.673</v>
      </c>
      <c r="AD114" s="123">
        <f>SUM(Z114:AC114)</f>
        <v>1916.925</v>
      </c>
      <c r="AE114" s="123">
        <f>AE113-AE115</f>
        <v>561.601</v>
      </c>
      <c r="AF114" s="123">
        <f>AF113-AF115</f>
        <v>845</v>
      </c>
      <c r="AG114" s="123">
        <f>AG113-AG115</f>
        <v>1240.4100000000001</v>
      </c>
      <c r="AH114" s="123">
        <f>AH113-AH115</f>
        <v>1337.5</v>
      </c>
      <c r="AI114" s="123">
        <f>SUM(AE114:AH114)</f>
        <v>3984.5110000000004</v>
      </c>
      <c r="AJ114" s="972">
        <f>AJ113-AJ115</f>
        <v>487.07100000000003</v>
      </c>
      <c r="AK114" s="282">
        <f>AK113-AK115</f>
        <v>140.392</v>
      </c>
      <c r="AL114" s="282">
        <f>AL113-AL115</f>
        <v>222.57400000000001</v>
      </c>
      <c r="AM114" s="973">
        <f>AM113-AM115</f>
        <v>302.63400000000001</v>
      </c>
      <c r="AN114" s="123">
        <f>SUM(AJ114:AM114)</f>
        <v>1152.671</v>
      </c>
      <c r="AO114" s="972">
        <f>AO113-AO115</f>
        <v>430.59</v>
      </c>
      <c r="AP114" s="282">
        <f>AP113-AP115</f>
        <v>647.76800000000003</v>
      </c>
      <c r="AQ114" s="282">
        <f>AQ113-AQ115</f>
        <v>657.89800000000002</v>
      </c>
      <c r="AR114" s="973">
        <f>AR113-AR115</f>
        <v>580.54399999999998</v>
      </c>
      <c r="AS114" s="123">
        <f>SUM(AO114:AR114)</f>
        <v>2316.7999999999997</v>
      </c>
      <c r="AT114" s="972">
        <f>AT113-AT115</f>
        <v>614.97500000000002</v>
      </c>
      <c r="AU114" s="282">
        <f>AU113-AU115</f>
        <v>663.56</v>
      </c>
      <c r="AV114" s="282">
        <f>AV113-AV115</f>
        <v>817.21900000000005</v>
      </c>
      <c r="AW114" s="973">
        <f>AW113-AW115</f>
        <v>824.702</v>
      </c>
      <c r="AX114" s="123">
        <f>SUM(AT114:AW114)</f>
        <v>2920.4560000000001</v>
      </c>
      <c r="AY114" s="972">
        <f>AY113-AY115</f>
        <v>913.58299999999997</v>
      </c>
      <c r="AZ114" s="282">
        <f>AZ113-AZ115</f>
        <v>841.05799999999999</v>
      </c>
      <c r="BA114" s="282">
        <f>BA113-BA115</f>
        <v>765.93200000000002</v>
      </c>
      <c r="BB114" s="973">
        <f>BB113-BB115</f>
        <v>660.96799999999996</v>
      </c>
      <c r="BC114" s="123">
        <f>SUM(AY114:BB114)</f>
        <v>3181.5410000000002</v>
      </c>
      <c r="BD114" s="972">
        <f>BD113-BD115</f>
        <v>665.96799999999996</v>
      </c>
      <c r="BE114" s="282">
        <f>BE113-BE115</f>
        <v>688.56</v>
      </c>
      <c r="BF114" s="282">
        <f>BF113-BF115</f>
        <v>708.23699999999997</v>
      </c>
      <c r="BG114" s="973">
        <f>BG113-BG115</f>
        <v>624.726</v>
      </c>
      <c r="BH114" s="123">
        <f>SUM(BD114:BG114)</f>
        <v>2687.491</v>
      </c>
      <c r="BI114" s="972">
        <f>BI113-BI115</f>
        <v>619.70100000000002</v>
      </c>
      <c r="BJ114" s="282">
        <f>BJ113-BJ115</f>
        <v>664.07100000000003</v>
      </c>
      <c r="BK114" s="282">
        <f>BK113-BK115</f>
        <v>670.67600000000004</v>
      </c>
      <c r="BL114" s="973">
        <f>BL113-BL115</f>
        <v>728</v>
      </c>
      <c r="BM114" s="123">
        <f>SUM(BI114:BL114)</f>
        <v>2682.4479999999999</v>
      </c>
      <c r="BN114" s="972">
        <f>BN113-BN115</f>
        <v>360.14</v>
      </c>
      <c r="BO114" s="282">
        <f>BO113-BO115</f>
        <v>151.892</v>
      </c>
      <c r="BP114" s="282">
        <f>BP113-BP115</f>
        <v>194.65600000000001</v>
      </c>
      <c r="BQ114" s="973">
        <f>BQ113-BQ115</f>
        <v>161.67099999999999</v>
      </c>
      <c r="BR114" s="123">
        <f>SUM(BN114:BQ114)</f>
        <v>868.35899999999992</v>
      </c>
      <c r="BS114" s="972">
        <f>BS113-BS115</f>
        <v>105.02</v>
      </c>
      <c r="BT114" s="282">
        <f>BT113-BT115</f>
        <v>73.5</v>
      </c>
      <c r="BU114" s="282">
        <f>BU113-BU115</f>
        <v>108.047</v>
      </c>
      <c r="BV114" s="973">
        <f>BV113-BV115</f>
        <v>141.726</v>
      </c>
      <c r="BW114" s="123">
        <f>SUM(BS114:BV114)</f>
        <v>428.29300000000001</v>
      </c>
      <c r="BX114" s="972">
        <f>BX113-BX115</f>
        <v>157.96799999999999</v>
      </c>
      <c r="BY114" s="282">
        <f>BY113-BY115</f>
        <v>222.12</v>
      </c>
      <c r="BZ114" s="282">
        <f>BZ113-BZ115</f>
        <v>265.10500000000002</v>
      </c>
      <c r="CA114" s="973">
        <f>CA113-CA115</f>
        <v>253.643</v>
      </c>
      <c r="CB114" s="123">
        <f>SUM(BX114:CA114)</f>
        <v>898.83600000000001</v>
      </c>
      <c r="CC114" s="972">
        <f>CC116*CC100/1000</f>
        <v>220.11791356800001</v>
      </c>
      <c r="CD114" s="282">
        <f>CD116*CD100/1000</f>
        <v>342.65913191999994</v>
      </c>
      <c r="CE114" s="282">
        <f>CE116*CE100/1000</f>
        <v>363.73134382000006</v>
      </c>
      <c r="CF114" s="973">
        <f>CF116*CF100/1000</f>
        <v>304.56530914600006</v>
      </c>
      <c r="CG114" s="1483">
        <f>SUM(CC114:CF114)</f>
        <v>1231.0736984540001</v>
      </c>
      <c r="CH114" s="972">
        <f>CH116*CH100/1000</f>
        <v>226.72145097504003</v>
      </c>
      <c r="CI114" s="282">
        <f>CI116*CI100/1000</f>
        <v>352.93890587760001</v>
      </c>
      <c r="CJ114" s="282">
        <f>CJ116*CJ100/1000</f>
        <v>374.64328413460009</v>
      </c>
      <c r="CK114" s="973">
        <f>CK116*CK100/1000</f>
        <v>313.70226842038005</v>
      </c>
      <c r="CL114" s="123">
        <f>SUM(CH114:CK114)</f>
        <v>1268.00590940762</v>
      </c>
      <c r="CM114" s="972">
        <f>CM116*CM100/1000</f>
        <v>233.52309450429121</v>
      </c>
      <c r="CN114" s="282">
        <f>CN116*CN100/1000</f>
        <v>363.52707305392801</v>
      </c>
      <c r="CO114" s="282">
        <f>CO116*CO100/1000</f>
        <v>385.88258265863806</v>
      </c>
      <c r="CP114" s="973">
        <f>CP116*CP100/1000</f>
        <v>323.11333647299142</v>
      </c>
      <c r="CQ114" s="282">
        <f>SUM(CM114:CP114)</f>
        <v>1306.0460866898486</v>
      </c>
    </row>
    <row r="115" spans="1:105" s="852" customFormat="1" ht="13.5" customHeight="1">
      <c r="A115" s="294"/>
      <c r="B115" s="81" t="s">
        <v>922</v>
      </c>
      <c r="C115" s="294"/>
      <c r="D115" s="97">
        <f t="shared" ref="D115:X115" si="197">D113-D116*D100/1000</f>
        <v>-700.07</v>
      </c>
      <c r="E115" s="97">
        <f t="shared" si="197"/>
        <v>-503.22300000000001</v>
      </c>
      <c r="F115" s="97">
        <f t="shared" si="197"/>
        <v>4.5720000000000027</v>
      </c>
      <c r="G115" s="97">
        <f t="shared" si="197"/>
        <v>4.1160000000000139</v>
      </c>
      <c r="H115" s="97">
        <f t="shared" si="197"/>
        <v>4.625</v>
      </c>
      <c r="I115" s="97">
        <f t="shared" si="197"/>
        <v>4.0269999999999868</v>
      </c>
      <c r="J115" s="97">
        <f t="shared" si="197"/>
        <v>17.340000000000032</v>
      </c>
      <c r="K115" s="97">
        <f t="shared" si="197"/>
        <v>7.2160000000000082</v>
      </c>
      <c r="L115" s="97">
        <f t="shared" si="197"/>
        <v>-11.550999999999988</v>
      </c>
      <c r="M115" s="97">
        <f t="shared" si="197"/>
        <v>4.7379999999999995</v>
      </c>
      <c r="N115" s="97">
        <f t="shared" si="197"/>
        <v>5.2010000000000218</v>
      </c>
      <c r="O115" s="97">
        <f t="shared" si="197"/>
        <v>5.6040000000000418</v>
      </c>
      <c r="P115" s="97">
        <f t="shared" si="197"/>
        <v>4.0049999999999955</v>
      </c>
      <c r="Q115" s="97">
        <f t="shared" si="197"/>
        <v>9.3059999999999832</v>
      </c>
      <c r="R115" s="97">
        <f t="shared" si="197"/>
        <v>0.24799999999999045</v>
      </c>
      <c r="S115" s="97">
        <f t="shared" si="197"/>
        <v>-0.41500000000002046</v>
      </c>
      <c r="T115" s="97">
        <f t="shared" si="197"/>
        <v>13.144000000000005</v>
      </c>
      <c r="U115" s="97">
        <f t="shared" si="197"/>
        <v>4.5860000000000127</v>
      </c>
      <c r="V115" s="97">
        <f t="shared" si="197"/>
        <v>3.2579999999999814</v>
      </c>
      <c r="W115" s="97">
        <f t="shared" si="197"/>
        <v>3.2269999999999754</v>
      </c>
      <c r="X115" s="97">
        <f t="shared" si="197"/>
        <v>1.2669999999999959</v>
      </c>
      <c r="Y115" s="97">
        <f>SUM(U115:X115)</f>
        <v>12.337999999999965</v>
      </c>
      <c r="Z115" s="97">
        <f>Z113-Z116*Z100/1000</f>
        <v>1.5550000000000068</v>
      </c>
      <c r="AA115" s="97">
        <f>AA113-AA116*AA100/1000</f>
        <v>3.5790000000000077</v>
      </c>
      <c r="AB115" s="97">
        <f>AB113-AB116*AB100/1000</f>
        <v>30.614000000000033</v>
      </c>
      <c r="AC115" s="97">
        <f>AC113-AC116*AC100/1000</f>
        <v>32.326999999999998</v>
      </c>
      <c r="AD115" s="97">
        <f>SUM(Z115:AC115)</f>
        <v>68.075000000000045</v>
      </c>
      <c r="AE115" s="97">
        <f>AE113-AE116*AE100/1000</f>
        <v>59.399000000000001</v>
      </c>
      <c r="AF115" s="97">
        <f>AF113-AF116*AF100/1000</f>
        <v>67</v>
      </c>
      <c r="AG115" s="97">
        <f>AG113-AG116*AG100/1000</f>
        <v>92.589999999999918</v>
      </c>
      <c r="AH115" s="97">
        <f>AH113-AH116*AH100/1000</f>
        <v>48.5</v>
      </c>
      <c r="AI115" s="97">
        <f>SUM(AE115:AH115)</f>
        <v>267.48899999999992</v>
      </c>
      <c r="AJ115" s="939">
        <f>AJ113-AJ116*AJ100/1000</f>
        <v>27.928999999999974</v>
      </c>
      <c r="AK115" s="290">
        <f>AK113-AK116*AK100/1000</f>
        <v>16.608000000000004</v>
      </c>
      <c r="AL115" s="290">
        <f>AL113-AL116*AL100/1000</f>
        <v>11.425999999999988</v>
      </c>
      <c r="AM115" s="940">
        <f>AM113-AM116*AM100/1000</f>
        <v>7.3659999999999854</v>
      </c>
      <c r="AN115" s="97">
        <f>SUM(AJ115:AM115)</f>
        <v>63.328999999999951</v>
      </c>
      <c r="AO115" s="939">
        <f>AO113-AO116*AO100/1000</f>
        <v>14.410000000000025</v>
      </c>
      <c r="AP115" s="290">
        <f>AP113-AP116*AP100/1000</f>
        <v>31.231999999999971</v>
      </c>
      <c r="AQ115" s="290">
        <f>AQ113-AQ116*AQ100/1000</f>
        <v>22.101999999999975</v>
      </c>
      <c r="AR115" s="940">
        <f>AR113-AR116*AR100/1000</f>
        <v>18.456000000000017</v>
      </c>
      <c r="AS115" s="97">
        <f>SUM(AO115:AR115)</f>
        <v>86.199999999999989</v>
      </c>
      <c r="AT115" s="939">
        <f>AT113-AT116*AT100/1000</f>
        <v>27.024999999999977</v>
      </c>
      <c r="AU115" s="290">
        <f>AU113-AU116*AU100/1000</f>
        <v>31.440000000000055</v>
      </c>
      <c r="AV115" s="290">
        <f>AV113-AV116*AV100/1000</f>
        <v>28.780999999999949</v>
      </c>
      <c r="AW115" s="940">
        <f>AW113-AW116*AW100/1000</f>
        <v>26.298000000000002</v>
      </c>
      <c r="AX115" s="97">
        <f>SUM(AT115:AW115)</f>
        <v>113.54399999999998</v>
      </c>
      <c r="AY115" s="939">
        <f>AY113-AY116*AY100/1000</f>
        <v>32.41700000000003</v>
      </c>
      <c r="AZ115" s="290">
        <f>AZ113-AZ116*AZ100/1000</f>
        <v>29.942000000000007</v>
      </c>
      <c r="BA115" s="290">
        <f>BA113-BA116*BA100/1000</f>
        <v>21.067999999999984</v>
      </c>
      <c r="BB115" s="940">
        <f>BB113-BB116*BB100/1000</f>
        <v>18.032000000000039</v>
      </c>
      <c r="BC115" s="97">
        <f>SUM(AY115:BB115)</f>
        <v>101.45900000000006</v>
      </c>
      <c r="BD115" s="939">
        <f>BD113-BD116*BD100/1000</f>
        <v>20.032000000000039</v>
      </c>
      <c r="BE115" s="290">
        <f>BE113-BE116*BE100/1000</f>
        <v>20.440000000000055</v>
      </c>
      <c r="BF115" s="290">
        <f>BF113-BF116*BF100/1000</f>
        <v>22.763000000000034</v>
      </c>
      <c r="BG115" s="940">
        <f>BG113-BG116*BG100/1000</f>
        <v>21.274000000000001</v>
      </c>
      <c r="BH115" s="97">
        <f>SUM(BD115:BG115)</f>
        <v>84.509000000000128</v>
      </c>
      <c r="BI115" s="939">
        <f>BI113-BI116*BI100/1000</f>
        <v>23.298999999999978</v>
      </c>
      <c r="BJ115" s="290">
        <f>BJ113-BJ116*BJ100/1000</f>
        <v>21.928999999999974</v>
      </c>
      <c r="BK115" s="290">
        <f>BK113-BK116*BK100/1000</f>
        <v>29.323999999999955</v>
      </c>
      <c r="BL115" s="940">
        <f>BL113-BL116*BL100/1000</f>
        <v>15</v>
      </c>
      <c r="BM115" s="97">
        <f>SUM(BI115:BL115)</f>
        <v>89.551999999999907</v>
      </c>
      <c r="BN115" s="939">
        <f>BN113-BN116*BN100/1000</f>
        <v>10.860000000000014</v>
      </c>
      <c r="BO115" s="290">
        <f>BO113-BO116*BO100/1000</f>
        <v>8.1080000000000041</v>
      </c>
      <c r="BP115" s="290">
        <f>BP113-BP116*BP100/1000</f>
        <v>4.3439999999999941</v>
      </c>
      <c r="BQ115" s="940">
        <f>BQ113-BQ116*BQ100/1000</f>
        <v>6.3290000000000077</v>
      </c>
      <c r="BR115" s="97">
        <f>SUM(BN115:BQ115)</f>
        <v>29.64100000000002</v>
      </c>
      <c r="BS115" s="939">
        <f>BS113-BS116*BS100/1000</f>
        <v>2.980000000000004</v>
      </c>
      <c r="BT115" s="290">
        <f>BT113-BT116*BT100/1000</f>
        <v>9.5</v>
      </c>
      <c r="BU115" s="290">
        <f>BU113-BU116*BU100/1000</f>
        <v>5.953000000000003</v>
      </c>
      <c r="BV115" s="940">
        <f>BV113-BV116*BV100/1000</f>
        <v>3.2740000000000009</v>
      </c>
      <c r="BW115" s="97">
        <f>SUM(BS115:BV115)</f>
        <v>21.707000000000008</v>
      </c>
      <c r="BX115" s="939">
        <f>BX113-BX116*BX100/1000</f>
        <v>13.032000000000011</v>
      </c>
      <c r="BY115" s="290">
        <f>BY113-BY116*BY100/1000</f>
        <v>11.879999999999995</v>
      </c>
      <c r="BZ115" s="290">
        <f>BZ113-BZ116*BZ100/1000</f>
        <v>10.894999999999982</v>
      </c>
      <c r="CA115" s="940">
        <f>CA113-CA116*CA100/1000</f>
        <v>10.356999999999999</v>
      </c>
      <c r="CB115" s="97">
        <f>SUM(BX115:CA115)</f>
        <v>46.163999999999987</v>
      </c>
      <c r="CC115" s="939">
        <f>CD115</f>
        <v>12.5</v>
      </c>
      <c r="CD115" s="290">
        <f>CE115</f>
        <v>12.5</v>
      </c>
      <c r="CE115" s="290">
        <f>CG115/4</f>
        <v>12.5</v>
      </c>
      <c r="CF115" s="940">
        <f>CG115-SUM(CC115:CE115)</f>
        <v>12.5</v>
      </c>
      <c r="CG115" s="1496">
        <v>50</v>
      </c>
      <c r="CH115" s="939">
        <f>CI115</f>
        <v>12.5</v>
      </c>
      <c r="CI115" s="290">
        <f>CJ115</f>
        <v>12.5</v>
      </c>
      <c r="CJ115" s="290">
        <f>CL115/4</f>
        <v>12.5</v>
      </c>
      <c r="CK115" s="940">
        <f>CL115-SUM(CH115:CJ115)</f>
        <v>12.5</v>
      </c>
      <c r="CL115" s="854">
        <v>50</v>
      </c>
      <c r="CM115" s="939">
        <f>CN115</f>
        <v>12.5</v>
      </c>
      <c r="CN115" s="290">
        <f>CO115</f>
        <v>12.5</v>
      </c>
      <c r="CO115" s="290">
        <f>CQ115/4</f>
        <v>12.5</v>
      </c>
      <c r="CP115" s="940">
        <f>CQ115-SUM(CM115:CO115)</f>
        <v>12.5</v>
      </c>
      <c r="CQ115" s="1108">
        <v>50</v>
      </c>
      <c r="CR115" s="1462"/>
      <c r="CV115"/>
      <c r="CW115"/>
      <c r="CX115"/>
      <c r="CY115"/>
      <c r="CZ115"/>
      <c r="DA115"/>
    </row>
    <row r="116" spans="1:105" s="852" customFormat="1" ht="13.5" customHeight="1">
      <c r="A116" s="298"/>
      <c r="B116" s="81" t="s">
        <v>921</v>
      </c>
      <c r="C116" s="298"/>
      <c r="D116" s="620">
        <v>685</v>
      </c>
      <c r="E116" s="620">
        <v>651</v>
      </c>
      <c r="F116" s="620">
        <v>638</v>
      </c>
      <c r="G116" s="620">
        <v>644</v>
      </c>
      <c r="H116" s="620">
        <v>625</v>
      </c>
      <c r="I116" s="97">
        <f>((J116*J100)-F116*F100-G100*G116-H116*H100)/I100</f>
        <v>615.26923076923072</v>
      </c>
      <c r="J116" s="620">
        <v>630</v>
      </c>
      <c r="K116" s="620">
        <v>672</v>
      </c>
      <c r="L116" s="620">
        <v>779</v>
      </c>
      <c r="M116" s="620">
        <v>907</v>
      </c>
      <c r="N116" s="97">
        <f>((O116*O100)-K116*K100-L100*L116-M116*M100)/N100</f>
        <v>1083.5052631578947</v>
      </c>
      <c r="O116" s="620">
        <v>863</v>
      </c>
      <c r="P116" s="620">
        <v>1165</v>
      </c>
      <c r="Q116" s="620">
        <v>1302</v>
      </c>
      <c r="R116" s="620">
        <v>1393</v>
      </c>
      <c r="S116" s="97">
        <f>((T116*T100)-P116*P100-Q100*Q116-R116*R100)/S100</f>
        <v>1456.9006849315069</v>
      </c>
      <c r="T116" s="620">
        <v>1326</v>
      </c>
      <c r="U116" s="620">
        <v>1506</v>
      </c>
      <c r="V116" s="620">
        <v>1479</v>
      </c>
      <c r="W116" s="620">
        <v>1491</v>
      </c>
      <c r="X116" s="620">
        <v>1523</v>
      </c>
      <c r="Y116" s="97">
        <f>(U116*U100+V100*V116+W116*W100+X100*X116)/Y100</f>
        <v>1499.296389588581</v>
      </c>
      <c r="Z116" s="620">
        <v>1435</v>
      </c>
      <c r="AA116" s="620">
        <v>1389</v>
      </c>
      <c r="AB116" s="620">
        <v>1282</v>
      </c>
      <c r="AC116" s="620">
        <v>1299</v>
      </c>
      <c r="AD116" s="97">
        <f>(Z116*Z100+AA100*AA116+AB116*AB100+AC100*AC116)/AD100</f>
        <v>1334.9059888579386</v>
      </c>
      <c r="AE116" s="620">
        <v>1297</v>
      </c>
      <c r="AF116" s="620">
        <v>1690</v>
      </c>
      <c r="AG116" s="620">
        <v>2390</v>
      </c>
      <c r="AH116" s="620">
        <v>2675</v>
      </c>
      <c r="AI116" s="97">
        <f>(AE116*AE100+AF100*AF116+AG116*AG100+AH100*AH116)/AI100</f>
        <v>2041.2453893442623</v>
      </c>
      <c r="AJ116" s="967">
        <v>2353</v>
      </c>
      <c r="AK116" s="968">
        <v>1526</v>
      </c>
      <c r="AL116" s="968">
        <v>1474</v>
      </c>
      <c r="AM116" s="969">
        <v>1462</v>
      </c>
      <c r="AN116" s="97">
        <f>(AJ116*AJ100+AK100*AK116+AL116*AL100+AM100*AM116)/AN100</f>
        <v>1754.4459665144598</v>
      </c>
      <c r="AO116" s="967">
        <v>1389</v>
      </c>
      <c r="AP116" s="968">
        <v>1496</v>
      </c>
      <c r="AQ116" s="968">
        <v>1559</v>
      </c>
      <c r="AR116" s="969">
        <v>1504</v>
      </c>
      <c r="AS116" s="97">
        <f>(AO116*AO100+AP100*AP116+AQ116*AQ100+AR100*AR116)/AS100</f>
        <v>1493.7459703417151</v>
      </c>
      <c r="AT116" s="967">
        <v>1447</v>
      </c>
      <c r="AU116" s="968">
        <v>1565</v>
      </c>
      <c r="AV116" s="1020">
        <v>1699</v>
      </c>
      <c r="AW116" s="969">
        <v>1711</v>
      </c>
      <c r="AX116" s="97">
        <f>(AT116*AT100+AU100*AU116+AV116*AV100+AW100*AW116)/AX100</f>
        <v>1611.7306843267108</v>
      </c>
      <c r="AY116" s="967">
        <v>1727</v>
      </c>
      <c r="AZ116" s="968">
        <v>1706</v>
      </c>
      <c r="BA116" s="968">
        <v>1676</v>
      </c>
      <c r="BB116" s="969">
        <v>1624</v>
      </c>
      <c r="BC116" s="97">
        <f>(AY116*AY100+AZ100*AZ116+BA116*BA100+BB100*BB116)/BC100</f>
        <v>1686.9252386002122</v>
      </c>
      <c r="BD116" s="967">
        <v>1556</v>
      </c>
      <c r="BE116" s="968">
        <v>1510</v>
      </c>
      <c r="BF116" s="968">
        <v>1543</v>
      </c>
      <c r="BG116" s="969">
        <v>1509</v>
      </c>
      <c r="BH116" s="97">
        <f>(BD116*BD100+BE100*BE116+BF116*BF100+BG100*BG116)/BH100</f>
        <v>1529.5907797381901</v>
      </c>
      <c r="BI116" s="967">
        <v>1479</v>
      </c>
      <c r="BJ116" s="968">
        <v>1479</v>
      </c>
      <c r="BK116" s="968">
        <v>1567</v>
      </c>
      <c r="BL116" s="969">
        <v>1625</v>
      </c>
      <c r="BM116" s="97">
        <f>(BI116*BI100+BJ100*BJ116+BK116*BK100+BL100*BL116)/BM100</f>
        <v>1538.1009174311926</v>
      </c>
      <c r="BN116" s="967">
        <v>1637</v>
      </c>
      <c r="BO116" s="968">
        <v>1651</v>
      </c>
      <c r="BP116" s="968">
        <v>1264</v>
      </c>
      <c r="BQ116" s="969">
        <v>1273</v>
      </c>
      <c r="BR116" s="97">
        <f>(BN116*BN100+BO100*BO116+BP116*BP100+BQ100*BQ116)/BR100</f>
        <v>1464.3490725126476</v>
      </c>
      <c r="BS116" s="967">
        <v>1180</v>
      </c>
      <c r="BT116" s="968">
        <v>1050</v>
      </c>
      <c r="BU116" s="968">
        <v>1049</v>
      </c>
      <c r="BV116" s="969">
        <v>1027</v>
      </c>
      <c r="BW116" s="97">
        <f>(BS116*BS100+BT100*BT116+BU116*BU100+BV100*BV116)/BW100</f>
        <v>1070.7325000000001</v>
      </c>
      <c r="BX116" s="967">
        <v>1097</v>
      </c>
      <c r="BY116" s="968">
        <v>1234</v>
      </c>
      <c r="BZ116" s="968">
        <v>1433</v>
      </c>
      <c r="CA116" s="969">
        <v>1417</v>
      </c>
      <c r="CB116" s="97">
        <f>(BX116*BX100+BY100*BY116+BZ116*BZ100+CA100*CA116)/CB100</f>
        <v>1306.4476744186047</v>
      </c>
      <c r="CC116" s="933">
        <f>'Price Relationships'!$E$69</f>
        <v>1455.8063066666666</v>
      </c>
      <c r="CD116" s="934">
        <f>'Price Relationships'!$E$70</f>
        <v>1586.3848699999999</v>
      </c>
      <c r="CE116" s="934">
        <f>'Price Relationships'!$E$71</f>
        <v>1638.4294766666669</v>
      </c>
      <c r="CF116" s="935">
        <f>'Price Relationships'!$E$72</f>
        <v>1620.4592133333335</v>
      </c>
      <c r="CG116" s="1484">
        <f>(CC116*CC100+CD100*CD116+CE116*CE100+CF100*CF116)/CG100</f>
        <v>1584.0876258817473</v>
      </c>
      <c r="CH116" s="933">
        <f>'Price Relationships'!$E$69</f>
        <v>1455.8063066666666</v>
      </c>
      <c r="CI116" s="934">
        <f>'Price Relationships'!$E$70</f>
        <v>1586.3848699999999</v>
      </c>
      <c r="CJ116" s="934">
        <f>'Price Relationships'!$E$71</f>
        <v>1638.4294766666669</v>
      </c>
      <c r="CK116" s="935">
        <f>'Price Relationships'!$E$72</f>
        <v>1620.4592133333335</v>
      </c>
      <c r="CL116" s="97">
        <f>(CH116*CH100+CI100*CI116+CJ116*CJ100+CK100*CK116)/CL100</f>
        <v>1584.0876258817477</v>
      </c>
      <c r="CM116" s="933">
        <f>'Price Relationships'!$E$69</f>
        <v>1455.8063066666666</v>
      </c>
      <c r="CN116" s="934">
        <f>'Price Relationships'!$E$70</f>
        <v>1586.3848699999999</v>
      </c>
      <c r="CO116" s="934">
        <f>'Price Relationships'!$E$71</f>
        <v>1638.4294766666669</v>
      </c>
      <c r="CP116" s="935">
        <f>'Price Relationships'!$E$72</f>
        <v>1620.4592133333335</v>
      </c>
      <c r="CQ116" s="290">
        <f>(CM116*CM100+CN100*CN116+CO116*CO100+CP100*CP116)/CQ100</f>
        <v>1584.0876258817473</v>
      </c>
      <c r="CR116" s="1462"/>
      <c r="CV116"/>
      <c r="CW116"/>
      <c r="CX116"/>
      <c r="CY116"/>
      <c r="CZ116"/>
      <c r="DA116"/>
    </row>
    <row r="117" spans="1:105" ht="6.2" customHeight="1">
      <c r="A117" s="93"/>
      <c r="B117" s="75"/>
      <c r="C117" s="75"/>
      <c r="D117" s="75"/>
      <c r="E117" s="75"/>
      <c r="F117" s="75"/>
      <c r="G117" s="75"/>
      <c r="H117" s="97"/>
      <c r="I117" s="75"/>
      <c r="J117" s="75"/>
      <c r="K117" s="75"/>
      <c r="L117" s="97"/>
      <c r="M117" s="97"/>
      <c r="N117" s="75"/>
      <c r="O117" s="75"/>
      <c r="P117" s="75"/>
      <c r="Q117" s="75"/>
      <c r="R117" s="75"/>
      <c r="S117" s="75"/>
      <c r="T117" s="75"/>
      <c r="U117" s="75"/>
      <c r="V117" s="75"/>
      <c r="W117" s="75"/>
      <c r="X117" s="75"/>
      <c r="Y117" s="97"/>
      <c r="Z117" s="75"/>
      <c r="AA117" s="75"/>
      <c r="AB117" s="75"/>
      <c r="AC117" s="75"/>
      <c r="AD117" s="75"/>
      <c r="AE117" s="75"/>
      <c r="AF117" s="75"/>
      <c r="AG117" s="75"/>
      <c r="AH117" s="75"/>
      <c r="AI117" s="289"/>
      <c r="AJ117" s="904"/>
      <c r="AK117" s="81"/>
      <c r="AL117" s="81"/>
      <c r="AM117" s="905"/>
      <c r="AN117" s="289"/>
      <c r="AO117" s="904"/>
      <c r="AP117" s="81"/>
      <c r="AQ117" s="81"/>
      <c r="AR117" s="905"/>
      <c r="AS117" s="289"/>
      <c r="AT117" s="904"/>
      <c r="AU117" s="81"/>
      <c r="AV117" s="81"/>
      <c r="AW117" s="905"/>
      <c r="AX117" s="289"/>
      <c r="AY117" s="904"/>
      <c r="AZ117" s="81"/>
      <c r="BA117" s="81"/>
      <c r="BB117" s="905"/>
      <c r="BC117" s="289"/>
      <c r="BD117" s="904"/>
      <c r="BE117" s="81"/>
      <c r="BF117" s="81"/>
      <c r="BG117" s="905"/>
      <c r="BH117" s="289"/>
      <c r="BI117" s="904"/>
      <c r="BJ117" s="81"/>
      <c r="BK117" s="81"/>
      <c r="BL117" s="905"/>
      <c r="BM117" s="289"/>
      <c r="BN117" s="904"/>
      <c r="BO117" s="81"/>
      <c r="BP117" s="81"/>
      <c r="BQ117" s="905"/>
      <c r="BR117" s="289"/>
      <c r="BS117" s="904"/>
      <c r="BT117" s="81"/>
      <c r="BU117" s="81"/>
      <c r="BV117" s="905"/>
      <c r="BW117" s="289"/>
      <c r="BX117" s="904"/>
      <c r="BY117" s="81"/>
      <c r="BZ117" s="81"/>
      <c r="CA117" s="905"/>
      <c r="CB117" s="289"/>
      <c r="CC117" s="904"/>
      <c r="CD117" s="81"/>
      <c r="CE117" s="81"/>
      <c r="CF117" s="905"/>
      <c r="CG117" s="1494"/>
      <c r="CH117" s="1122"/>
      <c r="CI117" s="289"/>
      <c r="CJ117" s="289"/>
      <c r="CK117" s="1123"/>
      <c r="CL117" s="289"/>
      <c r="CM117" s="1122"/>
      <c r="CN117" s="289"/>
      <c r="CO117" s="289"/>
      <c r="CP117" s="1123"/>
      <c r="CQ117" s="289"/>
    </row>
    <row r="118" spans="1:105" ht="13.5" customHeight="1">
      <c r="A118" s="75"/>
      <c r="B118" s="75"/>
      <c r="C118" s="81" t="s">
        <v>981</v>
      </c>
      <c r="D118" s="285">
        <f t="shared" ref="D118:AI118" si="198">+D116-D127/D100*1000</f>
        <v>674.46848395954362</v>
      </c>
      <c r="E118" s="285">
        <f t="shared" si="198"/>
        <v>634.26441059764466</v>
      </c>
      <c r="F118" s="285">
        <f t="shared" si="198"/>
        <v>667.4561221604298</v>
      </c>
      <c r="G118" s="285">
        <f t="shared" si="198"/>
        <v>649.61532759821205</v>
      </c>
      <c r="H118" s="285">
        <f t="shared" si="198"/>
        <v>742.12674050336386</v>
      </c>
      <c r="I118" s="285">
        <f t="shared" si="198"/>
        <v>656.36061801446408</v>
      </c>
      <c r="J118" s="285">
        <f t="shared" si="198"/>
        <v>642.85472616862319</v>
      </c>
      <c r="K118" s="285">
        <f t="shared" si="198"/>
        <v>577.38494809688586</v>
      </c>
      <c r="L118" s="285">
        <f t="shared" si="198"/>
        <v>378.23163029808876</v>
      </c>
      <c r="M118" s="285">
        <f t="shared" si="198"/>
        <v>73.148453841370497</v>
      </c>
      <c r="N118" s="285">
        <f t="shared" si="198"/>
        <v>-369.24943059402881</v>
      </c>
      <c r="O118" s="285">
        <f t="shared" si="198"/>
        <v>684.37825544418956</v>
      </c>
      <c r="P118" s="285">
        <f t="shared" si="198"/>
        <v>-207.41446916968903</v>
      </c>
      <c r="Q118" s="285">
        <f t="shared" si="198"/>
        <v>-239.79278758403348</v>
      </c>
      <c r="R118" s="285">
        <f t="shared" si="198"/>
        <v>-429.19926538108371</v>
      </c>
      <c r="S118" s="285">
        <f t="shared" si="198"/>
        <v>-325.79775755301171</v>
      </c>
      <c r="T118" s="285">
        <f t="shared" si="198"/>
        <v>921.16169586092121</v>
      </c>
      <c r="U118" s="285">
        <f t="shared" si="198"/>
        <v>-262.85054195615203</v>
      </c>
      <c r="V118" s="285">
        <f t="shared" si="198"/>
        <v>-210.11310301337812</v>
      </c>
      <c r="W118" s="285">
        <f t="shared" si="198"/>
        <v>-327.99378056617525</v>
      </c>
      <c r="X118" s="285">
        <f t="shared" si="198"/>
        <v>-478.60673193447815</v>
      </c>
      <c r="Y118" s="285">
        <f t="shared" si="198"/>
        <v>1045.2896034560913</v>
      </c>
      <c r="Z118" s="285">
        <f t="shared" si="198"/>
        <v>-269.66652461112267</v>
      </c>
      <c r="AA118" s="285">
        <f t="shared" si="198"/>
        <v>215.64240131224483</v>
      </c>
      <c r="AB118" s="285">
        <f t="shared" si="198"/>
        <v>906.54576742398172</v>
      </c>
      <c r="AC118" s="285">
        <f t="shared" si="198"/>
        <v>788.93303314338368</v>
      </c>
      <c r="AD118" s="285">
        <f t="shared" si="198"/>
        <v>1151.1124118372761</v>
      </c>
      <c r="AE118" s="285">
        <f t="shared" si="198"/>
        <v>1003.6494567681303</v>
      </c>
      <c r="AF118" s="285">
        <f t="shared" si="198"/>
        <v>962</v>
      </c>
      <c r="AG118" s="285">
        <f t="shared" si="198"/>
        <v>797.34182008531297</v>
      </c>
      <c r="AH118" s="285">
        <f t="shared" si="198"/>
        <v>395</v>
      </c>
      <c r="AI118" s="285">
        <f t="shared" si="198"/>
        <v>1716.8618230986294</v>
      </c>
      <c r="AJ118" s="974">
        <f t="shared" ref="AJ118:BO118" si="199">+AJ116-AJ127/AJ100*1000</f>
        <v>-867.61191626408981</v>
      </c>
      <c r="AK118" s="975">
        <f t="shared" si="199"/>
        <v>10623.353497164462</v>
      </c>
      <c r="AL118" s="975">
        <f t="shared" si="199"/>
        <v>1868.7195298451823</v>
      </c>
      <c r="AM118" s="976">
        <f t="shared" si="199"/>
        <v>318.44939205115634</v>
      </c>
      <c r="AN118" s="285">
        <f t="shared" si="199"/>
        <v>1520.4595562598315</v>
      </c>
      <c r="AO118" s="974">
        <f t="shared" si="199"/>
        <v>806.27367325702403</v>
      </c>
      <c r="AP118" s="975">
        <f t="shared" si="199"/>
        <v>925.29985225799908</v>
      </c>
      <c r="AQ118" s="975">
        <f t="shared" si="199"/>
        <v>862.69937782170211</v>
      </c>
      <c r="AR118" s="976">
        <f t="shared" si="199"/>
        <v>785.85991570243505</v>
      </c>
      <c r="AS118" s="285">
        <f t="shared" si="199"/>
        <v>1329.9615355996277</v>
      </c>
      <c r="AT118" s="974">
        <f t="shared" si="199"/>
        <v>1208.9377162629758</v>
      </c>
      <c r="AU118" s="975">
        <f t="shared" si="199"/>
        <v>1325.813456746173</v>
      </c>
      <c r="AV118" s="975">
        <f t="shared" si="199"/>
        <v>1063.6293022592399</v>
      </c>
      <c r="AW118" s="976">
        <f t="shared" si="199"/>
        <v>1164.3496324099101</v>
      </c>
      <c r="AX118" s="285">
        <f t="shared" si="199"/>
        <v>1502.0863704808269</v>
      </c>
      <c r="AY118" s="974">
        <f t="shared" si="199"/>
        <v>1215.9955367512266</v>
      </c>
      <c r="AZ118" s="975">
        <f t="shared" si="199"/>
        <v>1220.5011911178403</v>
      </c>
      <c r="BA118" s="975">
        <f t="shared" si="199"/>
        <v>1115.7866401084036</v>
      </c>
      <c r="BB118" s="976">
        <f t="shared" si="199"/>
        <v>1346.3043906090588</v>
      </c>
      <c r="BC118" s="285">
        <f t="shared" si="199"/>
        <v>1567.7235301923311</v>
      </c>
      <c r="BD118" s="974">
        <f t="shared" si="199"/>
        <v>1124.7396279151017</v>
      </c>
      <c r="BE118" s="975">
        <f t="shared" si="199"/>
        <v>1216.6405047706987</v>
      </c>
      <c r="BF118" s="975">
        <f t="shared" si="199"/>
        <v>1239.223200003797</v>
      </c>
      <c r="BG118" s="976">
        <f t="shared" si="199"/>
        <v>1228.9467898900791</v>
      </c>
      <c r="BH118" s="285">
        <f t="shared" si="199"/>
        <v>1447.9594224127961</v>
      </c>
      <c r="BI118" s="974">
        <f t="shared" si="199"/>
        <v>1251.1589646903356</v>
      </c>
      <c r="BJ118" s="975">
        <f t="shared" si="199"/>
        <v>1166.5015500915174</v>
      </c>
      <c r="BK118" s="975">
        <f t="shared" si="199"/>
        <v>1097.5266835531488</v>
      </c>
      <c r="BL118" s="976">
        <f t="shared" si="199"/>
        <v>937.42028061224494</v>
      </c>
      <c r="BM118" s="285">
        <f t="shared" si="199"/>
        <v>1430.5894495412842</v>
      </c>
      <c r="BN118" s="974">
        <f t="shared" si="199"/>
        <v>1265.0991735537191</v>
      </c>
      <c r="BO118" s="975">
        <f t="shared" si="199"/>
        <v>7440.2249527410222</v>
      </c>
      <c r="BP118" s="975">
        <f t="shared" ref="BP118:BZ118" si="200">+BP116-BP127/BP100*1000</f>
        <v>2781.9625569235959</v>
      </c>
      <c r="BQ118" s="976">
        <f t="shared" si="200"/>
        <v>4249.0059520119048</v>
      </c>
      <c r="BR118" s="285">
        <f t="shared" si="200"/>
        <v>1791.3797195498921</v>
      </c>
      <c r="BS118" s="974">
        <f t="shared" si="200"/>
        <v>7113.5942431511176</v>
      </c>
      <c r="BT118" s="975">
        <f t="shared" si="200"/>
        <v>13498.979591836736</v>
      </c>
      <c r="BU118" s="975">
        <f t="shared" si="200"/>
        <v>6516.0562729757748</v>
      </c>
      <c r="BV118" s="976">
        <f t="shared" si="200"/>
        <v>4702.6983826927117</v>
      </c>
      <c r="BW118" s="285">
        <f t="shared" si="200"/>
        <v>2545.7325000000001</v>
      </c>
      <c r="BX118" s="974">
        <f t="shared" si="200"/>
        <v>3122.4629629629635</v>
      </c>
      <c r="BY118" s="975">
        <f t="shared" si="200"/>
        <v>1727.8271604938273</v>
      </c>
      <c r="BZ118" s="975">
        <f t="shared" si="200"/>
        <v>1316.126369612856</v>
      </c>
      <c r="CA118" s="976">
        <f t="shared" ref="CA118" si="201">+CA116-CA127/CA100*1000</f>
        <v>1229.7399269685716</v>
      </c>
      <c r="CB118" s="97">
        <f>AVERAGE(BX118:CA118)</f>
        <v>1849.0391050095545</v>
      </c>
      <c r="CC118" s="939">
        <f t="shared" ref="CC118:CF118" si="202">+CC119+CC120</f>
        <v>1355</v>
      </c>
      <c r="CD118" s="290">
        <f t="shared" si="202"/>
        <v>1460</v>
      </c>
      <c r="CE118" s="290">
        <f t="shared" si="202"/>
        <v>1460</v>
      </c>
      <c r="CF118" s="940">
        <f t="shared" si="202"/>
        <v>1460</v>
      </c>
      <c r="CG118" s="1484">
        <f>AVERAGE(CC118:CF118)</f>
        <v>1433.75</v>
      </c>
      <c r="CH118" s="939">
        <f t="shared" ref="CH118" si="203">+CH119+CH120</f>
        <v>1450</v>
      </c>
      <c r="CI118" s="290">
        <f t="shared" ref="CI118" si="204">+CI119+CI120</f>
        <v>1450</v>
      </c>
      <c r="CJ118" s="290">
        <f t="shared" ref="CJ118" si="205">+CJ119+CJ120</f>
        <v>1450</v>
      </c>
      <c r="CK118" s="940">
        <f t="shared" ref="CK118" si="206">+CK119+CK120</f>
        <v>1450</v>
      </c>
      <c r="CL118" s="97">
        <f>AVERAGE(CH118:CK118)</f>
        <v>1450</v>
      </c>
      <c r="CM118" s="939">
        <f t="shared" ref="CM118" si="207">+CM119+CM120</f>
        <v>1450</v>
      </c>
      <c r="CN118" s="290">
        <f t="shared" ref="CN118" si="208">+CN119+CN120</f>
        <v>1450</v>
      </c>
      <c r="CO118" s="290">
        <f t="shared" ref="CO118" si="209">+CO119+CO120</f>
        <v>1450</v>
      </c>
      <c r="CP118" s="940">
        <f t="shared" ref="CP118" si="210">+CP119+CP120</f>
        <v>1450</v>
      </c>
      <c r="CQ118" s="290">
        <f>AVERAGE(CM118:CP118)</f>
        <v>1450</v>
      </c>
    </row>
    <row r="119" spans="1:105" ht="13.5" customHeight="1">
      <c r="A119" s="75"/>
      <c r="B119" s="75"/>
      <c r="C119" s="81" t="s">
        <v>982</v>
      </c>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904"/>
      <c r="AK119" s="81"/>
      <c r="AL119" s="81"/>
      <c r="AM119" s="905"/>
      <c r="AN119" s="75"/>
      <c r="AO119" s="904"/>
      <c r="AP119" s="81"/>
      <c r="AQ119" s="81"/>
      <c r="AR119" s="905"/>
      <c r="AS119" s="75"/>
      <c r="AT119" s="904"/>
      <c r="AU119" s="81"/>
      <c r="AV119" s="81"/>
      <c r="AW119" s="905"/>
      <c r="AX119" s="75"/>
      <c r="AY119" s="904"/>
      <c r="AZ119" s="81"/>
      <c r="BA119" s="81"/>
      <c r="BB119" s="905"/>
      <c r="BC119" s="75"/>
      <c r="BD119" s="904"/>
      <c r="BE119" s="81"/>
      <c r="BF119" s="81"/>
      <c r="BG119" s="905"/>
      <c r="BH119" s="75"/>
      <c r="BI119" s="904"/>
      <c r="BJ119" s="81"/>
      <c r="BK119" s="81"/>
      <c r="BL119" s="905"/>
      <c r="BM119" s="75"/>
      <c r="BN119" s="904"/>
      <c r="BO119" s="81"/>
      <c r="BP119" s="81"/>
      <c r="BQ119" s="905"/>
      <c r="BR119" s="75"/>
      <c r="BS119" s="904"/>
      <c r="BT119" s="81"/>
      <c r="BU119" s="81"/>
      <c r="BV119" s="905"/>
      <c r="BW119" s="75"/>
      <c r="BX119" s="904"/>
      <c r="BY119" s="81"/>
      <c r="BZ119" s="81"/>
      <c r="CA119" s="905"/>
      <c r="CB119" s="97"/>
      <c r="CC119" s="1105">
        <v>-45</v>
      </c>
      <c r="CD119" s="1108">
        <v>60</v>
      </c>
      <c r="CE119" s="1108">
        <v>60</v>
      </c>
      <c r="CF119" s="1091">
        <v>60</v>
      </c>
      <c r="CG119" s="1484">
        <f>AVERAGE(CC119:CF119)</f>
        <v>33.75</v>
      </c>
      <c r="CH119" s="1105">
        <v>50</v>
      </c>
      <c r="CI119" s="1108">
        <v>50</v>
      </c>
      <c r="CJ119" s="1108">
        <v>50</v>
      </c>
      <c r="CK119" s="1091">
        <v>50</v>
      </c>
      <c r="CL119" s="97">
        <f>AVERAGE(CH119:CK119)</f>
        <v>50</v>
      </c>
      <c r="CM119" s="1105">
        <v>50</v>
      </c>
      <c r="CN119" s="1108">
        <v>50</v>
      </c>
      <c r="CO119" s="1108">
        <v>50</v>
      </c>
      <c r="CP119" s="1091">
        <v>50</v>
      </c>
      <c r="CQ119" s="290">
        <f>AVERAGE(CM119:CP119)</f>
        <v>50</v>
      </c>
    </row>
    <row r="120" spans="1:105" ht="13.5" customHeight="1">
      <c r="A120" s="75"/>
      <c r="B120" s="75"/>
      <c r="C120" s="81" t="s">
        <v>983</v>
      </c>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c r="AJ120" s="974"/>
      <c r="AK120" s="975"/>
      <c r="AL120" s="975"/>
      <c r="AM120" s="976"/>
      <c r="AN120" s="285"/>
      <c r="AO120" s="974"/>
      <c r="AP120" s="975"/>
      <c r="AQ120" s="975"/>
      <c r="AR120" s="976"/>
      <c r="AS120" s="285"/>
      <c r="AT120" s="974"/>
      <c r="AU120" s="975"/>
      <c r="AV120" s="975"/>
      <c r="AW120" s="976"/>
      <c r="AX120" s="285"/>
      <c r="AY120" s="974"/>
      <c r="AZ120" s="975"/>
      <c r="BA120" s="975"/>
      <c r="BB120" s="976"/>
      <c r="BC120" s="285"/>
      <c r="BD120" s="974"/>
      <c r="BE120" s="975"/>
      <c r="BF120" s="975"/>
      <c r="BG120" s="976"/>
      <c r="BH120" s="285"/>
      <c r="BI120" s="974"/>
      <c r="BJ120" s="975"/>
      <c r="BK120" s="975"/>
      <c r="BL120" s="976"/>
      <c r="BM120" s="285"/>
      <c r="BN120" s="974"/>
      <c r="BO120" s="975"/>
      <c r="BP120" s="975"/>
      <c r="BQ120" s="976"/>
      <c r="BR120" s="285"/>
      <c r="BS120" s="974"/>
      <c r="BT120" s="975"/>
      <c r="BU120" s="975"/>
      <c r="BV120" s="976"/>
      <c r="BW120" s="285"/>
      <c r="BX120" s="974">
        <f>0.9555*BV118-7677*(BX100/BV100-1)+3700*(BX8/BV8-1)</f>
        <v>4881.6546531009508</v>
      </c>
      <c r="BY120" s="975">
        <f>0.9555*BX118-7677*(BY100/BX100-1)+3700*(BY8/BX8-1)</f>
        <v>1069.7749522106367</v>
      </c>
      <c r="BZ120" s="975">
        <f>0.9555*BY118-7677*(BZ100/BY100-1)+3700*(BZ8/BY8-1)</f>
        <v>1424.7795253667739</v>
      </c>
      <c r="CA120" s="976">
        <f>0.9555*BZ118-7677*(CA100/BZ100-1)+3700*(CA8/BZ8-1)</f>
        <v>1486.7535056671406</v>
      </c>
      <c r="CB120" s="97">
        <f>AVERAGE(BX120:CA120)</f>
        <v>2215.7406590863757</v>
      </c>
      <c r="CC120" s="1109">
        <v>1400</v>
      </c>
      <c r="CD120" s="1110">
        <v>1400</v>
      </c>
      <c r="CE120" s="1110">
        <v>1400</v>
      </c>
      <c r="CF120" s="1111">
        <v>1400</v>
      </c>
      <c r="CG120" s="1484">
        <f>AVERAGE(CC120:CF120)</f>
        <v>1400</v>
      </c>
      <c r="CH120" s="1109">
        <v>1400</v>
      </c>
      <c r="CI120" s="1110">
        <v>1400</v>
      </c>
      <c r="CJ120" s="1110">
        <v>1400</v>
      </c>
      <c r="CK120" s="1111">
        <v>1400</v>
      </c>
      <c r="CL120" s="97">
        <f>AVERAGE(CH120:CK120)</f>
        <v>1400</v>
      </c>
      <c r="CM120" s="1109">
        <v>1400</v>
      </c>
      <c r="CN120" s="1110">
        <v>1400</v>
      </c>
      <c r="CO120" s="1110">
        <v>1400</v>
      </c>
      <c r="CP120" s="1091">
        <v>1400</v>
      </c>
      <c r="CQ120" s="290">
        <f>AVERAGE(CM120:CP120)</f>
        <v>1400</v>
      </c>
    </row>
    <row r="121" spans="1:105" ht="13.5" customHeight="1">
      <c r="A121" s="75"/>
      <c r="B121" s="75"/>
      <c r="C121" s="81" t="s">
        <v>690</v>
      </c>
      <c r="D121" s="88"/>
      <c r="E121" s="88"/>
      <c r="F121" s="88"/>
      <c r="G121" s="88"/>
      <c r="H121" s="88"/>
      <c r="I121" s="88"/>
      <c r="J121" s="89"/>
      <c r="K121" s="89">
        <f>AVERAGE(K8,E8)</f>
        <v>462.33333333333331</v>
      </c>
      <c r="L121" s="89">
        <f>AVERAGE(L8,K8)</f>
        <v>536.16666666666663</v>
      </c>
      <c r="M121" s="89">
        <f>AVERAGE(M8,L8)</f>
        <v>656.66666666666674</v>
      </c>
      <c r="N121" s="89">
        <f>AVERAGE(N8,M8)</f>
        <v>680.83333333333337</v>
      </c>
      <c r="O121" s="89">
        <f>AVERAGE(K121:N121)</f>
        <v>584</v>
      </c>
      <c r="P121" s="89">
        <f>AVERAGE(P8,N8)</f>
        <v>645</v>
      </c>
      <c r="Q121" s="89">
        <f>AVERAGE(Q8,P8)</f>
        <v>582.08333333333326</v>
      </c>
      <c r="R121" s="89">
        <f>AVERAGE(R8,Q8)</f>
        <v>497.08333333333337</v>
      </c>
      <c r="S121" s="89">
        <f>AVERAGE(S8,R8)</f>
        <v>505.83333333333337</v>
      </c>
      <c r="T121" s="89">
        <f>AVERAGE(P121:S121)</f>
        <v>557.5</v>
      </c>
      <c r="U121" s="89">
        <f>AVERAGE(U8,S8)</f>
        <v>550</v>
      </c>
      <c r="V121" s="89">
        <f>AVERAGE(V8,U8)</f>
        <v>570.83333333333326</v>
      </c>
      <c r="W121" s="89">
        <f>AVERAGE(W8,V8)</f>
        <v>606.66666666666663</v>
      </c>
      <c r="X121" s="89">
        <f>AVERAGE(X8,W8)</f>
        <v>592.5</v>
      </c>
      <c r="Y121" s="89">
        <f>AVERAGE(U121:X121)</f>
        <v>580</v>
      </c>
      <c r="Z121" s="89">
        <f>AVERAGE(Z8,X8)</f>
        <v>540.83333333333337</v>
      </c>
      <c r="AA121" s="89">
        <f>AVERAGE(AA8,Z8)</f>
        <v>535.83333333333337</v>
      </c>
      <c r="AB121" s="89">
        <f>AVERAGE(AB8,AA8)</f>
        <v>535</v>
      </c>
      <c r="AC121" s="89">
        <f>AVERAGE(AC8,AB8)</f>
        <v>525.83333333333326</v>
      </c>
      <c r="AD121" s="89">
        <f>AVERAGE(Z121:AC121)</f>
        <v>534.375</v>
      </c>
      <c r="AE121" s="89">
        <f>AVERAGE(AE8,AC8)</f>
        <v>613.33333333333326</v>
      </c>
      <c r="AF121" s="89">
        <f>AVERAGE(AF8,AE8)</f>
        <v>834.16666666666663</v>
      </c>
      <c r="AG121" s="89">
        <f>AVERAGE(AG8,AF8)</f>
        <v>1014.1666666666667</v>
      </c>
      <c r="AH121" s="89">
        <f>AVERAGE(AH8,AG8)</f>
        <v>882.83333333333337</v>
      </c>
      <c r="AI121" s="89">
        <f>AVERAGE(AE121:AH121)</f>
        <v>836.12500000000011</v>
      </c>
      <c r="AJ121" s="906">
        <f>AVERAGE(AJ8,AH8)</f>
        <v>611.33333333333337</v>
      </c>
      <c r="AK121" s="907">
        <f>AVERAGE(AK8,AJ8)</f>
        <v>453.83333333333337</v>
      </c>
      <c r="AL121" s="907">
        <f>AVERAGE(AL8,AK8)</f>
        <v>445.16666666666663</v>
      </c>
      <c r="AM121" s="908">
        <f>AVERAGE(AM8,AL8)</f>
        <v>509.66666666666663</v>
      </c>
      <c r="AN121" s="89">
        <f>AVERAGE(AJ121:AM121)</f>
        <v>505</v>
      </c>
      <c r="AO121" s="906">
        <f>AVERAGE(AO8,AM8)</f>
        <v>560</v>
      </c>
      <c r="AP121" s="907">
        <f>AVERAGE(AP8,AO8)</f>
        <v>637</v>
      </c>
      <c r="AQ121" s="907">
        <f>AVERAGE(AQ8,AP8)</f>
        <v>632.33333333333326</v>
      </c>
      <c r="AR121" s="908">
        <f>AVERAGE(AR8,AQ8)</f>
        <v>569.83333333333326</v>
      </c>
      <c r="AS121" s="89">
        <f>AVERAGE(AO121:AR121)</f>
        <v>599.79166666666663</v>
      </c>
      <c r="AT121" s="906">
        <f>AVERAGE(AT8,AR8)</f>
        <v>676.33333333333326</v>
      </c>
      <c r="AU121" s="907">
        <f>AVERAGE(AU8,AT8)</f>
        <v>804.33333333333326</v>
      </c>
      <c r="AV121" s="907">
        <f>AVERAGE(AV8,AU8)</f>
        <v>750.33390788956422</v>
      </c>
      <c r="AW121" s="908">
        <f>AVERAGE(AW8,AV8)</f>
        <v>672.66724122289747</v>
      </c>
      <c r="AX121" s="89">
        <f>AVERAGE(AT121:AW121)</f>
        <v>725.91695394478211</v>
      </c>
      <c r="AY121" s="906">
        <f>AVERAGE(AY8,AW8)</f>
        <v>689.16666666666663</v>
      </c>
      <c r="AZ121" s="907">
        <f>AVERAGE(AZ8,AY8)</f>
        <v>690.33333333333326</v>
      </c>
      <c r="BA121" s="907">
        <f>AVERAGE(BA8,AZ8)</f>
        <v>642.83333333333326</v>
      </c>
      <c r="BB121" s="908">
        <f>AVERAGE(BB8,BA8)</f>
        <v>622.8326806176151</v>
      </c>
      <c r="BC121" s="89">
        <f>AVERAGE(AY121:BB121)</f>
        <v>661.29150348773715</v>
      </c>
      <c r="BD121" s="906">
        <f>AVERAGE(BD8,BB8)</f>
        <v>618.3326806176151</v>
      </c>
      <c r="BE121" s="907">
        <f>AVERAGE(BE8,BD8)</f>
        <v>604.5</v>
      </c>
      <c r="BF121" s="907">
        <f>AVERAGE(BF8,BE8)</f>
        <v>618</v>
      </c>
      <c r="BG121" s="908">
        <f>AVERAGE(BG8,BF8)</f>
        <v>651.33187374290833</v>
      </c>
      <c r="BH121" s="89">
        <f>AVERAGE(BD121:BG121)</f>
        <v>623.04113859013091</v>
      </c>
      <c r="BI121" s="906">
        <f>AVERAGE(BI8,BG8)</f>
        <v>656.83187374290833</v>
      </c>
      <c r="BJ121" s="907">
        <f>AVERAGE(BJ8,BI8)</f>
        <v>662.83333333333326</v>
      </c>
      <c r="BK121" s="907">
        <f>AVERAGE(BK8,BJ8)</f>
        <v>669.33333333333326</v>
      </c>
      <c r="BL121" s="908">
        <f>AVERAGE(BL8,BK8)</f>
        <v>651</v>
      </c>
      <c r="BM121" s="89">
        <f>AVERAGE(BI121:BL121)</f>
        <v>659.99963510239377</v>
      </c>
      <c r="BN121" s="906">
        <f>AVERAGE(BN8,BL8)</f>
        <v>585.33333333333337</v>
      </c>
      <c r="BO121" s="907">
        <f>AVERAGE(BO8,BN8)</f>
        <v>495</v>
      </c>
      <c r="BP121" s="907">
        <f>AVERAGE(BP8,BO8)</f>
        <v>456.33333333333337</v>
      </c>
      <c r="BQ121" s="908">
        <f>AVERAGE(BQ8,BP8)</f>
        <v>423</v>
      </c>
      <c r="BR121" s="89">
        <f>AVERAGE(BN121:BQ121)</f>
        <v>489.91666666666674</v>
      </c>
      <c r="BS121" s="906">
        <f>AVERAGE(BS8,BQ8)</f>
        <v>392.66666666666663</v>
      </c>
      <c r="BT121" s="907">
        <f>AVERAGE(BT8,BS8)</f>
        <v>480</v>
      </c>
      <c r="BU121" s="907">
        <f>AVERAGE(BU8,BT8)</f>
        <v>576.83333333333326</v>
      </c>
      <c r="BV121" s="908">
        <f>AVERAGE(BV8,BU8)</f>
        <v>556.5</v>
      </c>
      <c r="BW121" s="89">
        <f>AVERAGE(BS121:BV121)</f>
        <v>501.5</v>
      </c>
      <c r="BX121" s="906">
        <f>AVERAGE(BX8,BV8)</f>
        <v>571.83333333333326</v>
      </c>
      <c r="BY121" s="907">
        <f>AVERAGE(BY8,BX8)</f>
        <v>623.13043478260863</v>
      </c>
      <c r="BZ121" s="907">
        <f>AVERAGE(BZ8,BY8)</f>
        <v>622.50634057971013</v>
      </c>
      <c r="CA121" s="908">
        <f>AVERAGE(CA8,BZ8)</f>
        <v>619.75668564527257</v>
      </c>
      <c r="CB121" s="89">
        <f>AVERAGE(BX121:CA121)</f>
        <v>609.30669858523117</v>
      </c>
      <c r="CC121" s="906">
        <f>AVERAGE(CC8,CA8)</f>
        <v>679.58616357676135</v>
      </c>
      <c r="CD121" s="907">
        <f>AVERAGE(CD8,CC8)</f>
        <v>813.03871706192353</v>
      </c>
      <c r="CE121" s="907">
        <f>AVERAGE(CE8,CD8)</f>
        <v>857.5</v>
      </c>
      <c r="CF121" s="908">
        <f>AVERAGE(CF8,CE8)</f>
        <v>807.5</v>
      </c>
      <c r="CG121" s="1471">
        <f>AVERAGE(CC121:CF121)</f>
        <v>789.40622015967119</v>
      </c>
      <c r="CH121" s="906">
        <f>AVERAGE(CH8,CF8)</f>
        <v>792.5</v>
      </c>
      <c r="CI121" s="907">
        <f>AVERAGE(CI8,CH8)</f>
        <v>785</v>
      </c>
      <c r="CJ121" s="907">
        <f>AVERAGE(CJ8,CI8)</f>
        <v>765</v>
      </c>
      <c r="CK121" s="908">
        <f>AVERAGE(CK8,CJ8)</f>
        <v>737.5</v>
      </c>
      <c r="CL121" s="89">
        <f>AVERAGE(CH121:CK121)</f>
        <v>770</v>
      </c>
      <c r="CM121" s="906">
        <f>AVERAGE(CM8,CK8)</f>
        <v>687.5</v>
      </c>
      <c r="CN121" s="907">
        <f>AVERAGE(CN8,CM8)</f>
        <v>667.5</v>
      </c>
      <c r="CO121" s="907">
        <f>AVERAGE(CO8,CN8)</f>
        <v>660</v>
      </c>
      <c r="CP121" s="908">
        <f>AVERAGE(CP8,CO8)</f>
        <v>645</v>
      </c>
      <c r="CQ121" s="907">
        <f>AVERAGE(CM121:CP121)</f>
        <v>665</v>
      </c>
      <c r="CR121" s="1459"/>
      <c r="CS121" s="90"/>
      <c r="CT121" s="90"/>
      <c r="CU121" s="75"/>
    </row>
    <row r="122" spans="1:105" ht="13.5" customHeight="1">
      <c r="A122" s="75"/>
      <c r="B122" s="75"/>
      <c r="C122" s="81" t="s">
        <v>691</v>
      </c>
      <c r="D122" s="88"/>
      <c r="E122" s="88"/>
      <c r="F122" s="88"/>
      <c r="G122" s="88"/>
      <c r="H122" s="88"/>
      <c r="I122" s="88"/>
      <c r="J122" s="89"/>
      <c r="K122" s="89">
        <f>AVERAGE(K12,E12)</f>
        <v>349.26970879071035</v>
      </c>
      <c r="L122" s="89">
        <f>AVERAGE(L12,K12)</f>
        <v>407.48132692249538</v>
      </c>
      <c r="M122" s="89">
        <f>AVERAGE(M12,L12)</f>
        <v>473.25289546100578</v>
      </c>
      <c r="N122" s="89">
        <f>AVERAGE(N12,M12)</f>
        <v>489.88478635580145</v>
      </c>
      <c r="O122" s="89">
        <f>AVERAGE(K122:N122)</f>
        <v>429.97217938250327</v>
      </c>
      <c r="P122" s="89">
        <f>AVERAGE(P12,N12)</f>
        <v>495.9327466811817</v>
      </c>
      <c r="Q122" s="89">
        <f>AVERAGE(Q12,P12)</f>
        <v>465.69294505428036</v>
      </c>
      <c r="R122" s="89">
        <f>AVERAGE(R12,Q12)</f>
        <v>386.31346578366441</v>
      </c>
      <c r="S122" s="89">
        <f>AVERAGE(S12,R12)</f>
        <v>348.51371375003777</v>
      </c>
      <c r="T122" s="89">
        <f>AVERAGE(P122:S122)</f>
        <v>424.11321781729106</v>
      </c>
      <c r="U122" s="89">
        <f>AVERAGE(U12,S12)</f>
        <v>361.36562944147084</v>
      </c>
      <c r="V122" s="89">
        <f>AVERAGE(V12,U12)</f>
        <v>399.16538147509749</v>
      </c>
      <c r="W122" s="89">
        <f>AVERAGE(W12,V12)</f>
        <v>467.20493513562548</v>
      </c>
      <c r="X122" s="89">
        <f>AVERAGE(X12,W12)</f>
        <v>476.27687562369584</v>
      </c>
      <c r="Y122" s="89">
        <f>AVERAGE(U122:X122)</f>
        <v>426.00320541897241</v>
      </c>
      <c r="Z122" s="89">
        <f>AVERAGE(Z12,X12)</f>
        <v>449.06105415948463</v>
      </c>
      <c r="AA122" s="89">
        <f>AVERAGE(AA12,Z12)</f>
        <v>471.74090537966066</v>
      </c>
      <c r="AB122" s="89">
        <f>AVERAGE(AB12,AA12)</f>
        <v>495.9327466811817</v>
      </c>
      <c r="AC122" s="89">
        <f>AVERAGE(AC12,AB12)</f>
        <v>489.88478635580145</v>
      </c>
      <c r="AD122" s="89">
        <f>AVERAGE(Z122:AC122)</f>
        <v>476.65487314403214</v>
      </c>
      <c r="AE122" s="89">
        <f>AVERAGE(AE12,AC12)</f>
        <v>517.10060782001267</v>
      </c>
      <c r="AF122" s="89">
        <f>AVERAGE(AF12,AE12)</f>
        <v>680.39553660527986</v>
      </c>
      <c r="AG122" s="89">
        <f>AVERAGE(AG12,AF12)</f>
        <v>881.49021742417358</v>
      </c>
      <c r="AH122" s="89">
        <f>AVERAGE(AH12,AG12)</f>
        <v>752.97106050984303</v>
      </c>
      <c r="AI122" s="89">
        <f>AVERAGE(AE122:AH122)</f>
        <v>707.98935558982737</v>
      </c>
      <c r="AJ122" s="906">
        <f>AVERAGE(AJ12,AH12)</f>
        <v>441.56189936194016</v>
      </c>
      <c r="AK122" s="907">
        <f>AVERAGE(AK12,AJ12)</f>
        <v>220.99373431310289</v>
      </c>
      <c r="AL122" s="907">
        <f>AVERAGE(AL12,AK12)</f>
        <v>205.87383349965225</v>
      </c>
      <c r="AM122" s="908">
        <f>AVERAGE(AM12,AL12)</f>
        <v>340.25856391182072</v>
      </c>
      <c r="AN122" s="89">
        <f>AVERAGE(AJ122:AM122)</f>
        <v>302.17200777162901</v>
      </c>
      <c r="AO122" s="906">
        <f>AVERAGE(AO12,AM12)</f>
        <v>421.84523269527352</v>
      </c>
      <c r="AP122" s="907">
        <f>AVERAGE(AP12,AO12)</f>
        <v>501.98070700656206</v>
      </c>
      <c r="AQ122" s="907">
        <f>AVERAGE(AQ12,AP12)</f>
        <v>520.12458798270279</v>
      </c>
      <c r="AR122" s="908">
        <f>AVERAGE(AR12,AQ12)</f>
        <v>488.37279627445639</v>
      </c>
      <c r="AS122" s="89">
        <f>AVERAGE(AO122:AR122)</f>
        <v>483.08083098974873</v>
      </c>
      <c r="AT122" s="906">
        <f>AVERAGE(AT12,AR12)</f>
        <v>548.85239952825907</v>
      </c>
      <c r="AU122" s="907">
        <f>AVERAGE(AU12,AT12)</f>
        <v>641.83978953098062</v>
      </c>
      <c r="AV122" s="907">
        <f>AVERAGE(AV12,AU12)</f>
        <v>659.98367050712147</v>
      </c>
      <c r="AW122" s="908">
        <f>AVERAGE(AW12,AV12)</f>
        <v>658.47168042577641</v>
      </c>
      <c r="AX122" s="89">
        <f>AVERAGE(AT122:AW122)</f>
        <v>627.28688499803445</v>
      </c>
      <c r="AY122" s="906">
        <f>AVERAGE(AY12,AW12)</f>
        <v>644.86376969367075</v>
      </c>
      <c r="AZ122" s="907">
        <f>AVERAGE(AZ12,AY12)</f>
        <v>591.22471196588936</v>
      </c>
      <c r="BA122" s="907">
        <f>AVERAGE(BA12,AZ12)</f>
        <v>544.75475520880582</v>
      </c>
      <c r="BB122" s="908">
        <f>AVERAGE(BB12,BA12)</f>
        <v>513.16666666666663</v>
      </c>
      <c r="BC122" s="89">
        <f>AVERAGE(AY122:BB122)</f>
        <v>573.50247588375817</v>
      </c>
      <c r="BD122" s="906">
        <f>AVERAGE(BD12,BB12)</f>
        <v>510.34574677190119</v>
      </c>
      <c r="BE122" s="907">
        <f>AVERAGE(BE12,BD12)</f>
        <v>515.40415494874355</v>
      </c>
      <c r="BF122" s="907">
        <f>AVERAGE(BF12,BE12)</f>
        <v>525.68568750189002</v>
      </c>
      <c r="BG122" s="908">
        <f>AVERAGE(BG12,BF12)</f>
        <v>547.34040944691401</v>
      </c>
      <c r="BH122" s="89">
        <f>AVERAGE(BD122:BG122)</f>
        <v>524.69399966736216</v>
      </c>
      <c r="BI122" s="906">
        <f>AVERAGE(BI12,BG12)</f>
        <v>544.46685330674086</v>
      </c>
      <c r="BJ122" s="907">
        <f>AVERAGE(BJ12,BI12)</f>
        <v>531.91495580848618</v>
      </c>
      <c r="BK122" s="907">
        <f>AVERAGE(BK12,BJ12)</f>
        <v>517.85190493902201</v>
      </c>
      <c r="BL122" s="908">
        <f>AVERAGE(BL12,BK12)</f>
        <v>491.54351619175497</v>
      </c>
      <c r="BM122" s="89">
        <f>AVERAGE(BI122:BL122)</f>
        <v>521.44430756150098</v>
      </c>
      <c r="BN122" s="906">
        <f>AVERAGE(BN12,BL12)</f>
        <v>435.60220128056</v>
      </c>
      <c r="BO122" s="907">
        <f>AVERAGE(BO12,BN12)</f>
        <v>376.48553025492151</v>
      </c>
      <c r="BP122" s="907">
        <f>AVERAGE(BP12,BO12)</f>
        <v>340.9537633433124</v>
      </c>
      <c r="BQ122" s="908">
        <f>AVERAGE(BQ12,BP12)</f>
        <v>317.5179170824639</v>
      </c>
      <c r="BR122" s="89">
        <f>AVERAGE(BN122:BQ122)</f>
        <v>367.63985299031447</v>
      </c>
      <c r="BS122" s="906">
        <f>AVERAGE(BS12,BQ12)</f>
        <v>302.39801626901328</v>
      </c>
      <c r="BT122" s="907">
        <f>AVERAGE(BT12,BS12)</f>
        <v>340.19776830263993</v>
      </c>
      <c r="BU122" s="907">
        <f>AVERAGE(BU12,BT12)</f>
        <v>371.94956001088633</v>
      </c>
      <c r="BV122" s="908">
        <f>AVERAGE(BV12,BU12)</f>
        <v>375.72953521424898</v>
      </c>
      <c r="BW122" s="89">
        <f>AVERAGE(BS122:BV122)</f>
        <v>347.56871994919715</v>
      </c>
      <c r="BX122" s="906">
        <f>AVERAGE(BX12,BV12)</f>
        <v>421.08923765460099</v>
      </c>
      <c r="BY122" s="907">
        <f>AVERAGE(BY12,BX12)</f>
        <v>452.62585049442077</v>
      </c>
      <c r="BZ122" s="907">
        <f>AVERAGE(BZ12,BY12)</f>
        <v>456.91666666666669</v>
      </c>
      <c r="CA122" s="908">
        <f>AVERAGE(CA12,BZ12)</f>
        <v>464.38077984817119</v>
      </c>
      <c r="CB122" s="89">
        <f>AVERAGE(BX122:CA122)</f>
        <v>448.75313366596492</v>
      </c>
      <c r="CC122" s="906">
        <f>AVERAGE(CC12,CA12)</f>
        <v>529.58616357676146</v>
      </c>
      <c r="CD122" s="907">
        <f>AVERAGE(CD12,CC12)</f>
        <v>643.03871706192353</v>
      </c>
      <c r="CE122" s="907">
        <f>AVERAGE(CE12,CD12)</f>
        <v>687.5</v>
      </c>
      <c r="CF122" s="908">
        <f>AVERAGE(CF12,CE12)</f>
        <v>657.5</v>
      </c>
      <c r="CG122" s="1471">
        <f>AVERAGE(CC122:CF122)</f>
        <v>629.40622015967119</v>
      </c>
      <c r="CH122" s="906">
        <f>AVERAGE(CH12,CF12)</f>
        <v>642.5</v>
      </c>
      <c r="CI122" s="907">
        <f>AVERAGE(CI12,CH12)</f>
        <v>635</v>
      </c>
      <c r="CJ122" s="907">
        <f>AVERAGE(CJ12,CI12)</f>
        <v>615</v>
      </c>
      <c r="CK122" s="908">
        <f>AVERAGE(CK12,CJ12)</f>
        <v>587.5</v>
      </c>
      <c r="CL122" s="89">
        <f>AVERAGE(CH122:CK122)</f>
        <v>620</v>
      </c>
      <c r="CM122" s="906">
        <f>AVERAGE(CM12,CK12)</f>
        <v>537.5</v>
      </c>
      <c r="CN122" s="907">
        <f>AVERAGE(CN12,CM12)</f>
        <v>517.5</v>
      </c>
      <c r="CO122" s="907">
        <f>AVERAGE(CO12,CN12)</f>
        <v>510</v>
      </c>
      <c r="CP122" s="908">
        <f>AVERAGE(CP12,CO12)</f>
        <v>495</v>
      </c>
      <c r="CQ122" s="907">
        <f>AVERAGE(CM122:CP122)</f>
        <v>515</v>
      </c>
      <c r="CR122" s="1459"/>
      <c r="CS122" s="90"/>
      <c r="CT122" s="90"/>
      <c r="CU122" s="75"/>
    </row>
    <row r="123" spans="1:105" ht="6.2" customHeight="1">
      <c r="A123" s="75"/>
      <c r="B123" s="75"/>
      <c r="C123" s="81"/>
      <c r="D123" s="88"/>
      <c r="E123" s="88"/>
      <c r="F123" s="88"/>
      <c r="G123" s="88"/>
      <c r="H123" s="88"/>
      <c r="I123" s="88"/>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c r="AG123" s="89"/>
      <c r="AH123" s="89"/>
      <c r="AI123" s="89"/>
      <c r="AJ123" s="906"/>
      <c r="AK123" s="907"/>
      <c r="AL123" s="907"/>
      <c r="AM123" s="908"/>
      <c r="AN123" s="89"/>
      <c r="AO123" s="906"/>
      <c r="AP123" s="907"/>
      <c r="AQ123" s="907"/>
      <c r="AR123" s="908"/>
      <c r="AS123" s="89"/>
      <c r="AT123" s="906"/>
      <c r="AU123" s="907"/>
      <c r="AV123" s="907"/>
      <c r="AW123" s="908"/>
      <c r="AX123" s="89"/>
      <c r="AY123" s="906"/>
      <c r="AZ123" s="907"/>
      <c r="BA123" s="907"/>
      <c r="BB123" s="908"/>
      <c r="BC123" s="89"/>
      <c r="BD123" s="906"/>
      <c r="BE123" s="907"/>
      <c r="BF123" s="907"/>
      <c r="BG123" s="908"/>
      <c r="BH123" s="89"/>
      <c r="BI123" s="906"/>
      <c r="BJ123" s="907"/>
      <c r="BK123" s="907"/>
      <c r="BL123" s="908"/>
      <c r="BM123" s="89"/>
      <c r="BN123" s="906"/>
      <c r="BO123" s="907"/>
      <c r="BP123" s="907"/>
      <c r="BQ123" s="908"/>
      <c r="BR123" s="89"/>
      <c r="BS123" s="906"/>
      <c r="BT123" s="907"/>
      <c r="BU123" s="907"/>
      <c r="BV123" s="908"/>
      <c r="BW123" s="89"/>
      <c r="BX123" s="906"/>
      <c r="BY123" s="907"/>
      <c r="BZ123" s="907"/>
      <c r="CA123" s="908"/>
      <c r="CB123" s="89"/>
      <c r="CC123" s="906"/>
      <c r="CD123" s="907"/>
      <c r="CE123" s="907"/>
      <c r="CF123" s="908"/>
      <c r="CG123" s="1471"/>
      <c r="CH123" s="906"/>
      <c r="CI123" s="907"/>
      <c r="CJ123" s="907"/>
      <c r="CK123" s="908"/>
      <c r="CL123" s="89"/>
      <c r="CM123" s="906"/>
      <c r="CN123" s="907"/>
      <c r="CO123" s="907"/>
      <c r="CP123" s="908"/>
      <c r="CQ123" s="907"/>
      <c r="CR123" s="1459"/>
      <c r="CS123" s="90"/>
      <c r="CT123" s="90"/>
      <c r="CU123" s="75"/>
    </row>
    <row r="124" spans="1:105" ht="13.5" customHeight="1">
      <c r="A124" s="291"/>
      <c r="B124" s="93" t="s">
        <v>918</v>
      </c>
      <c r="C124" s="291"/>
      <c r="D124" s="306"/>
      <c r="E124" s="306"/>
      <c r="F124" s="306">
        <f>Financials!F34</f>
        <v>-5</v>
      </c>
      <c r="G124" s="306">
        <f>Financials!G34</f>
        <v>-4</v>
      </c>
      <c r="H124" s="306">
        <f>Financials!H34</f>
        <v>-10</v>
      </c>
      <c r="I124" s="306">
        <f>Financials!I34</f>
        <v>-6</v>
      </c>
      <c r="J124" s="306">
        <f>Financials!J34</f>
        <v>-25</v>
      </c>
      <c r="K124" s="306">
        <f>Financials!K34</f>
        <v>3</v>
      </c>
      <c r="L124" s="306">
        <f>Financials!L34</f>
        <v>25</v>
      </c>
      <c r="M124" s="306">
        <f>Financials!M34</f>
        <v>55</v>
      </c>
      <c r="N124" s="306">
        <f>Financials!N34</f>
        <v>114</v>
      </c>
      <c r="O124" s="306">
        <f>Financials!O34</f>
        <v>197</v>
      </c>
      <c r="P124" s="306">
        <f>Financials!P34</f>
        <v>122</v>
      </c>
      <c r="Q124" s="306">
        <f>Financials!Q34</f>
        <v>133</v>
      </c>
      <c r="R124" s="306">
        <f>Financials!R34</f>
        <v>124</v>
      </c>
      <c r="S124" s="306">
        <f>Financials!S34</f>
        <v>149</v>
      </c>
      <c r="T124" s="306">
        <f>Financials!T34</f>
        <v>528</v>
      </c>
      <c r="U124" s="619">
        <v>177</v>
      </c>
      <c r="V124" s="619">
        <v>146</v>
      </c>
      <c r="W124" s="619">
        <v>164</v>
      </c>
      <c r="X124" s="619">
        <v>144</v>
      </c>
      <c r="Y124" s="306">
        <f>SUM(U124:X124)</f>
        <v>631</v>
      </c>
      <c r="Z124" s="619">
        <v>102</v>
      </c>
      <c r="AA124" s="619">
        <v>97</v>
      </c>
      <c r="AB124" s="619">
        <v>74</v>
      </c>
      <c r="AC124" s="619">
        <v>83</v>
      </c>
      <c r="AD124" s="306">
        <f>SUM(Z124:AC124)</f>
        <v>356</v>
      </c>
      <c r="AE124" s="619">
        <v>51</v>
      </c>
      <c r="AF124" s="619">
        <v>177</v>
      </c>
      <c r="AG124" s="619">
        <v>420</v>
      </c>
      <c r="AH124" s="619">
        <v>559</v>
      </c>
      <c r="AI124" s="306">
        <f>SUM(AE124:AH124)</f>
        <v>1207</v>
      </c>
      <c r="AJ124" s="977">
        <v>127</v>
      </c>
      <c r="AK124" s="978">
        <v>-88</v>
      </c>
      <c r="AL124" s="978">
        <v>-21</v>
      </c>
      <c r="AM124" s="979">
        <v>39</v>
      </c>
      <c r="AN124" s="306">
        <f>SUM(AJ124:AM124)</f>
        <v>57</v>
      </c>
      <c r="AO124" s="977">
        <v>45</v>
      </c>
      <c r="AP124" s="978">
        <v>96</v>
      </c>
      <c r="AQ124" s="978">
        <v>112</v>
      </c>
      <c r="AR124" s="979">
        <v>96</v>
      </c>
      <c r="AS124" s="306">
        <f>SUM(AO124:AR124)</f>
        <v>349</v>
      </c>
      <c r="AT124" s="977">
        <v>32</v>
      </c>
      <c r="AU124" s="978">
        <v>31</v>
      </c>
      <c r="AV124" s="1021">
        <v>134</v>
      </c>
      <c r="AW124" s="979">
        <v>119</v>
      </c>
      <c r="AX124" s="306">
        <f>SUM(AT124:AW124)</f>
        <v>316</v>
      </c>
      <c r="AY124" s="977">
        <v>129</v>
      </c>
      <c r="AZ124" s="978">
        <v>103</v>
      </c>
      <c r="BA124" s="978">
        <v>102</v>
      </c>
      <c r="BB124" s="979">
        <v>32</v>
      </c>
      <c r="BC124" s="306">
        <f>SUM(AY124:BB124)</f>
        <v>366</v>
      </c>
      <c r="BD124" s="977">
        <v>64</v>
      </c>
      <c r="BE124" s="978">
        <v>45</v>
      </c>
      <c r="BF124" s="978">
        <v>49</v>
      </c>
      <c r="BG124" s="979">
        <v>32</v>
      </c>
      <c r="BH124" s="306">
        <f>SUM(BD124:BG124)</f>
        <v>190</v>
      </c>
      <c r="BI124" s="977">
        <v>24</v>
      </c>
      <c r="BJ124" s="978">
        <v>47</v>
      </c>
      <c r="BK124" s="978">
        <v>69</v>
      </c>
      <c r="BL124" s="979">
        <v>121</v>
      </c>
      <c r="BM124" s="306">
        <f>SUM(BI124:BL124)</f>
        <v>261</v>
      </c>
      <c r="BN124" s="977">
        <v>1</v>
      </c>
      <c r="BO124" s="1021">
        <v>-66</v>
      </c>
      <c r="BP124" s="1021">
        <v>-50</v>
      </c>
      <c r="BQ124" s="1055">
        <f>-179-SUM(BN124:BP124)</f>
        <v>-64</v>
      </c>
      <c r="BR124" s="306">
        <f>SUM(BN124:BQ124)</f>
        <v>-179</v>
      </c>
      <c r="BS124" s="1072">
        <v>-64</v>
      </c>
      <c r="BT124" s="978">
        <v>-78</v>
      </c>
      <c r="BU124" s="978">
        <v>-75</v>
      </c>
      <c r="BV124" s="979">
        <v>-87</v>
      </c>
      <c r="BW124" s="306">
        <f>SUM(BS124:BV124)</f>
        <v>-304</v>
      </c>
      <c r="BX124" s="1072">
        <v>-57</v>
      </c>
      <c r="BY124" s="1021">
        <v>-29</v>
      </c>
      <c r="BZ124" s="1021">
        <v>-7</v>
      </c>
      <c r="CA124" s="1055">
        <v>-6</v>
      </c>
      <c r="CB124" s="306">
        <f>SUM(BX124:CA124)</f>
        <v>-99</v>
      </c>
      <c r="CC124" s="1112">
        <f>+CC126-CC125</f>
        <v>3.241913567999994</v>
      </c>
      <c r="CD124" s="1113">
        <f t="shared" ref="CD124:CF124" si="211">+CD126-CD125</f>
        <v>15.299131919999972</v>
      </c>
      <c r="CE124" s="1113">
        <f t="shared" si="211"/>
        <v>27.611343820000052</v>
      </c>
      <c r="CF124" s="1092">
        <f t="shared" si="211"/>
        <v>18.15830914600004</v>
      </c>
      <c r="CG124" s="1497">
        <f>SUM(CC124:CF124)</f>
        <v>64.310698454000061</v>
      </c>
      <c r="CH124" s="1112">
        <f t="shared" ref="CH124:CK124" si="212">+CH126-CH125</f>
        <v>-11.095749024960009</v>
      </c>
      <c r="CI124" s="1113">
        <f t="shared" si="212"/>
        <v>18.342905877599971</v>
      </c>
      <c r="CJ124" s="1113">
        <f t="shared" si="212"/>
        <v>31.086284134600056</v>
      </c>
      <c r="CK124" s="1092">
        <f t="shared" si="212"/>
        <v>20.998943420380044</v>
      </c>
      <c r="CL124" s="306">
        <f>SUM(CH124:CK124)</f>
        <v>59.332384407620061</v>
      </c>
      <c r="CM124" s="1112">
        <f t="shared" ref="CM124:CP124" si="213">+CM126-CM125</f>
        <v>-11.068621495708808</v>
      </c>
      <c r="CN124" s="1113">
        <f t="shared" si="213"/>
        <v>19.253193053927976</v>
      </c>
      <c r="CO124" s="1113">
        <f t="shared" si="213"/>
        <v>32.378872658638059</v>
      </c>
      <c r="CP124" s="1092">
        <f t="shared" si="213"/>
        <v>21.988911722991439</v>
      </c>
      <c r="CQ124" s="1113">
        <f>SUM(CM124:CP124)</f>
        <v>62.552355939848667</v>
      </c>
    </row>
    <row r="125" spans="1:105" ht="13.5" customHeight="1">
      <c r="A125" s="75"/>
      <c r="B125" s="93"/>
      <c r="C125" s="75" t="s">
        <v>722</v>
      </c>
      <c r="D125" s="650">
        <v>11</v>
      </c>
      <c r="E125" s="650">
        <v>10</v>
      </c>
      <c r="F125" s="307">
        <f>G125</f>
        <v>3.75</v>
      </c>
      <c r="G125" s="307">
        <f>H125</f>
        <v>3.75</v>
      </c>
      <c r="H125" s="307">
        <f>I125</f>
        <v>3.75</v>
      </c>
      <c r="I125" s="307">
        <f>J125/4</f>
        <v>3.75</v>
      </c>
      <c r="J125" s="672">
        <v>15</v>
      </c>
      <c r="K125" s="307">
        <f>O125/4</f>
        <v>4</v>
      </c>
      <c r="L125" s="307">
        <f>O125/4</f>
        <v>4</v>
      </c>
      <c r="M125" s="307">
        <f>O125/4</f>
        <v>4</v>
      </c>
      <c r="N125" s="307">
        <f>O125/4</f>
        <v>4</v>
      </c>
      <c r="O125" s="672">
        <v>16</v>
      </c>
      <c r="P125" s="672">
        <v>4</v>
      </c>
      <c r="Q125" s="672">
        <v>3</v>
      </c>
      <c r="R125" s="672">
        <v>3</v>
      </c>
      <c r="S125" s="672">
        <v>3</v>
      </c>
      <c r="T125" s="307">
        <f>SUM(P125:S125)</f>
        <v>13</v>
      </c>
      <c r="U125" s="672">
        <v>3</v>
      </c>
      <c r="V125" s="672">
        <v>4</v>
      </c>
      <c r="W125" s="672">
        <v>3</v>
      </c>
      <c r="X125" s="153">
        <f>Y125-W125-V125-U125</f>
        <v>3</v>
      </c>
      <c r="Y125" s="672">
        <v>13</v>
      </c>
      <c r="Z125" s="672">
        <v>2</v>
      </c>
      <c r="AA125" s="672">
        <v>1</v>
      </c>
      <c r="AB125" s="672">
        <v>10</v>
      </c>
      <c r="AC125" s="672">
        <v>10</v>
      </c>
      <c r="AD125" s="307">
        <f>SUM(Z125:AC125)</f>
        <v>23</v>
      </c>
      <c r="AE125" s="672">
        <v>4</v>
      </c>
      <c r="AF125" s="672">
        <v>5</v>
      </c>
      <c r="AG125" s="672">
        <v>9</v>
      </c>
      <c r="AH125" s="672">
        <v>11</v>
      </c>
      <c r="AI125" s="307">
        <f>SUM(AE125:AH125)</f>
        <v>29</v>
      </c>
      <c r="AJ125" s="980">
        <v>11</v>
      </c>
      <c r="AK125" s="981">
        <v>11</v>
      </c>
      <c r="AL125" s="981">
        <v>12</v>
      </c>
      <c r="AM125" s="982">
        <v>10</v>
      </c>
      <c r="AN125" s="307">
        <f>SUM(AJ125:AM125)</f>
        <v>44</v>
      </c>
      <c r="AO125" s="980">
        <v>11</v>
      </c>
      <c r="AP125" s="981">
        <v>11</v>
      </c>
      <c r="AQ125" s="981">
        <v>12</v>
      </c>
      <c r="AR125" s="982">
        <v>11</v>
      </c>
      <c r="AS125" s="307">
        <f>SUM(AO125:AR125)</f>
        <v>45</v>
      </c>
      <c r="AT125" s="980">
        <v>11</v>
      </c>
      <c r="AU125" s="981">
        <v>12</v>
      </c>
      <c r="AV125" s="981">
        <v>13</v>
      </c>
      <c r="AW125" s="982">
        <v>8</v>
      </c>
      <c r="AX125" s="307">
        <f>SUM(AT125:AW125)</f>
        <v>44</v>
      </c>
      <c r="AY125" s="980">
        <v>14</v>
      </c>
      <c r="AZ125" s="981">
        <v>15</v>
      </c>
      <c r="BA125" s="981">
        <v>15</v>
      </c>
      <c r="BB125" s="982">
        <v>14</v>
      </c>
      <c r="BC125" s="307">
        <f>SUM(AY125:BB125)</f>
        <v>58</v>
      </c>
      <c r="BD125" s="1033">
        <v>15</v>
      </c>
      <c r="BE125" s="639">
        <v>16</v>
      </c>
      <c r="BF125" s="639">
        <v>15</v>
      </c>
      <c r="BG125" s="960">
        <v>16</v>
      </c>
      <c r="BH125" s="307">
        <f>SUM(BD125:BG125)</f>
        <v>62</v>
      </c>
      <c r="BI125" s="1042">
        <v>16</v>
      </c>
      <c r="BJ125" s="1043">
        <v>16</v>
      </c>
      <c r="BK125" s="1043">
        <v>17</v>
      </c>
      <c r="BL125" s="1044">
        <v>17</v>
      </c>
      <c r="BM125" s="307">
        <f>SUM(BI125:BL125)</f>
        <v>66</v>
      </c>
      <c r="BN125" s="980">
        <v>17</v>
      </c>
      <c r="BO125" s="981">
        <v>17</v>
      </c>
      <c r="BP125" s="981">
        <v>14</v>
      </c>
      <c r="BQ125" s="982">
        <v>16</v>
      </c>
      <c r="BR125" s="307">
        <f>SUM(BN125:BQ125)</f>
        <v>64</v>
      </c>
      <c r="BS125" s="980">
        <v>17</v>
      </c>
      <c r="BT125" s="981">
        <v>17</v>
      </c>
      <c r="BU125" s="981">
        <v>17</v>
      </c>
      <c r="BV125" s="982">
        <v>17</v>
      </c>
      <c r="BW125" s="307">
        <f>SUM(BS125:BV125)</f>
        <v>68</v>
      </c>
      <c r="BX125" s="980">
        <v>15</v>
      </c>
      <c r="BY125" s="981">
        <v>13</v>
      </c>
      <c r="BZ125" s="981">
        <v>11</v>
      </c>
      <c r="CA125" s="982">
        <v>12</v>
      </c>
      <c r="CB125" s="307">
        <f>SUM(BX125:CA125)</f>
        <v>51</v>
      </c>
      <c r="CC125" s="1114">
        <v>12</v>
      </c>
      <c r="CD125" s="1115">
        <v>12</v>
      </c>
      <c r="CE125" s="1115">
        <v>12</v>
      </c>
      <c r="CF125" s="1093">
        <v>12</v>
      </c>
      <c r="CG125" s="1498">
        <f>SUM(CC125:CF125)</f>
        <v>48</v>
      </c>
      <c r="CH125" s="1114">
        <v>12</v>
      </c>
      <c r="CI125" s="1115">
        <v>12</v>
      </c>
      <c r="CJ125" s="1115">
        <v>12</v>
      </c>
      <c r="CK125" s="1093">
        <v>12</v>
      </c>
      <c r="CL125" s="307">
        <f>SUM(CH125:CK125)</f>
        <v>48</v>
      </c>
      <c r="CM125" s="1114">
        <v>12</v>
      </c>
      <c r="CN125" s="1115">
        <v>12</v>
      </c>
      <c r="CO125" s="1115">
        <v>12</v>
      </c>
      <c r="CP125" s="1093">
        <v>12</v>
      </c>
      <c r="CQ125" s="1458">
        <f>SUM(CM125:CP125)</f>
        <v>48</v>
      </c>
    </row>
    <row r="126" spans="1:105" s="873" customFormat="1" ht="13.5" customHeight="1">
      <c r="A126" s="93"/>
      <c r="B126" s="93"/>
      <c r="C126" s="93" t="s">
        <v>588</v>
      </c>
      <c r="D126" s="123">
        <f t="shared" ref="D126:AI126" si="214">D124+D125</f>
        <v>11</v>
      </c>
      <c r="E126" s="123">
        <f t="shared" si="214"/>
        <v>10</v>
      </c>
      <c r="F126" s="123">
        <f t="shared" si="214"/>
        <v>-1.25</v>
      </c>
      <c r="G126" s="123">
        <f t="shared" si="214"/>
        <v>-0.25</v>
      </c>
      <c r="H126" s="123">
        <f t="shared" si="214"/>
        <v>-6.25</v>
      </c>
      <c r="I126" s="123">
        <f t="shared" si="214"/>
        <v>-2.25</v>
      </c>
      <c r="J126" s="123">
        <f t="shared" si="214"/>
        <v>-10</v>
      </c>
      <c r="K126" s="123">
        <f t="shared" si="214"/>
        <v>7</v>
      </c>
      <c r="L126" s="123">
        <f t="shared" si="214"/>
        <v>29</v>
      </c>
      <c r="M126" s="123">
        <f t="shared" si="214"/>
        <v>59</v>
      </c>
      <c r="N126" s="123">
        <f t="shared" si="214"/>
        <v>118</v>
      </c>
      <c r="O126" s="123">
        <f t="shared" si="214"/>
        <v>213</v>
      </c>
      <c r="P126" s="123">
        <f t="shared" si="214"/>
        <v>126</v>
      </c>
      <c r="Q126" s="123">
        <f t="shared" si="214"/>
        <v>136</v>
      </c>
      <c r="R126" s="123">
        <f t="shared" si="214"/>
        <v>127</v>
      </c>
      <c r="S126" s="123">
        <f t="shared" si="214"/>
        <v>152</v>
      </c>
      <c r="T126" s="123">
        <f t="shared" si="214"/>
        <v>541</v>
      </c>
      <c r="U126" s="123">
        <f t="shared" si="214"/>
        <v>180</v>
      </c>
      <c r="V126" s="123">
        <f t="shared" si="214"/>
        <v>150</v>
      </c>
      <c r="W126" s="123">
        <f t="shared" si="214"/>
        <v>167</v>
      </c>
      <c r="X126" s="123">
        <f t="shared" si="214"/>
        <v>147</v>
      </c>
      <c r="Y126" s="123">
        <f t="shared" si="214"/>
        <v>644</v>
      </c>
      <c r="Z126" s="123">
        <f t="shared" si="214"/>
        <v>104</v>
      </c>
      <c r="AA126" s="123">
        <f t="shared" si="214"/>
        <v>98</v>
      </c>
      <c r="AB126" s="123">
        <f t="shared" si="214"/>
        <v>84</v>
      </c>
      <c r="AC126" s="123">
        <f t="shared" si="214"/>
        <v>93</v>
      </c>
      <c r="AD126" s="123">
        <f t="shared" si="214"/>
        <v>379</v>
      </c>
      <c r="AE126" s="123">
        <f t="shared" si="214"/>
        <v>55</v>
      </c>
      <c r="AF126" s="123">
        <f t="shared" si="214"/>
        <v>182</v>
      </c>
      <c r="AG126" s="123">
        <f t="shared" si="214"/>
        <v>429</v>
      </c>
      <c r="AH126" s="123">
        <f t="shared" si="214"/>
        <v>570</v>
      </c>
      <c r="AI126" s="123">
        <f t="shared" si="214"/>
        <v>1236</v>
      </c>
      <c r="AJ126" s="972">
        <f t="shared" ref="AJ126:BO126" si="215">AJ124+AJ125</f>
        <v>138</v>
      </c>
      <c r="AK126" s="282">
        <f t="shared" si="215"/>
        <v>-77</v>
      </c>
      <c r="AL126" s="282">
        <f t="shared" si="215"/>
        <v>-9</v>
      </c>
      <c r="AM126" s="973">
        <f t="shared" si="215"/>
        <v>49</v>
      </c>
      <c r="AN126" s="123">
        <f t="shared" si="215"/>
        <v>101</v>
      </c>
      <c r="AO126" s="972">
        <f t="shared" si="215"/>
        <v>56</v>
      </c>
      <c r="AP126" s="282">
        <f t="shared" si="215"/>
        <v>107</v>
      </c>
      <c r="AQ126" s="282">
        <f t="shared" si="215"/>
        <v>124</v>
      </c>
      <c r="AR126" s="973">
        <f t="shared" si="215"/>
        <v>107</v>
      </c>
      <c r="AS126" s="123">
        <f t="shared" si="215"/>
        <v>394</v>
      </c>
      <c r="AT126" s="972">
        <f t="shared" si="215"/>
        <v>43</v>
      </c>
      <c r="AU126" s="282">
        <f t="shared" si="215"/>
        <v>43</v>
      </c>
      <c r="AV126" s="282">
        <f t="shared" si="215"/>
        <v>147</v>
      </c>
      <c r="AW126" s="973">
        <f t="shared" si="215"/>
        <v>127</v>
      </c>
      <c r="AX126" s="123">
        <f t="shared" si="215"/>
        <v>360</v>
      </c>
      <c r="AY126" s="972">
        <f t="shared" si="215"/>
        <v>143</v>
      </c>
      <c r="AZ126" s="282">
        <f t="shared" si="215"/>
        <v>118</v>
      </c>
      <c r="BA126" s="282">
        <f t="shared" si="215"/>
        <v>117</v>
      </c>
      <c r="BB126" s="973">
        <f t="shared" si="215"/>
        <v>46</v>
      </c>
      <c r="BC126" s="123">
        <f t="shared" si="215"/>
        <v>424</v>
      </c>
      <c r="BD126" s="972">
        <f t="shared" si="215"/>
        <v>79</v>
      </c>
      <c r="BE126" s="282">
        <f t="shared" si="215"/>
        <v>61</v>
      </c>
      <c r="BF126" s="282">
        <f t="shared" si="215"/>
        <v>64</v>
      </c>
      <c r="BG126" s="973">
        <f t="shared" si="215"/>
        <v>48</v>
      </c>
      <c r="BH126" s="123">
        <f t="shared" si="215"/>
        <v>252</v>
      </c>
      <c r="BI126" s="972">
        <f t="shared" si="215"/>
        <v>40</v>
      </c>
      <c r="BJ126" s="282">
        <f t="shared" si="215"/>
        <v>63</v>
      </c>
      <c r="BK126" s="282">
        <f t="shared" si="215"/>
        <v>86</v>
      </c>
      <c r="BL126" s="973">
        <f t="shared" si="215"/>
        <v>138</v>
      </c>
      <c r="BM126" s="123">
        <f t="shared" si="215"/>
        <v>327</v>
      </c>
      <c r="BN126" s="972">
        <f t="shared" si="215"/>
        <v>18</v>
      </c>
      <c r="BO126" s="282">
        <f t="shared" si="215"/>
        <v>-49</v>
      </c>
      <c r="BP126" s="282">
        <f t="shared" ref="BP126:BZ126" si="216">BP124+BP125</f>
        <v>-36</v>
      </c>
      <c r="BQ126" s="973">
        <f t="shared" si="216"/>
        <v>-48</v>
      </c>
      <c r="BR126" s="123">
        <f t="shared" si="216"/>
        <v>-115</v>
      </c>
      <c r="BS126" s="972">
        <f t="shared" si="216"/>
        <v>-47</v>
      </c>
      <c r="BT126" s="282">
        <f t="shared" si="216"/>
        <v>-61</v>
      </c>
      <c r="BU126" s="282">
        <f t="shared" si="216"/>
        <v>-58</v>
      </c>
      <c r="BV126" s="973">
        <f t="shared" si="216"/>
        <v>-70</v>
      </c>
      <c r="BW126" s="123">
        <f t="shared" si="216"/>
        <v>-236</v>
      </c>
      <c r="BX126" s="972">
        <f t="shared" si="216"/>
        <v>-42</v>
      </c>
      <c r="BY126" s="282">
        <f t="shared" si="216"/>
        <v>-16</v>
      </c>
      <c r="BZ126" s="282">
        <f t="shared" si="216"/>
        <v>4</v>
      </c>
      <c r="CA126" s="973">
        <f t="shared" ref="CA126" si="217">CA124+CA125</f>
        <v>6</v>
      </c>
      <c r="CB126" s="123">
        <f>SUM(BX126:CA126)</f>
        <v>-48</v>
      </c>
      <c r="CC126" s="972">
        <f>+CC127*CC100/1000</f>
        <v>15.241913567999994</v>
      </c>
      <c r="CD126" s="282">
        <f>+CD127*CD100/1000</f>
        <v>27.299131919999972</v>
      </c>
      <c r="CE126" s="282">
        <f>+CE127*CE100/1000</f>
        <v>39.611343820000052</v>
      </c>
      <c r="CF126" s="973">
        <f>+CF127*CF100/1000</f>
        <v>30.15830914600004</v>
      </c>
      <c r="CG126" s="1483">
        <f>SUM(CC126:CF126)</f>
        <v>112.31069845400005</v>
      </c>
      <c r="CH126" s="972">
        <f>+CH127*CH100/1000</f>
        <v>0.90425097503999197</v>
      </c>
      <c r="CI126" s="282">
        <f>+CI127*CI100/1000</f>
        <v>30.342905877599971</v>
      </c>
      <c r="CJ126" s="282">
        <f>+CJ127*CJ100/1000</f>
        <v>43.086284134600056</v>
      </c>
      <c r="CK126" s="973">
        <f>+CK127*CK100/1000</f>
        <v>32.998943420380044</v>
      </c>
      <c r="CL126" s="123">
        <f>SUM(CH126:CK126)</f>
        <v>107.33238440762007</v>
      </c>
      <c r="CM126" s="972">
        <f>+CM127*CM100/1000</f>
        <v>0.93137850429119173</v>
      </c>
      <c r="CN126" s="282">
        <f>+CN127*CN100/1000</f>
        <v>31.253193053927976</v>
      </c>
      <c r="CO126" s="282">
        <f>+CO127*CO100/1000</f>
        <v>44.378872658638059</v>
      </c>
      <c r="CP126" s="973">
        <f>+CP127*CP100/1000</f>
        <v>33.988911722991439</v>
      </c>
      <c r="CQ126" s="282">
        <f>SUM(CM126:CP126)</f>
        <v>110.55235593984867</v>
      </c>
      <c r="CR126" s="1461"/>
      <c r="CV126"/>
      <c r="CW126"/>
      <c r="CX126"/>
      <c r="CY126"/>
      <c r="CZ126"/>
      <c r="DA126"/>
    </row>
    <row r="127" spans="1:105" ht="13.5" customHeight="1">
      <c r="A127" s="91"/>
      <c r="B127" s="91"/>
      <c r="C127" s="91" t="s">
        <v>919</v>
      </c>
      <c r="D127" s="97">
        <f t="shared" ref="D127:AI127" si="218">D126/D100*1000</f>
        <v>10.763209393346379</v>
      </c>
      <c r="E127" s="97">
        <f t="shared" si="218"/>
        <v>12.936610608020699</v>
      </c>
      <c r="F127" s="97">
        <f t="shared" si="218"/>
        <v>-6.0679611650485432</v>
      </c>
      <c r="G127" s="97">
        <f t="shared" si="218"/>
        <v>-1.1848341232227488</v>
      </c>
      <c r="H127" s="97">
        <f t="shared" si="218"/>
        <v>-27.056277056277057</v>
      </c>
      <c r="I127" s="97">
        <f t="shared" si="218"/>
        <v>-9.6153846153846168</v>
      </c>
      <c r="J127" s="97">
        <f t="shared" si="218"/>
        <v>-11.337868480725623</v>
      </c>
      <c r="K127" s="97">
        <f t="shared" si="218"/>
        <v>25.735294117647058</v>
      </c>
      <c r="L127" s="97">
        <f t="shared" si="218"/>
        <v>107.80669144981412</v>
      </c>
      <c r="M127" s="97">
        <f t="shared" si="218"/>
        <v>221.80451127819546</v>
      </c>
      <c r="N127" s="97">
        <f t="shared" si="218"/>
        <v>414.03508771929825</v>
      </c>
      <c r="O127" s="97">
        <f t="shared" si="218"/>
        <v>195.05494505494505</v>
      </c>
      <c r="P127" s="97">
        <f t="shared" si="218"/>
        <v>415.8415841584158</v>
      </c>
      <c r="Q127" s="97">
        <f t="shared" si="218"/>
        <v>457.91245791245791</v>
      </c>
      <c r="R127" s="97">
        <f t="shared" si="218"/>
        <v>481.06060606060606</v>
      </c>
      <c r="S127" s="97">
        <f t="shared" si="218"/>
        <v>520.54794520547944</v>
      </c>
      <c r="T127" s="97">
        <f t="shared" si="218"/>
        <v>467.9930795847751</v>
      </c>
      <c r="U127" s="97">
        <f t="shared" si="218"/>
        <v>564.2633228840125</v>
      </c>
      <c r="V127" s="97">
        <f t="shared" si="218"/>
        <v>503.35570469798665</v>
      </c>
      <c r="W127" s="97">
        <f t="shared" si="218"/>
        <v>551.15511551155112</v>
      </c>
      <c r="X127" s="97">
        <f t="shared" si="218"/>
        <v>542.43542435424354</v>
      </c>
      <c r="Y127" s="97">
        <f t="shared" si="218"/>
        <v>540.7220822837952</v>
      </c>
      <c r="Z127" s="97">
        <f t="shared" si="218"/>
        <v>421.05263157894734</v>
      </c>
      <c r="AA127" s="97">
        <f t="shared" si="218"/>
        <v>339.10034602076121</v>
      </c>
      <c r="AB127" s="97">
        <f t="shared" si="218"/>
        <v>177.58985200845666</v>
      </c>
      <c r="AC127" s="97">
        <f t="shared" si="218"/>
        <v>217.79859484777518</v>
      </c>
      <c r="AD127" s="97">
        <f t="shared" si="218"/>
        <v>263.92757660167132</v>
      </c>
      <c r="AE127" s="97">
        <f t="shared" si="218"/>
        <v>127.02078521939956</v>
      </c>
      <c r="AF127" s="97">
        <f t="shared" si="218"/>
        <v>364</v>
      </c>
      <c r="AG127" s="97">
        <f t="shared" si="218"/>
        <v>826.58959537572252</v>
      </c>
      <c r="AH127" s="97">
        <f t="shared" si="218"/>
        <v>1140</v>
      </c>
      <c r="AI127" s="97">
        <f t="shared" si="218"/>
        <v>633.19672131147547</v>
      </c>
      <c r="AJ127" s="939">
        <f t="shared" ref="AJ127:BO127" si="219">AJ126/AJ100*1000</f>
        <v>666.66666666666663</v>
      </c>
      <c r="AK127" s="290">
        <f t="shared" si="219"/>
        <v>-836.95652173913049</v>
      </c>
      <c r="AL127" s="290">
        <f t="shared" si="219"/>
        <v>-59.602649006622514</v>
      </c>
      <c r="AM127" s="940">
        <f t="shared" si="219"/>
        <v>236.71497584541063</v>
      </c>
      <c r="AN127" s="97">
        <f t="shared" si="219"/>
        <v>153.72907153729071</v>
      </c>
      <c r="AO127" s="939">
        <f t="shared" si="219"/>
        <v>180.64516129032256</v>
      </c>
      <c r="AP127" s="290">
        <f t="shared" si="219"/>
        <v>247.1131639722864</v>
      </c>
      <c r="AQ127" s="290">
        <f t="shared" si="219"/>
        <v>293.8388625592417</v>
      </c>
      <c r="AR127" s="940">
        <f t="shared" si="219"/>
        <v>277.20207253886008</v>
      </c>
      <c r="AS127" s="97">
        <f t="shared" si="219"/>
        <v>254.02965828497742</v>
      </c>
      <c r="AT127" s="939">
        <f t="shared" si="219"/>
        <v>101.1764705882353</v>
      </c>
      <c r="AU127" s="290">
        <f t="shared" si="219"/>
        <v>101.41509433962264</v>
      </c>
      <c r="AV127" s="290">
        <f t="shared" si="219"/>
        <v>305.61330561330561</v>
      </c>
      <c r="AW127" s="940">
        <f t="shared" si="219"/>
        <v>263.48547717842325</v>
      </c>
      <c r="AX127" s="97">
        <f t="shared" si="219"/>
        <v>198.6754966887417</v>
      </c>
      <c r="AY127" s="939">
        <f t="shared" si="219"/>
        <v>270.32136105860116</v>
      </c>
      <c r="AZ127" s="290">
        <f t="shared" si="219"/>
        <v>239.35091277890467</v>
      </c>
      <c r="BA127" s="290">
        <f t="shared" si="219"/>
        <v>256.01750547045953</v>
      </c>
      <c r="BB127" s="940">
        <f t="shared" si="219"/>
        <v>113.02211302211303</v>
      </c>
      <c r="BC127" s="97">
        <f t="shared" si="219"/>
        <v>224.81442205726404</v>
      </c>
      <c r="BD127" s="939">
        <f t="shared" si="219"/>
        <v>184.57943925233644</v>
      </c>
      <c r="BE127" s="290">
        <f t="shared" si="219"/>
        <v>133.7719298245614</v>
      </c>
      <c r="BF127" s="290">
        <f t="shared" si="219"/>
        <v>139.43355119825711</v>
      </c>
      <c r="BG127" s="940">
        <f t="shared" si="219"/>
        <v>115.94202898550725</v>
      </c>
      <c r="BH127" s="97">
        <f t="shared" si="219"/>
        <v>143.42629482071715</v>
      </c>
      <c r="BI127" s="939">
        <f t="shared" si="219"/>
        <v>95.465393794749403</v>
      </c>
      <c r="BJ127" s="290">
        <f t="shared" si="219"/>
        <v>140.31180400890869</v>
      </c>
      <c r="BK127" s="290">
        <f t="shared" si="219"/>
        <v>200.93457943925233</v>
      </c>
      <c r="BL127" s="940">
        <f t="shared" si="219"/>
        <v>308.03571428571428</v>
      </c>
      <c r="BM127" s="97">
        <f t="shared" si="219"/>
        <v>187.5</v>
      </c>
      <c r="BN127" s="939">
        <f t="shared" si="219"/>
        <v>81.818181818181813</v>
      </c>
      <c r="BO127" s="290">
        <f t="shared" si="219"/>
        <v>-532.60869565217399</v>
      </c>
      <c r="BP127" s="290">
        <f t="shared" ref="BP127:BZ127" si="220">BP126/BP100*1000</f>
        <v>-233.76623376623377</v>
      </c>
      <c r="BQ127" s="940">
        <f t="shared" si="220"/>
        <v>-377.95275590551182</v>
      </c>
      <c r="BR127" s="97">
        <f t="shared" si="220"/>
        <v>-193.92917369308603</v>
      </c>
      <c r="BS127" s="939">
        <f t="shared" si="220"/>
        <v>-528.08988764044943</v>
      </c>
      <c r="BT127" s="290">
        <f t="shared" si="220"/>
        <v>-871.42857142857144</v>
      </c>
      <c r="BU127" s="290">
        <f t="shared" si="220"/>
        <v>-563.10679611650482</v>
      </c>
      <c r="BV127" s="940">
        <f t="shared" si="220"/>
        <v>-507.24637681159425</v>
      </c>
      <c r="BW127" s="97">
        <f t="shared" si="220"/>
        <v>-590</v>
      </c>
      <c r="BX127" s="939">
        <f t="shared" si="220"/>
        <v>-291.66666666666669</v>
      </c>
      <c r="BY127" s="290">
        <f t="shared" si="220"/>
        <v>-88.888888888888886</v>
      </c>
      <c r="BZ127" s="290">
        <f t="shared" si="220"/>
        <v>21.621621621621621</v>
      </c>
      <c r="CA127" s="940">
        <f t="shared" ref="CA127" si="221">CA126/CA100*1000</f>
        <v>33.519553072625698</v>
      </c>
      <c r="CB127" s="97">
        <f>AVERAGE(BX127:CA127)</f>
        <v>-81.353595215327061</v>
      </c>
      <c r="CC127" s="939">
        <f>+CC116-CC118</f>
        <v>100.80630666666661</v>
      </c>
      <c r="CD127" s="290">
        <f>+CD116-CD118</f>
        <v>126.38486999999986</v>
      </c>
      <c r="CE127" s="290">
        <f>+CE116-CE118</f>
        <v>178.42947666666691</v>
      </c>
      <c r="CF127" s="940">
        <f>+CF116-CF118</f>
        <v>160.45921333333354</v>
      </c>
      <c r="CG127" s="1484">
        <f>AVERAGE(CC127:CF127)</f>
        <v>141.51996666666673</v>
      </c>
      <c r="CH127" s="939">
        <f>+CH116-CH118</f>
        <v>5.8063066666666145</v>
      </c>
      <c r="CI127" s="290">
        <f>+CI116-CI118</f>
        <v>136.38486999999986</v>
      </c>
      <c r="CJ127" s="290">
        <f>+CJ116-CJ118</f>
        <v>188.42947666666691</v>
      </c>
      <c r="CK127" s="940">
        <f>+CK116-CK118</f>
        <v>170.45921333333354</v>
      </c>
      <c r="CL127" s="97">
        <f>AVERAGE(CH127:CK127)</f>
        <v>125.26996666666673</v>
      </c>
      <c r="CM127" s="939">
        <f>+CM116-CM118</f>
        <v>5.8063066666666145</v>
      </c>
      <c r="CN127" s="290">
        <f>+CN116-CN118</f>
        <v>136.38486999999986</v>
      </c>
      <c r="CO127" s="290">
        <f>+CO116-CO118</f>
        <v>188.42947666666691</v>
      </c>
      <c r="CP127" s="940">
        <f>+CP116-CP118</f>
        <v>170.45921333333354</v>
      </c>
      <c r="CQ127" s="290">
        <f>AVERAGE(CM127:CP127)</f>
        <v>125.26996666666673</v>
      </c>
    </row>
    <row r="128" spans="1:105" ht="6.2" customHeight="1">
      <c r="A128" s="75"/>
      <c r="B128" s="75"/>
      <c r="C128" s="81"/>
      <c r="D128" s="88"/>
      <c r="E128" s="88"/>
      <c r="F128" s="88"/>
      <c r="G128" s="88"/>
      <c r="H128" s="88"/>
      <c r="I128" s="88"/>
      <c r="J128" s="89"/>
      <c r="K128" s="89"/>
      <c r="L128" s="89"/>
      <c r="M128" s="89"/>
      <c r="N128" s="89"/>
      <c r="O128" s="89"/>
      <c r="P128" s="89"/>
      <c r="Q128" s="89"/>
      <c r="R128" s="89"/>
      <c r="S128" s="89"/>
      <c r="T128" s="89"/>
      <c r="U128" s="89"/>
      <c r="V128" s="89"/>
      <c r="W128" s="89"/>
      <c r="X128" s="89"/>
      <c r="Y128" s="89"/>
      <c r="Z128" s="89"/>
      <c r="AA128" s="89"/>
      <c r="AB128" s="89"/>
      <c r="AC128" s="89"/>
      <c r="AD128" s="89"/>
      <c r="AE128" s="89"/>
      <c r="AF128" s="89"/>
      <c r="AG128" s="89"/>
      <c r="AH128" s="89"/>
      <c r="AI128" s="89"/>
      <c r="AJ128" s="906"/>
      <c r="AK128" s="907"/>
      <c r="AL128" s="907"/>
      <c r="AM128" s="908"/>
      <c r="AN128" s="89"/>
      <c r="AO128" s="906"/>
      <c r="AP128" s="907"/>
      <c r="AQ128" s="907"/>
      <c r="AR128" s="908"/>
      <c r="AS128" s="89"/>
      <c r="AT128" s="906"/>
      <c r="AU128" s="907"/>
      <c r="AV128" s="907"/>
      <c r="AW128" s="908"/>
      <c r="AX128" s="89"/>
      <c r="AY128" s="906"/>
      <c r="AZ128" s="907"/>
      <c r="BA128" s="907"/>
      <c r="BB128" s="908"/>
      <c r="BC128" s="89"/>
      <c r="BD128" s="906"/>
      <c r="BE128" s="907"/>
      <c r="BF128" s="907"/>
      <c r="BG128" s="908"/>
      <c r="BH128" s="89"/>
      <c r="BI128" s="906"/>
      <c r="BJ128" s="907"/>
      <c r="BK128" s="907"/>
      <c r="BL128" s="908"/>
      <c r="BM128" s="89"/>
      <c r="BN128" s="906"/>
      <c r="BO128" s="907"/>
      <c r="BP128" s="907"/>
      <c r="BQ128" s="908"/>
      <c r="BR128" s="89"/>
      <c r="BS128" s="906"/>
      <c r="BT128" s="907"/>
      <c r="BU128" s="907"/>
      <c r="BV128" s="908"/>
      <c r="BW128" s="89"/>
      <c r="BX128" s="906"/>
      <c r="BY128" s="907"/>
      <c r="BZ128" s="907"/>
      <c r="CA128" s="908"/>
      <c r="CB128" s="89"/>
      <c r="CC128" s="906"/>
      <c r="CD128" s="907"/>
      <c r="CE128" s="907"/>
      <c r="CF128" s="908"/>
      <c r="CG128" s="1471"/>
      <c r="CH128" s="906"/>
      <c r="CI128" s="907"/>
      <c r="CJ128" s="907"/>
      <c r="CK128" s="908"/>
      <c r="CL128" s="89"/>
      <c r="CM128" s="906"/>
      <c r="CN128" s="907"/>
      <c r="CO128" s="907"/>
      <c r="CP128" s="908"/>
      <c r="CQ128" s="907"/>
      <c r="CR128" s="1459"/>
      <c r="CS128" s="90"/>
      <c r="CT128" s="90"/>
      <c r="CU128" s="75"/>
    </row>
    <row r="129" spans="1:99" ht="13.5" customHeight="1">
      <c r="A129" s="76"/>
      <c r="B129" s="81" t="s">
        <v>700</v>
      </c>
      <c r="C129" s="81"/>
      <c r="D129" s="608">
        <v>5</v>
      </c>
      <c r="E129" s="608">
        <v>52</v>
      </c>
      <c r="F129" s="608">
        <v>22</v>
      </c>
      <c r="G129" s="608">
        <v>16</v>
      </c>
      <c r="H129" s="608">
        <v>6</v>
      </c>
      <c r="I129" s="153">
        <f>J129-SUM(F129:H129)</f>
        <v>6</v>
      </c>
      <c r="J129" s="608">
        <v>50</v>
      </c>
      <c r="K129" s="608">
        <v>3</v>
      </c>
      <c r="L129" s="608">
        <v>2</v>
      </c>
      <c r="M129" s="608">
        <v>3</v>
      </c>
      <c r="N129" s="153">
        <f>O129-SUM(K129:M129)</f>
        <v>0</v>
      </c>
      <c r="O129" s="608">
        <v>8</v>
      </c>
      <c r="P129" s="608">
        <v>3</v>
      </c>
      <c r="Q129" s="608">
        <v>0</v>
      </c>
      <c r="R129" s="608">
        <v>1</v>
      </c>
      <c r="S129" s="153">
        <f>T129-SUM(P129:R129)</f>
        <v>1</v>
      </c>
      <c r="T129" s="608">
        <v>5</v>
      </c>
      <c r="U129" s="608">
        <v>0</v>
      </c>
      <c r="V129" s="608">
        <v>1</v>
      </c>
      <c r="W129" s="608">
        <v>1</v>
      </c>
      <c r="X129" s="608">
        <v>2</v>
      </c>
      <c r="Y129" s="153">
        <f>SUM(U129:X129)</f>
        <v>4</v>
      </c>
      <c r="Z129" s="608">
        <v>2</v>
      </c>
      <c r="AA129" s="608">
        <v>1</v>
      </c>
      <c r="AB129" s="608">
        <v>10</v>
      </c>
      <c r="AC129" s="608">
        <v>10</v>
      </c>
      <c r="AD129" s="153">
        <f>SUM(Z129:AC129)</f>
        <v>23</v>
      </c>
      <c r="AE129" s="608">
        <v>4</v>
      </c>
      <c r="AF129" s="608">
        <v>5</v>
      </c>
      <c r="AG129" s="608">
        <v>9</v>
      </c>
      <c r="AH129" s="608">
        <v>29</v>
      </c>
      <c r="AI129" s="153">
        <f>SUM(AE129:AH129)</f>
        <v>47</v>
      </c>
      <c r="AJ129" s="954">
        <v>3</v>
      </c>
      <c r="AK129" s="608">
        <v>3</v>
      </c>
      <c r="AL129" s="608">
        <v>3</v>
      </c>
      <c r="AM129" s="960">
        <v>3</v>
      </c>
      <c r="AN129" s="153">
        <f>SUM(AJ129:AM129)</f>
        <v>12</v>
      </c>
      <c r="AO129" s="954">
        <v>0</v>
      </c>
      <c r="AP129" s="608">
        <v>13</v>
      </c>
      <c r="AQ129" s="608">
        <v>10</v>
      </c>
      <c r="AR129" s="960">
        <v>22</v>
      </c>
      <c r="AS129" s="153">
        <f>SUM(AO129:AR129)</f>
        <v>45</v>
      </c>
      <c r="AT129" s="954">
        <v>11</v>
      </c>
      <c r="AU129" s="608">
        <v>33</v>
      </c>
      <c r="AV129" s="608">
        <v>30</v>
      </c>
      <c r="AW129" s="960">
        <v>10</v>
      </c>
      <c r="AX129" s="153">
        <f>SUM(AT129:AW129)</f>
        <v>84</v>
      </c>
      <c r="AY129" s="954">
        <v>4</v>
      </c>
      <c r="AZ129" s="608">
        <v>4</v>
      </c>
      <c r="BA129" s="608">
        <v>17</v>
      </c>
      <c r="BB129" s="960">
        <v>17</v>
      </c>
      <c r="BC129" s="307">
        <f>SUM(AY129:BB129)</f>
        <v>42</v>
      </c>
      <c r="BD129" s="954">
        <v>8</v>
      </c>
      <c r="BE129" s="608">
        <v>15</v>
      </c>
      <c r="BF129" s="608">
        <v>19</v>
      </c>
      <c r="BG129" s="960">
        <v>27</v>
      </c>
      <c r="BH129" s="307">
        <f>SUM(BD129:BG129)</f>
        <v>69</v>
      </c>
      <c r="BI129" s="1033">
        <v>16</v>
      </c>
      <c r="BJ129" s="639">
        <v>31</v>
      </c>
      <c r="BK129" s="608">
        <v>13</v>
      </c>
      <c r="BL129" s="960">
        <v>16</v>
      </c>
      <c r="BM129" s="307">
        <f>SUM(BI129:BL129)</f>
        <v>76</v>
      </c>
      <c r="BN129" s="954">
        <v>16</v>
      </c>
      <c r="BO129" s="608">
        <v>24</v>
      </c>
      <c r="BP129" s="608">
        <v>35</v>
      </c>
      <c r="BQ129" s="1034">
        <v>27</v>
      </c>
      <c r="BR129" s="307">
        <f>SUM(BN129:BQ129)</f>
        <v>102</v>
      </c>
      <c r="BS129" s="1033">
        <v>52</v>
      </c>
      <c r="BT129" s="608">
        <v>18</v>
      </c>
      <c r="BU129" s="608">
        <v>11</v>
      </c>
      <c r="BV129" s="960">
        <v>7</v>
      </c>
      <c r="BW129" s="307">
        <f>SUM(BS129:BV129)</f>
        <v>88</v>
      </c>
      <c r="BX129" s="1033">
        <v>7</v>
      </c>
      <c r="BY129" s="608">
        <v>4</v>
      </c>
      <c r="BZ129" s="608">
        <v>8</v>
      </c>
      <c r="CA129" s="960">
        <v>9</v>
      </c>
      <c r="CB129" s="97">
        <f>SUM(BX129:CA129)</f>
        <v>28</v>
      </c>
      <c r="CC129" s="914">
        <f>CD129</f>
        <v>12.5</v>
      </c>
      <c r="CD129" s="153">
        <f>CE129</f>
        <v>12.5</v>
      </c>
      <c r="CE129" s="153">
        <f>CG129/4</f>
        <v>12.5</v>
      </c>
      <c r="CF129" s="915">
        <f>CG129-SUM(CC129:CE129)</f>
        <v>12.5</v>
      </c>
      <c r="CG129" s="1499">
        <v>50</v>
      </c>
      <c r="CH129" s="914">
        <f>CI129</f>
        <v>12.5</v>
      </c>
      <c r="CI129" s="153">
        <f>CJ129</f>
        <v>12.5</v>
      </c>
      <c r="CJ129" s="153">
        <f>CL129/4</f>
        <v>12.5</v>
      </c>
      <c r="CK129" s="915">
        <f>CL129-SUM(CH129:CJ129)</f>
        <v>12.5</v>
      </c>
      <c r="CL129" s="868">
        <v>50</v>
      </c>
      <c r="CM129" s="914">
        <f>CN129</f>
        <v>12.5</v>
      </c>
      <c r="CN129" s="153">
        <f>CO129</f>
        <v>12.5</v>
      </c>
      <c r="CO129" s="153">
        <f>CQ129/4</f>
        <v>12.5</v>
      </c>
      <c r="CP129" s="915">
        <f>CQ129-SUM(CM129:CO129)</f>
        <v>12.5</v>
      </c>
      <c r="CQ129" s="868">
        <v>50</v>
      </c>
    </row>
    <row r="130" spans="1:99" ht="6.2" customHeight="1">
      <c r="A130" s="81"/>
      <c r="B130" s="93"/>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904"/>
      <c r="AK130" s="81"/>
      <c r="AL130" s="81"/>
      <c r="AM130" s="905"/>
      <c r="AN130" s="75"/>
      <c r="AO130" s="904"/>
      <c r="AP130" s="81"/>
      <c r="AQ130" s="81"/>
      <c r="AR130" s="905"/>
      <c r="AS130" s="75"/>
      <c r="AT130" s="904"/>
      <c r="AU130" s="81"/>
      <c r="AV130" s="81"/>
      <c r="AW130" s="905"/>
      <c r="AX130" s="75"/>
      <c r="AY130" s="904"/>
      <c r="AZ130" s="81"/>
      <c r="BA130" s="81"/>
      <c r="BB130" s="905"/>
      <c r="BC130" s="75"/>
      <c r="BD130" s="904"/>
      <c r="BE130" s="81"/>
      <c r="BF130" s="81"/>
      <c r="BG130" s="905"/>
      <c r="BH130" s="75"/>
      <c r="BI130" s="904"/>
      <c r="BJ130" s="81"/>
      <c r="BK130" s="81"/>
      <c r="BL130" s="905"/>
      <c r="BM130" s="75"/>
      <c r="BN130" s="904"/>
      <c r="BO130" s="81"/>
      <c r="BP130" s="81"/>
      <c r="BQ130" s="905"/>
      <c r="BR130" s="75"/>
      <c r="BS130" s="904"/>
      <c r="BT130" s="81"/>
      <c r="BU130" s="81"/>
      <c r="BV130" s="905"/>
      <c r="BW130" s="75"/>
      <c r="BX130" s="904"/>
      <c r="BY130" s="81"/>
      <c r="BZ130" s="81"/>
      <c r="CA130" s="905"/>
      <c r="CB130" s="75"/>
      <c r="CC130" s="904"/>
      <c r="CD130" s="81"/>
      <c r="CE130" s="81"/>
      <c r="CF130" s="905"/>
      <c r="CG130" s="1469"/>
      <c r="CH130" s="904"/>
      <c r="CI130" s="81"/>
      <c r="CJ130" s="81"/>
      <c r="CK130" s="905"/>
      <c r="CL130" s="75"/>
      <c r="CM130" s="904"/>
      <c r="CN130" s="81"/>
      <c r="CO130" s="81"/>
      <c r="CP130" s="905"/>
      <c r="CQ130" s="81"/>
    </row>
    <row r="131" spans="1:99" ht="13.5" customHeight="1">
      <c r="A131" s="797" t="s">
        <v>585</v>
      </c>
      <c r="B131" s="797"/>
      <c r="C131" s="797"/>
      <c r="D131" s="798">
        <v>2001</v>
      </c>
      <c r="E131" s="798">
        <v>2002</v>
      </c>
      <c r="F131" s="800" t="s">
        <v>658</v>
      </c>
      <c r="G131" s="800" t="s">
        <v>659</v>
      </c>
      <c r="H131" s="800" t="s">
        <v>660</v>
      </c>
      <c r="I131" s="800" t="s">
        <v>661</v>
      </c>
      <c r="J131" s="799">
        <f>Operations!J4</f>
        <v>2003</v>
      </c>
      <c r="K131" s="800" t="str">
        <f>Operations!K4</f>
        <v>1Q</v>
      </c>
      <c r="L131" s="800" t="str">
        <f>Operations!L4</f>
        <v>2Q</v>
      </c>
      <c r="M131" s="800" t="str">
        <f>Operations!M4</f>
        <v>3Q</v>
      </c>
      <c r="N131" s="800" t="str">
        <f>Operations!N4</f>
        <v>4Q</v>
      </c>
      <c r="O131" s="799">
        <f>Operations!O4</f>
        <v>2004</v>
      </c>
      <c r="P131" s="800" t="str">
        <f>Operations!P4</f>
        <v>1Q</v>
      </c>
      <c r="Q131" s="800" t="str">
        <f>Operations!Q4</f>
        <v>2Q</v>
      </c>
      <c r="R131" s="800" t="str">
        <f>Operations!R4</f>
        <v>3Q</v>
      </c>
      <c r="S131" s="800" t="str">
        <f>Operations!S4</f>
        <v>4Q</v>
      </c>
      <c r="T131" s="799">
        <f>Operations!T4</f>
        <v>2005</v>
      </c>
      <c r="U131" s="800" t="str">
        <f>Operations!U4</f>
        <v>1Q</v>
      </c>
      <c r="V131" s="800" t="str">
        <f>Operations!V4</f>
        <v>2Q</v>
      </c>
      <c r="W131" s="800" t="str">
        <f>Operations!W4</f>
        <v>3Q</v>
      </c>
      <c r="X131" s="800" t="str">
        <f>Operations!X4</f>
        <v>4Q</v>
      </c>
      <c r="Y131" s="799">
        <f>Operations!Y4</f>
        <v>2006</v>
      </c>
      <c r="Z131" s="800" t="str">
        <f>Operations!Z4</f>
        <v>1Q</v>
      </c>
      <c r="AA131" s="800" t="str">
        <f>Operations!AA4</f>
        <v>2Q</v>
      </c>
      <c r="AB131" s="800" t="str">
        <f>Operations!AB4</f>
        <v>3Q</v>
      </c>
      <c r="AC131" s="800" t="str">
        <f>Operations!AC4</f>
        <v>4Q</v>
      </c>
      <c r="AD131" s="799">
        <f>Operations!AD4</f>
        <v>2007</v>
      </c>
      <c r="AE131" s="800" t="str">
        <f>Operations!AE4</f>
        <v>1Q</v>
      </c>
      <c r="AF131" s="800" t="str">
        <f>Operations!AF4</f>
        <v>2Q</v>
      </c>
      <c r="AG131" s="800" t="str">
        <f>Operations!AG4</f>
        <v>3Q</v>
      </c>
      <c r="AH131" s="800" t="str">
        <f>Operations!AH4</f>
        <v>4Q</v>
      </c>
      <c r="AI131" s="799">
        <f>Operations!AI4</f>
        <v>2008</v>
      </c>
      <c r="AJ131" s="898" t="str">
        <f>Operations!AJ4</f>
        <v>1Q</v>
      </c>
      <c r="AK131" s="800" t="str">
        <f>Operations!AK4</f>
        <v>2Q</v>
      </c>
      <c r="AL131" s="800" t="str">
        <f>Operations!AL4</f>
        <v>3Q</v>
      </c>
      <c r="AM131" s="899" t="str">
        <f>Operations!AM4</f>
        <v>4Q</v>
      </c>
      <c r="AN131" s="799">
        <f>Operations!AN4</f>
        <v>2009</v>
      </c>
      <c r="AO131" s="898" t="str">
        <f>Operations!AO4</f>
        <v>1Q</v>
      </c>
      <c r="AP131" s="800" t="str">
        <f>Operations!AP4</f>
        <v>2Q</v>
      </c>
      <c r="AQ131" s="800" t="str">
        <f>Operations!AQ4</f>
        <v>3Q</v>
      </c>
      <c r="AR131" s="899" t="str">
        <f>Operations!AR4</f>
        <v>4Q</v>
      </c>
      <c r="AS131" s="799">
        <f>Operations!AS4</f>
        <v>2010</v>
      </c>
      <c r="AT131" s="898" t="str">
        <f>Operations!AT4</f>
        <v>1Q</v>
      </c>
      <c r="AU131" s="800" t="str">
        <f>Operations!AU4</f>
        <v>2Q</v>
      </c>
      <c r="AV131" s="800" t="str">
        <f>Operations!AV4</f>
        <v>3Q</v>
      </c>
      <c r="AW131" s="899" t="str">
        <f>Operations!AW4</f>
        <v>4Q</v>
      </c>
      <c r="AX131" s="799">
        <f>Operations!AX4</f>
        <v>2011</v>
      </c>
      <c r="AY131" s="898" t="str">
        <f>Operations!AY4</f>
        <v>1Q</v>
      </c>
      <c r="AZ131" s="800" t="str">
        <f>Operations!AZ4</f>
        <v>2Q</v>
      </c>
      <c r="BA131" s="800" t="str">
        <f>Operations!BA4</f>
        <v>3Q</v>
      </c>
      <c r="BB131" s="899" t="str">
        <f>Operations!BB4</f>
        <v>4Q</v>
      </c>
      <c r="BC131" s="799">
        <f>Operations!BC4</f>
        <v>2012</v>
      </c>
      <c r="BD131" s="898" t="str">
        <f>Operations!BD4</f>
        <v>1Q</v>
      </c>
      <c r="BE131" s="800" t="str">
        <f>Operations!BE4</f>
        <v>2Q</v>
      </c>
      <c r="BF131" s="800" t="str">
        <f>Operations!BF4</f>
        <v>3Q</v>
      </c>
      <c r="BG131" s="899" t="str">
        <f>Operations!BG4</f>
        <v>4Q</v>
      </c>
      <c r="BH131" s="799">
        <f>Operations!BH4</f>
        <v>2013</v>
      </c>
      <c r="BI131" s="898" t="str">
        <f>Operations!BI4</f>
        <v>1Q</v>
      </c>
      <c r="BJ131" s="800" t="str">
        <f>Operations!BJ4</f>
        <v>2Q</v>
      </c>
      <c r="BK131" s="800" t="str">
        <f>Operations!BK4</f>
        <v>3Q</v>
      </c>
      <c r="BL131" s="899" t="str">
        <f>Operations!BL4</f>
        <v>4Q</v>
      </c>
      <c r="BM131" s="799">
        <f>Operations!BM4</f>
        <v>2014</v>
      </c>
      <c r="BN131" s="898" t="str">
        <f>Operations!BN4</f>
        <v>1Q</v>
      </c>
      <c r="BO131" s="800" t="str">
        <f>Operations!BO4</f>
        <v>2Q</v>
      </c>
      <c r="BP131" s="800" t="str">
        <f>Operations!BP4</f>
        <v>3Q</v>
      </c>
      <c r="BQ131" s="899" t="str">
        <f>Operations!BQ4</f>
        <v>4Q</v>
      </c>
      <c r="BR131" s="799">
        <f>Operations!BR4</f>
        <v>2015</v>
      </c>
      <c r="BS131" s="898" t="str">
        <f>Operations!BS4</f>
        <v>1Q</v>
      </c>
      <c r="BT131" s="800" t="str">
        <f>Operations!BT4</f>
        <v>2Q</v>
      </c>
      <c r="BU131" s="800" t="str">
        <f>Operations!BU4</f>
        <v>3Q</v>
      </c>
      <c r="BV131" s="899" t="str">
        <f>Operations!BV4</f>
        <v>4Q</v>
      </c>
      <c r="BW131" s="799">
        <f>Operations!BW4</f>
        <v>2016</v>
      </c>
      <c r="BX131" s="898" t="str">
        <f>Operations!BX4</f>
        <v>1Q</v>
      </c>
      <c r="BY131" s="800" t="str">
        <f>Operations!BY4</f>
        <v>2Q</v>
      </c>
      <c r="BZ131" s="800" t="str">
        <f>Operations!BZ4</f>
        <v>3Q</v>
      </c>
      <c r="CA131" s="899" t="str">
        <f>Operations!CA4</f>
        <v>4Q</v>
      </c>
      <c r="CB131" s="799">
        <f>Operations!CB4</f>
        <v>2017</v>
      </c>
      <c r="CC131" s="898" t="str">
        <f>Operations!CC4</f>
        <v>1QE</v>
      </c>
      <c r="CD131" s="800" t="str">
        <f>Operations!CD4</f>
        <v>2QE</v>
      </c>
      <c r="CE131" s="800" t="str">
        <f>Operations!CE4</f>
        <v>3QE</v>
      </c>
      <c r="CF131" s="899" t="str">
        <f>Operations!CF4</f>
        <v>4QE</v>
      </c>
      <c r="CG131" s="1466" t="str">
        <f>Operations!CG4</f>
        <v>2018E</v>
      </c>
      <c r="CH131" s="898" t="str">
        <f>Operations!CH4</f>
        <v>1QE</v>
      </c>
      <c r="CI131" s="800" t="str">
        <f>Operations!CI4</f>
        <v>2QE</v>
      </c>
      <c r="CJ131" s="800" t="str">
        <f>Operations!CJ4</f>
        <v>3QE</v>
      </c>
      <c r="CK131" s="899" t="str">
        <f>Operations!CK4</f>
        <v>4QE</v>
      </c>
      <c r="CL131" s="799" t="str">
        <f>Operations!CL4</f>
        <v>2019E</v>
      </c>
      <c r="CM131" s="898" t="str">
        <f>Operations!CM4</f>
        <v>1QE</v>
      </c>
      <c r="CN131" s="800" t="str">
        <f>Operations!CN4</f>
        <v>2QE</v>
      </c>
      <c r="CO131" s="800" t="str">
        <f>Operations!CO4</f>
        <v>3QE</v>
      </c>
      <c r="CP131" s="899" t="str">
        <f>Operations!CP4</f>
        <v>4QE</v>
      </c>
      <c r="CQ131" s="799" t="str">
        <f>Operations!CQ4</f>
        <v>2020E</v>
      </c>
      <c r="CR131" s="657"/>
      <c r="CS131" s="657"/>
      <c r="CT131" s="657"/>
      <c r="CU131" s="657"/>
    </row>
    <row r="132" spans="1:99" ht="13.5" customHeight="1">
      <c r="A132" s="75"/>
      <c r="B132" s="75" t="s">
        <v>975</v>
      </c>
      <c r="C132" s="96"/>
      <c r="D132" s="98"/>
      <c r="E132" s="98">
        <f>Operations!E141/Operations!D141-1</f>
        <v>7.7275175013462594E-2</v>
      </c>
      <c r="F132" s="98"/>
      <c r="G132" s="98"/>
      <c r="H132" s="98"/>
      <c r="I132" s="98"/>
      <c r="J132" s="98">
        <f>Operations!J141/Operations!E141-1</f>
        <v>0.2119470132466883</v>
      </c>
      <c r="K132" s="98">
        <f>Operations!K141/Operations!F141-1</f>
        <v>-1.4285714285714235E-2</v>
      </c>
      <c r="L132" s="98">
        <f>Operations!L141/Operations!G141-1</f>
        <v>1.2019230769230838E-2</v>
      </c>
      <c r="M132" s="98">
        <f>Operations!M141/Operations!H141-1</f>
        <v>0.1193232413178984</v>
      </c>
      <c r="N132" s="98">
        <f>Operations!N141/Operations!I141-1</f>
        <v>4.5807453416149002E-2</v>
      </c>
      <c r="O132" s="98">
        <f>Operations!O141/Operations!J141-1</f>
        <v>3.9389564858733683E-2</v>
      </c>
      <c r="P132" s="98">
        <f>Operations!P141/Operations!K141-1</f>
        <v>9.9744245524296726E-2</v>
      </c>
      <c r="Q132" s="98">
        <f>Operations!Q141/Operations!L141-1</f>
        <v>5.4631828978622288E-2</v>
      </c>
      <c r="R132" s="98">
        <f>Operations!R141/Operations!M141-1</f>
        <v>-2.1479713603818618E-2</v>
      </c>
      <c r="S132" s="98">
        <f>Operations!S141/Operations!N141-1</f>
        <v>8.9086859688196629E-3</v>
      </c>
      <c r="T132" s="98">
        <f>Operations!T141/Operations!O141-1</f>
        <v>3.392857142857153E-2</v>
      </c>
      <c r="U132" s="98">
        <f>Operations!U141/Operations!P141-1</f>
        <v>0.1689922480620154</v>
      </c>
      <c r="V132" s="98">
        <f>Operations!V141/Operations!Q141-1</f>
        <v>0.24024024024024015</v>
      </c>
      <c r="W132" s="98">
        <f>Operations!W141/Operations!R141-1</f>
        <v>0.2617886178861788</v>
      </c>
      <c r="X132" s="98">
        <f>Operations!X141/Operations!S141-1</f>
        <v>0.13980868285504044</v>
      </c>
      <c r="Y132" s="98">
        <f>Operations!Y141/Operations!T141-1</f>
        <v>0.20149683362118598</v>
      </c>
      <c r="Z132" s="98">
        <f>Operations!Z141/Operations!U141-1</f>
        <v>9.5490716180371304E-2</v>
      </c>
      <c r="AA132" s="98">
        <f>Operations!AA141/Operations!V141-1</f>
        <v>-2.1791767554479424E-2</v>
      </c>
      <c r="AB132" s="98">
        <f>Operations!AB141/Operations!W141-1</f>
        <v>-4.2525773195876249E-2</v>
      </c>
      <c r="AC132" s="98">
        <f>Operations!AC141/Operations!X141-1</f>
        <v>-0.1058747579083279</v>
      </c>
      <c r="AD132" s="98">
        <f>Operations!AD141/Operations!Y141-1</f>
        <v>-1.9485705158920341E-2</v>
      </c>
      <c r="AE132" s="98">
        <f>Operations!AE141/Operations!Z141-1</f>
        <v>-8.4745762711864181E-3</v>
      </c>
      <c r="AF132" s="98">
        <f>Operations!AF141/Operations!AA141-1</f>
        <v>4.9504950495049549E-2</v>
      </c>
      <c r="AG132" s="98">
        <f>Operations!AG141/Operations!AB141-1</f>
        <v>-5.181695827725441E-2</v>
      </c>
      <c r="AH132" s="98">
        <f>Operations!AH141/Operations!AC141-1</f>
        <v>-0.34440433212996391</v>
      </c>
      <c r="AI132" s="98">
        <f>Operations!AI141/Operations!AD141-1</f>
        <v>-7.949177390454476E-2</v>
      </c>
      <c r="AJ132" s="912">
        <f>Operations!AJ141/Operations!AE141-1</f>
        <v>-0.45238095238095233</v>
      </c>
      <c r="AK132" s="278">
        <f>Operations!AK141/Operations!AF141-1</f>
        <v>-0.38974056603773588</v>
      </c>
      <c r="AL132" s="278">
        <f>Operations!AL141/Operations!AG141-1</f>
        <v>-8.8005677785663594E-2</v>
      </c>
      <c r="AM132" s="913">
        <f>Operations!AM141/Operations!AH141-1</f>
        <v>0.37224669603524219</v>
      </c>
      <c r="AN132" s="98">
        <f>Operations!AN141/Operations!AI141-1</f>
        <v>-0.21022827818085299</v>
      </c>
      <c r="AO132" s="912">
        <f>Operations!AO141/Operations!AJ141-1</f>
        <v>0.69676700111482726</v>
      </c>
      <c r="AP132" s="278">
        <f>Operations!AP141/Operations!AK141-1</f>
        <v>0.33913043478260874</v>
      </c>
      <c r="AQ132" s="278">
        <f>Operations!AQ141/Operations!AL141-1</f>
        <v>2.957198443579756E-2</v>
      </c>
      <c r="AR132" s="913">
        <f>Operations!AR141/Operations!AM141-1</f>
        <v>-1.0433386837881198E-2</v>
      </c>
      <c r="AS132" s="98">
        <f>Operations!AS141/Operations!AN141-1</f>
        <v>0.22428859511539323</v>
      </c>
      <c r="AT132" s="912">
        <f>Operations!AT141/Operations!AO141-1</f>
        <v>-5.0591327201051195E-2</v>
      </c>
      <c r="AU132" s="278">
        <f>Operations!AU141/Operations!AP141-1</f>
        <v>-0.17893217893217894</v>
      </c>
      <c r="AV132" s="278">
        <f>Operations!AV141/Operations!AQ141-1</f>
        <v>-9.5993953136810251E-2</v>
      </c>
      <c r="AW132" s="913">
        <f>Operations!AW141/Operations!AR141-1</f>
        <v>-6.4882400648824001E-2</v>
      </c>
      <c r="AX132" s="98">
        <f>Operations!AX141/Operations!AS141-1</f>
        <v>-9.7364568081991232E-2</v>
      </c>
      <c r="AY132" s="912">
        <f>Operations!AY141/Operations!AT141-1</f>
        <v>-0.27681660899653981</v>
      </c>
      <c r="AZ132" s="278">
        <f>Operations!AZ141/Operations!AU141-1</f>
        <v>-0.16080843585237259</v>
      </c>
      <c r="BA132" s="278">
        <f>Operations!BA141/Operations!AV141-1</f>
        <v>-0.23829431438127091</v>
      </c>
      <c r="BB132" s="913">
        <f>Operations!BB141/Operations!AW141-1</f>
        <v>-0.21509106678230705</v>
      </c>
      <c r="BC132" s="98">
        <f>Operations!BC141/Operations!AX141-1</f>
        <v>-0.22627737226277367</v>
      </c>
      <c r="BD132" s="912">
        <f>Operations!BD141/Operations!AY141-1</f>
        <v>2.870813397129135E-3</v>
      </c>
      <c r="BE132" s="278">
        <f>Operations!BE141/Operations!AZ141-1</f>
        <v>0.11204188481675392</v>
      </c>
      <c r="BF132" s="278">
        <f>Operations!BF141/Operations!BA141-1</f>
        <v>-5.4884742041712453E-2</v>
      </c>
      <c r="BG132" s="913">
        <f>Operations!BG141/Operations!BB141-1</f>
        <v>0.13701657458563532</v>
      </c>
      <c r="BH132" s="98">
        <f>Operations!BH141/Operations!BC141-1</f>
        <v>4.8218029350104885E-2</v>
      </c>
      <c r="BI132" s="912">
        <f>Operations!BI141/Operations!BD141-1</f>
        <v>-1.6221374045801484E-2</v>
      </c>
      <c r="BJ132" s="278">
        <f>Operations!BJ141/Operations!BE141-1</f>
        <v>-8.4745762711864181E-3</v>
      </c>
      <c r="BK132" s="278">
        <f>Operations!BK141/Operations!BF141-1</f>
        <v>0.14634146341463405</v>
      </c>
      <c r="BL132" s="913">
        <f>Operations!BL141/Operations!BG141-1</f>
        <v>7.6773566569484863E-2</v>
      </c>
      <c r="BM132" s="98">
        <f>Operations!BM141/Operations!BH141-1</f>
        <v>4.4750000000000068E-2</v>
      </c>
      <c r="BN132" s="912">
        <f>Operations!BN141/Operations!BI141-1</f>
        <v>0.22599418040737151</v>
      </c>
      <c r="BO132" s="278">
        <f>Operations!BO141/Operations!BJ141-1</f>
        <v>0.13960113960113962</v>
      </c>
      <c r="BP132" s="278">
        <f>Operations!BP141/Operations!BK141-1</f>
        <v>3.3434650455927084E-2</v>
      </c>
      <c r="BQ132" s="913">
        <f>Operations!BQ141/Operations!BL141-1</f>
        <v>-0.11371841155234652</v>
      </c>
      <c r="BR132" s="98">
        <f>Operations!BR141/Operations!BM141-1</f>
        <v>6.8676716917922986E-2</v>
      </c>
      <c r="BS132" s="912">
        <f>Operations!BS141/Operations!BN141-1</f>
        <v>-0.20569620253164556</v>
      </c>
      <c r="BT132" s="278">
        <f>Operations!BT141/Operations!BO141-1</f>
        <v>-6.25E-2</v>
      </c>
      <c r="BU132" s="278">
        <f>Operations!BU141/Operations!BP141-1</f>
        <v>8.3333333333333259E-2</v>
      </c>
      <c r="BV132" s="913">
        <f>Operations!BV141/Operations!BQ141-1</f>
        <v>0.28411405295315673</v>
      </c>
      <c r="BW132" s="98">
        <f>Operations!BW141/Operations!BR141-1</f>
        <v>6.4935064935065512E-3</v>
      </c>
      <c r="BX132" s="912">
        <f>Operations!BX141/Operations!BS141-1</f>
        <v>0.10458167330677282</v>
      </c>
      <c r="BY132" s="278">
        <f>Operations!BY141/Operations!BT141-1</f>
        <v>2.8444444444444494E-2</v>
      </c>
      <c r="BZ132" s="278">
        <f>Operations!BZ141/Operations!BU141-1</f>
        <v>-3.4389140271493202E-2</v>
      </c>
      <c r="CA132" s="913">
        <f>Operations!CA141/Operations!BV141-1</f>
        <v>-7.1371927042029881E-3</v>
      </c>
      <c r="CB132" s="98">
        <f>Operations!CB141/Operations!BW141-1</f>
        <v>2.0022246941045596E-2</v>
      </c>
      <c r="CC132" s="1102">
        <v>0</v>
      </c>
      <c r="CD132" s="758">
        <v>0</v>
      </c>
      <c r="CE132" s="758">
        <v>0</v>
      </c>
      <c r="CF132" s="1077">
        <v>0</v>
      </c>
      <c r="CG132" s="1474">
        <f>Operations!CG141/Operations!CB141-1</f>
        <v>0</v>
      </c>
      <c r="CH132" s="1102">
        <v>0</v>
      </c>
      <c r="CI132" s="758">
        <v>0</v>
      </c>
      <c r="CJ132" s="758">
        <v>0</v>
      </c>
      <c r="CK132" s="1077">
        <v>0</v>
      </c>
      <c r="CL132" s="98">
        <f>Operations!CL141/Operations!CG141-1</f>
        <v>0</v>
      </c>
      <c r="CM132" s="1102">
        <v>0</v>
      </c>
      <c r="CN132" s="758">
        <v>0</v>
      </c>
      <c r="CO132" s="758">
        <v>0</v>
      </c>
      <c r="CP132" s="1077">
        <v>0</v>
      </c>
      <c r="CQ132" s="278">
        <f>Operations!CQ141/Operations!CL141-1</f>
        <v>0</v>
      </c>
      <c r="CR132" s="1460"/>
      <c r="CS132" s="99"/>
      <c r="CT132" s="99"/>
      <c r="CU132" s="99"/>
    </row>
    <row r="133" spans="1:99" ht="6.2" customHeight="1">
      <c r="A133" s="75"/>
      <c r="B133" s="75"/>
      <c r="C133" s="96"/>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9"/>
      <c r="AF133" s="109"/>
      <c r="AG133" s="109"/>
      <c r="AH133" s="109"/>
      <c r="AI133" s="109"/>
      <c r="AJ133" s="918"/>
      <c r="AK133" s="216"/>
      <c r="AL133" s="216"/>
      <c r="AM133" s="919"/>
      <c r="AN133" s="109"/>
      <c r="AO133" s="918"/>
      <c r="AP133" s="216"/>
      <c r="AQ133" s="216"/>
      <c r="AR133" s="919"/>
      <c r="AS133" s="109"/>
      <c r="AT133" s="918"/>
      <c r="AU133" s="216"/>
      <c r="AV133" s="216"/>
      <c r="AW133" s="919"/>
      <c r="AX133" s="109"/>
      <c r="AY133" s="918"/>
      <c r="AZ133" s="216"/>
      <c r="BA133" s="216"/>
      <c r="BB133" s="919"/>
      <c r="BC133" s="109"/>
      <c r="BD133" s="918"/>
      <c r="BE133" s="216"/>
      <c r="BF133" s="216"/>
      <c r="BG133" s="919"/>
      <c r="BH133" s="109"/>
      <c r="BI133" s="918"/>
      <c r="BJ133" s="216"/>
      <c r="BK133" s="216"/>
      <c r="BL133" s="919"/>
      <c r="BM133" s="109"/>
      <c r="BN133" s="918"/>
      <c r="BO133" s="216"/>
      <c r="BP133" s="216"/>
      <c r="BQ133" s="919"/>
      <c r="BR133" s="109"/>
      <c r="BS133" s="918"/>
      <c r="BT133" s="216"/>
      <c r="BU133" s="216"/>
      <c r="BV133" s="919"/>
      <c r="BW133" s="109"/>
      <c r="BX133" s="918"/>
      <c r="BY133" s="216"/>
      <c r="BZ133" s="216"/>
      <c r="CA133" s="919"/>
      <c r="CB133" s="109"/>
      <c r="CC133" s="918"/>
      <c r="CD133" s="216"/>
      <c r="CE133" s="216"/>
      <c r="CF133" s="919"/>
      <c r="CG133" s="1477"/>
      <c r="CH133" s="918"/>
      <c r="CI133" s="216"/>
      <c r="CJ133" s="216"/>
      <c r="CK133" s="919"/>
      <c r="CL133" s="109"/>
      <c r="CM133" s="918"/>
      <c r="CN133" s="216"/>
      <c r="CO133" s="216"/>
      <c r="CP133" s="919"/>
      <c r="CQ133" s="216"/>
      <c r="CR133" s="1460"/>
      <c r="CS133" s="99"/>
      <c r="CT133" s="99"/>
      <c r="CU133" s="99"/>
    </row>
    <row r="134" spans="1:99" ht="13.5" customHeight="1">
      <c r="B134" s="93" t="s">
        <v>909</v>
      </c>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904"/>
      <c r="AK134" s="81"/>
      <c r="AL134" s="81"/>
      <c r="AM134" s="905"/>
      <c r="AN134" s="75"/>
      <c r="AO134" s="904"/>
      <c r="AP134" s="81"/>
      <c r="AQ134" s="81"/>
      <c r="AR134" s="905"/>
      <c r="AS134" s="75"/>
      <c r="AT134" s="904"/>
      <c r="AU134" s="81"/>
      <c r="AV134" s="81"/>
      <c r="AW134" s="905"/>
      <c r="AX134" s="75"/>
      <c r="AY134" s="904"/>
      <c r="AZ134" s="81"/>
      <c r="BA134" s="81"/>
      <c r="BB134" s="905"/>
      <c r="BC134" s="75"/>
      <c r="BD134" s="904"/>
      <c r="BE134" s="81"/>
      <c r="BF134" s="81"/>
      <c r="BG134" s="905"/>
      <c r="BH134" s="75"/>
      <c r="BI134" s="904"/>
      <c r="BJ134" s="81"/>
      <c r="BK134" s="81"/>
      <c r="BL134" s="905"/>
      <c r="BM134" s="75"/>
      <c r="BN134" s="904"/>
      <c r="BO134" s="81"/>
      <c r="BP134" s="81"/>
      <c r="BQ134" s="905"/>
      <c r="BR134" s="75"/>
      <c r="BS134" s="904"/>
      <c r="BT134" s="81"/>
      <c r="BU134" s="81"/>
      <c r="BV134" s="905"/>
      <c r="BW134" s="75"/>
      <c r="BX134" s="904"/>
      <c r="BY134" s="81"/>
      <c r="BZ134" s="81"/>
      <c r="CA134" s="905"/>
      <c r="CB134" s="75"/>
      <c r="CC134" s="904"/>
      <c r="CD134" s="81"/>
      <c r="CE134" s="81"/>
      <c r="CF134" s="905"/>
      <c r="CG134" s="1469"/>
      <c r="CH134" s="904"/>
      <c r="CI134" s="81"/>
      <c r="CJ134" s="81"/>
      <c r="CK134" s="905"/>
      <c r="CL134" s="75"/>
      <c r="CM134" s="904"/>
      <c r="CN134" s="81"/>
      <c r="CO134" s="81"/>
      <c r="CP134" s="905"/>
      <c r="CQ134" s="81"/>
    </row>
    <row r="135" spans="1:99" ht="13.5" customHeight="1">
      <c r="A135" s="275"/>
      <c r="B135" s="75" t="s">
        <v>672</v>
      </c>
      <c r="C135" s="75"/>
      <c r="D135" s="104"/>
      <c r="E135" s="625">
        <v>1392</v>
      </c>
      <c r="F135" s="153">
        <f t="shared" ref="F135:I140" si="222">$J135/$J$141*F$141</f>
        <v>436.09610228913175</v>
      </c>
      <c r="G135" s="153">
        <f t="shared" si="222"/>
        <v>457.35120643431634</v>
      </c>
      <c r="H135" s="153">
        <f t="shared" si="222"/>
        <v>411.5427923283151</v>
      </c>
      <c r="I135" s="153">
        <f t="shared" si="222"/>
        <v>472.0098989482367</v>
      </c>
      <c r="J135" s="625">
        <v>1777</v>
      </c>
      <c r="K135" s="153">
        <f t="shared" ref="K135:N140" si="223">$O135/$O$141*K$141</f>
        <v>515.51488095238096</v>
      </c>
      <c r="L135" s="153">
        <f t="shared" si="223"/>
        <v>555.06845238095241</v>
      </c>
      <c r="M135" s="153">
        <f t="shared" si="223"/>
        <v>552.43154761904759</v>
      </c>
      <c r="N135" s="153">
        <f t="shared" si="223"/>
        <v>591.98511904761904</v>
      </c>
      <c r="O135" s="625">
        <v>2215</v>
      </c>
      <c r="P135" s="153">
        <f t="shared" ref="P135:S140" si="224">$T135/$T$141*P$141</f>
        <v>485.2043753598158</v>
      </c>
      <c r="Q135" s="153">
        <f t="shared" si="224"/>
        <v>501.00172711571679</v>
      </c>
      <c r="R135" s="153">
        <f t="shared" si="224"/>
        <v>462.63672999424296</v>
      </c>
      <c r="S135" s="153">
        <f t="shared" si="224"/>
        <v>511.15716753022457</v>
      </c>
      <c r="T135" s="625">
        <v>1960</v>
      </c>
      <c r="U135" s="153">
        <f t="shared" ref="U135:X140" si="225">$Y135/$Y$141*U$141</f>
        <v>560.47212905286699</v>
      </c>
      <c r="V135" s="153">
        <f t="shared" si="225"/>
        <v>613.99201405526276</v>
      </c>
      <c r="W135" s="153">
        <f t="shared" si="225"/>
        <v>576.82542724804341</v>
      </c>
      <c r="X135" s="153">
        <f t="shared" si="225"/>
        <v>575.71042964382684</v>
      </c>
      <c r="Y135" s="625">
        <v>2327</v>
      </c>
      <c r="Z135" s="153">
        <f t="shared" ref="Z135:AC140" si="226">$AD135/$AD$141*Z$141</f>
        <v>631.30672748004565</v>
      </c>
      <c r="AA135" s="153">
        <f t="shared" si="226"/>
        <v>617.54943801922138</v>
      </c>
      <c r="AB135" s="153">
        <f t="shared" si="226"/>
        <v>567.87033718846715</v>
      </c>
      <c r="AC135" s="153">
        <f t="shared" si="226"/>
        <v>529.27349731226582</v>
      </c>
      <c r="AD135" s="625">
        <v>2346</v>
      </c>
      <c r="AE135" s="153">
        <f t="shared" ref="AE135:AH140" si="227">AE$141*($AI135/$AI$141)</f>
        <v>620.88055211466997</v>
      </c>
      <c r="AF135" s="153">
        <f t="shared" si="227"/>
        <v>642.86533356927976</v>
      </c>
      <c r="AG135" s="153">
        <f t="shared" si="227"/>
        <v>534.07857016457262</v>
      </c>
      <c r="AH135" s="153">
        <f t="shared" si="227"/>
        <v>344.1755441514776</v>
      </c>
      <c r="AI135" s="608">
        <v>2142</v>
      </c>
      <c r="AJ135" s="914">
        <f t="shared" ref="AJ135:AM140" si="228">AJ$141*($AN135/$AN$141)</f>
        <v>381.06923593995072</v>
      </c>
      <c r="AK135" s="153">
        <f t="shared" si="228"/>
        <v>439.69527223840464</v>
      </c>
      <c r="AL135" s="153">
        <f t="shared" si="228"/>
        <v>545.90185973560381</v>
      </c>
      <c r="AM135" s="915">
        <f t="shared" si="228"/>
        <v>529.33363208604078</v>
      </c>
      <c r="AN135" s="608">
        <v>1896</v>
      </c>
      <c r="AO135" s="914">
        <f t="shared" ref="AO135:AR140" si="229">AO$141*($AS135/$AS$141)</f>
        <v>610.30417276720357</v>
      </c>
      <c r="AP135" s="153">
        <f t="shared" si="229"/>
        <v>555.76976573938509</v>
      </c>
      <c r="AQ135" s="153">
        <f t="shared" si="229"/>
        <v>530.50750366032219</v>
      </c>
      <c r="AR135" s="915">
        <f t="shared" si="229"/>
        <v>494.41855783308932</v>
      </c>
      <c r="AS135" s="608">
        <v>2191</v>
      </c>
      <c r="AT135" s="914">
        <f t="shared" ref="AT135:AW140" si="230">AT$141*($AX135/$AX$141)</f>
        <v>568.390105433901</v>
      </c>
      <c r="AU135" s="153">
        <f t="shared" si="230"/>
        <v>447.63179237631789</v>
      </c>
      <c r="AV135" s="153">
        <f t="shared" si="230"/>
        <v>470.44606650446065</v>
      </c>
      <c r="AW135" s="915">
        <f t="shared" si="230"/>
        <v>453.53203568532035</v>
      </c>
      <c r="AX135" s="608">
        <v>1940</v>
      </c>
      <c r="AY135" s="914">
        <f t="shared" ref="AY135:BB140" si="231">AY$141*($BC135/$BC$141)</f>
        <v>327.79481132075472</v>
      </c>
      <c r="AZ135" s="153">
        <f t="shared" si="231"/>
        <v>299.56367924528303</v>
      </c>
      <c r="BA135" s="153">
        <f t="shared" si="231"/>
        <v>285.76179245283021</v>
      </c>
      <c r="BB135" s="915">
        <f t="shared" si="231"/>
        <v>283.87971698113211</v>
      </c>
      <c r="BC135" s="608">
        <v>1197</v>
      </c>
      <c r="BD135" s="914">
        <f t="shared" ref="BD135:BG140" si="232">BD$141*($BH135/$BH$141)</f>
        <v>373.61199999999997</v>
      </c>
      <c r="BE135" s="153">
        <f t="shared" si="232"/>
        <v>378.60300000000001</v>
      </c>
      <c r="BF135" s="153">
        <f t="shared" si="232"/>
        <v>306.94649999999996</v>
      </c>
      <c r="BG135" s="915">
        <f t="shared" si="232"/>
        <v>366.83850000000001</v>
      </c>
      <c r="BH135" s="608">
        <v>1426</v>
      </c>
      <c r="BI135" s="914">
        <f t="shared" ref="BI135:BL140" si="233">BI$141*($BM135/$BM$141)</f>
        <v>338.97918162239773</v>
      </c>
      <c r="BJ135" s="153">
        <f t="shared" si="233"/>
        <v>346.21249102656139</v>
      </c>
      <c r="BK135" s="153">
        <f t="shared" si="233"/>
        <v>324.51256281407035</v>
      </c>
      <c r="BL135" s="915">
        <f t="shared" si="233"/>
        <v>364.29576453697058</v>
      </c>
      <c r="BM135" s="608">
        <v>1374</v>
      </c>
      <c r="BN135" s="914">
        <f t="shared" ref="BN135:BQ140" si="234">BN$141*($BR135/$BR$141)</f>
        <v>329.72682489923869</v>
      </c>
      <c r="BO135" s="153">
        <f t="shared" si="234"/>
        <v>313.03179579041648</v>
      </c>
      <c r="BP135" s="153">
        <f t="shared" si="234"/>
        <v>266.07702642185399</v>
      </c>
      <c r="BQ135" s="915">
        <f t="shared" si="234"/>
        <v>256.16435288849078</v>
      </c>
      <c r="BR135" s="608">
        <v>1165</v>
      </c>
      <c r="BS135" s="1049">
        <f t="shared" ref="BS135:BV140" si="235">BS$141*($BR135/$BR$141)</f>
        <v>261.90326914464845</v>
      </c>
      <c r="BT135" s="855">
        <f t="shared" si="235"/>
        <v>293.46730855351547</v>
      </c>
      <c r="BU135" s="855">
        <f t="shared" si="235"/>
        <v>288.25011195700847</v>
      </c>
      <c r="BV135" s="1050">
        <f t="shared" si="235"/>
        <v>328.94424540976263</v>
      </c>
      <c r="BW135" s="608">
        <v>1337</v>
      </c>
      <c r="BX135" s="1049">
        <f t="shared" ref="BX135:BX140" si="236">BX$141*($BW135/$BW$141)</f>
        <v>329.86273637374859</v>
      </c>
      <c r="BY135" s="855">
        <f t="shared" ref="BY135:CH140" si="237">$BW135/$BW$141*BY$141</f>
        <v>344.13993325917681</v>
      </c>
      <c r="BZ135" s="855">
        <f t="shared" si="237"/>
        <v>317.37018909899888</v>
      </c>
      <c r="CA135" s="1050">
        <f t="shared" si="237"/>
        <v>372.3968854282536</v>
      </c>
      <c r="CB135" s="153">
        <f t="shared" si="237"/>
        <v>1363.7697441601779</v>
      </c>
      <c r="CC135" s="914">
        <f t="shared" si="237"/>
        <v>329.86273637374859</v>
      </c>
      <c r="CD135" s="153">
        <f t="shared" si="237"/>
        <v>344.13993325917681</v>
      </c>
      <c r="CE135" s="153">
        <f t="shared" si="237"/>
        <v>317.37018909899888</v>
      </c>
      <c r="CF135" s="915">
        <f t="shared" si="237"/>
        <v>372.3968854282536</v>
      </c>
      <c r="CG135" s="1475">
        <f t="shared" si="237"/>
        <v>1363.7697441601779</v>
      </c>
      <c r="CH135" s="914">
        <f t="shared" si="237"/>
        <v>329.86273637374859</v>
      </c>
      <c r="CI135" s="153">
        <f t="shared" ref="CI135:CQ140" si="238">$BW135/$BW$141*CI$141</f>
        <v>344.13993325917681</v>
      </c>
      <c r="CJ135" s="153">
        <f t="shared" si="238"/>
        <v>317.37018909899888</v>
      </c>
      <c r="CK135" s="915">
        <f t="shared" si="238"/>
        <v>372.3968854282536</v>
      </c>
      <c r="CL135" s="153">
        <f t="shared" si="238"/>
        <v>1363.7697441601779</v>
      </c>
      <c r="CM135" s="914">
        <f t="shared" si="238"/>
        <v>329.86273637374859</v>
      </c>
      <c r="CN135" s="153">
        <f t="shared" si="238"/>
        <v>344.13993325917681</v>
      </c>
      <c r="CO135" s="153">
        <f t="shared" si="238"/>
        <v>317.37018909899888</v>
      </c>
      <c r="CP135" s="915">
        <f t="shared" si="238"/>
        <v>372.3968854282536</v>
      </c>
      <c r="CQ135" s="153">
        <f t="shared" si="238"/>
        <v>1363.7697441601779</v>
      </c>
    </row>
    <row r="136" spans="1:99" ht="13.5" customHeight="1">
      <c r="A136" s="275"/>
      <c r="B136" s="75" t="s">
        <v>673</v>
      </c>
      <c r="C136" s="75"/>
      <c r="D136" s="104"/>
      <c r="E136" s="625">
        <v>1017</v>
      </c>
      <c r="F136" s="153">
        <f t="shared" si="222"/>
        <v>299.64734996906577</v>
      </c>
      <c r="G136" s="153">
        <f t="shared" si="222"/>
        <v>314.25201072386056</v>
      </c>
      <c r="H136" s="153">
        <f t="shared" si="222"/>
        <v>282.77644875232005</v>
      </c>
      <c r="I136" s="153">
        <f t="shared" si="222"/>
        <v>324.3241905547535</v>
      </c>
      <c r="J136" s="625">
        <v>1221</v>
      </c>
      <c r="K136" s="153">
        <f t="shared" si="223"/>
        <v>272.76904761904763</v>
      </c>
      <c r="L136" s="153">
        <f t="shared" si="223"/>
        <v>293.69761904761907</v>
      </c>
      <c r="M136" s="153">
        <f t="shared" si="223"/>
        <v>292.30238095238099</v>
      </c>
      <c r="N136" s="153">
        <f t="shared" si="223"/>
        <v>313.23095238095237</v>
      </c>
      <c r="O136" s="625">
        <v>1172</v>
      </c>
      <c r="P136" s="153">
        <f t="shared" si="224"/>
        <v>342.36614853195164</v>
      </c>
      <c r="Q136" s="153">
        <f t="shared" si="224"/>
        <v>353.51295336787564</v>
      </c>
      <c r="R136" s="153">
        <f t="shared" si="224"/>
        <v>326.44214162348874</v>
      </c>
      <c r="S136" s="153">
        <f t="shared" si="224"/>
        <v>360.67875647668393</v>
      </c>
      <c r="T136" s="625">
        <v>1383</v>
      </c>
      <c r="U136" s="153">
        <f t="shared" si="225"/>
        <v>369.71410317840599</v>
      </c>
      <c r="V136" s="153">
        <f t="shared" si="225"/>
        <v>405.01836767289569</v>
      </c>
      <c r="W136" s="153">
        <f t="shared" si="225"/>
        <v>380.50151732950007</v>
      </c>
      <c r="X136" s="153">
        <f t="shared" si="225"/>
        <v>379.76601181919824</v>
      </c>
      <c r="Y136" s="625">
        <v>1535</v>
      </c>
      <c r="Z136" s="153">
        <f t="shared" si="226"/>
        <v>377.27708095781071</v>
      </c>
      <c r="AA136" s="153">
        <f t="shared" si="226"/>
        <v>369.05554650594559</v>
      </c>
      <c r="AB136" s="153">
        <f t="shared" si="226"/>
        <v>339.36667209643264</v>
      </c>
      <c r="AC136" s="153">
        <f t="shared" si="226"/>
        <v>316.30070043981107</v>
      </c>
      <c r="AD136" s="625">
        <v>1402</v>
      </c>
      <c r="AE136" s="153">
        <f t="shared" si="227"/>
        <v>346.38294107237658</v>
      </c>
      <c r="AF136" s="153">
        <f t="shared" si="227"/>
        <v>358.64802689789417</v>
      </c>
      <c r="AG136" s="153">
        <f t="shared" si="227"/>
        <v>297.95699876128117</v>
      </c>
      <c r="AH136" s="153">
        <f t="shared" si="227"/>
        <v>192.01203326844808</v>
      </c>
      <c r="AI136" s="608">
        <v>1195</v>
      </c>
      <c r="AJ136" s="914">
        <f t="shared" si="228"/>
        <v>131.64575397714543</v>
      </c>
      <c r="AK136" s="153">
        <f t="shared" si="228"/>
        <v>151.89894689670626</v>
      </c>
      <c r="AL136" s="153">
        <f t="shared" si="228"/>
        <v>188.58951377996863</v>
      </c>
      <c r="AM136" s="915">
        <f t="shared" si="228"/>
        <v>182.86578534617971</v>
      </c>
      <c r="AN136" s="608">
        <v>655</v>
      </c>
      <c r="AO136" s="914">
        <f t="shared" si="229"/>
        <v>209.46998535871157</v>
      </c>
      <c r="AP136" s="153">
        <f t="shared" si="229"/>
        <v>190.75256222547586</v>
      </c>
      <c r="AQ136" s="153">
        <f t="shared" si="229"/>
        <v>182.08199121522694</v>
      </c>
      <c r="AR136" s="915">
        <f t="shared" si="229"/>
        <v>169.69546120058567</v>
      </c>
      <c r="AS136" s="608">
        <v>752</v>
      </c>
      <c r="AT136" s="914">
        <f t="shared" si="230"/>
        <v>207.14010543390106</v>
      </c>
      <c r="AU136" s="153">
        <f t="shared" si="230"/>
        <v>163.13179237631795</v>
      </c>
      <c r="AV136" s="153">
        <f t="shared" si="230"/>
        <v>171.44606650446067</v>
      </c>
      <c r="AW136" s="915">
        <f t="shared" si="230"/>
        <v>165.28203568532038</v>
      </c>
      <c r="AX136" s="608">
        <v>707</v>
      </c>
      <c r="AY136" s="914">
        <f t="shared" si="231"/>
        <v>152.8066037735849</v>
      </c>
      <c r="AZ136" s="153">
        <f t="shared" si="231"/>
        <v>139.64622641509433</v>
      </c>
      <c r="BA136" s="153">
        <f t="shared" si="231"/>
        <v>133.21226415094338</v>
      </c>
      <c r="BB136" s="915">
        <f t="shared" si="231"/>
        <v>132.33490566037736</v>
      </c>
      <c r="BC136" s="608">
        <v>558</v>
      </c>
      <c r="BD136" s="914">
        <f t="shared" si="232"/>
        <v>144.88600000000002</v>
      </c>
      <c r="BE136" s="153">
        <f t="shared" si="232"/>
        <v>146.82150000000001</v>
      </c>
      <c r="BF136" s="153">
        <f t="shared" si="232"/>
        <v>119.03325000000001</v>
      </c>
      <c r="BG136" s="915">
        <f t="shared" si="232"/>
        <v>142.25925000000001</v>
      </c>
      <c r="BH136" s="608">
        <v>553</v>
      </c>
      <c r="BI136" s="914">
        <f t="shared" si="233"/>
        <v>127.79564489112228</v>
      </c>
      <c r="BJ136" s="153">
        <f t="shared" si="233"/>
        <v>130.52261306532662</v>
      </c>
      <c r="BK136" s="153">
        <f t="shared" si="233"/>
        <v>122.34170854271356</v>
      </c>
      <c r="BL136" s="915">
        <f t="shared" si="233"/>
        <v>137.34003350083754</v>
      </c>
      <c r="BM136" s="608">
        <v>518</v>
      </c>
      <c r="BN136" s="914">
        <f t="shared" si="234"/>
        <v>133.02283922973578</v>
      </c>
      <c r="BO136" s="153">
        <f t="shared" si="234"/>
        <v>126.28750559785043</v>
      </c>
      <c r="BP136" s="153">
        <f t="shared" si="234"/>
        <v>107.34437975817286</v>
      </c>
      <c r="BQ136" s="915">
        <f t="shared" si="234"/>
        <v>103.34527541424093</v>
      </c>
      <c r="BR136" s="608">
        <v>470</v>
      </c>
      <c r="BS136" s="1049">
        <f t="shared" si="235"/>
        <v>105.66054635020153</v>
      </c>
      <c r="BT136" s="855">
        <f t="shared" si="235"/>
        <v>118.39453649798477</v>
      </c>
      <c r="BU136" s="855">
        <f t="shared" si="235"/>
        <v>116.2897447380206</v>
      </c>
      <c r="BV136" s="1050">
        <f t="shared" si="235"/>
        <v>132.70712046574116</v>
      </c>
      <c r="BW136" s="608">
        <v>459</v>
      </c>
      <c r="BX136" s="1049">
        <f t="shared" si="236"/>
        <v>113.24382647385985</v>
      </c>
      <c r="BY136" s="855">
        <f t="shared" si="237"/>
        <v>118.14527252502782</v>
      </c>
      <c r="BZ136" s="855">
        <f t="shared" si="237"/>
        <v>108.95506117908788</v>
      </c>
      <c r="CA136" s="1050">
        <f t="shared" si="237"/>
        <v>127.84605116796442</v>
      </c>
      <c r="CB136" s="153">
        <f t="shared" si="237"/>
        <v>468.19021134593999</v>
      </c>
      <c r="CC136" s="914">
        <f t="shared" si="237"/>
        <v>113.24382647385985</v>
      </c>
      <c r="CD136" s="153">
        <f t="shared" si="237"/>
        <v>118.14527252502782</v>
      </c>
      <c r="CE136" s="153">
        <f t="shared" si="237"/>
        <v>108.95506117908788</v>
      </c>
      <c r="CF136" s="915">
        <f t="shared" si="237"/>
        <v>127.84605116796442</v>
      </c>
      <c r="CG136" s="1475">
        <f t="shared" si="237"/>
        <v>468.19021134593999</v>
      </c>
      <c r="CH136" s="914">
        <f t="shared" si="237"/>
        <v>113.24382647385985</v>
      </c>
      <c r="CI136" s="153">
        <f t="shared" si="238"/>
        <v>118.14527252502782</v>
      </c>
      <c r="CJ136" s="153">
        <f t="shared" si="238"/>
        <v>108.95506117908788</v>
      </c>
      <c r="CK136" s="915">
        <f t="shared" si="238"/>
        <v>127.84605116796442</v>
      </c>
      <c r="CL136" s="153">
        <f t="shared" si="238"/>
        <v>468.19021134593999</v>
      </c>
      <c r="CM136" s="914">
        <f t="shared" si="238"/>
        <v>113.24382647385985</v>
      </c>
      <c r="CN136" s="153">
        <f t="shared" si="238"/>
        <v>118.14527252502782</v>
      </c>
      <c r="CO136" s="153">
        <f t="shared" si="238"/>
        <v>108.95506117908788</v>
      </c>
      <c r="CP136" s="915">
        <f t="shared" si="238"/>
        <v>127.84605116796442</v>
      </c>
      <c r="CQ136" s="153">
        <f t="shared" si="238"/>
        <v>468.19021134593999</v>
      </c>
    </row>
    <row r="137" spans="1:99" ht="13.5" customHeight="1">
      <c r="A137" s="275"/>
      <c r="B137" s="81" t="s">
        <v>674</v>
      </c>
      <c r="C137" s="75"/>
      <c r="D137" s="104"/>
      <c r="E137" s="625">
        <v>348</v>
      </c>
      <c r="F137" s="153">
        <f t="shared" si="222"/>
        <v>93.992575788822435</v>
      </c>
      <c r="G137" s="153">
        <f t="shared" si="222"/>
        <v>98.573726541554961</v>
      </c>
      <c r="H137" s="153">
        <f t="shared" si="222"/>
        <v>88.700556815838311</v>
      </c>
      <c r="I137" s="153">
        <f t="shared" si="222"/>
        <v>101.73314085378428</v>
      </c>
      <c r="J137" s="625">
        <v>383</v>
      </c>
      <c r="K137" s="153">
        <f t="shared" si="223"/>
        <v>92.164285714285711</v>
      </c>
      <c r="L137" s="153">
        <f t="shared" si="223"/>
        <v>99.23571428571428</v>
      </c>
      <c r="M137" s="153">
        <f t="shared" si="223"/>
        <v>98.764285714285705</v>
      </c>
      <c r="N137" s="153">
        <f t="shared" si="223"/>
        <v>105.83571428571429</v>
      </c>
      <c r="O137" s="625">
        <v>396</v>
      </c>
      <c r="P137" s="153">
        <f t="shared" si="224"/>
        <v>100.25906735751295</v>
      </c>
      <c r="Q137" s="153">
        <f t="shared" si="224"/>
        <v>103.52331606217616</v>
      </c>
      <c r="R137" s="153">
        <f t="shared" si="224"/>
        <v>95.595854922279784</v>
      </c>
      <c r="S137" s="153">
        <f t="shared" si="224"/>
        <v>105.62176165803109</v>
      </c>
      <c r="T137" s="625">
        <v>405</v>
      </c>
      <c r="U137" s="153">
        <f t="shared" si="225"/>
        <v>99.95527870947133</v>
      </c>
      <c r="V137" s="153">
        <f t="shared" si="225"/>
        <v>109.50007985944737</v>
      </c>
      <c r="W137" s="153">
        <f t="shared" si="225"/>
        <v>102.87174572751957</v>
      </c>
      <c r="X137" s="153">
        <f t="shared" si="225"/>
        <v>102.67289570356174</v>
      </c>
      <c r="Y137" s="625">
        <v>415</v>
      </c>
      <c r="Z137" s="153">
        <f t="shared" si="226"/>
        <v>160.11402508551882</v>
      </c>
      <c r="AA137" s="153">
        <f t="shared" si="226"/>
        <v>156.62485746864311</v>
      </c>
      <c r="AB137" s="153">
        <f t="shared" si="226"/>
        <v>144.02508551881414</v>
      </c>
      <c r="AC137" s="153">
        <f t="shared" si="226"/>
        <v>134.23603192702396</v>
      </c>
      <c r="AD137" s="625">
        <v>595</v>
      </c>
      <c r="AE137" s="153">
        <f t="shared" si="227"/>
        <v>212.46752787117325</v>
      </c>
      <c r="AF137" s="153">
        <f t="shared" si="227"/>
        <v>219.99079808883383</v>
      </c>
      <c r="AG137" s="153">
        <f t="shared" si="227"/>
        <v>182.76358166696161</v>
      </c>
      <c r="AH137" s="153">
        <f t="shared" si="227"/>
        <v>117.77809237303133</v>
      </c>
      <c r="AI137" s="608">
        <v>733</v>
      </c>
      <c r="AJ137" s="914">
        <f t="shared" si="228"/>
        <v>159.38180596011651</v>
      </c>
      <c r="AK137" s="153">
        <f t="shared" si="228"/>
        <v>183.90208380013445</v>
      </c>
      <c r="AL137" s="153">
        <f t="shared" si="228"/>
        <v>228.32287698857272</v>
      </c>
      <c r="AM137" s="915">
        <f t="shared" si="228"/>
        <v>221.39323325117635</v>
      </c>
      <c r="AN137" s="608">
        <v>793</v>
      </c>
      <c r="AO137" s="914">
        <f t="shared" si="229"/>
        <v>244.56734992679355</v>
      </c>
      <c r="AP137" s="153">
        <f t="shared" si="229"/>
        <v>222.71376281112737</v>
      </c>
      <c r="AQ137" s="153">
        <f t="shared" si="229"/>
        <v>212.59040995607614</v>
      </c>
      <c r="AR137" s="915">
        <f t="shared" si="229"/>
        <v>198.12847730600294</v>
      </c>
      <c r="AS137" s="608">
        <v>878</v>
      </c>
      <c r="AT137" s="914">
        <f t="shared" si="230"/>
        <v>239.07542579075425</v>
      </c>
      <c r="AU137" s="153">
        <f t="shared" si="230"/>
        <v>188.28223844282238</v>
      </c>
      <c r="AV137" s="153">
        <f t="shared" si="230"/>
        <v>197.87834549878343</v>
      </c>
      <c r="AW137" s="915">
        <f t="shared" si="230"/>
        <v>190.76399026763988</v>
      </c>
      <c r="AX137" s="608">
        <v>816</v>
      </c>
      <c r="AY137" s="914">
        <f t="shared" si="231"/>
        <v>211.4098532494759</v>
      </c>
      <c r="AZ137" s="153">
        <f t="shared" si="231"/>
        <v>193.20230607966457</v>
      </c>
      <c r="BA137" s="153">
        <f t="shared" si="231"/>
        <v>184.30083857442349</v>
      </c>
      <c r="BB137" s="915">
        <f t="shared" si="231"/>
        <v>183.08700209643607</v>
      </c>
      <c r="BC137" s="608">
        <v>772</v>
      </c>
      <c r="BD137" s="914">
        <f t="shared" si="232"/>
        <v>199.64400000000001</v>
      </c>
      <c r="BE137" s="153">
        <f t="shared" si="232"/>
        <v>202.31100000000001</v>
      </c>
      <c r="BF137" s="153">
        <f t="shared" si="232"/>
        <v>164.0205</v>
      </c>
      <c r="BG137" s="915">
        <f t="shared" si="232"/>
        <v>196.02449999999999</v>
      </c>
      <c r="BH137" s="608">
        <v>762</v>
      </c>
      <c r="BI137" s="914">
        <f t="shared" si="233"/>
        <v>191.2000478583393</v>
      </c>
      <c r="BJ137" s="153">
        <f t="shared" si="233"/>
        <v>195.27997128499641</v>
      </c>
      <c r="BK137" s="153">
        <f t="shared" si="233"/>
        <v>183.04020100502512</v>
      </c>
      <c r="BL137" s="915">
        <f t="shared" si="233"/>
        <v>205.47977985163914</v>
      </c>
      <c r="BM137" s="608">
        <v>775</v>
      </c>
      <c r="BN137" s="914">
        <f t="shared" si="234"/>
        <v>244.81862964621584</v>
      </c>
      <c r="BO137" s="153">
        <f t="shared" si="234"/>
        <v>232.42274966412896</v>
      </c>
      <c r="BP137" s="153">
        <f t="shared" si="234"/>
        <v>197.55933721450961</v>
      </c>
      <c r="BQ137" s="915">
        <f t="shared" si="234"/>
        <v>190.19928347514553</v>
      </c>
      <c r="BR137" s="608">
        <v>865</v>
      </c>
      <c r="BS137" s="1049">
        <f t="shared" si="235"/>
        <v>194.4603672189879</v>
      </c>
      <c r="BT137" s="855">
        <f t="shared" si="235"/>
        <v>217.89632781012091</v>
      </c>
      <c r="BU137" s="855">
        <f t="shared" si="235"/>
        <v>214.02261531571875</v>
      </c>
      <c r="BV137" s="1050">
        <f t="shared" si="235"/>
        <v>244.23757277205553</v>
      </c>
      <c r="BW137" s="608">
        <v>849</v>
      </c>
      <c r="BX137" s="1049">
        <f t="shared" si="236"/>
        <v>209.46407119021134</v>
      </c>
      <c r="BY137" s="855">
        <f t="shared" si="237"/>
        <v>218.53014460511679</v>
      </c>
      <c r="BZ137" s="855">
        <f t="shared" si="237"/>
        <v>201.53125695216906</v>
      </c>
      <c r="CA137" s="1050">
        <f t="shared" si="237"/>
        <v>236.47341490545048</v>
      </c>
      <c r="CB137" s="153">
        <f t="shared" si="237"/>
        <v>865.9988876529477</v>
      </c>
      <c r="CC137" s="914">
        <f t="shared" si="237"/>
        <v>209.46407119021134</v>
      </c>
      <c r="CD137" s="153">
        <f t="shared" si="237"/>
        <v>218.53014460511679</v>
      </c>
      <c r="CE137" s="153">
        <f t="shared" si="237"/>
        <v>201.53125695216906</v>
      </c>
      <c r="CF137" s="915">
        <f t="shared" si="237"/>
        <v>236.47341490545048</v>
      </c>
      <c r="CG137" s="1475">
        <f t="shared" si="237"/>
        <v>865.9988876529477</v>
      </c>
      <c r="CH137" s="914">
        <f t="shared" si="237"/>
        <v>209.46407119021134</v>
      </c>
      <c r="CI137" s="153">
        <f t="shared" si="238"/>
        <v>218.53014460511679</v>
      </c>
      <c r="CJ137" s="153">
        <f t="shared" si="238"/>
        <v>201.53125695216906</v>
      </c>
      <c r="CK137" s="915">
        <f t="shared" si="238"/>
        <v>236.47341490545048</v>
      </c>
      <c r="CL137" s="153">
        <f t="shared" si="238"/>
        <v>865.9988876529477</v>
      </c>
      <c r="CM137" s="914">
        <f t="shared" si="238"/>
        <v>209.46407119021134</v>
      </c>
      <c r="CN137" s="153">
        <f t="shared" si="238"/>
        <v>218.53014460511679</v>
      </c>
      <c r="CO137" s="153">
        <f t="shared" si="238"/>
        <v>201.53125695216906</v>
      </c>
      <c r="CP137" s="915">
        <f t="shared" si="238"/>
        <v>236.47341490545048</v>
      </c>
      <c r="CQ137" s="153">
        <f t="shared" si="238"/>
        <v>865.9988876529477</v>
      </c>
    </row>
    <row r="138" spans="1:99" ht="13.5" customHeight="1">
      <c r="A138" s="275"/>
      <c r="B138" s="75" t="s">
        <v>675</v>
      </c>
      <c r="C138" s="75"/>
      <c r="D138" s="104"/>
      <c r="E138" s="625">
        <v>195</v>
      </c>
      <c r="F138" s="153">
        <f t="shared" si="222"/>
        <v>78.531656011548776</v>
      </c>
      <c r="G138" s="153">
        <f t="shared" si="222"/>
        <v>82.359249329758711</v>
      </c>
      <c r="H138" s="153">
        <f t="shared" si="222"/>
        <v>74.11012579913384</v>
      </c>
      <c r="I138" s="153">
        <f t="shared" si="222"/>
        <v>84.998968859558673</v>
      </c>
      <c r="J138" s="625">
        <v>320</v>
      </c>
      <c r="K138" s="153">
        <f t="shared" si="223"/>
        <v>118.69642857142857</v>
      </c>
      <c r="L138" s="153">
        <f t="shared" si="223"/>
        <v>127.80357142857143</v>
      </c>
      <c r="M138" s="153">
        <f t="shared" si="223"/>
        <v>127.19642857142857</v>
      </c>
      <c r="N138" s="153">
        <f t="shared" si="223"/>
        <v>136.30357142857142</v>
      </c>
      <c r="O138" s="625">
        <v>510</v>
      </c>
      <c r="P138" s="153">
        <f t="shared" si="224"/>
        <v>138.87737478411054</v>
      </c>
      <c r="Q138" s="153">
        <f t="shared" si="224"/>
        <v>143.39896373056996</v>
      </c>
      <c r="R138" s="153">
        <f t="shared" si="224"/>
        <v>132.41796200345422</v>
      </c>
      <c r="S138" s="153">
        <f t="shared" si="224"/>
        <v>146.30569948186528</v>
      </c>
      <c r="T138" s="625">
        <v>561</v>
      </c>
      <c r="U138" s="153">
        <f t="shared" si="225"/>
        <v>141.38252675291486</v>
      </c>
      <c r="V138" s="153">
        <f t="shared" si="225"/>
        <v>154.88324548794122</v>
      </c>
      <c r="W138" s="153">
        <f t="shared" si="225"/>
        <v>145.50774636639514</v>
      </c>
      <c r="X138" s="153">
        <f t="shared" si="225"/>
        <v>145.22648139274875</v>
      </c>
      <c r="Y138" s="625">
        <v>587</v>
      </c>
      <c r="Z138" s="153">
        <f t="shared" si="226"/>
        <v>166.30330672748005</v>
      </c>
      <c r="AA138" s="153">
        <f t="shared" si="226"/>
        <v>162.6792637237335</v>
      </c>
      <c r="AB138" s="153">
        <f t="shared" si="226"/>
        <v>149.5924417657599</v>
      </c>
      <c r="AC138" s="153">
        <f t="shared" si="226"/>
        <v>139.42498778302655</v>
      </c>
      <c r="AD138" s="625">
        <v>618</v>
      </c>
      <c r="AE138" s="153">
        <f t="shared" si="227"/>
        <v>175.36542204919485</v>
      </c>
      <c r="AF138" s="153">
        <f t="shared" si="227"/>
        <v>181.57494248805523</v>
      </c>
      <c r="AG138" s="153">
        <f t="shared" si="227"/>
        <v>150.84852238541851</v>
      </c>
      <c r="AH138" s="153">
        <f t="shared" si="227"/>
        <v>97.211113077331447</v>
      </c>
      <c r="AI138" s="608">
        <v>605</v>
      </c>
      <c r="AJ138" s="914">
        <f t="shared" si="228"/>
        <v>107.32646202106207</v>
      </c>
      <c r="AK138" s="153">
        <f t="shared" si="228"/>
        <v>123.83822540891776</v>
      </c>
      <c r="AL138" s="153">
        <f t="shared" si="228"/>
        <v>153.75084024198969</v>
      </c>
      <c r="AM138" s="915">
        <f t="shared" si="228"/>
        <v>149.08447232803047</v>
      </c>
      <c r="AN138" s="608">
        <v>534</v>
      </c>
      <c r="AO138" s="914">
        <f t="shared" si="229"/>
        <v>162.39494875549047</v>
      </c>
      <c r="AP138" s="153">
        <f t="shared" si="229"/>
        <v>147.88396778916544</v>
      </c>
      <c r="AQ138" s="153">
        <f t="shared" si="229"/>
        <v>141.1619692532943</v>
      </c>
      <c r="AR138" s="915">
        <f t="shared" si="229"/>
        <v>131.55911420204978</v>
      </c>
      <c r="AS138" s="608">
        <v>583</v>
      </c>
      <c r="AT138" s="914">
        <f t="shared" si="230"/>
        <v>154.69586374695862</v>
      </c>
      <c r="AU138" s="153">
        <f t="shared" si="230"/>
        <v>121.82968369829683</v>
      </c>
      <c r="AV138" s="153">
        <f t="shared" si="230"/>
        <v>128.0389294403893</v>
      </c>
      <c r="AW138" s="915">
        <f t="shared" si="230"/>
        <v>123.43552311435522</v>
      </c>
      <c r="AX138" s="608">
        <v>528</v>
      </c>
      <c r="AY138" s="914">
        <f t="shared" si="231"/>
        <v>106.25262054507337</v>
      </c>
      <c r="AZ138" s="153">
        <f t="shared" si="231"/>
        <v>97.10167714884696</v>
      </c>
      <c r="BA138" s="153">
        <f t="shared" si="231"/>
        <v>92.627882599580715</v>
      </c>
      <c r="BB138" s="915">
        <f t="shared" si="231"/>
        <v>92.017819706498955</v>
      </c>
      <c r="BC138" s="608">
        <v>388</v>
      </c>
      <c r="BD138" s="914">
        <f t="shared" si="232"/>
        <v>100.87</v>
      </c>
      <c r="BE138" s="153">
        <f t="shared" si="232"/>
        <v>102.2175</v>
      </c>
      <c r="BF138" s="153">
        <f t="shared" si="232"/>
        <v>82.871250000000003</v>
      </c>
      <c r="BG138" s="915">
        <f t="shared" si="232"/>
        <v>99.041250000000005</v>
      </c>
      <c r="BH138" s="608">
        <v>385</v>
      </c>
      <c r="BI138" s="914">
        <f t="shared" si="233"/>
        <v>101.39770279971285</v>
      </c>
      <c r="BJ138" s="153">
        <f t="shared" si="233"/>
        <v>103.56137832017228</v>
      </c>
      <c r="BK138" s="153">
        <f t="shared" si="233"/>
        <v>97.070351758793961</v>
      </c>
      <c r="BL138" s="915">
        <f t="shared" si="233"/>
        <v>108.97056712132088</v>
      </c>
      <c r="BM138" s="608">
        <v>411</v>
      </c>
      <c r="BN138" s="914">
        <f t="shared" si="234"/>
        <v>121.13569189431259</v>
      </c>
      <c r="BO138" s="153">
        <f t="shared" si="234"/>
        <v>115.00223914017018</v>
      </c>
      <c r="BP138" s="153">
        <f t="shared" si="234"/>
        <v>97.751903269144648</v>
      </c>
      <c r="BQ138" s="915">
        <f t="shared" si="234"/>
        <v>94.11016569637259</v>
      </c>
      <c r="BR138" s="608">
        <v>428</v>
      </c>
      <c r="BS138" s="1049">
        <f t="shared" si="235"/>
        <v>96.218540080609046</v>
      </c>
      <c r="BT138" s="855">
        <f t="shared" si="235"/>
        <v>107.81459919390953</v>
      </c>
      <c r="BU138" s="855">
        <f t="shared" si="235"/>
        <v>105.89789520824003</v>
      </c>
      <c r="BV138" s="1050">
        <f t="shared" si="235"/>
        <v>120.84818629646216</v>
      </c>
      <c r="BW138" s="608">
        <v>439</v>
      </c>
      <c r="BX138" s="1049">
        <f t="shared" si="236"/>
        <v>108.3094549499444</v>
      </c>
      <c r="BY138" s="855">
        <f t="shared" si="237"/>
        <v>112.99733036707454</v>
      </c>
      <c r="BZ138" s="855">
        <f t="shared" si="237"/>
        <v>104.20756395995551</v>
      </c>
      <c r="CA138" s="1050">
        <f t="shared" si="237"/>
        <v>122.27541713014462</v>
      </c>
      <c r="CB138" s="153">
        <f t="shared" si="237"/>
        <v>447.78976640711903</v>
      </c>
      <c r="CC138" s="914">
        <f t="shared" si="237"/>
        <v>108.3094549499444</v>
      </c>
      <c r="CD138" s="153">
        <f t="shared" si="237"/>
        <v>112.99733036707454</v>
      </c>
      <c r="CE138" s="153">
        <f t="shared" si="237"/>
        <v>104.20756395995551</v>
      </c>
      <c r="CF138" s="915">
        <f t="shared" si="237"/>
        <v>122.27541713014462</v>
      </c>
      <c r="CG138" s="1475">
        <f t="shared" si="237"/>
        <v>447.78976640711903</v>
      </c>
      <c r="CH138" s="914">
        <f t="shared" si="237"/>
        <v>108.3094549499444</v>
      </c>
      <c r="CI138" s="153">
        <f t="shared" si="238"/>
        <v>112.99733036707454</v>
      </c>
      <c r="CJ138" s="153">
        <f t="shared" si="238"/>
        <v>104.20756395995551</v>
      </c>
      <c r="CK138" s="915">
        <f t="shared" si="238"/>
        <v>122.27541713014462</v>
      </c>
      <c r="CL138" s="153">
        <f t="shared" si="238"/>
        <v>447.78976640711903</v>
      </c>
      <c r="CM138" s="914">
        <f t="shared" si="238"/>
        <v>108.3094549499444</v>
      </c>
      <c r="CN138" s="153">
        <f t="shared" si="238"/>
        <v>112.99733036707454</v>
      </c>
      <c r="CO138" s="153">
        <f t="shared" si="238"/>
        <v>104.20756395995551</v>
      </c>
      <c r="CP138" s="915">
        <f t="shared" si="238"/>
        <v>122.27541713014462</v>
      </c>
      <c r="CQ138" s="153">
        <f t="shared" si="238"/>
        <v>447.78976640711903</v>
      </c>
    </row>
    <row r="139" spans="1:99" ht="13.5" customHeight="1">
      <c r="A139" s="275"/>
      <c r="B139" s="75" t="s">
        <v>583</v>
      </c>
      <c r="C139" s="75"/>
      <c r="D139" s="104"/>
      <c r="E139" s="625">
        <v>137</v>
      </c>
      <c r="F139" s="153">
        <f t="shared" si="222"/>
        <v>35.584656630233034</v>
      </c>
      <c r="G139" s="153">
        <f t="shared" si="222"/>
        <v>37.319034852546913</v>
      </c>
      <c r="H139" s="153">
        <f t="shared" si="222"/>
        <v>33.581150752732519</v>
      </c>
      <c r="I139" s="153">
        <f t="shared" si="222"/>
        <v>38.515157764487519</v>
      </c>
      <c r="J139" s="625">
        <v>145</v>
      </c>
      <c r="K139" s="153">
        <f t="shared" si="223"/>
        <v>36.772619047619045</v>
      </c>
      <c r="L139" s="153">
        <f t="shared" si="223"/>
        <v>39.594047619047622</v>
      </c>
      <c r="M139" s="153">
        <f t="shared" si="223"/>
        <v>39.405952380952378</v>
      </c>
      <c r="N139" s="153">
        <f t="shared" si="223"/>
        <v>42.227380952380955</v>
      </c>
      <c r="O139" s="625">
        <v>158</v>
      </c>
      <c r="P139" s="153">
        <f t="shared" si="224"/>
        <v>34.657455382843985</v>
      </c>
      <c r="Q139" s="153">
        <f t="shared" si="224"/>
        <v>35.785837651122627</v>
      </c>
      <c r="R139" s="153">
        <f t="shared" si="224"/>
        <v>33.045480713874497</v>
      </c>
      <c r="S139" s="153">
        <f t="shared" si="224"/>
        <v>36.511226252158899</v>
      </c>
      <c r="T139" s="625">
        <v>140</v>
      </c>
      <c r="U139" s="153">
        <f t="shared" si="225"/>
        <v>36.128413991375183</v>
      </c>
      <c r="V139" s="153">
        <f t="shared" si="225"/>
        <v>39.578342117872545</v>
      </c>
      <c r="W139" s="153">
        <f t="shared" si="225"/>
        <v>37.182558696693818</v>
      </c>
      <c r="X139" s="153">
        <f t="shared" si="225"/>
        <v>37.110685194058455</v>
      </c>
      <c r="Y139" s="625">
        <v>150</v>
      </c>
      <c r="Z139" s="153">
        <f t="shared" si="226"/>
        <v>24.488027366020525</v>
      </c>
      <c r="AA139" s="153">
        <f t="shared" si="226"/>
        <v>23.954389965792476</v>
      </c>
      <c r="AB139" s="153">
        <f t="shared" si="226"/>
        <v>22.027366020524514</v>
      </c>
      <c r="AC139" s="153">
        <f t="shared" si="226"/>
        <v>20.530216647662485</v>
      </c>
      <c r="AD139" s="625">
        <v>91</v>
      </c>
      <c r="AE139" s="153">
        <f t="shared" si="227"/>
        <v>31.594761989028491</v>
      </c>
      <c r="AF139" s="153">
        <f t="shared" si="227"/>
        <v>32.713502035038047</v>
      </c>
      <c r="AG139" s="153">
        <f t="shared" si="227"/>
        <v>27.177667669439039</v>
      </c>
      <c r="AH139" s="153">
        <f t="shared" si="227"/>
        <v>17.514068306494426</v>
      </c>
      <c r="AI139" s="608">
        <v>109</v>
      </c>
      <c r="AJ139" s="914">
        <f t="shared" si="228"/>
        <v>1.0049294196728658</v>
      </c>
      <c r="AK139" s="153">
        <f t="shared" si="228"/>
        <v>1.1595339457763836</v>
      </c>
      <c r="AL139" s="153">
        <f t="shared" si="228"/>
        <v>1.439614609007394</v>
      </c>
      <c r="AM139" s="915">
        <f t="shared" si="228"/>
        <v>1.3959220255433564</v>
      </c>
      <c r="AN139" s="608">
        <v>5</v>
      </c>
      <c r="AO139" s="914">
        <f t="shared" si="229"/>
        <v>2.5069546120058566</v>
      </c>
      <c r="AP139" s="153">
        <f t="shared" si="229"/>
        <v>2.2829428989751097</v>
      </c>
      <c r="AQ139" s="153">
        <f t="shared" si="229"/>
        <v>2.1791727672035139</v>
      </c>
      <c r="AR139" s="915">
        <f t="shared" si="229"/>
        <v>2.0309297218155198</v>
      </c>
      <c r="AS139" s="608">
        <v>9</v>
      </c>
      <c r="AT139" s="914">
        <f t="shared" si="230"/>
        <v>2.3438767234387674</v>
      </c>
      <c r="AU139" s="153">
        <f t="shared" si="230"/>
        <v>1.845904298459043</v>
      </c>
      <c r="AV139" s="153">
        <f t="shared" si="230"/>
        <v>1.9399837793998378</v>
      </c>
      <c r="AW139" s="915">
        <f t="shared" si="230"/>
        <v>1.870235198702352</v>
      </c>
      <c r="AX139" s="608">
        <v>8</v>
      </c>
      <c r="AY139" s="914">
        <f t="shared" si="231"/>
        <v>22.45545073375262</v>
      </c>
      <c r="AZ139" s="153">
        <f t="shared" si="231"/>
        <v>20.521488469601678</v>
      </c>
      <c r="BA139" s="153">
        <f t="shared" si="231"/>
        <v>19.575995807127882</v>
      </c>
      <c r="BB139" s="915">
        <f t="shared" si="231"/>
        <v>19.44706498951782</v>
      </c>
      <c r="BC139" s="608">
        <v>82</v>
      </c>
      <c r="BD139" s="914">
        <f t="shared" si="232"/>
        <v>18.078000000000003</v>
      </c>
      <c r="BE139" s="153">
        <f t="shared" si="232"/>
        <v>18.319500000000001</v>
      </c>
      <c r="BF139" s="153">
        <f t="shared" si="232"/>
        <v>14.852250000000002</v>
      </c>
      <c r="BG139" s="915">
        <f t="shared" si="232"/>
        <v>17.750250000000001</v>
      </c>
      <c r="BH139" s="608">
        <v>69</v>
      </c>
      <c r="BI139" s="914">
        <f t="shared" si="233"/>
        <v>15.296003828667146</v>
      </c>
      <c r="BJ139" s="153">
        <f t="shared" si="233"/>
        <v>15.622397702799713</v>
      </c>
      <c r="BK139" s="153">
        <f t="shared" si="233"/>
        <v>14.643216080402011</v>
      </c>
      <c r="BL139" s="915">
        <f t="shared" si="233"/>
        <v>16.438382388131132</v>
      </c>
      <c r="BM139" s="608">
        <v>62</v>
      </c>
      <c r="BN139" s="914">
        <f t="shared" si="234"/>
        <v>15.566502463054189</v>
      </c>
      <c r="BO139" s="153">
        <f t="shared" si="234"/>
        <v>14.77832512315271</v>
      </c>
      <c r="BP139" s="153">
        <f t="shared" si="234"/>
        <v>12.561576354679804</v>
      </c>
      <c r="BQ139" s="915">
        <f t="shared" si="234"/>
        <v>12.093596059113301</v>
      </c>
      <c r="BR139" s="608">
        <v>55</v>
      </c>
      <c r="BS139" s="1049">
        <f t="shared" si="235"/>
        <v>12.364532019704434</v>
      </c>
      <c r="BT139" s="855">
        <f t="shared" si="235"/>
        <v>13.854679802955665</v>
      </c>
      <c r="BU139" s="855">
        <f t="shared" si="235"/>
        <v>13.608374384236454</v>
      </c>
      <c r="BV139" s="1050">
        <f t="shared" si="235"/>
        <v>15.529556650246306</v>
      </c>
      <c r="BW139" s="608">
        <v>60</v>
      </c>
      <c r="BX139" s="1049">
        <f t="shared" si="236"/>
        <v>14.803114571746386</v>
      </c>
      <c r="BY139" s="855">
        <f t="shared" si="237"/>
        <v>15.443826473859845</v>
      </c>
      <c r="BZ139" s="855">
        <f t="shared" si="237"/>
        <v>14.242491657397109</v>
      </c>
      <c r="CA139" s="1050">
        <f t="shared" si="237"/>
        <v>16.711902113459399</v>
      </c>
      <c r="CB139" s="153">
        <f t="shared" si="237"/>
        <v>61.20133481646274</v>
      </c>
      <c r="CC139" s="914">
        <f t="shared" si="237"/>
        <v>14.803114571746386</v>
      </c>
      <c r="CD139" s="153">
        <f t="shared" si="237"/>
        <v>15.443826473859845</v>
      </c>
      <c r="CE139" s="153">
        <f t="shared" si="237"/>
        <v>14.242491657397109</v>
      </c>
      <c r="CF139" s="915">
        <f t="shared" si="237"/>
        <v>16.711902113459399</v>
      </c>
      <c r="CG139" s="1475">
        <f t="shared" si="237"/>
        <v>61.20133481646274</v>
      </c>
      <c r="CH139" s="914">
        <f t="shared" si="237"/>
        <v>14.803114571746386</v>
      </c>
      <c r="CI139" s="153">
        <f t="shared" si="238"/>
        <v>15.443826473859845</v>
      </c>
      <c r="CJ139" s="153">
        <f t="shared" si="238"/>
        <v>14.242491657397109</v>
      </c>
      <c r="CK139" s="915">
        <f t="shared" si="238"/>
        <v>16.711902113459399</v>
      </c>
      <c r="CL139" s="153">
        <f t="shared" si="238"/>
        <v>61.20133481646274</v>
      </c>
      <c r="CM139" s="914">
        <f t="shared" si="238"/>
        <v>14.803114571746386</v>
      </c>
      <c r="CN139" s="153">
        <f t="shared" si="238"/>
        <v>15.443826473859845</v>
      </c>
      <c r="CO139" s="153">
        <f t="shared" si="238"/>
        <v>14.242491657397109</v>
      </c>
      <c r="CP139" s="915">
        <f t="shared" si="238"/>
        <v>16.711902113459399</v>
      </c>
      <c r="CQ139" s="153">
        <f t="shared" si="238"/>
        <v>61.20133481646274</v>
      </c>
    </row>
    <row r="140" spans="1:99" ht="13.5" customHeight="1">
      <c r="A140" s="275"/>
      <c r="B140" s="75" t="s">
        <v>676</v>
      </c>
      <c r="C140" s="75"/>
      <c r="D140" s="104"/>
      <c r="E140" s="625">
        <v>912</v>
      </c>
      <c r="F140" s="153">
        <f t="shared" si="222"/>
        <v>246.14765931119817</v>
      </c>
      <c r="G140" s="153">
        <f t="shared" si="222"/>
        <v>258.14477211796248</v>
      </c>
      <c r="H140" s="153">
        <f t="shared" si="222"/>
        <v>232.28892555166013</v>
      </c>
      <c r="I140" s="153">
        <f t="shared" si="222"/>
        <v>266.41864301917923</v>
      </c>
      <c r="J140" s="625">
        <v>1003</v>
      </c>
      <c r="K140" s="153">
        <f t="shared" si="223"/>
        <v>137.08273809523808</v>
      </c>
      <c r="L140" s="153">
        <f t="shared" si="223"/>
        <v>147.60059523809525</v>
      </c>
      <c r="M140" s="153">
        <f t="shared" si="223"/>
        <v>146.89940476190478</v>
      </c>
      <c r="N140" s="153">
        <f t="shared" si="223"/>
        <v>157.41726190476192</v>
      </c>
      <c r="O140" s="625">
        <v>589</v>
      </c>
      <c r="P140" s="153">
        <f t="shared" si="224"/>
        <v>188.63557858376512</v>
      </c>
      <c r="Q140" s="153">
        <f t="shared" si="224"/>
        <v>194.77720207253887</v>
      </c>
      <c r="R140" s="153">
        <f t="shared" si="224"/>
        <v>179.86183074265978</v>
      </c>
      <c r="S140" s="153">
        <f t="shared" si="224"/>
        <v>198.72538860103629</v>
      </c>
      <c r="T140" s="625">
        <v>762</v>
      </c>
      <c r="U140" s="153">
        <f t="shared" si="225"/>
        <v>300.34754831496571</v>
      </c>
      <c r="V140" s="153">
        <f t="shared" si="225"/>
        <v>329.02795080658046</v>
      </c>
      <c r="W140" s="153">
        <f t="shared" si="225"/>
        <v>309.11100463184795</v>
      </c>
      <c r="X140" s="153">
        <f t="shared" si="225"/>
        <v>308.513496246606</v>
      </c>
      <c r="Y140" s="625">
        <v>1247</v>
      </c>
      <c r="Z140" s="153">
        <f t="shared" si="226"/>
        <v>292.5108323831243</v>
      </c>
      <c r="AA140" s="153">
        <f t="shared" si="226"/>
        <v>286.13650431666395</v>
      </c>
      <c r="AB140" s="153">
        <f t="shared" si="226"/>
        <v>263.11809741000161</v>
      </c>
      <c r="AC140" s="153">
        <f t="shared" si="226"/>
        <v>245.23456589021012</v>
      </c>
      <c r="AD140" s="625">
        <v>1087</v>
      </c>
      <c r="AE140" s="153">
        <f t="shared" si="227"/>
        <v>251.30879490355687</v>
      </c>
      <c r="AF140" s="153">
        <f t="shared" si="227"/>
        <v>260.20739692089893</v>
      </c>
      <c r="AG140" s="153">
        <f t="shared" si="227"/>
        <v>216.17465935232701</v>
      </c>
      <c r="AH140" s="153">
        <f t="shared" si="227"/>
        <v>139.30914882321713</v>
      </c>
      <c r="AI140" s="608">
        <v>867</v>
      </c>
      <c r="AJ140" s="914">
        <f t="shared" si="228"/>
        <v>116.57181268205244</v>
      </c>
      <c r="AK140" s="153">
        <f t="shared" si="228"/>
        <v>134.50593771006049</v>
      </c>
      <c r="AL140" s="153">
        <f t="shared" si="228"/>
        <v>166.99529464485772</v>
      </c>
      <c r="AM140" s="915">
        <f t="shared" si="228"/>
        <v>161.92695496302935</v>
      </c>
      <c r="AN140" s="153">
        <f>498+82</f>
        <v>580</v>
      </c>
      <c r="AO140" s="914">
        <f t="shared" si="229"/>
        <v>292.75658857979505</v>
      </c>
      <c r="AP140" s="153">
        <f t="shared" si="229"/>
        <v>266.59699853587114</v>
      </c>
      <c r="AQ140" s="153">
        <f t="shared" si="229"/>
        <v>254.47895314787701</v>
      </c>
      <c r="AR140" s="915">
        <f t="shared" si="229"/>
        <v>237.16745973645681</v>
      </c>
      <c r="AS140" s="608">
        <f>982+69</f>
        <v>1051</v>
      </c>
      <c r="AT140" s="914">
        <f t="shared" si="230"/>
        <v>273.35462287104622</v>
      </c>
      <c r="AU140" s="153">
        <f t="shared" si="230"/>
        <v>215.27858880778587</v>
      </c>
      <c r="AV140" s="153">
        <f t="shared" si="230"/>
        <v>226.25060827250607</v>
      </c>
      <c r="AW140" s="915">
        <f t="shared" si="230"/>
        <v>218.11618004866179</v>
      </c>
      <c r="AX140" s="608">
        <f>865+68</f>
        <v>933</v>
      </c>
      <c r="AY140" s="914">
        <f t="shared" si="231"/>
        <v>224.28066037735849</v>
      </c>
      <c r="AZ140" s="153">
        <f t="shared" si="231"/>
        <v>204.96462264150944</v>
      </c>
      <c r="BA140" s="153">
        <f t="shared" si="231"/>
        <v>195.52122641509433</v>
      </c>
      <c r="BB140" s="915">
        <f t="shared" si="231"/>
        <v>194.23349056603774</v>
      </c>
      <c r="BC140" s="608">
        <v>819</v>
      </c>
      <c r="BD140" s="914">
        <f t="shared" si="232"/>
        <v>210.91000000000003</v>
      </c>
      <c r="BE140" s="153">
        <f t="shared" si="232"/>
        <v>213.72750000000002</v>
      </c>
      <c r="BF140" s="153">
        <f t="shared" si="232"/>
        <v>173.27625</v>
      </c>
      <c r="BG140" s="915">
        <f t="shared" si="232"/>
        <v>207.08625000000001</v>
      </c>
      <c r="BH140" s="608">
        <v>805</v>
      </c>
      <c r="BI140" s="914">
        <f t="shared" si="233"/>
        <v>256.33141899976073</v>
      </c>
      <c r="BJ140" s="153">
        <f t="shared" si="233"/>
        <v>261.80114860014356</v>
      </c>
      <c r="BK140" s="153">
        <f t="shared" si="233"/>
        <v>245.39195979899498</v>
      </c>
      <c r="BL140" s="915">
        <f t="shared" si="233"/>
        <v>275.47547260110076</v>
      </c>
      <c r="BM140" s="608">
        <v>1039</v>
      </c>
      <c r="BN140" s="914">
        <f t="shared" si="234"/>
        <v>388.87953425884461</v>
      </c>
      <c r="BO140" s="153">
        <f t="shared" si="234"/>
        <v>369.18943125839678</v>
      </c>
      <c r="BP140" s="153">
        <f t="shared" si="234"/>
        <v>313.81101656963727</v>
      </c>
      <c r="BQ140" s="915">
        <f t="shared" si="234"/>
        <v>302.12001791312133</v>
      </c>
      <c r="BR140" s="608">
        <v>1374</v>
      </c>
      <c r="BS140" s="1049">
        <f t="shared" si="235"/>
        <v>308.88849081952532</v>
      </c>
      <c r="BT140" s="855">
        <f t="shared" si="235"/>
        <v>346.11509180474695</v>
      </c>
      <c r="BU140" s="855">
        <f t="shared" si="235"/>
        <v>339.96193461710703</v>
      </c>
      <c r="BV140" s="1050">
        <f t="shared" si="235"/>
        <v>387.9565606806986</v>
      </c>
      <c r="BW140" s="608">
        <v>1352</v>
      </c>
      <c r="BX140" s="1049">
        <f t="shared" si="236"/>
        <v>333.56351501668524</v>
      </c>
      <c r="BY140" s="855">
        <f t="shared" si="237"/>
        <v>348.00088987764184</v>
      </c>
      <c r="BZ140" s="855">
        <f t="shared" si="237"/>
        <v>320.9308120133482</v>
      </c>
      <c r="CA140" s="1050">
        <f t="shared" si="237"/>
        <v>376.57486095661847</v>
      </c>
      <c r="CB140" s="153">
        <f t="shared" si="237"/>
        <v>1379.0700778642938</v>
      </c>
      <c r="CC140" s="914">
        <f t="shared" si="237"/>
        <v>333.56351501668524</v>
      </c>
      <c r="CD140" s="153">
        <f t="shared" si="237"/>
        <v>348.00088987764184</v>
      </c>
      <c r="CE140" s="153">
        <f t="shared" si="237"/>
        <v>320.9308120133482</v>
      </c>
      <c r="CF140" s="915">
        <f t="shared" si="237"/>
        <v>376.57486095661847</v>
      </c>
      <c r="CG140" s="1475">
        <f t="shared" si="237"/>
        <v>1379.0700778642938</v>
      </c>
      <c r="CH140" s="914">
        <f t="shared" si="237"/>
        <v>333.56351501668524</v>
      </c>
      <c r="CI140" s="153">
        <f t="shared" si="238"/>
        <v>348.00088987764184</v>
      </c>
      <c r="CJ140" s="153">
        <f t="shared" si="238"/>
        <v>320.9308120133482</v>
      </c>
      <c r="CK140" s="915">
        <f t="shared" si="238"/>
        <v>376.57486095661847</v>
      </c>
      <c r="CL140" s="153">
        <f t="shared" si="238"/>
        <v>1379.0700778642938</v>
      </c>
      <c r="CM140" s="914">
        <f t="shared" si="238"/>
        <v>333.56351501668524</v>
      </c>
      <c r="CN140" s="153">
        <f t="shared" si="238"/>
        <v>348.00088987764184</v>
      </c>
      <c r="CO140" s="153">
        <f t="shared" si="238"/>
        <v>320.9308120133482</v>
      </c>
      <c r="CP140" s="915">
        <f t="shared" si="238"/>
        <v>376.57486095661847</v>
      </c>
      <c r="CQ140" s="153">
        <f t="shared" si="238"/>
        <v>1379.0700778642938</v>
      </c>
    </row>
    <row r="141" spans="1:99" ht="13.5" customHeight="1">
      <c r="A141" s="93"/>
      <c r="B141" s="242" t="s">
        <v>1</v>
      </c>
      <c r="C141" s="93"/>
      <c r="D141" s="626">
        <v>3714</v>
      </c>
      <c r="E141" s="283">
        <f>SUM(E135:E140)</f>
        <v>4001</v>
      </c>
      <c r="F141" s="626">
        <v>1190</v>
      </c>
      <c r="G141" s="283">
        <f>2438-F141</f>
        <v>1248</v>
      </c>
      <c r="H141" s="283">
        <f>3561-G141-F141</f>
        <v>1123</v>
      </c>
      <c r="I141" s="283">
        <f>J141-H141-G141-F141</f>
        <v>1288</v>
      </c>
      <c r="J141" s="283">
        <f>SUM(J135:J140)</f>
        <v>4849</v>
      </c>
      <c r="K141" s="626">
        <v>1173</v>
      </c>
      <c r="L141" s="626">
        <v>1263</v>
      </c>
      <c r="M141" s="626">
        <v>1257</v>
      </c>
      <c r="N141" s="626">
        <v>1347</v>
      </c>
      <c r="O141" s="283">
        <f>SUM(K141:N141)</f>
        <v>5040</v>
      </c>
      <c r="P141" s="626">
        <v>1290</v>
      </c>
      <c r="Q141" s="626">
        <v>1332</v>
      </c>
      <c r="R141" s="626">
        <v>1230</v>
      </c>
      <c r="S141" s="626">
        <v>1359</v>
      </c>
      <c r="T141" s="283">
        <f>SUM(P141:S141)</f>
        <v>5211</v>
      </c>
      <c r="U141" s="626">
        <v>1508</v>
      </c>
      <c r="V141" s="626">
        <v>1652</v>
      </c>
      <c r="W141" s="626">
        <v>1552</v>
      </c>
      <c r="X141" s="626">
        <v>1549</v>
      </c>
      <c r="Y141" s="283">
        <f>SUM(U141:X141)</f>
        <v>6261</v>
      </c>
      <c r="Z141" s="626">
        <v>1652</v>
      </c>
      <c r="AA141" s="626">
        <v>1616</v>
      </c>
      <c r="AB141" s="626">
        <v>1486</v>
      </c>
      <c r="AC141" s="626">
        <v>1385</v>
      </c>
      <c r="AD141" s="283">
        <f>SUM(Z141:AC141)</f>
        <v>6139</v>
      </c>
      <c r="AE141" s="626">
        <v>1638</v>
      </c>
      <c r="AF141" s="626">
        <v>1696</v>
      </c>
      <c r="AG141" s="626">
        <v>1409</v>
      </c>
      <c r="AH141" s="626">
        <v>908</v>
      </c>
      <c r="AI141" s="283">
        <f>SUM(AE141:AH141)</f>
        <v>5651</v>
      </c>
      <c r="AJ141" s="983">
        <v>897</v>
      </c>
      <c r="AK141" s="984">
        <v>1035</v>
      </c>
      <c r="AL141" s="984">
        <v>1285</v>
      </c>
      <c r="AM141" s="985">
        <v>1246</v>
      </c>
      <c r="AN141" s="283">
        <f>SUM(AJ141:AM141)</f>
        <v>4463</v>
      </c>
      <c r="AO141" s="983">
        <v>1522</v>
      </c>
      <c r="AP141" s="984">
        <v>1386</v>
      </c>
      <c r="AQ141" s="984">
        <v>1323</v>
      </c>
      <c r="AR141" s="985">
        <v>1233</v>
      </c>
      <c r="AS141" s="283">
        <f>SUM(AO141:AR141)</f>
        <v>5464</v>
      </c>
      <c r="AT141" s="983">
        <v>1445</v>
      </c>
      <c r="AU141" s="984">
        <v>1138</v>
      </c>
      <c r="AV141" s="1022">
        <v>1196</v>
      </c>
      <c r="AW141" s="985">
        <v>1153</v>
      </c>
      <c r="AX141" s="283">
        <f>SUM(AT141:AW141)</f>
        <v>4932</v>
      </c>
      <c r="AY141" s="983">
        <v>1045</v>
      </c>
      <c r="AZ141" s="984">
        <v>955</v>
      </c>
      <c r="BA141" s="984">
        <v>911</v>
      </c>
      <c r="BB141" s="985">
        <v>905</v>
      </c>
      <c r="BC141" s="283">
        <f>SUM(AY141:BB141)</f>
        <v>3816</v>
      </c>
      <c r="BD141" s="983">
        <v>1048</v>
      </c>
      <c r="BE141" s="984">
        <v>1062</v>
      </c>
      <c r="BF141" s="984">
        <v>861</v>
      </c>
      <c r="BG141" s="985">
        <v>1029</v>
      </c>
      <c r="BH141" s="283">
        <f>SUM(BD141:BG141)</f>
        <v>4000</v>
      </c>
      <c r="BI141" s="983">
        <v>1031</v>
      </c>
      <c r="BJ141" s="984">
        <v>1053</v>
      </c>
      <c r="BK141" s="984">
        <v>987</v>
      </c>
      <c r="BL141" s="985">
        <v>1108</v>
      </c>
      <c r="BM141" s="283">
        <f>SUM(BI141:BL141)</f>
        <v>4179</v>
      </c>
      <c r="BN141" s="983">
        <v>1264</v>
      </c>
      <c r="BO141" s="1022">
        <v>1200</v>
      </c>
      <c r="BP141" s="984">
        <v>1020</v>
      </c>
      <c r="BQ141" s="985">
        <v>982</v>
      </c>
      <c r="BR141" s="283">
        <f>SUM(BN141:BQ141)</f>
        <v>4466</v>
      </c>
      <c r="BS141" s="983">
        <v>1004</v>
      </c>
      <c r="BT141" s="984">
        <v>1125</v>
      </c>
      <c r="BU141" s="984">
        <v>1105</v>
      </c>
      <c r="BV141" s="1057">
        <v>1261</v>
      </c>
      <c r="BW141" s="283">
        <f>SUM(BS141:BV141)</f>
        <v>4495</v>
      </c>
      <c r="BX141" s="983">
        <v>1109</v>
      </c>
      <c r="BY141" s="984">
        <v>1157</v>
      </c>
      <c r="BZ141" s="984">
        <v>1067</v>
      </c>
      <c r="CA141" s="985">
        <v>1252</v>
      </c>
      <c r="CB141" s="283">
        <f>SUM(BX141:CA141)</f>
        <v>4585</v>
      </c>
      <c r="CC141" s="1116">
        <f>BX141*(1+CC132)</f>
        <v>1109</v>
      </c>
      <c r="CD141" s="1117">
        <f>BY141*(1+CD132)</f>
        <v>1157</v>
      </c>
      <c r="CE141" s="1117">
        <f>BZ141*(1+CE132)</f>
        <v>1067</v>
      </c>
      <c r="CF141" s="1094">
        <f>CA141*(1+CF132)</f>
        <v>1252</v>
      </c>
      <c r="CG141" s="1500">
        <f>SUM(CC141:CF141)</f>
        <v>4585</v>
      </c>
      <c r="CH141" s="1116">
        <f>CC141*(1+CH132)</f>
        <v>1109</v>
      </c>
      <c r="CI141" s="1117">
        <f>CD141*(1+CI132)</f>
        <v>1157</v>
      </c>
      <c r="CJ141" s="1117">
        <f>CE141*(1+CJ132)</f>
        <v>1067</v>
      </c>
      <c r="CK141" s="1094">
        <f>CF141*(1+CK132)</f>
        <v>1252</v>
      </c>
      <c r="CL141" s="283">
        <f>SUM(CH141:CK141)</f>
        <v>4585</v>
      </c>
      <c r="CM141" s="1116">
        <f>CH141*(1+CM132)</f>
        <v>1109</v>
      </c>
      <c r="CN141" s="1117">
        <f>CI141*(1+CN132)</f>
        <v>1157</v>
      </c>
      <c r="CO141" s="1117">
        <f>CJ141*(1+CO132)</f>
        <v>1067</v>
      </c>
      <c r="CP141" s="1094">
        <f>CK141*(1+CP132)</f>
        <v>1252</v>
      </c>
      <c r="CQ141" s="1117">
        <f>SUM(CM141:CP141)</f>
        <v>4585</v>
      </c>
    </row>
    <row r="142" spans="1:99" ht="6.2" customHeight="1">
      <c r="A142" s="75"/>
      <c r="B142" s="75"/>
      <c r="C142" s="93"/>
      <c r="D142" s="94"/>
      <c r="E142" s="94"/>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86"/>
      <c r="AK142" s="987"/>
      <c r="AL142" s="987"/>
      <c r="AM142" s="988"/>
      <c r="AN142" s="94"/>
      <c r="AO142" s="986"/>
      <c r="AP142" s="987"/>
      <c r="AQ142" s="987"/>
      <c r="AR142" s="988"/>
      <c r="AS142" s="94"/>
      <c r="AT142" s="986"/>
      <c r="AU142" s="987"/>
      <c r="AV142" s="987"/>
      <c r="AW142" s="988"/>
      <c r="AX142" s="94"/>
      <c r="AY142" s="986"/>
      <c r="AZ142" s="987"/>
      <c r="BA142" s="987"/>
      <c r="BB142" s="988"/>
      <c r="BC142" s="94"/>
      <c r="BD142" s="986"/>
      <c r="BE142" s="987"/>
      <c r="BF142" s="987"/>
      <c r="BG142" s="988"/>
      <c r="BH142" s="94"/>
      <c r="BI142" s="986"/>
      <c r="BJ142" s="987"/>
      <c r="BK142" s="987"/>
      <c r="BL142" s="988"/>
      <c r="BM142" s="94"/>
      <c r="BN142" s="986"/>
      <c r="BO142" s="987"/>
      <c r="BP142" s="987"/>
      <c r="BQ142" s="988"/>
      <c r="BR142" s="94"/>
      <c r="BS142" s="986"/>
      <c r="BT142" s="987"/>
      <c r="BU142" s="987"/>
      <c r="BV142" s="988"/>
      <c r="BW142" s="94"/>
      <c r="BX142" s="986"/>
      <c r="BY142" s="987"/>
      <c r="BZ142" s="987"/>
      <c r="CA142" s="988"/>
      <c r="CB142" s="761"/>
      <c r="CC142" s="986"/>
      <c r="CD142" s="987"/>
      <c r="CE142" s="987"/>
      <c r="CF142" s="988"/>
      <c r="CG142" s="1470"/>
      <c r="CH142" s="986"/>
      <c r="CI142" s="987"/>
      <c r="CJ142" s="987"/>
      <c r="CK142" s="988"/>
      <c r="CL142" s="761"/>
      <c r="CM142" s="986"/>
      <c r="CN142" s="987"/>
      <c r="CO142" s="987"/>
      <c r="CP142" s="988"/>
      <c r="CQ142" s="931"/>
      <c r="CR142" s="81"/>
      <c r="CS142" s="75"/>
      <c r="CT142" s="95"/>
      <c r="CU142" s="75"/>
    </row>
    <row r="143" spans="1:99" ht="13.5" customHeight="1">
      <c r="B143" s="93" t="s">
        <v>585</v>
      </c>
      <c r="C143" s="96"/>
      <c r="D143" s="117"/>
      <c r="E143" s="117"/>
      <c r="F143" s="117"/>
      <c r="G143" s="117"/>
      <c r="H143" s="117"/>
      <c r="I143" s="117"/>
      <c r="J143" s="117"/>
      <c r="K143" s="117"/>
      <c r="L143" s="117"/>
      <c r="M143" s="117"/>
      <c r="N143" s="117"/>
      <c r="O143" s="117"/>
      <c r="P143" s="117"/>
      <c r="Q143" s="117"/>
      <c r="R143" s="117"/>
      <c r="S143" s="117"/>
      <c r="T143" s="117"/>
      <c r="U143" s="118"/>
      <c r="V143" s="118"/>
      <c r="W143" s="118"/>
      <c r="X143" s="117"/>
      <c r="Y143" s="117"/>
      <c r="Z143" s="118"/>
      <c r="AA143" s="118"/>
      <c r="AB143" s="118"/>
      <c r="AC143" s="117"/>
      <c r="AD143" s="117"/>
      <c r="AE143" s="118"/>
      <c r="AF143" s="118"/>
      <c r="AG143" s="118"/>
      <c r="AH143" s="117"/>
      <c r="AI143" s="117"/>
      <c r="AJ143" s="989"/>
      <c r="AK143" s="990"/>
      <c r="AL143" s="990"/>
      <c r="AM143" s="991"/>
      <c r="AN143" s="117"/>
      <c r="AO143" s="989"/>
      <c r="AP143" s="990"/>
      <c r="AQ143" s="990"/>
      <c r="AR143" s="991"/>
      <c r="AS143" s="117"/>
      <c r="AT143" s="989"/>
      <c r="AU143" s="990"/>
      <c r="AV143" s="277"/>
      <c r="AW143" s="991"/>
      <c r="AX143" s="117"/>
      <c r="AY143" s="989"/>
      <c r="AZ143" s="990"/>
      <c r="BA143" s="990"/>
      <c r="BB143" s="991"/>
      <c r="BC143" s="117"/>
      <c r="BD143" s="989"/>
      <c r="BE143" s="990"/>
      <c r="BF143" s="990"/>
      <c r="BG143" s="991"/>
      <c r="BH143" s="117"/>
      <c r="BI143" s="989"/>
      <c r="BJ143" s="990"/>
      <c r="BK143" s="990"/>
      <c r="BL143" s="991"/>
      <c r="BM143" s="117"/>
      <c r="BN143" s="989"/>
      <c r="BO143" s="990"/>
      <c r="BP143" s="990"/>
      <c r="BQ143" s="1056"/>
      <c r="BR143" s="117"/>
      <c r="BS143" s="1073"/>
      <c r="BT143" s="1074"/>
      <c r="BU143" s="1074"/>
      <c r="BV143" s="991"/>
      <c r="BW143" s="117"/>
      <c r="BX143" s="1073"/>
      <c r="BY143" s="1074"/>
      <c r="BZ143" s="1074"/>
      <c r="CA143" s="991"/>
      <c r="CB143" s="117"/>
      <c r="CC143" s="989"/>
      <c r="CD143" s="990"/>
      <c r="CE143" s="990"/>
      <c r="CF143" s="991"/>
      <c r="CG143" s="1501"/>
      <c r="CH143" s="1124"/>
      <c r="CI143" s="1125"/>
      <c r="CJ143" s="1125"/>
      <c r="CK143" s="991"/>
      <c r="CL143" s="117"/>
      <c r="CM143" s="1124"/>
      <c r="CN143" s="1125"/>
      <c r="CO143" s="1125"/>
      <c r="CP143" s="991"/>
      <c r="CQ143" s="1125"/>
      <c r="CR143" s="81"/>
      <c r="CS143" s="75"/>
      <c r="CT143" s="75"/>
      <c r="CU143" s="75"/>
    </row>
    <row r="144" spans="1:99" ht="13.5" customHeight="1">
      <c r="A144" s="75"/>
      <c r="B144" s="96" t="s">
        <v>696</v>
      </c>
      <c r="D144" s="108"/>
      <c r="E144" s="108"/>
      <c r="F144" s="108"/>
      <c r="G144" s="108"/>
      <c r="H144" s="108"/>
      <c r="I144" s="108"/>
      <c r="J144" s="108">
        <f>Operations!J150</f>
        <v>5736.2590129590744</v>
      </c>
      <c r="K144" s="108">
        <f>Operations!K150</f>
        <v>1851.2396694214876</v>
      </c>
      <c r="L144" s="108">
        <f>Operations!L150</f>
        <v>1845.2830188679245</v>
      </c>
      <c r="M144" s="108">
        <f>Operations!M150</f>
        <v>1866.6666666666667</v>
      </c>
      <c r="N144" s="108">
        <f>Operations!N150</f>
        <v>1865.8227848101264</v>
      </c>
      <c r="O144" s="108">
        <f>Operations!O150</f>
        <v>7429.012139766206</v>
      </c>
      <c r="P144" s="108">
        <f>Operations!P150</f>
        <v>1829.7872340425533</v>
      </c>
      <c r="Q144" s="108">
        <f>Operations!Q150</f>
        <v>1852.8678304239399</v>
      </c>
      <c r="R144" s="108">
        <f>Operations!R150</f>
        <v>1872.0748829953197</v>
      </c>
      <c r="S144" s="108">
        <f>Operations!S150</f>
        <v>1869.6145124716554</v>
      </c>
      <c r="T144" s="108">
        <f>Operations!T150</f>
        <v>7424.3444599334689</v>
      </c>
      <c r="U144" s="108">
        <f>Operations!U150</f>
        <v>1831.7659352142111</v>
      </c>
      <c r="V144" s="108">
        <f>Operations!V150</f>
        <v>1851.1293634496919</v>
      </c>
      <c r="W144" s="108">
        <f>Operations!W150</f>
        <v>1870.5501618122976</v>
      </c>
      <c r="X144" s="108">
        <f>Operations!X150</f>
        <v>1871.1721224920802</v>
      </c>
      <c r="Y144" s="108">
        <f>SUM(U144:X144)</f>
        <v>7424.6175829682816</v>
      </c>
      <c r="Z144" s="108">
        <f>Operations!Z150</f>
        <v>1831.9755600814665</v>
      </c>
      <c r="AA144" s="108">
        <f>Operations!AA150</f>
        <v>1850.1984126984128</v>
      </c>
      <c r="AB144" s="108">
        <f>Operations!AB150</f>
        <v>1872.6042841037204</v>
      </c>
      <c r="AC144" s="108">
        <f>Operations!AC150</f>
        <v>1866.4122137404579</v>
      </c>
      <c r="AD144" s="108">
        <f>SUM(Z144:AC144)</f>
        <v>7421.1904706240584</v>
      </c>
      <c r="AE144" s="108">
        <f>Operations!AE150</f>
        <v>1845.2611218568666</v>
      </c>
      <c r="AF144" s="108">
        <f>Operations!AF150</f>
        <v>1845.6375838926176</v>
      </c>
      <c r="AG144" s="108">
        <f>Operations!AG150</f>
        <v>1865.5172413793105</v>
      </c>
      <c r="AH144" s="108">
        <f>Operations!AH150</f>
        <v>1866.9275929549901</v>
      </c>
      <c r="AI144" s="108">
        <f>SUM(AE144:AH144)</f>
        <v>7423.3435400837852</v>
      </c>
      <c r="AJ144" s="922">
        <f>Operations!AJ150</f>
        <v>1822.9927007299268</v>
      </c>
      <c r="AK144" s="923">
        <f>Operations!AK150</f>
        <v>1844.9477351916378</v>
      </c>
      <c r="AL144" s="923">
        <f>Operations!AL150</f>
        <v>1863.4146341463415</v>
      </c>
      <c r="AM144" s="924">
        <f>Operations!AM150</f>
        <v>1864.831038798498</v>
      </c>
      <c r="AN144" s="108">
        <f>SUM(AJ144:AM144)</f>
        <v>7396.1861088664045</v>
      </c>
      <c r="AO144" s="922">
        <f>Operations!AO150</f>
        <v>1825.2873563218391</v>
      </c>
      <c r="AP144" s="923">
        <f>Operations!AP150</f>
        <v>1839.3258426966293</v>
      </c>
      <c r="AQ144" s="923">
        <f>Operations!AQ150</f>
        <v>1871.4285714285713</v>
      </c>
      <c r="AR144" s="924">
        <f>Operations!AR150</f>
        <v>1853.2467532467533</v>
      </c>
      <c r="AS144" s="108">
        <f>SUM(AO144:AR144)</f>
        <v>7389.2885236937936</v>
      </c>
      <c r="AT144" s="922">
        <f>Operations!AT150</f>
        <v>1827.1739130434783</v>
      </c>
      <c r="AU144" s="923">
        <f>Operations!AU150</f>
        <v>1834.6153846153845</v>
      </c>
      <c r="AV144" s="923">
        <f>Operations!AV150</f>
        <v>1854.9295774647887</v>
      </c>
      <c r="AW144" s="924">
        <f>Operations!AW150</f>
        <v>1863.0769230769231</v>
      </c>
      <c r="AX144" s="108">
        <f>SUM(AT144:AW144)</f>
        <v>7379.7957982005746</v>
      </c>
      <c r="AY144" s="922">
        <f>Operations!AY150</f>
        <v>1458.8235294117646</v>
      </c>
      <c r="AZ144" s="923">
        <f>Operations!AZ150</f>
        <v>1247.872340425532</v>
      </c>
      <c r="BA144" s="923">
        <f>Operations!BA150</f>
        <v>1266.6666666666667</v>
      </c>
      <c r="BB144" s="924">
        <f>Operations!BB150</f>
        <v>1258.4415584415583</v>
      </c>
      <c r="BC144" s="108">
        <f>SUM(AY144:BB144)</f>
        <v>5231.8040949455217</v>
      </c>
      <c r="BD144" s="922">
        <f>Operations!BD150</f>
        <v>1227.5510204081634</v>
      </c>
      <c r="BE144" s="923">
        <f>Operations!BE150</f>
        <v>1245.1612903225805</v>
      </c>
      <c r="BF144" s="923">
        <f>Operations!BF150</f>
        <v>1258.5365853658536</v>
      </c>
      <c r="BG144" s="924">
        <f>Operations!BG150</f>
        <v>1255.2083333333335</v>
      </c>
      <c r="BH144" s="108">
        <f>SUM(BD144:BG144)</f>
        <v>4986.4572294299305</v>
      </c>
      <c r="BI144" s="922">
        <f>Operations!BI150</f>
        <v>1226.8817204301074</v>
      </c>
      <c r="BJ144" s="923">
        <f>Operations!BJ150</f>
        <v>1247.9591836734694</v>
      </c>
      <c r="BK144" s="923">
        <f>Operations!BK150</f>
        <v>1262.5</v>
      </c>
      <c r="BL144" s="924">
        <f>Operations!BL150</f>
        <v>1262.5</v>
      </c>
      <c r="BM144" s="108">
        <f>SUM(BI144:BL144)</f>
        <v>4999.8409041035766</v>
      </c>
      <c r="BN144" s="922">
        <f>Operations!BN150</f>
        <v>1233.6538461538462</v>
      </c>
      <c r="BO144" s="923">
        <f>Operations!BO150</f>
        <v>1250</v>
      </c>
      <c r="BP144" s="923">
        <f>Operations!BP150</f>
        <v>1258.8888888888889</v>
      </c>
      <c r="BQ144" s="924">
        <f>Operations!BQ150</f>
        <v>1254.7619047619048</v>
      </c>
      <c r="BR144" s="108">
        <f>SUM(BN144:BQ144)</f>
        <v>4997.3046398046399</v>
      </c>
      <c r="BS144" s="922">
        <f>Operations!BS150</f>
        <v>1252.1739130434783</v>
      </c>
      <c r="BT144" s="923">
        <f>Operations!BT150</f>
        <v>1245.5445544554455</v>
      </c>
      <c r="BU144" s="923">
        <f>Operations!BU150</f>
        <v>1253.9215686274511</v>
      </c>
      <c r="BV144" s="924">
        <f>Operations!BV150</f>
        <v>1265.3465346534654</v>
      </c>
      <c r="BW144" s="113">
        <f>SUM(BS144:BV144)</f>
        <v>5016.9865707798399</v>
      </c>
      <c r="BX144" s="922">
        <f>Operations!BX150</f>
        <v>1233.3333333333333</v>
      </c>
      <c r="BY144" s="923">
        <f>Operations!BY150</f>
        <v>1247.5728155339805</v>
      </c>
      <c r="BZ144" s="923">
        <f>Operations!BZ150</f>
        <v>1260.204081632653</v>
      </c>
      <c r="CA144" s="924">
        <f>Operations!CA150</f>
        <v>1263.4615384615383</v>
      </c>
      <c r="CB144" s="108">
        <f>SUM(BX144:CA144)</f>
        <v>5004.5717689615049</v>
      </c>
      <c r="CC144" s="1118">
        <f>5000/4</f>
        <v>1250</v>
      </c>
      <c r="CD144" s="1119">
        <f>5000/4</f>
        <v>1250</v>
      </c>
      <c r="CE144" s="1119">
        <f>5000/4</f>
        <v>1250</v>
      </c>
      <c r="CF144" s="1095">
        <f>5000/4</f>
        <v>1250</v>
      </c>
      <c r="CG144" s="1479">
        <f>SUM(CC144:CF144)</f>
        <v>5000</v>
      </c>
      <c r="CH144" s="1118">
        <f>5000/4</f>
        <v>1250</v>
      </c>
      <c r="CI144" s="1119">
        <f>5000/4</f>
        <v>1250</v>
      </c>
      <c r="CJ144" s="1119">
        <f>5000/4</f>
        <v>1250</v>
      </c>
      <c r="CK144" s="1095">
        <f>5000/4</f>
        <v>1250</v>
      </c>
      <c r="CL144" s="108">
        <f>SUM(CH144:CK144)</f>
        <v>5000</v>
      </c>
      <c r="CM144" s="1118">
        <f>5000/4</f>
        <v>1250</v>
      </c>
      <c r="CN144" s="1119">
        <f>5000/4</f>
        <v>1250</v>
      </c>
      <c r="CO144" s="1119">
        <f>5000/4</f>
        <v>1250</v>
      </c>
      <c r="CP144" s="1095">
        <f>5000/4</f>
        <v>1250</v>
      </c>
      <c r="CQ144" s="923">
        <f>SUM(CM144:CP144)</f>
        <v>5000</v>
      </c>
      <c r="CR144" s="159"/>
      <c r="CS144" s="119"/>
      <c r="CT144" s="115"/>
      <c r="CU144" s="115"/>
    </row>
    <row r="145" spans="1:105" ht="13.5" customHeight="1">
      <c r="A145" s="75"/>
      <c r="B145" s="75" t="s">
        <v>694</v>
      </c>
      <c r="D145" s="108"/>
      <c r="E145" s="108"/>
      <c r="F145" s="108"/>
      <c r="G145" s="108"/>
      <c r="H145" s="108"/>
      <c r="I145" s="108"/>
      <c r="J145" s="108">
        <f>Operations!J148</f>
        <v>4836</v>
      </c>
      <c r="K145" s="108">
        <f>Operations!K148</f>
        <v>1344</v>
      </c>
      <c r="L145" s="108">
        <f>Operations!L148</f>
        <v>1467</v>
      </c>
      <c r="M145" s="108">
        <f>Operations!M148</f>
        <v>1400</v>
      </c>
      <c r="N145" s="108">
        <f>Operations!N148</f>
        <v>1474</v>
      </c>
      <c r="O145" s="108">
        <f>Operations!O148</f>
        <v>5685</v>
      </c>
      <c r="P145" s="108">
        <f>Operations!P148</f>
        <v>1548</v>
      </c>
      <c r="Q145" s="108">
        <f>Operations!Q148</f>
        <v>1486</v>
      </c>
      <c r="R145" s="108">
        <f>Operations!R148</f>
        <v>1200</v>
      </c>
      <c r="S145" s="108">
        <f>Operations!S148</f>
        <v>1649</v>
      </c>
      <c r="T145" s="108">
        <f>Operations!T148</f>
        <v>5883</v>
      </c>
      <c r="U145" s="108">
        <f>Operations!U148</f>
        <v>1753</v>
      </c>
      <c r="V145" s="108">
        <f>Operations!V148</f>
        <v>1803</v>
      </c>
      <c r="W145" s="108">
        <f>Operations!W148</f>
        <v>1734</v>
      </c>
      <c r="X145" s="108">
        <f>Operations!X148</f>
        <v>1772</v>
      </c>
      <c r="Y145" s="108">
        <f>SUM(U145:X145)</f>
        <v>7062</v>
      </c>
      <c r="Z145" s="108">
        <f>Operations!Z148</f>
        <v>1799</v>
      </c>
      <c r="AA145" s="108">
        <f>Operations!AA148</f>
        <v>1865</v>
      </c>
      <c r="AB145" s="108">
        <f>Operations!AB148</f>
        <v>1661</v>
      </c>
      <c r="AC145" s="108">
        <f>Operations!AC148</f>
        <v>1467</v>
      </c>
      <c r="AD145" s="108">
        <f>SUM(Z145:AC145)</f>
        <v>6792</v>
      </c>
      <c r="AE145" s="108">
        <f>Operations!AE148</f>
        <v>1908</v>
      </c>
      <c r="AF145" s="108">
        <f>Operations!AF148</f>
        <v>1925</v>
      </c>
      <c r="AG145" s="108">
        <f>Operations!AG148</f>
        <v>1623</v>
      </c>
      <c r="AH145" s="108">
        <f>Operations!AH148</f>
        <v>954</v>
      </c>
      <c r="AI145" s="108">
        <f>SUM(AE145:AH145)</f>
        <v>6410</v>
      </c>
      <c r="AJ145" s="922">
        <f>Operations!AJ148</f>
        <v>999</v>
      </c>
      <c r="AK145" s="923">
        <f>Operations!AK148</f>
        <v>1059</v>
      </c>
      <c r="AL145" s="923">
        <f>Operations!AL148</f>
        <v>1528</v>
      </c>
      <c r="AM145" s="924">
        <f>Operations!AM148</f>
        <v>1490</v>
      </c>
      <c r="AN145" s="108">
        <f>SUM(AJ145:AM145)</f>
        <v>5076</v>
      </c>
      <c r="AO145" s="922">
        <f>Operations!AO148</f>
        <v>1588</v>
      </c>
      <c r="AP145" s="923">
        <f>Operations!AP148</f>
        <v>1637</v>
      </c>
      <c r="AQ145" s="923">
        <f>Operations!AQ148</f>
        <v>1441</v>
      </c>
      <c r="AR145" s="924">
        <f>Operations!AR148</f>
        <v>1427</v>
      </c>
      <c r="AS145" s="108">
        <f>SUM(AO145:AR145)</f>
        <v>6093</v>
      </c>
      <c r="AT145" s="922">
        <f>Operations!AT148</f>
        <v>1681</v>
      </c>
      <c r="AU145" s="923">
        <f>Operations!AU148</f>
        <v>1431</v>
      </c>
      <c r="AV145" s="923">
        <f>Operations!AV148</f>
        <v>1317</v>
      </c>
      <c r="AW145" s="924">
        <f>Operations!AW148</f>
        <v>1211</v>
      </c>
      <c r="AX145" s="108">
        <f>SUM(AT145:AW145)</f>
        <v>5640</v>
      </c>
      <c r="AY145" s="922">
        <f>Operations!AY148</f>
        <v>1240</v>
      </c>
      <c r="AZ145" s="923">
        <f>Operations!AZ148</f>
        <v>1173</v>
      </c>
      <c r="BA145" s="923">
        <f>Operations!BA148</f>
        <v>1140</v>
      </c>
      <c r="BB145" s="924">
        <f>Operations!BB148</f>
        <v>969</v>
      </c>
      <c r="BC145" s="108">
        <f>SUM(AY145:BB145)</f>
        <v>4522</v>
      </c>
      <c r="BD145" s="922">
        <f>Operations!BD148</f>
        <v>1203</v>
      </c>
      <c r="BE145" s="923">
        <f>Operations!BE148</f>
        <v>1158</v>
      </c>
      <c r="BF145" s="923">
        <f>Operations!BF148</f>
        <v>1032</v>
      </c>
      <c r="BG145" s="924">
        <f>Operations!BG148</f>
        <v>1205</v>
      </c>
      <c r="BH145" s="108">
        <f>SUM(BD145:BG145)</f>
        <v>4598</v>
      </c>
      <c r="BI145" s="922">
        <f>Operations!BI148</f>
        <v>1141</v>
      </c>
      <c r="BJ145" s="923">
        <f>Operations!BJ148</f>
        <v>1223</v>
      </c>
      <c r="BK145" s="923">
        <f>Operations!BK148</f>
        <v>1111</v>
      </c>
      <c r="BL145" s="924">
        <f>Operations!BL148</f>
        <v>1313</v>
      </c>
      <c r="BM145" s="108">
        <f>SUM(BI145:BL145)</f>
        <v>4788</v>
      </c>
      <c r="BN145" s="922">
        <f>Operations!BN148</f>
        <v>1283</v>
      </c>
      <c r="BO145" s="923">
        <f>Operations!BO148</f>
        <v>1200</v>
      </c>
      <c r="BP145" s="923">
        <f>Operations!BP148</f>
        <v>1133</v>
      </c>
      <c r="BQ145" s="924">
        <f>Operations!BQ148</f>
        <v>1054</v>
      </c>
      <c r="BR145" s="108">
        <f>SUM(BN145:BQ145)</f>
        <v>4670</v>
      </c>
      <c r="BS145" s="918">
        <f>Operations!BS148</f>
        <v>1152</v>
      </c>
      <c r="BT145" s="216">
        <f>Operations!BT148</f>
        <v>1258</v>
      </c>
      <c r="BU145" s="216">
        <f>Operations!BU148</f>
        <v>1279</v>
      </c>
      <c r="BV145" s="919">
        <f>Operations!BV148</f>
        <v>1278</v>
      </c>
      <c r="BW145" s="108">
        <f>SUM(BS145:BV145)</f>
        <v>4967</v>
      </c>
      <c r="BX145" s="918">
        <f>Operations!BX148</f>
        <v>1258</v>
      </c>
      <c r="BY145" s="216">
        <f>Operations!BY148</f>
        <v>1285</v>
      </c>
      <c r="BZ145" s="216">
        <f>Operations!BZ148</f>
        <v>1235</v>
      </c>
      <c r="CA145" s="919">
        <f>Operations!CA148</f>
        <v>1314</v>
      </c>
      <c r="CB145" s="108">
        <f>SUM(BX145:CA145)</f>
        <v>5092</v>
      </c>
      <c r="CC145" s="918">
        <f>CA145+CC141-CA141</f>
        <v>1171</v>
      </c>
      <c r="CD145" s="216">
        <f>CC145+CD141-CC141</f>
        <v>1219</v>
      </c>
      <c r="CE145" s="216">
        <f>CD145+CE141-CD141</f>
        <v>1129</v>
      </c>
      <c r="CF145" s="919">
        <f>CE145+CF141-CE141</f>
        <v>1314</v>
      </c>
      <c r="CG145" s="1479">
        <f>SUM(CC145:CF145)</f>
        <v>4833</v>
      </c>
      <c r="CH145" s="918">
        <f>CF145+CH141-CF141</f>
        <v>1171</v>
      </c>
      <c r="CI145" s="216">
        <f>CH145+CI141-CH141</f>
        <v>1219</v>
      </c>
      <c r="CJ145" s="216">
        <f>CI145+CJ141-CI141</f>
        <v>1129</v>
      </c>
      <c r="CK145" s="919">
        <f>CJ145+CK141-CJ141</f>
        <v>1314</v>
      </c>
      <c r="CL145" s="108">
        <f>SUM(CH145:CK145)</f>
        <v>4833</v>
      </c>
      <c r="CM145" s="918">
        <f>CK145+CM141-CK141</f>
        <v>1171</v>
      </c>
      <c r="CN145" s="216">
        <f>CM145+CN141-CM141</f>
        <v>1219</v>
      </c>
      <c r="CO145" s="216">
        <f>CN145+CO141-CN141</f>
        <v>1129</v>
      </c>
      <c r="CP145" s="919">
        <f>CO145+CP141-CO141</f>
        <v>1314</v>
      </c>
      <c r="CQ145" s="923">
        <f>SUM(CM145:CP145)</f>
        <v>4833</v>
      </c>
      <c r="CR145" s="81"/>
      <c r="CS145" s="75"/>
      <c r="CT145" s="75"/>
      <c r="CU145" s="75"/>
    </row>
    <row r="146" spans="1:105" ht="13.5" customHeight="1">
      <c r="A146" s="115"/>
      <c r="B146" s="115" t="s">
        <v>695</v>
      </c>
      <c r="D146" s="116"/>
      <c r="E146" s="116"/>
      <c r="F146" s="116"/>
      <c r="G146" s="116"/>
      <c r="H146" s="116"/>
      <c r="I146" s="116"/>
      <c r="J146" s="116">
        <f t="shared" ref="J146:AO146" si="239">J145/J144</f>
        <v>0.84305816544802914</v>
      </c>
      <c r="K146" s="116">
        <f t="shared" si="239"/>
        <v>0.72599999999999998</v>
      </c>
      <c r="L146" s="116">
        <f t="shared" si="239"/>
        <v>0.79500000000000004</v>
      </c>
      <c r="M146" s="116">
        <f t="shared" si="239"/>
        <v>0.75</v>
      </c>
      <c r="N146" s="116">
        <f t="shared" si="239"/>
        <v>0.79</v>
      </c>
      <c r="O146" s="116">
        <f t="shared" si="239"/>
        <v>0.76524306234057515</v>
      </c>
      <c r="P146" s="116">
        <f t="shared" si="239"/>
        <v>0.84599999999999997</v>
      </c>
      <c r="Q146" s="116">
        <f t="shared" si="239"/>
        <v>0.80200000000000005</v>
      </c>
      <c r="R146" s="116">
        <f t="shared" si="239"/>
        <v>0.64100000000000001</v>
      </c>
      <c r="S146" s="116">
        <f t="shared" si="239"/>
        <v>0.88200000000000001</v>
      </c>
      <c r="T146" s="116">
        <f t="shared" si="239"/>
        <v>0.79239319131115837</v>
      </c>
      <c r="U146" s="116">
        <f t="shared" si="239"/>
        <v>0.95699999999999996</v>
      </c>
      <c r="V146" s="116">
        <f t="shared" si="239"/>
        <v>0.97399999999999998</v>
      </c>
      <c r="W146" s="116">
        <f t="shared" si="239"/>
        <v>0.92700000000000005</v>
      </c>
      <c r="X146" s="116">
        <f t="shared" si="239"/>
        <v>0.94700000000000006</v>
      </c>
      <c r="Y146" s="116">
        <f t="shared" si="239"/>
        <v>0.95116009963932568</v>
      </c>
      <c r="Z146" s="116">
        <f t="shared" si="239"/>
        <v>0.98199999999999998</v>
      </c>
      <c r="AA146" s="116">
        <f t="shared" si="239"/>
        <v>1.008</v>
      </c>
      <c r="AB146" s="116">
        <f t="shared" si="239"/>
        <v>0.88700000000000001</v>
      </c>
      <c r="AC146" s="116">
        <f t="shared" si="239"/>
        <v>0.78600000000000003</v>
      </c>
      <c r="AD146" s="116">
        <f t="shared" si="239"/>
        <v>0.9152170432608302</v>
      </c>
      <c r="AE146" s="116">
        <f t="shared" si="239"/>
        <v>1.034</v>
      </c>
      <c r="AF146" s="116">
        <f t="shared" si="239"/>
        <v>1.0429999999999999</v>
      </c>
      <c r="AG146" s="116">
        <f t="shared" si="239"/>
        <v>0.87</v>
      </c>
      <c r="AH146" s="116">
        <f t="shared" si="239"/>
        <v>0.51100000000000001</v>
      </c>
      <c r="AI146" s="116">
        <f t="shared" si="239"/>
        <v>0.86349230173545921</v>
      </c>
      <c r="AJ146" s="925">
        <f t="shared" si="239"/>
        <v>0.54800000000000004</v>
      </c>
      <c r="AK146" s="926">
        <f t="shared" si="239"/>
        <v>0.57399999999999995</v>
      </c>
      <c r="AL146" s="926">
        <f t="shared" si="239"/>
        <v>0.82</v>
      </c>
      <c r="AM146" s="927">
        <f t="shared" si="239"/>
        <v>0.79900000000000004</v>
      </c>
      <c r="AN146" s="116">
        <f t="shared" si="239"/>
        <v>0.68629965840299634</v>
      </c>
      <c r="AO146" s="925">
        <f t="shared" si="239"/>
        <v>0.87</v>
      </c>
      <c r="AP146" s="926">
        <f t="shared" ref="AP146:BU146" si="240">AP145/AP144</f>
        <v>0.89</v>
      </c>
      <c r="AQ146" s="926">
        <f t="shared" si="240"/>
        <v>0.77</v>
      </c>
      <c r="AR146" s="927">
        <f t="shared" si="240"/>
        <v>0.77</v>
      </c>
      <c r="AS146" s="116">
        <f t="shared" si="240"/>
        <v>0.82457194362661068</v>
      </c>
      <c r="AT146" s="925">
        <f t="shared" si="240"/>
        <v>0.92</v>
      </c>
      <c r="AU146" s="926">
        <f t="shared" si="240"/>
        <v>0.78</v>
      </c>
      <c r="AV146" s="926">
        <f t="shared" si="240"/>
        <v>0.71</v>
      </c>
      <c r="AW146" s="927">
        <f t="shared" si="240"/>
        <v>0.65</v>
      </c>
      <c r="AX146" s="116">
        <f t="shared" si="240"/>
        <v>0.76424878875038904</v>
      </c>
      <c r="AY146" s="925">
        <f t="shared" si="240"/>
        <v>0.85000000000000009</v>
      </c>
      <c r="AZ146" s="926">
        <f t="shared" si="240"/>
        <v>0.94</v>
      </c>
      <c r="BA146" s="926">
        <f t="shared" si="240"/>
        <v>0.89999999999999991</v>
      </c>
      <c r="BB146" s="927">
        <f t="shared" si="240"/>
        <v>0.77000000000000013</v>
      </c>
      <c r="BC146" s="116">
        <f t="shared" si="240"/>
        <v>0.86432899969796884</v>
      </c>
      <c r="BD146" s="925">
        <f t="shared" si="240"/>
        <v>0.97999999999999987</v>
      </c>
      <c r="BE146" s="926">
        <f t="shared" si="240"/>
        <v>0.93000000000000016</v>
      </c>
      <c r="BF146" s="926">
        <f t="shared" si="240"/>
        <v>0.82000000000000006</v>
      </c>
      <c r="BG146" s="927">
        <f t="shared" si="240"/>
        <v>0.95999999999999985</v>
      </c>
      <c r="BH146" s="116">
        <f t="shared" si="240"/>
        <v>0.92209755111559633</v>
      </c>
      <c r="BI146" s="925">
        <f t="shared" si="240"/>
        <v>0.93</v>
      </c>
      <c r="BJ146" s="926">
        <f t="shared" si="240"/>
        <v>0.98</v>
      </c>
      <c r="BK146" s="926">
        <f t="shared" si="240"/>
        <v>0.88</v>
      </c>
      <c r="BL146" s="927">
        <f t="shared" si="240"/>
        <v>1.04</v>
      </c>
      <c r="BM146" s="116">
        <f t="shared" si="240"/>
        <v>0.95763047101564569</v>
      </c>
      <c r="BN146" s="925">
        <f t="shared" si="240"/>
        <v>1.04</v>
      </c>
      <c r="BO146" s="926">
        <f t="shared" si="240"/>
        <v>0.96</v>
      </c>
      <c r="BP146" s="926">
        <f t="shared" si="240"/>
        <v>0.9</v>
      </c>
      <c r="BQ146" s="927">
        <f t="shared" si="240"/>
        <v>0.84</v>
      </c>
      <c r="BR146" s="116">
        <f t="shared" si="240"/>
        <v>0.93450376485003817</v>
      </c>
      <c r="BS146" s="1068">
        <f t="shared" si="240"/>
        <v>0.92</v>
      </c>
      <c r="BT146" s="1069">
        <f t="shared" si="240"/>
        <v>1.01</v>
      </c>
      <c r="BU146" s="1069">
        <f t="shared" si="240"/>
        <v>1.02</v>
      </c>
      <c r="BV146" s="927">
        <f t="shared" ref="BV146:CQ146" si="241">BV145/BV144</f>
        <v>1.01</v>
      </c>
      <c r="BW146" s="116">
        <f t="shared" si="241"/>
        <v>0.99003653486517706</v>
      </c>
      <c r="BX146" s="1068">
        <f t="shared" si="241"/>
        <v>1.02</v>
      </c>
      <c r="BY146" s="1069">
        <f t="shared" si="241"/>
        <v>1.03</v>
      </c>
      <c r="BZ146" s="1069">
        <f t="shared" si="241"/>
        <v>0.98</v>
      </c>
      <c r="CA146" s="1519">
        <f t="shared" ref="CA146" si="242">CA145/CA144</f>
        <v>1.04</v>
      </c>
      <c r="CB146" s="116">
        <f t="shared" si="241"/>
        <v>1.0174696727461734</v>
      </c>
      <c r="CC146" s="925">
        <f t="shared" si="241"/>
        <v>0.93679999999999997</v>
      </c>
      <c r="CD146" s="926">
        <f t="shared" si="241"/>
        <v>0.97519999999999996</v>
      </c>
      <c r="CE146" s="926">
        <f t="shared" si="241"/>
        <v>0.9032</v>
      </c>
      <c r="CF146" s="927">
        <f t="shared" si="241"/>
        <v>1.0511999999999999</v>
      </c>
      <c r="CG146" s="1480">
        <f t="shared" si="241"/>
        <v>0.96660000000000001</v>
      </c>
      <c r="CH146" s="925">
        <f t="shared" si="241"/>
        <v>0.93679999999999997</v>
      </c>
      <c r="CI146" s="926">
        <f t="shared" si="241"/>
        <v>0.97519999999999996</v>
      </c>
      <c r="CJ146" s="926">
        <f t="shared" si="241"/>
        <v>0.9032</v>
      </c>
      <c r="CK146" s="927">
        <f t="shared" si="241"/>
        <v>1.0511999999999999</v>
      </c>
      <c r="CL146" s="116">
        <f t="shared" si="241"/>
        <v>0.96660000000000001</v>
      </c>
      <c r="CM146" s="925">
        <f t="shared" si="241"/>
        <v>0.93679999999999997</v>
      </c>
      <c r="CN146" s="926">
        <f t="shared" si="241"/>
        <v>0.97519999999999996</v>
      </c>
      <c r="CO146" s="926">
        <f t="shared" si="241"/>
        <v>0.9032</v>
      </c>
      <c r="CP146" s="927">
        <f t="shared" si="241"/>
        <v>1.0511999999999999</v>
      </c>
      <c r="CQ146" s="926">
        <f t="shared" si="241"/>
        <v>0.96660000000000001</v>
      </c>
      <c r="CR146" s="81"/>
      <c r="CS146" s="75"/>
      <c r="CT146" s="75"/>
      <c r="CU146" s="75"/>
    </row>
    <row r="147" spans="1:105" ht="6.2" customHeight="1">
      <c r="A147" s="115"/>
      <c r="B147" s="115"/>
      <c r="C147" s="115"/>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925"/>
      <c r="AK147" s="926"/>
      <c r="AL147" s="926"/>
      <c r="AM147" s="927"/>
      <c r="AN147" s="116"/>
      <c r="AO147" s="925"/>
      <c r="AP147" s="926"/>
      <c r="AQ147" s="926"/>
      <c r="AR147" s="927"/>
      <c r="AS147" s="116"/>
      <c r="AT147" s="925"/>
      <c r="AU147" s="926"/>
      <c r="AV147" s="926"/>
      <c r="AW147" s="927"/>
      <c r="AX147" s="116"/>
      <c r="AY147" s="925"/>
      <c r="AZ147" s="926"/>
      <c r="BA147" s="926"/>
      <c r="BB147" s="927"/>
      <c r="BC147" s="116"/>
      <c r="BD147" s="925"/>
      <c r="BE147" s="926"/>
      <c r="BF147" s="926"/>
      <c r="BG147" s="927"/>
      <c r="BH147" s="116"/>
      <c r="BI147" s="925"/>
      <c r="BJ147" s="926"/>
      <c r="BK147" s="926"/>
      <c r="BL147" s="927"/>
      <c r="BM147" s="116"/>
      <c r="BN147" s="925"/>
      <c r="BO147" s="926"/>
      <c r="BP147" s="926"/>
      <c r="BQ147" s="927"/>
      <c r="BR147" s="116"/>
      <c r="BS147" s="1068"/>
      <c r="BT147" s="1069"/>
      <c r="BU147" s="1069"/>
      <c r="BV147" s="927"/>
      <c r="BW147" s="116"/>
      <c r="BX147" s="1068"/>
      <c r="BY147" s="1069"/>
      <c r="BZ147" s="1069"/>
      <c r="CA147" s="1519"/>
      <c r="CB147" s="116"/>
      <c r="CC147" s="925"/>
      <c r="CD147" s="926"/>
      <c r="CE147" s="926"/>
      <c r="CF147" s="927"/>
      <c r="CG147" s="1480"/>
      <c r="CH147" s="925"/>
      <c r="CI147" s="926"/>
      <c r="CJ147" s="926"/>
      <c r="CK147" s="927"/>
      <c r="CL147" s="116"/>
      <c r="CM147" s="925"/>
      <c r="CN147" s="926"/>
      <c r="CO147" s="926"/>
      <c r="CP147" s="927"/>
      <c r="CQ147" s="926"/>
      <c r="CR147" s="81"/>
      <c r="CS147" s="75"/>
      <c r="CT147" s="75"/>
      <c r="CU147" s="75"/>
    </row>
    <row r="148" spans="1:105" ht="13.5" customHeight="1">
      <c r="B148" s="242" t="s">
        <v>916</v>
      </c>
      <c r="C148" s="76"/>
      <c r="D148" s="626">
        <f>952+1131+1131+837</f>
        <v>4051</v>
      </c>
      <c r="E148" s="626">
        <v>4384</v>
      </c>
      <c r="F148" s="626">
        <v>1200</v>
      </c>
      <c r="G148" s="626">
        <v>1203</v>
      </c>
      <c r="H148" s="626">
        <v>1158</v>
      </c>
      <c r="I148" s="626">
        <v>1275</v>
      </c>
      <c r="J148" s="283">
        <f>SUM(F148:I148)</f>
        <v>4836</v>
      </c>
      <c r="K148" s="626">
        <v>1344</v>
      </c>
      <c r="L148" s="626">
        <v>1467</v>
      </c>
      <c r="M148" s="626">
        <v>1400</v>
      </c>
      <c r="N148" s="626">
        <v>1474</v>
      </c>
      <c r="O148" s="283">
        <f>SUM(K148:N148)</f>
        <v>5685</v>
      </c>
      <c r="P148" s="626">
        <v>1548</v>
      </c>
      <c r="Q148" s="626">
        <v>1486</v>
      </c>
      <c r="R148" s="626">
        <v>1200</v>
      </c>
      <c r="S148" s="626">
        <v>1649</v>
      </c>
      <c r="T148" s="283">
        <f>SUM(P148:S148)</f>
        <v>5883</v>
      </c>
      <c r="U148" s="626">
        <v>1753</v>
      </c>
      <c r="V148" s="626">
        <v>1803</v>
      </c>
      <c r="W148" s="626">
        <v>1734</v>
      </c>
      <c r="X148" s="626">
        <v>1772</v>
      </c>
      <c r="Y148" s="283">
        <f>SUM(U148:X148)</f>
        <v>7062</v>
      </c>
      <c r="Z148" s="626">
        <v>1799</v>
      </c>
      <c r="AA148" s="626">
        <v>1865</v>
      </c>
      <c r="AB148" s="626">
        <v>1661</v>
      </c>
      <c r="AC148" s="626">
        <v>1467</v>
      </c>
      <c r="AD148" s="283">
        <f>SUM(Z148:AC148)</f>
        <v>6792</v>
      </c>
      <c r="AE148" s="626">
        <v>1908</v>
      </c>
      <c r="AF148" s="626">
        <v>1925</v>
      </c>
      <c r="AG148" s="626">
        <v>1623</v>
      </c>
      <c r="AH148" s="626">
        <v>954</v>
      </c>
      <c r="AI148" s="283">
        <f>SUM(AE148:AH148)</f>
        <v>6410</v>
      </c>
      <c r="AJ148" s="983">
        <v>999</v>
      </c>
      <c r="AK148" s="984">
        <v>1059</v>
      </c>
      <c r="AL148" s="984">
        <v>1528</v>
      </c>
      <c r="AM148" s="985">
        <v>1490</v>
      </c>
      <c r="AN148" s="283">
        <f>SUM(AJ148:AM148)</f>
        <v>5076</v>
      </c>
      <c r="AO148" s="983">
        <v>1588</v>
      </c>
      <c r="AP148" s="984">
        <v>1637</v>
      </c>
      <c r="AQ148" s="984">
        <v>1441</v>
      </c>
      <c r="AR148" s="985">
        <v>1427</v>
      </c>
      <c r="AS148" s="283">
        <f>SUM(AO148:AR148)</f>
        <v>6093</v>
      </c>
      <c r="AT148" s="983">
        <v>1681</v>
      </c>
      <c r="AU148" s="984">
        <v>1431</v>
      </c>
      <c r="AV148" s="1022">
        <v>1317</v>
      </c>
      <c r="AW148" s="985">
        <v>1211</v>
      </c>
      <c r="AX148" s="283">
        <f>SUM(AT148:AW148)</f>
        <v>5640</v>
      </c>
      <c r="AY148" s="983">
        <v>1240</v>
      </c>
      <c r="AZ148" s="984">
        <v>1173</v>
      </c>
      <c r="BA148" s="984">
        <v>1140</v>
      </c>
      <c r="BB148" s="985">
        <v>969</v>
      </c>
      <c r="BC148" s="283">
        <f>SUM(AY148:BB148)</f>
        <v>4522</v>
      </c>
      <c r="BD148" s="983">
        <v>1203</v>
      </c>
      <c r="BE148" s="984">
        <v>1158</v>
      </c>
      <c r="BF148" s="984">
        <v>1032</v>
      </c>
      <c r="BG148" s="985">
        <v>1205</v>
      </c>
      <c r="BH148" s="283">
        <f>SUM(BD148:BG148)</f>
        <v>4598</v>
      </c>
      <c r="BI148" s="983">
        <v>1141</v>
      </c>
      <c r="BJ148" s="984">
        <v>1223</v>
      </c>
      <c r="BK148" s="984">
        <v>1111</v>
      </c>
      <c r="BL148" s="985">
        <v>1313</v>
      </c>
      <c r="BM148" s="283">
        <f>SUM(BI148:BL148)</f>
        <v>4788</v>
      </c>
      <c r="BN148" s="983">
        <v>1283</v>
      </c>
      <c r="BO148" s="984">
        <v>1200</v>
      </c>
      <c r="BP148" s="984">
        <v>1133</v>
      </c>
      <c r="BQ148" s="985">
        <v>1054</v>
      </c>
      <c r="BR148" s="283">
        <f>SUM(BN148:BQ148)</f>
        <v>4670</v>
      </c>
      <c r="BS148" s="983">
        <v>1152</v>
      </c>
      <c r="BT148" s="984">
        <v>1258</v>
      </c>
      <c r="BU148" s="984">
        <v>1279</v>
      </c>
      <c r="BV148" s="985">
        <v>1278</v>
      </c>
      <c r="BW148" s="283">
        <f>SUM(BS148:BV148)</f>
        <v>4967</v>
      </c>
      <c r="BX148" s="983">
        <v>1258</v>
      </c>
      <c r="BY148" s="984">
        <v>1285</v>
      </c>
      <c r="BZ148" s="984">
        <v>1235</v>
      </c>
      <c r="CA148" s="985">
        <v>1314</v>
      </c>
      <c r="CB148" s="283">
        <f>SUM(BX148:CA148)</f>
        <v>5092</v>
      </c>
      <c r="CC148" s="1116">
        <f>Operations!CC145</f>
        <v>1171</v>
      </c>
      <c r="CD148" s="1117">
        <f>Operations!CD145</f>
        <v>1219</v>
      </c>
      <c r="CE148" s="1117">
        <f>Operations!CE145</f>
        <v>1129</v>
      </c>
      <c r="CF148" s="1094">
        <f>Operations!CF145</f>
        <v>1314</v>
      </c>
      <c r="CG148" s="1500">
        <f>SUM(CC148:CF148)</f>
        <v>4833</v>
      </c>
      <c r="CH148" s="1116">
        <f>Operations!CH145</f>
        <v>1171</v>
      </c>
      <c r="CI148" s="1117">
        <f>Operations!CI145</f>
        <v>1219</v>
      </c>
      <c r="CJ148" s="1117">
        <f>Operations!CJ145</f>
        <v>1129</v>
      </c>
      <c r="CK148" s="1094">
        <f>Operations!CK145</f>
        <v>1314</v>
      </c>
      <c r="CL148" s="283">
        <f>SUM(CH148:CK148)</f>
        <v>4833</v>
      </c>
      <c r="CM148" s="1116">
        <f>Operations!CM145</f>
        <v>1171</v>
      </c>
      <c r="CN148" s="1117">
        <f>Operations!CN145</f>
        <v>1219</v>
      </c>
      <c r="CO148" s="1117">
        <f>Operations!CO145</f>
        <v>1129</v>
      </c>
      <c r="CP148" s="1094">
        <f>Operations!CP145</f>
        <v>1314</v>
      </c>
      <c r="CQ148" s="1117">
        <f>SUM(CM148:CP148)</f>
        <v>4833</v>
      </c>
    </row>
    <row r="149" spans="1:105" ht="13.5" customHeight="1">
      <c r="A149" s="76"/>
      <c r="B149" s="125" t="s">
        <v>917</v>
      </c>
      <c r="C149" s="76"/>
      <c r="D149" s="98">
        <f>D148/D150</f>
        <v>0.81020000000000003</v>
      </c>
      <c r="E149" s="674">
        <v>0.879</v>
      </c>
      <c r="F149" s="674">
        <v>0.97299999999999998</v>
      </c>
      <c r="G149" s="674">
        <v>0.96499999999999997</v>
      </c>
      <c r="H149" s="674">
        <v>0.83499999999999996</v>
      </c>
      <c r="I149" s="674">
        <v>0.68200000000000005</v>
      </c>
      <c r="J149" s="98">
        <f>J148/J150</f>
        <v>0.84305816544802914</v>
      </c>
      <c r="K149" s="674">
        <v>0.72599999999999998</v>
      </c>
      <c r="L149" s="674">
        <v>0.79500000000000004</v>
      </c>
      <c r="M149" s="674">
        <v>0.75</v>
      </c>
      <c r="N149" s="674">
        <v>0.79</v>
      </c>
      <c r="O149" s="98">
        <f>O148/O150</f>
        <v>0.76524306234057515</v>
      </c>
      <c r="P149" s="674">
        <v>0.84599999999999997</v>
      </c>
      <c r="Q149" s="674">
        <v>0.80200000000000005</v>
      </c>
      <c r="R149" s="674">
        <v>0.64100000000000001</v>
      </c>
      <c r="S149" s="674">
        <v>0.88200000000000001</v>
      </c>
      <c r="T149" s="98">
        <f>T148/T150</f>
        <v>0.79239319131115837</v>
      </c>
      <c r="U149" s="674">
        <v>0.95699999999999996</v>
      </c>
      <c r="V149" s="674">
        <v>0.97399999999999998</v>
      </c>
      <c r="W149" s="674">
        <v>0.92700000000000005</v>
      </c>
      <c r="X149" s="674">
        <v>0.94699999999999995</v>
      </c>
      <c r="Y149" s="98">
        <f>Y148/Y150</f>
        <v>0.95116009963932568</v>
      </c>
      <c r="Z149" s="674">
        <v>0.98199999999999998</v>
      </c>
      <c r="AA149" s="674">
        <v>1.008</v>
      </c>
      <c r="AB149" s="674">
        <v>0.88700000000000001</v>
      </c>
      <c r="AC149" s="674">
        <v>0.78600000000000003</v>
      </c>
      <c r="AD149" s="98">
        <f>AD148/AD150</f>
        <v>0.9152170432608302</v>
      </c>
      <c r="AE149" s="674">
        <v>1.034</v>
      </c>
      <c r="AF149" s="674">
        <v>1.0429999999999999</v>
      </c>
      <c r="AG149" s="674">
        <v>0.87</v>
      </c>
      <c r="AH149" s="674">
        <v>0.51100000000000001</v>
      </c>
      <c r="AI149" s="98">
        <f>AI148/AI150</f>
        <v>0.86349230173545921</v>
      </c>
      <c r="AJ149" s="992">
        <v>0.54800000000000004</v>
      </c>
      <c r="AK149" s="993">
        <v>0.57399999999999995</v>
      </c>
      <c r="AL149" s="993">
        <v>0.82</v>
      </c>
      <c r="AM149" s="994">
        <v>0.79900000000000004</v>
      </c>
      <c r="AN149" s="98">
        <f>AN148/AN150</f>
        <v>0.68629965840299634</v>
      </c>
      <c r="AO149" s="992">
        <v>0.87</v>
      </c>
      <c r="AP149" s="993">
        <v>0.89</v>
      </c>
      <c r="AQ149" s="993">
        <v>0.77</v>
      </c>
      <c r="AR149" s="994">
        <v>0.77</v>
      </c>
      <c r="AS149" s="98">
        <f>AS148/AS150</f>
        <v>0.82457194362661068</v>
      </c>
      <c r="AT149" s="992">
        <v>0.92</v>
      </c>
      <c r="AU149" s="993">
        <v>0.78</v>
      </c>
      <c r="AV149" s="993">
        <v>0.71</v>
      </c>
      <c r="AW149" s="994">
        <v>0.65</v>
      </c>
      <c r="AX149" s="98">
        <f>AX148/AX150</f>
        <v>0.76424878875038904</v>
      </c>
      <c r="AY149" s="992">
        <v>0.85</v>
      </c>
      <c r="AZ149" s="993">
        <v>0.94</v>
      </c>
      <c r="BA149" s="993">
        <v>0.9</v>
      </c>
      <c r="BB149" s="994">
        <v>0.77</v>
      </c>
      <c r="BC149" s="98">
        <f>BC148/BC150</f>
        <v>0.86432899969796884</v>
      </c>
      <c r="BD149" s="992">
        <v>0.98</v>
      </c>
      <c r="BE149" s="993">
        <v>0.93</v>
      </c>
      <c r="BF149" s="993">
        <v>0.82</v>
      </c>
      <c r="BG149" s="994">
        <v>0.96</v>
      </c>
      <c r="BH149" s="98">
        <f>BH148/BH150</f>
        <v>0.92209755111559633</v>
      </c>
      <c r="BI149" s="992">
        <v>0.93</v>
      </c>
      <c r="BJ149" s="993">
        <v>0.98</v>
      </c>
      <c r="BK149" s="993">
        <v>0.88</v>
      </c>
      <c r="BL149" s="994">
        <v>1.04</v>
      </c>
      <c r="BM149" s="98">
        <f>BM148/BM150</f>
        <v>0.95763047101564569</v>
      </c>
      <c r="BN149" s="992">
        <v>1.04</v>
      </c>
      <c r="BO149" s="993">
        <v>0.96</v>
      </c>
      <c r="BP149" s="993">
        <v>0.9</v>
      </c>
      <c r="BQ149" s="994">
        <v>0.84</v>
      </c>
      <c r="BR149" s="98">
        <f>BR148/BR150</f>
        <v>0.93450376485003817</v>
      </c>
      <c r="BS149" s="992">
        <v>0.92</v>
      </c>
      <c r="BT149" s="993">
        <v>1.01</v>
      </c>
      <c r="BU149" s="993">
        <v>1.02</v>
      </c>
      <c r="BV149" s="994">
        <v>1.01</v>
      </c>
      <c r="BW149" s="98">
        <f>BW148/BW150</f>
        <v>0.99003653486517706</v>
      </c>
      <c r="BX149" s="992">
        <v>1.02</v>
      </c>
      <c r="BY149" s="993">
        <v>1.03</v>
      </c>
      <c r="BZ149" s="993">
        <v>0.98</v>
      </c>
      <c r="CA149" s="994">
        <v>1.04</v>
      </c>
      <c r="CB149" s="98">
        <f t="shared" ref="CB149:CQ149" si="243">CB148/CB150</f>
        <v>1.0174696727461734</v>
      </c>
      <c r="CC149" s="912">
        <f t="shared" si="243"/>
        <v>0.93679999999999997</v>
      </c>
      <c r="CD149" s="278">
        <f t="shared" si="243"/>
        <v>0.97519999999999996</v>
      </c>
      <c r="CE149" s="278">
        <f t="shared" si="243"/>
        <v>0.9032</v>
      </c>
      <c r="CF149" s="913">
        <f t="shared" si="243"/>
        <v>1.0511999999999999</v>
      </c>
      <c r="CG149" s="1474">
        <f t="shared" si="243"/>
        <v>0.96660000000000001</v>
      </c>
      <c r="CH149" s="912">
        <f t="shared" si="243"/>
        <v>0.93679999999999997</v>
      </c>
      <c r="CI149" s="278">
        <f t="shared" si="243"/>
        <v>0.97519999999999996</v>
      </c>
      <c r="CJ149" s="278">
        <f t="shared" si="243"/>
        <v>0.9032</v>
      </c>
      <c r="CK149" s="913">
        <f t="shared" si="243"/>
        <v>1.0511999999999999</v>
      </c>
      <c r="CL149" s="98">
        <f t="shared" si="243"/>
        <v>0.96660000000000001</v>
      </c>
      <c r="CM149" s="912">
        <f t="shared" si="243"/>
        <v>0.93679999999999997</v>
      </c>
      <c r="CN149" s="278">
        <f t="shared" si="243"/>
        <v>0.97519999999999996</v>
      </c>
      <c r="CO149" s="278">
        <f t="shared" si="243"/>
        <v>0.9032</v>
      </c>
      <c r="CP149" s="913">
        <f t="shared" si="243"/>
        <v>1.0511999999999999</v>
      </c>
      <c r="CQ149" s="278">
        <f t="shared" si="243"/>
        <v>0.96660000000000001</v>
      </c>
    </row>
    <row r="150" spans="1:105" ht="13.5" customHeight="1">
      <c r="A150" s="76"/>
      <c r="B150" s="125" t="s">
        <v>696</v>
      </c>
      <c r="C150" s="76"/>
      <c r="D150" s="625">
        <v>5000</v>
      </c>
      <c r="E150" s="625">
        <v>5000</v>
      </c>
      <c r="F150" s="104">
        <f>F148/F149</f>
        <v>1233.2990750256938</v>
      </c>
      <c r="G150" s="104">
        <f>G148/G149</f>
        <v>1246.6321243523316</v>
      </c>
      <c r="H150" s="104">
        <f>H148/H149</f>
        <v>1386.8263473053894</v>
      </c>
      <c r="I150" s="104">
        <f>I148/I149</f>
        <v>1869.5014662756596</v>
      </c>
      <c r="J150" s="104">
        <f>SUM(F150:I150)</f>
        <v>5736.2590129590744</v>
      </c>
      <c r="K150" s="104">
        <f>K148/K149</f>
        <v>1851.2396694214876</v>
      </c>
      <c r="L150" s="104">
        <f>L148/L149</f>
        <v>1845.2830188679245</v>
      </c>
      <c r="M150" s="104">
        <f>M148/M149</f>
        <v>1866.6666666666667</v>
      </c>
      <c r="N150" s="104">
        <f>N148/N149</f>
        <v>1865.8227848101264</v>
      </c>
      <c r="O150" s="104">
        <f>SUM(K150:N150)</f>
        <v>7429.012139766206</v>
      </c>
      <c r="P150" s="104">
        <f>P148/P149</f>
        <v>1829.7872340425533</v>
      </c>
      <c r="Q150" s="104">
        <f>Q148/Q149</f>
        <v>1852.8678304239399</v>
      </c>
      <c r="R150" s="104">
        <f>R148/R149</f>
        <v>1872.0748829953197</v>
      </c>
      <c r="S150" s="104">
        <f>S148/S149</f>
        <v>1869.6145124716554</v>
      </c>
      <c r="T150" s="104">
        <f>SUM(P150:S150)</f>
        <v>7424.3444599334689</v>
      </c>
      <c r="U150" s="104">
        <f>U148/U149</f>
        <v>1831.7659352142111</v>
      </c>
      <c r="V150" s="104">
        <f>V148/V149</f>
        <v>1851.1293634496919</v>
      </c>
      <c r="W150" s="104">
        <f>W148/W149</f>
        <v>1870.5501618122976</v>
      </c>
      <c r="X150" s="104">
        <f>X148/X149</f>
        <v>1871.1721224920802</v>
      </c>
      <c r="Y150" s="104">
        <f>SUM(U150:X150)</f>
        <v>7424.6175829682816</v>
      </c>
      <c r="Z150" s="104">
        <f>Z148/Z149</f>
        <v>1831.9755600814665</v>
      </c>
      <c r="AA150" s="104">
        <f>AA148/AA149</f>
        <v>1850.1984126984128</v>
      </c>
      <c r="AB150" s="104">
        <f>AB148/AB149</f>
        <v>1872.6042841037204</v>
      </c>
      <c r="AC150" s="104">
        <f>AC148/AC149</f>
        <v>1866.4122137404579</v>
      </c>
      <c r="AD150" s="104">
        <f>SUM(Z150:AC150)</f>
        <v>7421.1904706240584</v>
      </c>
      <c r="AE150" s="104">
        <f>AE148/AE149</f>
        <v>1845.2611218568666</v>
      </c>
      <c r="AF150" s="104">
        <f>AF148/AF149</f>
        <v>1845.6375838926176</v>
      </c>
      <c r="AG150" s="104">
        <f>AG148/AG149</f>
        <v>1865.5172413793105</v>
      </c>
      <c r="AH150" s="104">
        <f>AH148/AH149</f>
        <v>1866.9275929549901</v>
      </c>
      <c r="AI150" s="104">
        <f>SUM(AE150:AH150)</f>
        <v>7423.3435400837852</v>
      </c>
      <c r="AJ150" s="995">
        <f>AJ148/AJ149</f>
        <v>1822.9927007299268</v>
      </c>
      <c r="AK150" s="126">
        <f>AK148/AK149</f>
        <v>1844.9477351916378</v>
      </c>
      <c r="AL150" s="126">
        <f>AL148/AL149</f>
        <v>1863.4146341463415</v>
      </c>
      <c r="AM150" s="996">
        <f>AM148/AM149</f>
        <v>1864.831038798498</v>
      </c>
      <c r="AN150" s="104">
        <f>SUM(AJ150:AM150)</f>
        <v>7396.1861088664045</v>
      </c>
      <c r="AO150" s="995">
        <f>AO148/AO149</f>
        <v>1825.2873563218391</v>
      </c>
      <c r="AP150" s="126">
        <f>AP148/AP149</f>
        <v>1839.3258426966293</v>
      </c>
      <c r="AQ150" s="126">
        <f>AQ148/AQ149</f>
        <v>1871.4285714285713</v>
      </c>
      <c r="AR150" s="996">
        <f>AR148/AR149</f>
        <v>1853.2467532467533</v>
      </c>
      <c r="AS150" s="104">
        <f>SUM(AO150:AR150)</f>
        <v>7389.2885236937936</v>
      </c>
      <c r="AT150" s="995">
        <f>AT148/AT149</f>
        <v>1827.1739130434783</v>
      </c>
      <c r="AU150" s="126">
        <f>AU148/AU149</f>
        <v>1834.6153846153845</v>
      </c>
      <c r="AV150" s="126">
        <f>AV148/AV149</f>
        <v>1854.9295774647887</v>
      </c>
      <c r="AW150" s="996">
        <f>AW148/AW149</f>
        <v>1863.0769230769231</v>
      </c>
      <c r="AX150" s="104">
        <f>SUM(AT150:AW150)</f>
        <v>7379.7957982005746</v>
      </c>
      <c r="AY150" s="995">
        <f>AY148/AY149</f>
        <v>1458.8235294117646</v>
      </c>
      <c r="AZ150" s="126">
        <f>AZ148/AZ149</f>
        <v>1247.872340425532</v>
      </c>
      <c r="BA150" s="126">
        <f>BA148/BA149</f>
        <v>1266.6666666666667</v>
      </c>
      <c r="BB150" s="996">
        <f>BB148/BB149</f>
        <v>1258.4415584415583</v>
      </c>
      <c r="BC150" s="104">
        <f>SUM(AY150:BB150)</f>
        <v>5231.8040949455217</v>
      </c>
      <c r="BD150" s="995">
        <f>BD148/BD149</f>
        <v>1227.5510204081634</v>
      </c>
      <c r="BE150" s="126">
        <f>BE148/BE149</f>
        <v>1245.1612903225805</v>
      </c>
      <c r="BF150" s="126">
        <f>BF148/BF149</f>
        <v>1258.5365853658536</v>
      </c>
      <c r="BG150" s="996">
        <f>BG148/BG149</f>
        <v>1255.2083333333335</v>
      </c>
      <c r="BH150" s="104">
        <f>SUM(BD150:BG150)</f>
        <v>4986.4572294299305</v>
      </c>
      <c r="BI150" s="995">
        <f>BI148/BI149</f>
        <v>1226.8817204301074</v>
      </c>
      <c r="BJ150" s="126">
        <f>BJ148/BJ149</f>
        <v>1247.9591836734694</v>
      </c>
      <c r="BK150" s="126">
        <f>BK148/BK149</f>
        <v>1262.5</v>
      </c>
      <c r="BL150" s="996">
        <f>BL148/BL149</f>
        <v>1262.5</v>
      </c>
      <c r="BM150" s="104">
        <f>SUM(BI150:BL150)</f>
        <v>4999.8409041035766</v>
      </c>
      <c r="BN150" s="995">
        <f>BN148/BN149</f>
        <v>1233.6538461538462</v>
      </c>
      <c r="BO150" s="126">
        <f>BO148/BO149</f>
        <v>1250</v>
      </c>
      <c r="BP150" s="126">
        <f>BP148/BP149</f>
        <v>1258.8888888888889</v>
      </c>
      <c r="BQ150" s="996">
        <f>BQ148/BQ149</f>
        <v>1254.7619047619048</v>
      </c>
      <c r="BR150" s="104">
        <f>SUM(BN150:BQ150)</f>
        <v>4997.3046398046399</v>
      </c>
      <c r="BS150" s="995">
        <f>BS148/BS149</f>
        <v>1252.1739130434783</v>
      </c>
      <c r="BT150" s="126">
        <f>BT148/BT149</f>
        <v>1245.5445544554455</v>
      </c>
      <c r="BU150" s="126">
        <f>BU148/BU149</f>
        <v>1253.9215686274511</v>
      </c>
      <c r="BV150" s="996">
        <f>BV148/BV149</f>
        <v>1265.3465346534654</v>
      </c>
      <c r="BW150" s="104">
        <f>SUM(BS150:BV150)</f>
        <v>5016.9865707798399</v>
      </c>
      <c r="BX150" s="995">
        <f>BX148/BX149</f>
        <v>1233.3333333333333</v>
      </c>
      <c r="BY150" s="126">
        <f>BY148/BY149</f>
        <v>1247.5728155339805</v>
      </c>
      <c r="BZ150" s="126">
        <f>BZ148/BZ149</f>
        <v>1260.204081632653</v>
      </c>
      <c r="CA150" s="996">
        <f>CA148/CA149</f>
        <v>1263.4615384615383</v>
      </c>
      <c r="CB150" s="104">
        <f>SUM(BX150:CA150)</f>
        <v>5004.5717689615049</v>
      </c>
      <c r="CC150" s="995">
        <f>Operations!CC144</f>
        <v>1250</v>
      </c>
      <c r="CD150" s="126">
        <f>Operations!CD144</f>
        <v>1250</v>
      </c>
      <c r="CE150" s="126">
        <f>Operations!CE144</f>
        <v>1250</v>
      </c>
      <c r="CF150" s="996">
        <f>Operations!CF144</f>
        <v>1250</v>
      </c>
      <c r="CG150" s="1502">
        <f>SUM(CC150:CF150)</f>
        <v>5000</v>
      </c>
      <c r="CH150" s="995">
        <f>Operations!CH144</f>
        <v>1250</v>
      </c>
      <c r="CI150" s="126">
        <f>Operations!CI144</f>
        <v>1250</v>
      </c>
      <c r="CJ150" s="126">
        <f>Operations!CJ144</f>
        <v>1250</v>
      </c>
      <c r="CK150" s="996">
        <f>Operations!CK144</f>
        <v>1250</v>
      </c>
      <c r="CL150" s="104">
        <f>SUM(CH150:CK150)</f>
        <v>5000</v>
      </c>
      <c r="CM150" s="995">
        <f>Operations!CM144</f>
        <v>1250</v>
      </c>
      <c r="CN150" s="126">
        <f>Operations!CN144</f>
        <v>1250</v>
      </c>
      <c r="CO150" s="126">
        <f>Operations!CO144</f>
        <v>1250</v>
      </c>
      <c r="CP150" s="996">
        <f>Operations!CP144</f>
        <v>1250</v>
      </c>
      <c r="CQ150" s="126">
        <f>SUM(CM150:CP150)</f>
        <v>5000</v>
      </c>
    </row>
    <row r="151" spans="1:105" ht="6.2" customHeight="1">
      <c r="A151" s="115"/>
      <c r="B151" s="115"/>
      <c r="C151" s="115"/>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925"/>
      <c r="AK151" s="926"/>
      <c r="AL151" s="926"/>
      <c r="AM151" s="927"/>
      <c r="AN151" s="116"/>
      <c r="AO151" s="925"/>
      <c r="AP151" s="926"/>
      <c r="AQ151" s="926"/>
      <c r="AR151" s="927"/>
      <c r="AS151" s="116"/>
      <c r="AT151" s="925"/>
      <c r="AU151" s="926"/>
      <c r="AV151" s="926"/>
      <c r="AW151" s="927"/>
      <c r="AX151" s="116"/>
      <c r="AY151" s="925"/>
      <c r="AZ151" s="926"/>
      <c r="BA151" s="926"/>
      <c r="BB151" s="927"/>
      <c r="BC151" s="116"/>
      <c r="BD151" s="925"/>
      <c r="BE151" s="926"/>
      <c r="BF151" s="926"/>
      <c r="BG151" s="927"/>
      <c r="BH151" s="116"/>
      <c r="BI151" s="925"/>
      <c r="BJ151" s="926"/>
      <c r="BK151" s="926"/>
      <c r="BL151" s="927"/>
      <c r="BM151" s="116"/>
      <c r="BN151" s="925"/>
      <c r="BO151" s="926"/>
      <c r="BP151" s="926"/>
      <c r="BQ151" s="927"/>
      <c r="BR151" s="116"/>
      <c r="BS151" s="1068"/>
      <c r="BT151" s="1069"/>
      <c r="BU151" s="1069"/>
      <c r="BV151" s="927"/>
      <c r="BW151" s="116"/>
      <c r="BX151" s="1068"/>
      <c r="BY151" s="1069"/>
      <c r="BZ151" s="1069"/>
      <c r="CA151" s="927"/>
      <c r="CB151" s="116"/>
      <c r="CC151" s="925"/>
      <c r="CD151" s="926"/>
      <c r="CE151" s="926"/>
      <c r="CF151" s="927"/>
      <c r="CG151" s="1480"/>
      <c r="CH151" s="925"/>
      <c r="CI151" s="926"/>
      <c r="CJ151" s="926"/>
      <c r="CK151" s="927"/>
      <c r="CL151" s="116"/>
      <c r="CM151" s="925"/>
      <c r="CN151" s="926"/>
      <c r="CO151" s="926"/>
      <c r="CP151" s="927"/>
      <c r="CQ151" s="926"/>
      <c r="CR151" s="81"/>
      <c r="CS151" s="75"/>
      <c r="CT151" s="75"/>
      <c r="CU151" s="75"/>
    </row>
    <row r="152" spans="1:105" ht="13.5" customHeight="1">
      <c r="B152" s="83" t="s">
        <v>712</v>
      </c>
      <c r="C152" s="76"/>
      <c r="D152" s="626">
        <v>1060</v>
      </c>
      <c r="E152" s="283"/>
      <c r="F152" s="283">
        <f>Financials!F10</f>
        <v>426</v>
      </c>
      <c r="G152" s="283">
        <f>Financials!G10</f>
        <v>467</v>
      </c>
      <c r="H152" s="283">
        <f>Financials!H10</f>
        <v>440</v>
      </c>
      <c r="I152" s="283">
        <f>Financials!I10</f>
        <v>484</v>
      </c>
      <c r="J152" s="283">
        <f>Financials!J10</f>
        <v>1817</v>
      </c>
      <c r="K152" s="283">
        <f>Financials!K10</f>
        <v>514</v>
      </c>
      <c r="L152" s="283">
        <f>Financials!L10</f>
        <v>654</v>
      </c>
      <c r="M152" s="283">
        <f>Financials!M10</f>
        <v>780</v>
      </c>
      <c r="N152" s="283">
        <f>Financials!N10</f>
        <v>885</v>
      </c>
      <c r="O152" s="283">
        <f>Financials!O10</f>
        <v>2833</v>
      </c>
      <c r="P152" s="283">
        <f>Financials!P10</f>
        <v>901</v>
      </c>
      <c r="Q152" s="283">
        <f>Financials!Q10</f>
        <v>893</v>
      </c>
      <c r="R152" s="283">
        <f>Financials!R10</f>
        <v>725</v>
      </c>
      <c r="S152" s="283">
        <f>Financials!S10</f>
        <v>817</v>
      </c>
      <c r="T152" s="283">
        <f>Financials!T10</f>
        <v>3336</v>
      </c>
      <c r="U152" s="626">
        <v>854</v>
      </c>
      <c r="V152" s="626">
        <v>1003</v>
      </c>
      <c r="W152" s="626">
        <v>1036</v>
      </c>
      <c r="X152" s="283">
        <f>Y152-W152-V152-U152</f>
        <v>1075</v>
      </c>
      <c r="Y152" s="626">
        <v>3968</v>
      </c>
      <c r="Z152" s="626">
        <v>1160</v>
      </c>
      <c r="AA152" s="626">
        <v>1239</v>
      </c>
      <c r="AB152" s="626">
        <v>1167</v>
      </c>
      <c r="AC152" s="626">
        <v>1101</v>
      </c>
      <c r="AD152" s="283">
        <f>AD153+AD154</f>
        <v>4667.0000000000009</v>
      </c>
      <c r="AE152" s="626">
        <v>1356</v>
      </c>
      <c r="AF152" s="626">
        <v>1760</v>
      </c>
      <c r="AG152" s="626">
        <v>1598</v>
      </c>
      <c r="AH152" s="626">
        <v>773</v>
      </c>
      <c r="AI152" s="283">
        <f>AI153+AI154</f>
        <v>5487</v>
      </c>
      <c r="AJ152" s="983">
        <v>622</v>
      </c>
      <c r="AK152" s="984">
        <v>645</v>
      </c>
      <c r="AL152" s="984">
        <v>822</v>
      </c>
      <c r="AM152" s="985">
        <v>855</v>
      </c>
      <c r="AN152" s="283">
        <f>AN153+AN154</f>
        <v>2944</v>
      </c>
      <c r="AO152" s="983">
        <v>964</v>
      </c>
      <c r="AP152" s="984">
        <v>985</v>
      </c>
      <c r="AQ152" s="984">
        <v>1034</v>
      </c>
      <c r="AR152" s="985">
        <v>1006</v>
      </c>
      <c r="AS152" s="283">
        <f>AS153+AS154</f>
        <v>3989</v>
      </c>
      <c r="AT152" s="983">
        <v>1223</v>
      </c>
      <c r="AU152" s="984">
        <v>1096</v>
      </c>
      <c r="AV152" s="1022">
        <v>1072</v>
      </c>
      <c r="AW152" s="985">
        <v>915</v>
      </c>
      <c r="AX152" s="283">
        <f>AX153+AX154</f>
        <v>4306</v>
      </c>
      <c r="AY152" s="983">
        <v>815</v>
      </c>
      <c r="AZ152" s="1018">
        <v>763</v>
      </c>
      <c r="BA152" s="984">
        <v>696</v>
      </c>
      <c r="BB152" s="985">
        <v>675</v>
      </c>
      <c r="BC152" s="283">
        <f>BC153+BC154</f>
        <v>2949</v>
      </c>
      <c r="BD152" s="983">
        <v>783</v>
      </c>
      <c r="BE152" s="984">
        <v>778</v>
      </c>
      <c r="BF152" s="984">
        <v>643</v>
      </c>
      <c r="BG152" s="985">
        <v>737</v>
      </c>
      <c r="BH152" s="283">
        <f>BH153+BH154</f>
        <v>2941.0000000000005</v>
      </c>
      <c r="BI152" s="1045">
        <v>759</v>
      </c>
      <c r="BJ152" s="984">
        <v>757</v>
      </c>
      <c r="BK152" s="1022">
        <v>687</v>
      </c>
      <c r="BL152" s="985">
        <v>688</v>
      </c>
      <c r="BM152" s="283">
        <f>BM153+BM154</f>
        <v>2891</v>
      </c>
      <c r="BN152" s="983">
        <v>691</v>
      </c>
      <c r="BO152" s="1022">
        <v>600</v>
      </c>
      <c r="BP152" s="984">
        <v>546</v>
      </c>
      <c r="BQ152" s="1057">
        <f>2323-SUM(BN152:BP152)</f>
        <v>486</v>
      </c>
      <c r="BR152" s="283">
        <f>BR153+BR154</f>
        <v>2323</v>
      </c>
      <c r="BS152" s="983">
        <v>477</v>
      </c>
      <c r="BT152" s="984">
        <v>566</v>
      </c>
      <c r="BU152" s="984">
        <v>576</v>
      </c>
      <c r="BV152" s="985">
        <v>628</v>
      </c>
      <c r="BW152" s="283">
        <f>BW153+BW154</f>
        <v>2247</v>
      </c>
      <c r="BX152" s="983">
        <v>686</v>
      </c>
      <c r="BY152" s="984">
        <v>752</v>
      </c>
      <c r="BZ152" s="984">
        <v>711</v>
      </c>
      <c r="CA152" s="985">
        <v>826</v>
      </c>
      <c r="CB152" s="283">
        <f t="shared" ref="CB152:CQ152" si="244">CB153+CB154</f>
        <v>2975</v>
      </c>
      <c r="CC152" s="1116">
        <f t="shared" si="244"/>
        <v>835.58653181263867</v>
      </c>
      <c r="CD152" s="1117">
        <f t="shared" si="244"/>
        <v>888.13264739613055</v>
      </c>
      <c r="CE152" s="1117">
        <f t="shared" si="244"/>
        <v>798.18113722505518</v>
      </c>
      <c r="CF152" s="1094">
        <f t="shared" si="244"/>
        <v>893.2398580209699</v>
      </c>
      <c r="CG152" s="1500">
        <f t="shared" si="244"/>
        <v>3415.1401744547948</v>
      </c>
      <c r="CH152" s="1116">
        <f t="shared" si="244"/>
        <v>835.58653181263867</v>
      </c>
      <c r="CI152" s="1117">
        <f t="shared" si="244"/>
        <v>888.13264739613055</v>
      </c>
      <c r="CJ152" s="1117">
        <f t="shared" si="244"/>
        <v>798.18113722505518</v>
      </c>
      <c r="CK152" s="1094">
        <f t="shared" si="244"/>
        <v>893.2398580209699</v>
      </c>
      <c r="CL152" s="283">
        <f t="shared" si="244"/>
        <v>3415.1401744547948</v>
      </c>
      <c r="CM152" s="1116">
        <f t="shared" si="244"/>
        <v>835.58653181263867</v>
      </c>
      <c r="CN152" s="1117">
        <f t="shared" si="244"/>
        <v>888.13264739613055</v>
      </c>
      <c r="CO152" s="1117">
        <f t="shared" si="244"/>
        <v>798.18113722505518</v>
      </c>
      <c r="CP152" s="1094">
        <f t="shared" si="244"/>
        <v>893.2398580209699</v>
      </c>
      <c r="CQ152" s="1117">
        <f t="shared" si="244"/>
        <v>3415.1401744547948</v>
      </c>
    </row>
    <row r="153" spans="1:105" s="852" customFormat="1" ht="13.5" customHeight="1">
      <c r="A153" s="75"/>
      <c r="B153" s="75" t="s">
        <v>920</v>
      </c>
      <c r="C153" s="75"/>
      <c r="D153" s="97">
        <f t="shared" ref="D153:X153" si="245">D152-D154</f>
        <v>965.64</v>
      </c>
      <c r="E153" s="97">
        <f t="shared" si="245"/>
        <v>1104.2760000000001</v>
      </c>
      <c r="F153" s="97">
        <f t="shared" si="245"/>
        <v>405.79</v>
      </c>
      <c r="G153" s="97">
        <f t="shared" si="245"/>
        <v>460.512</v>
      </c>
      <c r="H153" s="97">
        <f t="shared" si="245"/>
        <v>403.15699999999998</v>
      </c>
      <c r="I153" s="97">
        <f t="shared" si="245"/>
        <v>466.483</v>
      </c>
      <c r="J153" s="97">
        <f t="shared" si="245"/>
        <v>1735.942</v>
      </c>
      <c r="K153" s="97">
        <f t="shared" si="245"/>
        <v>492.66</v>
      </c>
      <c r="L153" s="97">
        <f t="shared" si="245"/>
        <v>620.13300000000004</v>
      </c>
      <c r="M153" s="97">
        <f t="shared" si="245"/>
        <v>720.26099999999997</v>
      </c>
      <c r="N153" s="97">
        <f t="shared" si="245"/>
        <v>833.10599999999999</v>
      </c>
      <c r="O153" s="97">
        <f t="shared" si="245"/>
        <v>2666.16</v>
      </c>
      <c r="P153" s="97">
        <f t="shared" si="245"/>
        <v>882.36</v>
      </c>
      <c r="Q153" s="97">
        <f t="shared" si="245"/>
        <v>856.476</v>
      </c>
      <c r="R153" s="97">
        <f t="shared" si="245"/>
        <v>691.26</v>
      </c>
      <c r="S153" s="97">
        <f t="shared" si="245"/>
        <v>747.45</v>
      </c>
      <c r="T153" s="97">
        <f t="shared" si="245"/>
        <v>3177.4072500000002</v>
      </c>
      <c r="U153" s="97">
        <f t="shared" si="245"/>
        <v>820.35199999999998</v>
      </c>
      <c r="V153" s="97">
        <f t="shared" si="245"/>
        <v>959.81200000000001</v>
      </c>
      <c r="W153" s="97">
        <f t="shared" si="245"/>
        <v>993.28</v>
      </c>
      <c r="X153" s="97">
        <f t="shared" si="245"/>
        <v>1030.085</v>
      </c>
      <c r="Y153" s="97">
        <f>SUM(U153:X153)</f>
        <v>3803.529</v>
      </c>
      <c r="Z153" s="97">
        <f>Z152-Z154</f>
        <v>1105.1880000000001</v>
      </c>
      <c r="AA153" s="97">
        <f>AA152-AA154</f>
        <v>1173.2159999999999</v>
      </c>
      <c r="AB153" s="97">
        <f>AB152-AB154</f>
        <v>1096.6679999999999</v>
      </c>
      <c r="AC153" s="97">
        <f>AC152-AC154</f>
        <v>1041.52</v>
      </c>
      <c r="AD153" s="97">
        <f>SUM(Z153:AC153)</f>
        <v>4416.5920000000006</v>
      </c>
      <c r="AE153" s="97">
        <f>AE152-AE154</f>
        <v>1295.6579999999999</v>
      </c>
      <c r="AF153" s="97">
        <f>AF152-AF154</f>
        <v>1672.2560000000001</v>
      </c>
      <c r="AG153" s="97">
        <f>AG152-AG154</f>
        <v>1530.174</v>
      </c>
      <c r="AH153" s="97">
        <f>AH152-AH154</f>
        <v>769.07600000000002</v>
      </c>
      <c r="AI153" s="97">
        <f>SUM(AE153:AH153)</f>
        <v>5267.1639999999998</v>
      </c>
      <c r="AJ153" s="939">
        <f>AJ152-AJ154</f>
        <v>602.78399999999999</v>
      </c>
      <c r="AK153" s="290">
        <f>AK152-AK154</f>
        <v>623.07000000000005</v>
      </c>
      <c r="AL153" s="290">
        <f>AL152-AL154</f>
        <v>790.27499999999998</v>
      </c>
      <c r="AM153" s="940">
        <f>AM152-AM154</f>
        <v>827.34400000000005</v>
      </c>
      <c r="AN153" s="97">
        <f>SUM(AJ153:AM153)</f>
        <v>2843.473</v>
      </c>
      <c r="AO153" s="939">
        <f>AO152-AO154</f>
        <v>934.50800000000004</v>
      </c>
      <c r="AP153" s="290">
        <f>AP152-AP154</f>
        <v>952.18200000000002</v>
      </c>
      <c r="AQ153" s="290">
        <f>AQ152-AQ154</f>
        <v>989.60400000000004</v>
      </c>
      <c r="AR153" s="940">
        <f>AR152-AR154</f>
        <v>977.76900000000001</v>
      </c>
      <c r="AS153" s="97">
        <f>SUM(AO153:AR153)</f>
        <v>3854.0630000000001</v>
      </c>
      <c r="AT153" s="939">
        <f>AT152-AT154</f>
        <v>1189.2349999999999</v>
      </c>
      <c r="AU153" s="290">
        <f>AU152-AU154</f>
        <v>1058.3399999999999</v>
      </c>
      <c r="AV153" s="290">
        <f>AV152-AV154</f>
        <v>1030.952</v>
      </c>
      <c r="AW153" s="940">
        <f>AW152-AW154</f>
        <v>887.81</v>
      </c>
      <c r="AX153" s="97">
        <f>SUM(AT153:AW153)</f>
        <v>4166.3369999999995</v>
      </c>
      <c r="AY153" s="939">
        <f>AY152-AY154</f>
        <v>782.70500000000004</v>
      </c>
      <c r="AZ153" s="290">
        <f>AZ152-AZ154</f>
        <v>732.48500000000001</v>
      </c>
      <c r="BA153" s="290">
        <f>BA152-BA154</f>
        <v>665.94100000000003</v>
      </c>
      <c r="BB153" s="940">
        <f>BB152-BB154</f>
        <v>649.79</v>
      </c>
      <c r="BC153" s="97">
        <f>SUM(AY153:BB153)</f>
        <v>2830.9210000000003</v>
      </c>
      <c r="BD153" s="939">
        <f>BD152-BD154</f>
        <v>752.46400000000006</v>
      </c>
      <c r="BE153" s="290">
        <f>BE152-BE154</f>
        <v>745.524</v>
      </c>
      <c r="BF153" s="290">
        <f>BF152-BF154</f>
        <v>614.75400000000002</v>
      </c>
      <c r="BG153" s="940">
        <f>BG152-BG154</f>
        <v>712.06799999999998</v>
      </c>
      <c r="BH153" s="97">
        <f>SUM(BD153:BG153)</f>
        <v>2824.8100000000004</v>
      </c>
      <c r="BI153" s="939">
        <f>BI152-BI154</f>
        <v>732.01</v>
      </c>
      <c r="BJ153" s="290">
        <f>BJ152-BJ154</f>
        <v>727.62300000000005</v>
      </c>
      <c r="BK153" s="290">
        <f>BK152-BK154</f>
        <v>662.27700000000004</v>
      </c>
      <c r="BL153" s="940">
        <f>BL152-BL154</f>
        <v>664.8</v>
      </c>
      <c r="BM153" s="97">
        <f>SUM(BI153:BL153)</f>
        <v>2786.71</v>
      </c>
      <c r="BN153" s="939">
        <f>BN152-BN154</f>
        <v>669.92</v>
      </c>
      <c r="BO153" s="290">
        <f>BO152-BO154</f>
        <v>639.6</v>
      </c>
      <c r="BP153" s="290">
        <f>BP152-BP154</f>
        <v>526.32000000000005</v>
      </c>
      <c r="BQ153" s="940">
        <f>BQ152-BQ154</f>
        <v>468.41399999999999</v>
      </c>
      <c r="BR153" s="97">
        <f>SUM(BN153:BQ153)</f>
        <v>2304.2539999999999</v>
      </c>
      <c r="BS153" s="939">
        <f>BS152-BS154</f>
        <v>459.83199999999999</v>
      </c>
      <c r="BT153" s="290">
        <f>BT152-BT154</f>
        <v>545.625</v>
      </c>
      <c r="BU153" s="290">
        <f>BU152-BU154</f>
        <v>555.81500000000005</v>
      </c>
      <c r="BV153" s="940">
        <f>BV152-BV154</f>
        <v>610.32399999999996</v>
      </c>
      <c r="BW153" s="97">
        <f>SUM(BS153:BV153)</f>
        <v>2171.596</v>
      </c>
      <c r="BX153" s="939">
        <f>BX152-BX154</f>
        <v>658.74599999999998</v>
      </c>
      <c r="BY153" s="290">
        <f>BY152-BY154</f>
        <v>717.34</v>
      </c>
      <c r="BZ153" s="290">
        <f>BZ152-BZ154</f>
        <v>681.81299999999999</v>
      </c>
      <c r="CA153" s="940">
        <f>CA152-CA154</f>
        <v>793.76800000000003</v>
      </c>
      <c r="CB153" s="97">
        <f>SUM(BX153:CA153)</f>
        <v>2851.6669999999999</v>
      </c>
      <c r="CC153" s="939">
        <f t="shared" ref="CC153:CF153" si="246">CC155*CC141/1000</f>
        <v>805.58653181263867</v>
      </c>
      <c r="CD153" s="290">
        <f t="shared" si="246"/>
        <v>858.13264739613055</v>
      </c>
      <c r="CE153" s="290">
        <f t="shared" si="246"/>
        <v>768.18113722505518</v>
      </c>
      <c r="CF153" s="940">
        <f t="shared" si="246"/>
        <v>863.2398580209699</v>
      </c>
      <c r="CG153" s="1484">
        <f>SUM(CC153:CF153)</f>
        <v>3295.1401744547948</v>
      </c>
      <c r="CH153" s="939">
        <f t="shared" ref="CH153:CK153" si="247">CH155*CH141/1000</f>
        <v>805.58653181263867</v>
      </c>
      <c r="CI153" s="290">
        <f t="shared" si="247"/>
        <v>858.13264739613055</v>
      </c>
      <c r="CJ153" s="290">
        <f t="shared" si="247"/>
        <v>768.18113722505518</v>
      </c>
      <c r="CK153" s="940">
        <f t="shared" si="247"/>
        <v>863.2398580209699</v>
      </c>
      <c r="CL153" s="97">
        <f>SUM(CH153:CK153)</f>
        <v>3295.1401744547948</v>
      </c>
      <c r="CM153" s="939">
        <f t="shared" ref="CM153:CP153" si="248">CM155*CM141/1000</f>
        <v>805.58653181263867</v>
      </c>
      <c r="CN153" s="290">
        <f t="shared" si="248"/>
        <v>858.13264739613055</v>
      </c>
      <c r="CO153" s="290">
        <f t="shared" si="248"/>
        <v>768.18113722505518</v>
      </c>
      <c r="CP153" s="940">
        <f t="shared" si="248"/>
        <v>863.2398580209699</v>
      </c>
      <c r="CQ153" s="290">
        <f>SUM(CM153:CP153)</f>
        <v>3295.1401744547948</v>
      </c>
      <c r="CR153" s="1462"/>
      <c r="CV153"/>
      <c r="CW153"/>
      <c r="CX153"/>
      <c r="CY153"/>
      <c r="CZ153"/>
      <c r="DA153"/>
    </row>
    <row r="154" spans="1:105" s="852" customFormat="1" ht="13.5" customHeight="1">
      <c r="A154" s="294"/>
      <c r="B154" s="81" t="s">
        <v>922</v>
      </c>
      <c r="C154" s="294"/>
      <c r="D154" s="104">
        <f t="shared" ref="D154:X154" si="249">D152-D155*D141/1000</f>
        <v>94.360000000000014</v>
      </c>
      <c r="E154" s="104">
        <f t="shared" si="249"/>
        <v>-1104.2760000000001</v>
      </c>
      <c r="F154" s="104">
        <f t="shared" si="249"/>
        <v>20.20999999999998</v>
      </c>
      <c r="G154" s="104">
        <f t="shared" si="249"/>
        <v>6.4879999999999995</v>
      </c>
      <c r="H154" s="104">
        <f t="shared" si="249"/>
        <v>36.843000000000018</v>
      </c>
      <c r="I154" s="104">
        <f t="shared" si="249"/>
        <v>17.516999999999996</v>
      </c>
      <c r="J154" s="104">
        <f t="shared" si="249"/>
        <v>81.057999999999993</v>
      </c>
      <c r="K154" s="104">
        <f t="shared" si="249"/>
        <v>21.339999999999975</v>
      </c>
      <c r="L154" s="104">
        <f t="shared" si="249"/>
        <v>33.866999999999962</v>
      </c>
      <c r="M154" s="104">
        <f t="shared" si="249"/>
        <v>59.739000000000033</v>
      </c>
      <c r="N154" s="104">
        <f t="shared" si="249"/>
        <v>51.894000000000005</v>
      </c>
      <c r="O154" s="104">
        <f t="shared" si="249"/>
        <v>166.84000000000015</v>
      </c>
      <c r="P154" s="104">
        <f t="shared" si="249"/>
        <v>18.639999999999986</v>
      </c>
      <c r="Q154" s="104">
        <f t="shared" si="249"/>
        <v>36.524000000000001</v>
      </c>
      <c r="R154" s="104">
        <f t="shared" si="249"/>
        <v>33.740000000000009</v>
      </c>
      <c r="S154" s="104">
        <f t="shared" si="249"/>
        <v>69.549999999999955</v>
      </c>
      <c r="T154" s="104">
        <f t="shared" si="249"/>
        <v>158.5927499999998</v>
      </c>
      <c r="U154" s="104">
        <f t="shared" si="249"/>
        <v>33.648000000000025</v>
      </c>
      <c r="V154" s="104">
        <f t="shared" si="249"/>
        <v>43.187999999999988</v>
      </c>
      <c r="W154" s="104">
        <f t="shared" si="249"/>
        <v>42.720000000000027</v>
      </c>
      <c r="X154" s="104">
        <f t="shared" si="249"/>
        <v>44.914999999999964</v>
      </c>
      <c r="Y154" s="104">
        <f>SUM(U154:X154)</f>
        <v>164.471</v>
      </c>
      <c r="Z154" s="104">
        <f>Z152-Z155*Z141/1000</f>
        <v>54.811999999999898</v>
      </c>
      <c r="AA154" s="104">
        <f>AA152-AA155*AA141/1000</f>
        <v>65.784000000000106</v>
      </c>
      <c r="AB154" s="104">
        <f>AB152-AB155*AB141/1000</f>
        <v>70.332000000000107</v>
      </c>
      <c r="AC154" s="104">
        <f>AC152-AC155*AC141/1000</f>
        <v>59.480000000000018</v>
      </c>
      <c r="AD154" s="104">
        <f>SUM(Z154:AC154)</f>
        <v>250.40800000000013</v>
      </c>
      <c r="AE154" s="104">
        <f>AE152-AE155*AE141/1000</f>
        <v>60.342000000000098</v>
      </c>
      <c r="AF154" s="104">
        <f>AF152-AF155*AF141/1000</f>
        <v>87.743999999999915</v>
      </c>
      <c r="AG154" s="104">
        <f>AG152-AG155*AG141/1000</f>
        <v>67.826000000000022</v>
      </c>
      <c r="AH154" s="104">
        <f>AH152-AH155*AH141/1000</f>
        <v>3.9239999999999782</v>
      </c>
      <c r="AI154" s="104">
        <f>SUM(AE154:AH154)</f>
        <v>219.83600000000001</v>
      </c>
      <c r="AJ154" s="995">
        <f>AJ152-AJ155*AJ141/1000</f>
        <v>19.216000000000008</v>
      </c>
      <c r="AK154" s="126">
        <f>AK152-AK155*AK141/1000</f>
        <v>21.92999999999995</v>
      </c>
      <c r="AL154" s="126">
        <f>AL152-AL155*AL141/1000</f>
        <v>31.725000000000023</v>
      </c>
      <c r="AM154" s="996">
        <f>AM152-AM155*AM141/1000</f>
        <v>27.655999999999949</v>
      </c>
      <c r="AN154" s="104">
        <f>SUM(AJ154:AM154)</f>
        <v>100.52699999999993</v>
      </c>
      <c r="AO154" s="995">
        <f>AO152-AO155*AO141/1000</f>
        <v>29.491999999999962</v>
      </c>
      <c r="AP154" s="126">
        <f>AP152-AP155*AP141/1000</f>
        <v>32.817999999999984</v>
      </c>
      <c r="AQ154" s="126">
        <f>AQ152-AQ155*AQ141/1000</f>
        <v>44.395999999999958</v>
      </c>
      <c r="AR154" s="996">
        <f>AR152-AR155*AR141/1000</f>
        <v>28.230999999999995</v>
      </c>
      <c r="AS154" s="104">
        <f>SUM(AO154:AR154)</f>
        <v>134.9369999999999</v>
      </c>
      <c r="AT154" s="995">
        <f>AT152-AT155*AT141/1000</f>
        <v>33.7650000000001</v>
      </c>
      <c r="AU154" s="126">
        <f>AU152-AU155*AU141/1000</f>
        <v>37.660000000000082</v>
      </c>
      <c r="AV154" s="126">
        <f>AV152-AV155*AV141/1000</f>
        <v>41.048000000000002</v>
      </c>
      <c r="AW154" s="996">
        <f>AW152-AW155*AW141/1000</f>
        <v>27.190000000000055</v>
      </c>
      <c r="AX154" s="104">
        <f>SUM(AT154:AW154)</f>
        <v>139.66300000000024</v>
      </c>
      <c r="AY154" s="995">
        <f>AY152-AY155*AY141/1000</f>
        <v>32.294999999999959</v>
      </c>
      <c r="AZ154" s="126">
        <f>AZ152-AZ155*AZ141/1000</f>
        <v>30.514999999999986</v>
      </c>
      <c r="BA154" s="126">
        <f>BA152-BA155*BA141/1000</f>
        <v>30.058999999999969</v>
      </c>
      <c r="BB154" s="996">
        <f>BB152-BB155*BB141/1000</f>
        <v>25.210000000000036</v>
      </c>
      <c r="BC154" s="104">
        <f>SUM(AY154:BB154)</f>
        <v>118.07899999999995</v>
      </c>
      <c r="BD154" s="995">
        <f>BD152-BD155*BD141/1000</f>
        <v>30.535999999999945</v>
      </c>
      <c r="BE154" s="126">
        <f>BE152-BE155*BE141/1000</f>
        <v>32.475999999999999</v>
      </c>
      <c r="BF154" s="126">
        <f>BF152-BF155*BF141/1000</f>
        <v>28.245999999999981</v>
      </c>
      <c r="BG154" s="996">
        <f>BG152-BG155*BG141/1000</f>
        <v>24.932000000000016</v>
      </c>
      <c r="BH154" s="104">
        <f>SUM(BD154:BG154)</f>
        <v>116.18999999999994</v>
      </c>
      <c r="BI154" s="995">
        <f>BI152-BI155*BI141/1000</f>
        <v>26.990000000000009</v>
      </c>
      <c r="BJ154" s="126">
        <f>BJ152-BJ155*BJ141/1000</f>
        <v>29.376999999999953</v>
      </c>
      <c r="BK154" s="126">
        <f>BK152-BK155*BK141/1000</f>
        <v>24.722999999999956</v>
      </c>
      <c r="BL154" s="996">
        <f>BL152-BL155*BL141/1000</f>
        <v>23.200000000000045</v>
      </c>
      <c r="BM154" s="104">
        <f>SUM(BI154:BL154)</f>
        <v>104.28999999999996</v>
      </c>
      <c r="BN154" s="995">
        <f>BN152-BN155*BN141/1000</f>
        <v>21.080000000000041</v>
      </c>
      <c r="BO154" s="126">
        <f>BO152-BO155*BO141/1000</f>
        <v>-39.600000000000023</v>
      </c>
      <c r="BP154" s="126">
        <f>BP152-BP155*BP141/1000</f>
        <v>19.67999999999995</v>
      </c>
      <c r="BQ154" s="996">
        <f>BQ152-BQ155*BQ141/1000</f>
        <v>17.586000000000013</v>
      </c>
      <c r="BR154" s="104">
        <f>SUM(BN154:BQ154)</f>
        <v>18.745999999999981</v>
      </c>
      <c r="BS154" s="995">
        <f>BS152-BS155*BS141/1000</f>
        <v>17.168000000000006</v>
      </c>
      <c r="BT154" s="126">
        <f>BT152-BT155*BT141/1000</f>
        <v>20.375</v>
      </c>
      <c r="BU154" s="126">
        <f>BU152-BU155*BU141/1000</f>
        <v>20.184999999999945</v>
      </c>
      <c r="BV154" s="996">
        <f>BV152-BV155*BV141/1000</f>
        <v>17.676000000000045</v>
      </c>
      <c r="BW154" s="104">
        <f>SUM(BS154:BV154)</f>
        <v>75.403999999999996</v>
      </c>
      <c r="BX154" s="995">
        <f>BX152-BX155*BX141/1000</f>
        <v>27.254000000000019</v>
      </c>
      <c r="BY154" s="126">
        <f>BY152-BY155*BY141/1000</f>
        <v>34.659999999999968</v>
      </c>
      <c r="BZ154" s="126">
        <f>BZ152-BZ155*BZ141/1000</f>
        <v>29.187000000000012</v>
      </c>
      <c r="CA154" s="996">
        <f>CA152-CA155*CA141/1000</f>
        <v>32.231999999999971</v>
      </c>
      <c r="CB154" s="104">
        <f>SUM(BX154:CA154)</f>
        <v>123.33299999999997</v>
      </c>
      <c r="CC154" s="1120">
        <v>30</v>
      </c>
      <c r="CD154" s="1121">
        <v>30</v>
      </c>
      <c r="CE154" s="1121">
        <v>30</v>
      </c>
      <c r="CF154" s="1096">
        <v>30</v>
      </c>
      <c r="CG154" s="1502">
        <f>SUM(CC154:CF154)</f>
        <v>120</v>
      </c>
      <c r="CH154" s="1120">
        <v>30</v>
      </c>
      <c r="CI154" s="1121">
        <v>30</v>
      </c>
      <c r="CJ154" s="1121">
        <v>30</v>
      </c>
      <c r="CK154" s="1096">
        <v>30</v>
      </c>
      <c r="CL154" s="104">
        <f>SUM(CH154:CK154)</f>
        <v>120</v>
      </c>
      <c r="CM154" s="1120">
        <v>30</v>
      </c>
      <c r="CN154" s="1121">
        <v>30</v>
      </c>
      <c r="CO154" s="1121">
        <v>30</v>
      </c>
      <c r="CP154" s="1096">
        <v>30</v>
      </c>
      <c r="CQ154" s="126">
        <f>SUM(CM154:CP154)</f>
        <v>120</v>
      </c>
      <c r="CR154" s="1462"/>
      <c r="CV154"/>
      <c r="CW154"/>
      <c r="CX154"/>
      <c r="CY154"/>
      <c r="CZ154"/>
      <c r="DA154"/>
    </row>
    <row r="155" spans="1:105" ht="13.5" customHeight="1">
      <c r="A155" s="298"/>
      <c r="B155" s="83" t="s">
        <v>2</v>
      </c>
      <c r="C155" s="298"/>
      <c r="D155" s="626">
        <v>260</v>
      </c>
      <c r="E155" s="626">
        <v>276</v>
      </c>
      <c r="F155" s="626">
        <v>341</v>
      </c>
      <c r="G155" s="626">
        <v>369</v>
      </c>
      <c r="H155" s="626">
        <v>359</v>
      </c>
      <c r="I155" s="283">
        <f>(J155*J141-F155*F141-G155*G141-H141*H155)/I141</f>
        <v>362.17624223602485</v>
      </c>
      <c r="J155" s="626">
        <v>358</v>
      </c>
      <c r="K155" s="626">
        <v>420</v>
      </c>
      <c r="L155" s="626">
        <v>491</v>
      </c>
      <c r="M155" s="626">
        <v>573</v>
      </c>
      <c r="N155" s="283">
        <f>(O155*O141-K155*K141-L155*L141-M141*M155)/N141</f>
        <v>618.48997772828511</v>
      </c>
      <c r="O155" s="626">
        <v>529</v>
      </c>
      <c r="P155" s="626">
        <v>684</v>
      </c>
      <c r="Q155" s="626">
        <v>643</v>
      </c>
      <c r="R155" s="626">
        <v>562</v>
      </c>
      <c r="S155" s="626">
        <v>550</v>
      </c>
      <c r="T155" s="283">
        <f>AVERAGE(P155:S155)</f>
        <v>609.75</v>
      </c>
      <c r="U155" s="626">
        <v>544</v>
      </c>
      <c r="V155" s="626">
        <v>581</v>
      </c>
      <c r="W155" s="626">
        <v>640</v>
      </c>
      <c r="X155" s="626">
        <v>665</v>
      </c>
      <c r="Y155" s="283">
        <f>AVERAGE(U155:X155)</f>
        <v>607.5</v>
      </c>
      <c r="Z155" s="626">
        <v>669</v>
      </c>
      <c r="AA155" s="626">
        <v>726</v>
      </c>
      <c r="AB155" s="626">
        <v>738</v>
      </c>
      <c r="AC155" s="626">
        <v>752</v>
      </c>
      <c r="AD155" s="283">
        <f>AVERAGE(Z155:AC155)</f>
        <v>721.25</v>
      </c>
      <c r="AE155" s="626">
        <v>791</v>
      </c>
      <c r="AF155" s="626">
        <v>986</v>
      </c>
      <c r="AG155" s="626">
        <v>1086</v>
      </c>
      <c r="AH155" s="626">
        <v>847</v>
      </c>
      <c r="AI155" s="283">
        <f>AVERAGE(AE155:AH155)</f>
        <v>927.5</v>
      </c>
      <c r="AJ155" s="983">
        <v>672</v>
      </c>
      <c r="AK155" s="984">
        <v>602</v>
      </c>
      <c r="AL155" s="984">
        <v>615</v>
      </c>
      <c r="AM155" s="985">
        <v>664</v>
      </c>
      <c r="AN155" s="283">
        <f>AVERAGE(AJ155:AM155)</f>
        <v>638.25</v>
      </c>
      <c r="AO155" s="983">
        <v>614</v>
      </c>
      <c r="AP155" s="984">
        <v>687</v>
      </c>
      <c r="AQ155" s="984">
        <v>748</v>
      </c>
      <c r="AR155" s="985">
        <v>793</v>
      </c>
      <c r="AS155" s="283">
        <f>AVERAGE(AO155:AR155)</f>
        <v>710.5</v>
      </c>
      <c r="AT155" s="983">
        <v>823</v>
      </c>
      <c r="AU155" s="984">
        <v>930</v>
      </c>
      <c r="AV155" s="1022">
        <v>862</v>
      </c>
      <c r="AW155" s="985">
        <v>770</v>
      </c>
      <c r="AX155" s="283">
        <f>AVERAGE(AT155:AW155)</f>
        <v>846.25</v>
      </c>
      <c r="AY155" s="983">
        <v>749</v>
      </c>
      <c r="AZ155" s="984">
        <v>767</v>
      </c>
      <c r="BA155" s="984">
        <v>731</v>
      </c>
      <c r="BB155" s="985">
        <v>718</v>
      </c>
      <c r="BC155" s="283">
        <f>AVERAGE(AY155:BB155)</f>
        <v>741.25</v>
      </c>
      <c r="BD155" s="983">
        <v>718</v>
      </c>
      <c r="BE155" s="984">
        <v>702</v>
      </c>
      <c r="BF155" s="984">
        <v>714</v>
      </c>
      <c r="BG155" s="985">
        <v>692</v>
      </c>
      <c r="BH155" s="283">
        <f>AVERAGE(BD155:BG155)</f>
        <v>706.5</v>
      </c>
      <c r="BI155" s="983">
        <v>710</v>
      </c>
      <c r="BJ155" s="984">
        <v>691</v>
      </c>
      <c r="BK155" s="984">
        <v>671</v>
      </c>
      <c r="BL155" s="985">
        <v>600</v>
      </c>
      <c r="BM155" s="283">
        <f>AVERAGE(BI155:BL155)</f>
        <v>668</v>
      </c>
      <c r="BN155" s="983">
        <v>530</v>
      </c>
      <c r="BO155" s="984">
        <v>533</v>
      </c>
      <c r="BP155" s="984">
        <v>516</v>
      </c>
      <c r="BQ155" s="985">
        <v>477</v>
      </c>
      <c r="BR155" s="283">
        <f>AVERAGE(BN155:BQ155)</f>
        <v>514</v>
      </c>
      <c r="BS155" s="983">
        <v>458</v>
      </c>
      <c r="BT155" s="984">
        <v>485</v>
      </c>
      <c r="BU155" s="984">
        <v>503</v>
      </c>
      <c r="BV155" s="985">
        <v>484</v>
      </c>
      <c r="BW155" s="283">
        <f>AVERAGE(BS155:BV155)</f>
        <v>482.5</v>
      </c>
      <c r="BX155" s="983">
        <v>594</v>
      </c>
      <c r="BY155" s="984">
        <v>620</v>
      </c>
      <c r="BZ155" s="984">
        <v>639</v>
      </c>
      <c r="CA155" s="985">
        <v>634</v>
      </c>
      <c r="CB155" s="283">
        <f>AVERAGE(BX155:CA155)</f>
        <v>621.75</v>
      </c>
      <c r="CC155" s="933">
        <f>'Price Relationships'!$G$69</f>
        <v>726.40805393384903</v>
      </c>
      <c r="CD155" s="934">
        <f>'Price Relationships'!$G$70</f>
        <v>741.68768141411465</v>
      </c>
      <c r="CE155" s="934">
        <f>'Price Relationships'!$G$71</f>
        <v>719.94483338805537</v>
      </c>
      <c r="CF155" s="935">
        <f>'Price Relationships'!$G$72</f>
        <v>689.48870448959258</v>
      </c>
      <c r="CG155" s="1500">
        <f>AVERAGE(CC155:CF155)</f>
        <v>719.38231830640291</v>
      </c>
      <c r="CH155" s="933">
        <f>'Price Relationships'!$G$69</f>
        <v>726.40805393384903</v>
      </c>
      <c r="CI155" s="934">
        <f>'Price Relationships'!$G$70</f>
        <v>741.68768141411465</v>
      </c>
      <c r="CJ155" s="934">
        <f>'Price Relationships'!$G$71</f>
        <v>719.94483338805537</v>
      </c>
      <c r="CK155" s="935">
        <f>'Price Relationships'!$G$72</f>
        <v>689.48870448959258</v>
      </c>
      <c r="CL155" s="283">
        <f>AVERAGE(CH155:CK155)</f>
        <v>719.38231830640291</v>
      </c>
      <c r="CM155" s="933">
        <f>'Price Relationships'!$G$69</f>
        <v>726.40805393384903</v>
      </c>
      <c r="CN155" s="934">
        <f>'Price Relationships'!$G$70</f>
        <v>741.68768141411465</v>
      </c>
      <c r="CO155" s="934">
        <f>'Price Relationships'!$G$71</f>
        <v>719.94483338805537</v>
      </c>
      <c r="CP155" s="935">
        <f>'Price Relationships'!$G$72</f>
        <v>689.48870448959258</v>
      </c>
      <c r="CQ155" s="1117">
        <f>AVERAGE(CM155:CP155)</f>
        <v>719.38231830640291</v>
      </c>
    </row>
    <row r="156" spans="1:105" ht="13.5" customHeight="1">
      <c r="A156" s="75"/>
      <c r="B156" s="93" t="s">
        <v>993</v>
      </c>
      <c r="D156" s="94"/>
      <c r="E156" s="94"/>
      <c r="F156" s="94"/>
      <c r="G156" s="94"/>
      <c r="H156" s="94"/>
      <c r="I156" s="94"/>
      <c r="J156" s="94">
        <f t="shared" ref="J156:AO156" si="250">(J18*J135+J19*J136+J20*J137+J21*J138+J22*J139+J23*J140)/J141</f>
        <v>345.92830476276328</v>
      </c>
      <c r="K156" s="94">
        <f t="shared" si="250"/>
        <v>451.1577055936711</v>
      </c>
      <c r="L156" s="94">
        <f t="shared" si="250"/>
        <v>552.48550218196021</v>
      </c>
      <c r="M156" s="94">
        <f t="shared" si="250"/>
        <v>615.48300244609663</v>
      </c>
      <c r="N156" s="94">
        <f t="shared" si="250"/>
        <v>689.23932138088014</v>
      </c>
      <c r="O156" s="94">
        <f t="shared" si="250"/>
        <v>577.09138290065209</v>
      </c>
      <c r="P156" s="94">
        <f t="shared" si="250"/>
        <v>706.67893364869281</v>
      </c>
      <c r="Q156" s="94">
        <f t="shared" si="250"/>
        <v>636.25804684560649</v>
      </c>
      <c r="R156" s="94">
        <f t="shared" si="250"/>
        <v>527.24190927398968</v>
      </c>
      <c r="S156" s="94">
        <f t="shared" si="250"/>
        <v>522.41335312524529</v>
      </c>
      <c r="T156" s="94">
        <f t="shared" si="250"/>
        <v>598.14806072338354</v>
      </c>
      <c r="U156" s="94">
        <f t="shared" si="250"/>
        <v>530.94842893103271</v>
      </c>
      <c r="V156" s="94">
        <f t="shared" si="250"/>
        <v>628.13786546292363</v>
      </c>
      <c r="W156" s="94">
        <f t="shared" si="250"/>
        <v>651.09889480908964</v>
      </c>
      <c r="X156" s="94">
        <f t="shared" si="250"/>
        <v>649.23017022122929</v>
      </c>
      <c r="Y156" s="94">
        <f t="shared" si="250"/>
        <v>614.85383985606882</v>
      </c>
      <c r="Z156" s="94">
        <f t="shared" si="250"/>
        <v>646.07313938506275</v>
      </c>
      <c r="AA156" s="94">
        <f t="shared" si="250"/>
        <v>687.66270388293356</v>
      </c>
      <c r="AB156" s="94">
        <f t="shared" si="250"/>
        <v>702.13123849080841</v>
      </c>
      <c r="AC156" s="94">
        <f t="shared" si="250"/>
        <v>733.19214646388355</v>
      </c>
      <c r="AD156" s="94">
        <f t="shared" si="250"/>
        <v>692.26480705567201</v>
      </c>
      <c r="AE156" s="94">
        <f t="shared" si="250"/>
        <v>805.66781467415342</v>
      </c>
      <c r="AF156" s="94">
        <f t="shared" si="250"/>
        <v>1023.6369134164039</v>
      </c>
      <c r="AG156" s="94">
        <f t="shared" si="250"/>
        <v>1169.6558412230984</v>
      </c>
      <c r="AH156" s="94">
        <f t="shared" si="250"/>
        <v>766.6740415089572</v>
      </c>
      <c r="AI156" s="94">
        <f t="shared" si="250"/>
        <v>947.09450197523097</v>
      </c>
      <c r="AJ156" s="986">
        <f t="shared" si="250"/>
        <v>547.75040736374331</v>
      </c>
      <c r="AK156" s="987">
        <f t="shared" si="250"/>
        <v>519.76127866617833</v>
      </c>
      <c r="AL156" s="987">
        <f t="shared" si="250"/>
        <v>612.20974920801564</v>
      </c>
      <c r="AM156" s="988">
        <f t="shared" si="250"/>
        <v>632.5462595632838</v>
      </c>
      <c r="AN156" s="94">
        <f t="shared" si="250"/>
        <v>601.29761631704457</v>
      </c>
      <c r="AO156" s="986">
        <f t="shared" si="250"/>
        <v>590.00116480500014</v>
      </c>
      <c r="AP156" s="987">
        <f t="shared" ref="AP156:BU156" si="251">(AP18*AP135+AP19*AP136+AP20*AP137+AP21*AP138+AP22*AP139+AP23*AP140)/AP141</f>
        <v>758.33267986936994</v>
      </c>
      <c r="AQ156" s="987">
        <f t="shared" si="251"/>
        <v>737.81269665481807</v>
      </c>
      <c r="AR156" s="988">
        <f t="shared" si="251"/>
        <v>720.9057813582815</v>
      </c>
      <c r="AS156" s="94">
        <f t="shared" si="251"/>
        <v>701.76308067186744</v>
      </c>
      <c r="AT156" s="986">
        <f t="shared" si="251"/>
        <v>880.58620768924402</v>
      </c>
      <c r="AU156" s="987">
        <f t="shared" si="251"/>
        <v>879.25011734730253</v>
      </c>
      <c r="AV156" s="987">
        <f t="shared" si="251"/>
        <v>783.41667003234295</v>
      </c>
      <c r="AW156" s="988">
        <f t="shared" si="251"/>
        <v>702.44499924875322</v>
      </c>
      <c r="AX156" s="94">
        <f t="shared" si="251"/>
        <v>811.42449857941085</v>
      </c>
      <c r="AY156" s="986">
        <f t="shared" si="251"/>
        <v>766.91024095006935</v>
      </c>
      <c r="AZ156" s="987">
        <f t="shared" si="251"/>
        <v>742.74043367039781</v>
      </c>
      <c r="BA156" s="987">
        <f t="shared" si="251"/>
        <v>676.19116354298069</v>
      </c>
      <c r="BB156" s="988">
        <f t="shared" si="251"/>
        <v>665.58495247276289</v>
      </c>
      <c r="BC156" s="94">
        <f t="shared" si="251"/>
        <v>712.85669765905277</v>
      </c>
      <c r="BD156" s="986">
        <f t="shared" si="251"/>
        <v>699.60183579545298</v>
      </c>
      <c r="BE156" s="987">
        <f t="shared" si="251"/>
        <v>637.57242381222954</v>
      </c>
      <c r="BF156" s="987">
        <f t="shared" si="251"/>
        <v>619.74610026334665</v>
      </c>
      <c r="BG156" s="988">
        <f t="shared" si="251"/>
        <v>652.22653814022942</v>
      </c>
      <c r="BH156" s="94">
        <f t="shared" si="251"/>
        <v>652.28672450281454</v>
      </c>
      <c r="BI156" s="986">
        <f t="shared" si="251"/>
        <v>650.17156045240688</v>
      </c>
      <c r="BJ156" s="987">
        <f t="shared" si="251"/>
        <v>622.84038199610598</v>
      </c>
      <c r="BK156" s="987">
        <f t="shared" si="251"/>
        <v>593.29655409869497</v>
      </c>
      <c r="BL156" s="988">
        <f t="shared" si="251"/>
        <v>552.81057345979195</v>
      </c>
      <c r="BM156" s="94">
        <f t="shared" si="251"/>
        <v>604.7797675017498</v>
      </c>
      <c r="BN156" s="986">
        <f t="shared" si="251"/>
        <v>490.99293751091062</v>
      </c>
      <c r="BO156" s="987">
        <f t="shared" si="251"/>
        <v>466.67497178063797</v>
      </c>
      <c r="BP156" s="987">
        <f t="shared" si="251"/>
        <v>438.71780549192977</v>
      </c>
      <c r="BQ156" s="988">
        <f t="shared" si="251"/>
        <v>385.1808332498041</v>
      </c>
      <c r="BR156" s="94">
        <f t="shared" si="251"/>
        <v>445.39163700832063</v>
      </c>
      <c r="BS156" s="986">
        <f t="shared" si="251"/>
        <v>385.59690208538569</v>
      </c>
      <c r="BT156" s="987">
        <f t="shared" si="251"/>
        <v>485.62448045557727</v>
      </c>
      <c r="BU156" s="987">
        <f t="shared" si="251"/>
        <v>498.33745950807702</v>
      </c>
      <c r="BV156" s="988">
        <f t="shared" ref="BV156:CQ156" si="252">(BV18*BV135+BV19*BV136+BV20*BV137+BV21*BV138+BV22*BV139+BV23*BV140)/BV141</f>
        <v>560.64125478463188</v>
      </c>
      <c r="BW156" s="94">
        <f t="shared" si="252"/>
        <v>493.52650565764657</v>
      </c>
      <c r="BX156" s="986">
        <f t="shared" si="252"/>
        <v>639.5645850172574</v>
      </c>
      <c r="BY156" s="987">
        <f t="shared" si="252"/>
        <v>611.2091250240685</v>
      </c>
      <c r="BZ156" s="987">
        <f t="shared" si="252"/>
        <v>643.99317673731457</v>
      </c>
      <c r="CA156" s="988">
        <f t="shared" ref="CA156" si="253">(CA18*CA135+CA19*CA136+CA20*CA137+CA21*CA138+CA22*CA139+CA23*CA140)/CA141</f>
        <v>669.96290569188477</v>
      </c>
      <c r="CB156" s="94">
        <f t="shared" si="252"/>
        <v>641.18244811763145</v>
      </c>
      <c r="CC156" s="986">
        <f t="shared" si="252"/>
        <v>724.97639355921217</v>
      </c>
      <c r="CD156" s="987">
        <f t="shared" si="252"/>
        <v>728.13209121245825</v>
      </c>
      <c r="CE156" s="987">
        <f t="shared" si="252"/>
        <v>689.961979977753</v>
      </c>
      <c r="CF156" s="988">
        <f t="shared" si="252"/>
        <v>657.63345939933254</v>
      </c>
      <c r="CG156" s="1503">
        <f t="shared" si="252"/>
        <v>700.17598103718899</v>
      </c>
      <c r="CH156" s="986">
        <f t="shared" si="252"/>
        <v>647.10467185761956</v>
      </c>
      <c r="CI156" s="987">
        <f t="shared" si="252"/>
        <v>646.92380422691883</v>
      </c>
      <c r="CJ156" s="987">
        <f t="shared" si="252"/>
        <v>614.72876529477207</v>
      </c>
      <c r="CK156" s="988">
        <f t="shared" si="252"/>
        <v>614.28493882091209</v>
      </c>
      <c r="CL156" s="94">
        <f t="shared" si="252"/>
        <v>630.76054505005561</v>
      </c>
      <c r="CM156" s="986">
        <f t="shared" si="252"/>
        <v>617.61419354838711</v>
      </c>
      <c r="CN156" s="987">
        <f t="shared" si="252"/>
        <v>628.44932146829819</v>
      </c>
      <c r="CO156" s="987">
        <f t="shared" si="252"/>
        <v>614.11253615127919</v>
      </c>
      <c r="CP156" s="988">
        <f t="shared" si="252"/>
        <v>613.98706340378192</v>
      </c>
      <c r="CQ156" s="987">
        <f t="shared" si="252"/>
        <v>618.54077864293663</v>
      </c>
      <c r="CR156" s="81"/>
      <c r="CS156" s="75"/>
      <c r="CT156" s="95"/>
      <c r="CU156" s="75"/>
    </row>
    <row r="157" spans="1:105" ht="6.2" customHeight="1">
      <c r="A157" s="115"/>
      <c r="B157" s="115"/>
      <c r="C157" s="115"/>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925"/>
      <c r="AK157" s="926"/>
      <c r="AL157" s="926"/>
      <c r="AM157" s="927"/>
      <c r="AN157" s="116"/>
      <c r="AO157" s="925"/>
      <c r="AP157" s="926"/>
      <c r="AQ157" s="926"/>
      <c r="AR157" s="927"/>
      <c r="AS157" s="116"/>
      <c r="AT157" s="925"/>
      <c r="AU157" s="926"/>
      <c r="AV157" s="926"/>
      <c r="AW157" s="927"/>
      <c r="AX157" s="116"/>
      <c r="AY157" s="925"/>
      <c r="AZ157" s="926"/>
      <c r="BA157" s="926"/>
      <c r="BB157" s="927"/>
      <c r="BC157" s="116"/>
      <c r="BD157" s="925"/>
      <c r="BE157" s="926"/>
      <c r="BF157" s="926"/>
      <c r="BG157" s="927"/>
      <c r="BH157" s="116"/>
      <c r="BI157" s="925"/>
      <c r="BJ157" s="926"/>
      <c r="BK157" s="926"/>
      <c r="BL157" s="927"/>
      <c r="BM157" s="116"/>
      <c r="BN157" s="925"/>
      <c r="BO157" s="926"/>
      <c r="BP157" s="926"/>
      <c r="BQ157" s="927"/>
      <c r="BR157" s="116"/>
      <c r="BS157" s="1068"/>
      <c r="BT157" s="1069"/>
      <c r="BU157" s="1069"/>
      <c r="BV157" s="927"/>
      <c r="BW157" s="116"/>
      <c r="BX157" s="1068"/>
      <c r="BY157" s="1069"/>
      <c r="BZ157" s="1069"/>
      <c r="CA157" s="1519"/>
      <c r="CB157" s="116"/>
      <c r="CC157" s="925"/>
      <c r="CD157" s="926"/>
      <c r="CE157" s="926"/>
      <c r="CF157" s="927"/>
      <c r="CG157" s="1480"/>
      <c r="CH157" s="925"/>
      <c r="CI157" s="926"/>
      <c r="CJ157" s="926"/>
      <c r="CK157" s="927"/>
      <c r="CL157" s="116"/>
      <c r="CM157" s="925"/>
      <c r="CN157" s="926"/>
      <c r="CO157" s="926"/>
      <c r="CP157" s="927"/>
      <c r="CQ157" s="926"/>
      <c r="CR157" s="81"/>
      <c r="CS157" s="75"/>
      <c r="CT157" s="75"/>
      <c r="CU157" s="75"/>
    </row>
    <row r="158" spans="1:105" ht="13.5" customHeight="1">
      <c r="A158" s="115"/>
      <c r="B158" s="93" t="s">
        <v>995</v>
      </c>
      <c r="C158" s="115"/>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925"/>
      <c r="AK158" s="926"/>
      <c r="AL158" s="926"/>
      <c r="AM158" s="927"/>
      <c r="AN158" s="116"/>
      <c r="AO158" s="925"/>
      <c r="AP158" s="926"/>
      <c r="AQ158" s="926"/>
      <c r="AR158" s="927"/>
      <c r="AS158" s="116"/>
      <c r="AT158" s="925"/>
      <c r="AU158" s="926"/>
      <c r="AV158" s="926"/>
      <c r="AW158" s="927"/>
      <c r="AX158" s="116"/>
      <c r="AY158" s="925"/>
      <c r="AZ158" s="926"/>
      <c r="BA158" s="926"/>
      <c r="BB158" s="927"/>
      <c r="BC158" s="116"/>
      <c r="BD158" s="925"/>
      <c r="BE158" s="926"/>
      <c r="BF158" s="926"/>
      <c r="BG158" s="927"/>
      <c r="BH158" s="116"/>
      <c r="BI158" s="925"/>
      <c r="BJ158" s="926"/>
      <c r="BK158" s="926"/>
      <c r="BL158" s="927"/>
      <c r="BM158" s="116"/>
      <c r="BN158" s="925"/>
      <c r="BO158" s="926"/>
      <c r="BP158" s="926"/>
      <c r="BQ158" s="927"/>
      <c r="BR158" s="116"/>
      <c r="BS158" s="1068"/>
      <c r="BT158" s="1069"/>
      <c r="BU158" s="1069"/>
      <c r="BV158" s="927"/>
      <c r="BW158" s="116"/>
      <c r="BX158" s="1068"/>
      <c r="BY158" s="1069"/>
      <c r="BZ158" s="1069"/>
      <c r="CA158" s="1519"/>
      <c r="CB158" s="116"/>
      <c r="CC158" s="925"/>
      <c r="CD158" s="926"/>
      <c r="CE158" s="926"/>
      <c r="CF158" s="927"/>
      <c r="CG158" s="1480"/>
      <c r="CH158" s="925"/>
      <c r="CI158" s="926"/>
      <c r="CJ158" s="926"/>
      <c r="CK158" s="927"/>
      <c r="CL158" s="116"/>
      <c r="CM158" s="925"/>
      <c r="CN158" s="926"/>
      <c r="CO158" s="926"/>
      <c r="CP158" s="927"/>
      <c r="CQ158" s="926"/>
      <c r="CR158" s="81"/>
      <c r="CS158" s="75"/>
      <c r="CT158" s="75"/>
      <c r="CU158" s="75"/>
    </row>
    <row r="159" spans="1:105" ht="13.5" customHeight="1" outlineLevel="1">
      <c r="A159" s="75"/>
      <c r="B159" s="81" t="s">
        <v>685</v>
      </c>
      <c r="D159" s="88"/>
      <c r="E159" s="88"/>
      <c r="F159" s="88"/>
      <c r="G159" s="88"/>
      <c r="H159" s="88"/>
      <c r="I159" s="88"/>
      <c r="J159" s="89"/>
      <c r="K159" s="625">
        <v>56.939310857142864</v>
      </c>
      <c r="L159" s="625">
        <v>60.139960538742862</v>
      </c>
      <c r="M159" s="625">
        <v>60.139960538742862</v>
      </c>
      <c r="N159" s="625">
        <v>60.139960538742862</v>
      </c>
      <c r="O159" s="104">
        <f>AVERAGE(K159:N159)</f>
        <v>59.339798118342863</v>
      </c>
      <c r="P159" s="625">
        <v>60.139960538742862</v>
      </c>
      <c r="Q159" s="625">
        <v>74.718782323943998</v>
      </c>
      <c r="R159" s="625">
        <v>74.718782323943998</v>
      </c>
      <c r="S159" s="625">
        <v>74.718782323943998</v>
      </c>
      <c r="T159" s="625">
        <v>71.074076877643705</v>
      </c>
      <c r="U159" s="625">
        <v>74.718782323943998</v>
      </c>
      <c r="V159" s="625">
        <v>81.362850965493351</v>
      </c>
      <c r="W159" s="625">
        <v>81.362850965493351</v>
      </c>
      <c r="X159" s="625">
        <v>81.362850965493351</v>
      </c>
      <c r="Y159" s="625">
        <v>79.70183380510602</v>
      </c>
      <c r="Z159" s="625">
        <v>81.362850965493351</v>
      </c>
      <c r="AA159" s="625">
        <v>85.316071807215224</v>
      </c>
      <c r="AB159" s="625">
        <v>85.316071807215224</v>
      </c>
      <c r="AC159" s="625">
        <v>85.316071807215224</v>
      </c>
      <c r="AD159" s="625">
        <v>84.327766596784755</v>
      </c>
      <c r="AE159" s="625">
        <v>85.316071807215224</v>
      </c>
      <c r="AF159" s="625">
        <v>134.53732207226588</v>
      </c>
      <c r="AG159" s="625">
        <v>134.53732207226588</v>
      </c>
      <c r="AH159" s="625">
        <v>134.53732207226588</v>
      </c>
      <c r="AI159" s="625">
        <v>122.23200950600321</v>
      </c>
      <c r="AJ159" s="997">
        <v>115</v>
      </c>
      <c r="AK159" s="998">
        <v>87</v>
      </c>
      <c r="AL159" s="998">
        <v>87</v>
      </c>
      <c r="AM159" s="999">
        <v>87</v>
      </c>
      <c r="AN159" s="625">
        <v>94</v>
      </c>
      <c r="AO159" s="1015">
        <v>62.88</v>
      </c>
      <c r="AP159" s="1016">
        <v>109.51</v>
      </c>
      <c r="AQ159" s="1016">
        <v>147.80000000000001</v>
      </c>
      <c r="AR159" s="1014">
        <v>165.69076923076926</v>
      </c>
      <c r="AS159" s="92">
        <f>AVERAGE(AO159:AR159)</f>
        <v>121.47019230769233</v>
      </c>
      <c r="AT159" s="1023">
        <v>168.9375</v>
      </c>
      <c r="AU159" s="941">
        <v>165.69076923076926</v>
      </c>
      <c r="AV159" s="941">
        <v>165.84909090909093</v>
      </c>
      <c r="AW159" s="908">
        <v>130.7868686868687</v>
      </c>
      <c r="AX159" s="89">
        <f>AVERAGE(AT159:AW159)</f>
        <v>157.81605720668222</v>
      </c>
      <c r="AY159" s="906">
        <v>131.84126984126991</v>
      </c>
      <c r="AZ159" s="907">
        <v>130.26666666666668</v>
      </c>
      <c r="BA159" s="907">
        <v>101.92153846153846</v>
      </c>
      <c r="BB159" s="908">
        <v>111.26283957588305</v>
      </c>
      <c r="BC159" s="89">
        <f>AVERAGE(AY159:BB159)</f>
        <v>118.82307863633952</v>
      </c>
      <c r="BD159" s="906">
        <v>138.19499999999999</v>
      </c>
      <c r="BE159" s="907">
        <v>115.85230769230768</v>
      </c>
      <c r="BF159" s="907">
        <v>120.965</v>
      </c>
      <c r="BG159" s="908">
        <v>124.816</v>
      </c>
      <c r="BH159" s="89">
        <f>AVERAGE(BD159:BG159)</f>
        <v>124.95707692307693</v>
      </c>
      <c r="BI159" s="906">
        <v>110.64453125</v>
      </c>
      <c r="BJ159" s="907">
        <v>92.85</v>
      </c>
      <c r="BK159" s="907">
        <v>80.253787878787875</v>
      </c>
      <c r="BL159" s="908">
        <v>64.359848484848484</v>
      </c>
      <c r="BM159" s="89">
        <f>AVERAGE(BI159:BL159)</f>
        <v>87.027041903409099</v>
      </c>
      <c r="BN159" s="906">
        <v>52.093742424242436</v>
      </c>
      <c r="BO159" s="907">
        <v>47.952316017316015</v>
      </c>
      <c r="BP159" s="907">
        <v>44.680524499654929</v>
      </c>
      <c r="BQ159" s="908">
        <v>36.746603300081553</v>
      </c>
      <c r="BR159" s="89">
        <f>AVERAGE(BN159:BQ159)</f>
        <v>45.368296560323728</v>
      </c>
      <c r="BS159" s="906">
        <v>38.362194616977227</v>
      </c>
      <c r="BT159" s="907">
        <v>45.702741702741712</v>
      </c>
      <c r="BU159" s="907">
        <v>48.323998023715411</v>
      </c>
      <c r="BV159" s="908">
        <v>60.569666666666663</v>
      </c>
      <c r="BW159" s="89">
        <f>AVERAGE(BS159:BV159)</f>
        <v>48.239650252525252</v>
      </c>
      <c r="BX159" s="906">
        <v>75.399999999999991</v>
      </c>
      <c r="BY159" s="907">
        <v>53.244782608695651</v>
      </c>
      <c r="BZ159" s="907">
        <v>61.159833333333339</v>
      </c>
      <c r="CA159" s="908">
        <v>55.673333333333332</v>
      </c>
      <c r="CB159" s="761">
        <f>AVERAGE(BX159:CA159)</f>
        <v>61.369487318840584</v>
      </c>
      <c r="CC159" s="1101">
        <v>65</v>
      </c>
      <c r="CD159" s="1083">
        <v>50</v>
      </c>
      <c r="CE159" s="1083">
        <v>50</v>
      </c>
      <c r="CF159" s="1075">
        <v>50</v>
      </c>
      <c r="CG159" s="1470">
        <f>AVERAGE(CC159:CF159)</f>
        <v>53.75</v>
      </c>
      <c r="CH159" s="1101">
        <v>48</v>
      </c>
      <c r="CI159" s="1083">
        <v>50</v>
      </c>
      <c r="CJ159" s="1083">
        <v>48</v>
      </c>
      <c r="CK159" s="1075">
        <v>45</v>
      </c>
      <c r="CL159" s="761">
        <f>AVERAGE(CH159:CK159)</f>
        <v>47.75</v>
      </c>
      <c r="CM159" s="1101">
        <v>45</v>
      </c>
      <c r="CN159" s="1083">
        <v>50</v>
      </c>
      <c r="CO159" s="1083">
        <v>40</v>
      </c>
      <c r="CP159" s="1075">
        <v>40</v>
      </c>
      <c r="CQ159" s="931">
        <f>AVERAGE(CM159:CP159)</f>
        <v>43.75</v>
      </c>
      <c r="CR159" s="1459"/>
      <c r="CS159" s="90"/>
      <c r="CT159" s="90"/>
      <c r="CU159" s="75"/>
    </row>
    <row r="160" spans="1:105" ht="13.5" customHeight="1" outlineLevel="1">
      <c r="A160" s="75"/>
      <c r="B160" s="81" t="s">
        <v>686</v>
      </c>
      <c r="D160" s="88"/>
      <c r="E160" s="88"/>
      <c r="F160" s="88"/>
      <c r="G160" s="88"/>
      <c r="H160" s="88"/>
      <c r="I160" s="88"/>
      <c r="J160" s="89"/>
      <c r="K160" s="622">
        <v>46.3</v>
      </c>
      <c r="L160" s="622">
        <v>59.263999999999996</v>
      </c>
      <c r="M160" s="622">
        <v>59.263999999999996</v>
      </c>
      <c r="N160" s="622">
        <v>59.263999999999996</v>
      </c>
      <c r="O160" s="104">
        <f>AVERAGE(K160:N160)</f>
        <v>56.022999999999996</v>
      </c>
      <c r="P160" s="622">
        <v>59.263999999999996</v>
      </c>
      <c r="Q160" s="622">
        <v>124.99962879999998</v>
      </c>
      <c r="R160" s="622">
        <v>124.99962879999998</v>
      </c>
      <c r="S160" s="622">
        <v>124.99962879999998</v>
      </c>
      <c r="T160" s="622">
        <v>108.56572159999999</v>
      </c>
      <c r="U160" s="622">
        <v>124.99962879999998</v>
      </c>
      <c r="V160" s="622">
        <v>115</v>
      </c>
      <c r="W160" s="622">
        <v>115</v>
      </c>
      <c r="X160" s="622">
        <v>115</v>
      </c>
      <c r="Y160" s="622">
        <v>117.4999072</v>
      </c>
      <c r="Z160" s="622">
        <v>115</v>
      </c>
      <c r="AA160" s="622">
        <v>96</v>
      </c>
      <c r="AB160" s="622">
        <v>96</v>
      </c>
      <c r="AC160" s="622">
        <v>96</v>
      </c>
      <c r="AD160" s="622">
        <v>100.75</v>
      </c>
      <c r="AE160" s="622">
        <v>150</v>
      </c>
      <c r="AF160" s="622">
        <v>200</v>
      </c>
      <c r="AG160" s="622">
        <v>200</v>
      </c>
      <c r="AH160" s="622">
        <v>200</v>
      </c>
      <c r="AI160" s="622">
        <v>187.5</v>
      </c>
      <c r="AJ160" s="909">
        <v>160</v>
      </c>
      <c r="AK160" s="910">
        <v>90</v>
      </c>
      <c r="AL160" s="910">
        <v>90</v>
      </c>
      <c r="AM160" s="911">
        <v>90</v>
      </c>
      <c r="AN160" s="622">
        <v>107.5</v>
      </c>
      <c r="AO160" s="1015">
        <v>129</v>
      </c>
      <c r="AP160" s="1016">
        <v>200</v>
      </c>
      <c r="AQ160" s="1016">
        <v>225</v>
      </c>
      <c r="AR160" s="1014">
        <v>209</v>
      </c>
      <c r="AS160" s="92">
        <f>AVERAGE(AO160:AR160)</f>
        <v>190.75</v>
      </c>
      <c r="AT160" s="1015">
        <v>225</v>
      </c>
      <c r="AU160" s="1016">
        <v>330</v>
      </c>
      <c r="AV160" s="1016">
        <v>315</v>
      </c>
      <c r="AW160" s="908">
        <v>285</v>
      </c>
      <c r="AX160" s="89">
        <f>AVERAGE(AT160:AW160)</f>
        <v>288.75</v>
      </c>
      <c r="AY160" s="906">
        <v>235</v>
      </c>
      <c r="AZ160" s="907">
        <v>206</v>
      </c>
      <c r="BA160" s="907">
        <v>225</v>
      </c>
      <c r="BB160" s="908">
        <v>170</v>
      </c>
      <c r="BC160" s="89">
        <f>AVERAGE(AY160:BB160)</f>
        <v>209</v>
      </c>
      <c r="BD160" s="906">
        <v>165</v>
      </c>
      <c r="BE160" s="907">
        <v>172</v>
      </c>
      <c r="BF160" s="907">
        <v>145</v>
      </c>
      <c r="BG160" s="908">
        <v>152</v>
      </c>
      <c r="BH160" s="89">
        <f>AVERAGE(BD160:BG160)</f>
        <v>158.5</v>
      </c>
      <c r="BI160" s="906">
        <v>143</v>
      </c>
      <c r="BJ160" s="907">
        <v>120</v>
      </c>
      <c r="BK160" s="907">
        <v>120</v>
      </c>
      <c r="BL160" s="908">
        <v>119</v>
      </c>
      <c r="BM160" s="89">
        <f>AVERAGE(BI160:BL160)</f>
        <v>125.5</v>
      </c>
      <c r="BN160" s="906">
        <v>117</v>
      </c>
      <c r="BO160" s="907">
        <v>109.5</v>
      </c>
      <c r="BP160" s="907">
        <v>93</v>
      </c>
      <c r="BQ160" s="908">
        <v>89</v>
      </c>
      <c r="BR160" s="89">
        <f>AVERAGE(BN160:BQ160)</f>
        <v>102.125</v>
      </c>
      <c r="BS160" s="906">
        <v>81</v>
      </c>
      <c r="BT160" s="907">
        <v>84</v>
      </c>
      <c r="BU160" s="907">
        <v>92.5</v>
      </c>
      <c r="BV160" s="908">
        <v>200</v>
      </c>
      <c r="BW160" s="92">
        <f>AVERAGE(BS160:BV160)</f>
        <v>114.375</v>
      </c>
      <c r="BX160" s="906">
        <v>285</v>
      </c>
      <c r="BY160" s="941">
        <v>193.5</v>
      </c>
      <c r="BZ160" s="941">
        <v>170.35</v>
      </c>
      <c r="CA160" s="1520">
        <v>191.68999999999997</v>
      </c>
      <c r="CB160" s="761">
        <f>AVERAGE(BX160:CA160)</f>
        <v>210.13499999999999</v>
      </c>
      <c r="CC160" s="1101">
        <v>220</v>
      </c>
      <c r="CD160" s="1083">
        <v>200</v>
      </c>
      <c r="CE160" s="1083">
        <v>180</v>
      </c>
      <c r="CF160" s="1075">
        <v>180</v>
      </c>
      <c r="CG160" s="1470">
        <f>AVERAGE(CC160:CF160)</f>
        <v>195</v>
      </c>
      <c r="CH160" s="1101">
        <v>110</v>
      </c>
      <c r="CI160" s="1083">
        <v>105</v>
      </c>
      <c r="CJ160" s="1083">
        <v>105</v>
      </c>
      <c r="CK160" s="1075">
        <v>110</v>
      </c>
      <c r="CL160" s="761">
        <f>AVERAGE(CH160:CK160)</f>
        <v>107.5</v>
      </c>
      <c r="CM160" s="1101">
        <v>110</v>
      </c>
      <c r="CN160" s="1083">
        <v>115</v>
      </c>
      <c r="CO160" s="1083">
        <v>115</v>
      </c>
      <c r="CP160" s="1075">
        <v>115</v>
      </c>
      <c r="CQ160" s="931">
        <f>AVERAGE(CM160:CP160)</f>
        <v>113.75</v>
      </c>
      <c r="CR160" s="1459"/>
      <c r="CS160" s="90"/>
      <c r="CT160" s="90"/>
      <c r="CU160" s="75"/>
    </row>
    <row r="161" spans="1:105" ht="13.5" customHeight="1" outlineLevel="1">
      <c r="A161" s="75"/>
      <c r="B161" s="81" t="s">
        <v>687</v>
      </c>
      <c r="D161" s="88"/>
      <c r="E161" s="88"/>
      <c r="F161" s="88"/>
      <c r="G161" s="88"/>
      <c r="H161" s="88"/>
      <c r="I161" s="88"/>
      <c r="J161" s="89"/>
      <c r="K161" s="89">
        <f>K160*1.6*1.35</f>
        <v>100.00800000000001</v>
      </c>
      <c r="L161" s="89">
        <f>L160*1.6*1.35</f>
        <v>128.01024000000001</v>
      </c>
      <c r="M161" s="89">
        <f>M160*1.6*1.35</f>
        <v>128.01024000000001</v>
      </c>
      <c r="N161" s="89">
        <f>N160*1.6*1.35</f>
        <v>128.01024000000001</v>
      </c>
      <c r="O161" s="104">
        <f>AVERAGE(K161:N161)</f>
        <v>121.00968000000002</v>
      </c>
      <c r="P161" s="89">
        <f>P160*1.6*1.35</f>
        <v>128.01024000000001</v>
      </c>
      <c r="Q161" s="89">
        <f>Q160*1.6*1.35</f>
        <v>269.999198208</v>
      </c>
      <c r="R161" s="89">
        <f>R160*1.6*1.35</f>
        <v>269.999198208</v>
      </c>
      <c r="S161" s="89">
        <f>S160*1.6*1.35</f>
        <v>269.999198208</v>
      </c>
      <c r="T161" s="104">
        <f>AVERAGE(P161:S161)</f>
        <v>234.501958656</v>
      </c>
      <c r="U161" s="89">
        <f>U160*1.6*1.35</f>
        <v>269.999198208</v>
      </c>
      <c r="V161" s="89">
        <f>V160*1.6*1.35</f>
        <v>248.4</v>
      </c>
      <c r="W161" s="89">
        <f>W160*1.6*1.35</f>
        <v>248.4</v>
      </c>
      <c r="X161" s="89">
        <f>X160*1.6*1.35</f>
        <v>248.4</v>
      </c>
      <c r="Y161" s="104">
        <f>AVERAGE(U161:X161)</f>
        <v>253.799799552</v>
      </c>
      <c r="Z161" s="89">
        <f>Z160*1.6*1.35</f>
        <v>248.4</v>
      </c>
      <c r="AA161" s="89">
        <f>AA160*1.6*1.35</f>
        <v>207.36000000000004</v>
      </c>
      <c r="AB161" s="89">
        <f>AB160*1.6*1.35</f>
        <v>207.36000000000004</v>
      </c>
      <c r="AC161" s="89">
        <f>AC160*1.6*1.35</f>
        <v>207.36000000000004</v>
      </c>
      <c r="AD161" s="104">
        <f>AVERAGE(Z161:AC161)</f>
        <v>217.62000000000003</v>
      </c>
      <c r="AE161" s="89">
        <f>AE160*1.6*1.35</f>
        <v>324</v>
      </c>
      <c r="AF161" s="89">
        <f>AF160*1.6*1.35</f>
        <v>432</v>
      </c>
      <c r="AG161" s="89">
        <f>AG160*1.6*1.35</f>
        <v>432</v>
      </c>
      <c r="AH161" s="89">
        <f>AH160*1.6*1.35</f>
        <v>432</v>
      </c>
      <c r="AI161" s="104">
        <f>AVERAGE(AE161:AH161)</f>
        <v>405</v>
      </c>
      <c r="AJ161" s="906">
        <v>310.89999999999998</v>
      </c>
      <c r="AK161" s="907">
        <v>361.43</v>
      </c>
      <c r="AL161" s="907">
        <v>360.03</v>
      </c>
      <c r="AM161" s="908">
        <v>328.18</v>
      </c>
      <c r="AN161" s="104">
        <f>AVERAGE(AJ161:AM161)</f>
        <v>340.13499999999999</v>
      </c>
      <c r="AO161" s="906">
        <v>330.08</v>
      </c>
      <c r="AP161" s="907">
        <v>339.4</v>
      </c>
      <c r="AQ161" s="907">
        <v>320</v>
      </c>
      <c r="AR161" s="908">
        <v>320</v>
      </c>
      <c r="AS161" s="89">
        <f>AVERAGE(AO161:AR161)</f>
        <v>327.37</v>
      </c>
      <c r="AT161" s="906">
        <v>397.45</v>
      </c>
      <c r="AU161" s="907">
        <v>453.08</v>
      </c>
      <c r="AV161" s="907">
        <v>437.12000000000006</v>
      </c>
      <c r="AW161" s="908">
        <v>438.5</v>
      </c>
      <c r="AX161" s="89">
        <f>AVERAGE(AT161:AW161)</f>
        <v>431.53750000000002</v>
      </c>
      <c r="AY161" s="906">
        <v>402.71</v>
      </c>
      <c r="AZ161" s="907">
        <v>388.87000000000006</v>
      </c>
      <c r="BA161" s="907">
        <v>392.99</v>
      </c>
      <c r="BB161" s="908">
        <v>401.58</v>
      </c>
      <c r="BC161" s="89">
        <f>AVERAGE(AY161:BB161)</f>
        <v>396.53750000000002</v>
      </c>
      <c r="BD161" s="906">
        <v>364.97</v>
      </c>
      <c r="BE161" s="907">
        <v>331.26</v>
      </c>
      <c r="BF161" s="907">
        <v>330.18</v>
      </c>
      <c r="BG161" s="908">
        <f>BG160*1.6</f>
        <v>243.20000000000002</v>
      </c>
      <c r="BH161" s="89">
        <f>AVERAGE(BD161:BG161)</f>
        <v>317.40250000000003</v>
      </c>
      <c r="BI161" s="906">
        <f>BI160*1.6</f>
        <v>228.8</v>
      </c>
      <c r="BJ161" s="907">
        <f>BJ160*1.6</f>
        <v>192</v>
      </c>
      <c r="BK161" s="907">
        <f>BK160*1.6</f>
        <v>192</v>
      </c>
      <c r="BL161" s="908">
        <f>BL160*1.6</f>
        <v>190.4</v>
      </c>
      <c r="BM161" s="89">
        <f>AVERAGE(BI161:BL161)</f>
        <v>200.79999999999998</v>
      </c>
      <c r="BN161" s="906">
        <f>BN160*1.6</f>
        <v>187.20000000000002</v>
      </c>
      <c r="BO161" s="907">
        <f>BO160*1.6</f>
        <v>175.20000000000002</v>
      </c>
      <c r="BP161" s="907">
        <f>BP160*1.6</f>
        <v>148.80000000000001</v>
      </c>
      <c r="BQ161" s="908">
        <f>BQ160*1.6</f>
        <v>142.4</v>
      </c>
      <c r="BR161" s="89">
        <f>AVERAGE(BN161:BQ161)</f>
        <v>163.4</v>
      </c>
      <c r="BS161" s="906">
        <f>BS160*1.6</f>
        <v>129.6</v>
      </c>
      <c r="BT161" s="907">
        <f>BT160*1.6</f>
        <v>134.4</v>
      </c>
      <c r="BU161" s="907">
        <f>BU160*1.6</f>
        <v>148</v>
      </c>
      <c r="BV161" s="908">
        <f>BV160*1.6</f>
        <v>320</v>
      </c>
      <c r="BW161" s="89">
        <f>AVERAGE(BS161:BV161)</f>
        <v>183</v>
      </c>
      <c r="BX161" s="906">
        <f>BX160*1.6</f>
        <v>456</v>
      </c>
      <c r="BY161" s="907">
        <f>BY160*1.6</f>
        <v>309.60000000000002</v>
      </c>
      <c r="BZ161" s="907">
        <f>BZ160*1.6</f>
        <v>272.56</v>
      </c>
      <c r="CA161" s="908">
        <f>CA160*1.6</f>
        <v>306.70399999999995</v>
      </c>
      <c r="CB161" s="89">
        <f>AVERAGE(BX161:CA161)</f>
        <v>336.21600000000001</v>
      </c>
      <c r="CC161" s="906">
        <f>CC160*1.6</f>
        <v>352</v>
      </c>
      <c r="CD161" s="907">
        <f>CD160*1.6</f>
        <v>320</v>
      </c>
      <c r="CE161" s="907">
        <f>CE160*1.6</f>
        <v>288</v>
      </c>
      <c r="CF161" s="908">
        <f>CF160*1.6</f>
        <v>288</v>
      </c>
      <c r="CG161" s="1471">
        <f>AVERAGE(CC161:CF161)</f>
        <v>312</v>
      </c>
      <c r="CH161" s="906">
        <f>CH160*1.6</f>
        <v>176</v>
      </c>
      <c r="CI161" s="907">
        <f>CI160*1.6</f>
        <v>168</v>
      </c>
      <c r="CJ161" s="907">
        <f>CJ160*1.6</f>
        <v>168</v>
      </c>
      <c r="CK161" s="908">
        <f>CK160*1.6</f>
        <v>176</v>
      </c>
      <c r="CL161" s="89">
        <f>AVERAGE(CH161:CK161)</f>
        <v>172</v>
      </c>
      <c r="CM161" s="906">
        <f>CM160*1.6</f>
        <v>176</v>
      </c>
      <c r="CN161" s="907">
        <f>CN160*1.6</f>
        <v>184</v>
      </c>
      <c r="CO161" s="907">
        <f>CO160*1.6</f>
        <v>184</v>
      </c>
      <c r="CP161" s="908">
        <f>CP160*1.6</f>
        <v>184</v>
      </c>
      <c r="CQ161" s="907">
        <f>AVERAGE(CM161:CP161)</f>
        <v>182</v>
      </c>
      <c r="CR161" s="1459"/>
      <c r="CS161" s="90"/>
      <c r="CT161" s="90"/>
      <c r="CU161" s="75"/>
    </row>
    <row r="162" spans="1:105" ht="13.5" customHeight="1" outlineLevel="1">
      <c r="A162" s="75"/>
      <c r="B162" s="75"/>
      <c r="C162" s="81"/>
      <c r="D162" s="88"/>
      <c r="E162" s="88"/>
      <c r="F162" s="88"/>
      <c r="G162" s="88"/>
      <c r="H162" s="88"/>
      <c r="I162" s="88"/>
      <c r="J162" s="89"/>
      <c r="K162" s="89"/>
      <c r="L162" s="89"/>
      <c r="M162" s="89"/>
      <c r="N162" s="89"/>
      <c r="O162" s="104"/>
      <c r="P162" s="89"/>
      <c r="Q162" s="89"/>
      <c r="R162" s="89"/>
      <c r="S162" s="89"/>
      <c r="T162" s="104"/>
      <c r="U162" s="89"/>
      <c r="V162" s="89"/>
      <c r="W162" s="89"/>
      <c r="X162" s="89"/>
      <c r="Y162" s="104"/>
      <c r="Z162" s="89"/>
      <c r="AA162" s="89"/>
      <c r="AB162" s="89"/>
      <c r="AC162" s="89"/>
      <c r="AD162" s="104"/>
      <c r="AE162" s="89"/>
      <c r="AF162" s="89"/>
      <c r="AG162" s="89"/>
      <c r="AH162" s="89"/>
      <c r="AI162" s="104"/>
      <c r="AJ162" s="906"/>
      <c r="AK162" s="907"/>
      <c r="AL162" s="907"/>
      <c r="AM162" s="908"/>
      <c r="AN162" s="104"/>
      <c r="AO162" s="906"/>
      <c r="AP162" s="907"/>
      <c r="AQ162" s="907"/>
      <c r="AR162" s="908"/>
      <c r="AS162" s="89"/>
      <c r="AT162" s="906"/>
      <c r="AU162" s="907"/>
      <c r="AV162" s="907"/>
      <c r="AW162" s="908"/>
      <c r="AX162" s="89"/>
      <c r="AY162" s="906"/>
      <c r="AZ162" s="907"/>
      <c r="BA162" s="907"/>
      <c r="BB162" s="908"/>
      <c r="BC162" s="89"/>
      <c r="BD162" s="906"/>
      <c r="BE162" s="907"/>
      <c r="BF162" s="907"/>
      <c r="BG162" s="908"/>
      <c r="BH162" s="89"/>
      <c r="BI162" s="906"/>
      <c r="BJ162" s="907"/>
      <c r="BK162" s="907"/>
      <c r="BL162" s="908"/>
      <c r="BM162" s="89"/>
      <c r="BN162" s="906"/>
      <c r="BO162" s="907"/>
      <c r="BP162" s="907"/>
      <c r="BQ162" s="908"/>
      <c r="BR162" s="89"/>
      <c r="BS162" s="906"/>
      <c r="BT162" s="907"/>
      <c r="BU162" s="907"/>
      <c r="BV162" s="908"/>
      <c r="BW162" s="89"/>
      <c r="BX162" s="906"/>
      <c r="BY162" s="907"/>
      <c r="BZ162" s="907"/>
      <c r="CA162" s="908"/>
      <c r="CB162" s="89"/>
      <c r="CC162" s="906"/>
      <c r="CD162" s="907"/>
      <c r="CE162" s="907"/>
      <c r="CF162" s="908"/>
      <c r="CG162" s="1471"/>
      <c r="CH162" s="906"/>
      <c r="CI162" s="907"/>
      <c r="CJ162" s="907"/>
      <c r="CK162" s="908"/>
      <c r="CL162" s="89"/>
      <c r="CM162" s="906"/>
      <c r="CN162" s="907"/>
      <c r="CO162" s="907"/>
      <c r="CP162" s="908"/>
      <c r="CQ162" s="907"/>
      <c r="CR162" s="1459"/>
      <c r="CS162" s="90"/>
      <c r="CT162" s="90"/>
      <c r="CU162" s="75"/>
    </row>
    <row r="163" spans="1:105" ht="13.5" customHeight="1" outlineLevel="1">
      <c r="A163" s="76"/>
      <c r="B163" s="83" t="s">
        <v>994</v>
      </c>
      <c r="C163" s="76"/>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995"/>
      <c r="AK163" s="126"/>
      <c r="AL163" s="126"/>
      <c r="AM163" s="996"/>
      <c r="AN163" s="104"/>
      <c r="AO163" s="995"/>
      <c r="AP163" s="126"/>
      <c r="AQ163" s="126"/>
      <c r="AR163" s="996"/>
      <c r="AS163" s="104"/>
      <c r="AT163" s="995"/>
      <c r="AU163" s="126"/>
      <c r="AV163" s="126"/>
      <c r="AW163" s="996"/>
      <c r="AX163" s="104"/>
      <c r="AY163" s="995"/>
      <c r="AZ163" s="126"/>
      <c r="BA163" s="126"/>
      <c r="BB163" s="996"/>
      <c r="BC163" s="104"/>
      <c r="BD163" s="995"/>
      <c r="BE163" s="126"/>
      <c r="BF163" s="126"/>
      <c r="BG163" s="996"/>
      <c r="BH163" s="104"/>
      <c r="BI163" s="995"/>
      <c r="BJ163" s="126"/>
      <c r="BK163" s="126"/>
      <c r="BL163" s="996"/>
      <c r="BM163" s="104"/>
      <c r="BN163" s="995"/>
      <c r="BO163" s="126"/>
      <c r="BP163" s="126"/>
      <c r="BQ163" s="996"/>
      <c r="BR163" s="104"/>
      <c r="BS163" s="995"/>
      <c r="BT163" s="126"/>
      <c r="BU163" s="126"/>
      <c r="BV163" s="996"/>
      <c r="BW163" s="104"/>
      <c r="BX163" s="995"/>
      <c r="BY163" s="126"/>
      <c r="BZ163" s="126"/>
      <c r="CA163" s="996"/>
      <c r="CB163" s="104"/>
      <c r="CC163" s="995"/>
      <c r="CD163" s="126"/>
      <c r="CE163" s="126"/>
      <c r="CF163" s="996"/>
      <c r="CG163" s="1502"/>
      <c r="CH163" s="995"/>
      <c r="CI163" s="126"/>
      <c r="CJ163" s="126"/>
      <c r="CK163" s="996"/>
      <c r="CL163" s="104"/>
      <c r="CM163" s="995"/>
      <c r="CN163" s="126"/>
      <c r="CO163" s="126"/>
      <c r="CP163" s="996"/>
      <c r="CQ163" s="126"/>
    </row>
    <row r="164" spans="1:105" ht="13.5" customHeight="1" outlineLevel="1">
      <c r="A164" s="76"/>
      <c r="B164" s="81" t="s">
        <v>926</v>
      </c>
      <c r="D164" s="104"/>
      <c r="E164" s="104"/>
      <c r="F164" s="104"/>
      <c r="G164" s="104"/>
      <c r="H164" s="104"/>
      <c r="I164" s="104"/>
      <c r="J164" s="104"/>
      <c r="K164" s="104">
        <f>K159*1.3/1.1023</f>
        <v>67.151505138606296</v>
      </c>
      <c r="L164" s="104">
        <f>L159*1.3/1.1023</f>
        <v>70.926198585109063</v>
      </c>
      <c r="M164" s="104">
        <f>M159*1.3/1.1023</f>
        <v>70.926198585109063</v>
      </c>
      <c r="N164" s="104">
        <f>N159*1.3/1.1023*0.5+M159*1.3/1.1023*0.5</f>
        <v>70.926198585109063</v>
      </c>
      <c r="O164" s="104">
        <f>AVERAGE(K164:N164)</f>
        <v>69.982525223483378</v>
      </c>
      <c r="P164" s="104">
        <f>P159*1.3/1.1023</f>
        <v>70.926198585109063</v>
      </c>
      <c r="Q164" s="104">
        <f>Q159*1.3/1.1023</f>
        <v>88.119765055907834</v>
      </c>
      <c r="R164" s="104">
        <f>R159*1.3/1.1023</f>
        <v>88.119765055907834</v>
      </c>
      <c r="S164" s="104">
        <f>S159*1.3/1.1023*0.5+R159*1.3/1.1023*0.5</f>
        <v>88.119765055907834</v>
      </c>
      <c r="T164" s="104">
        <f>AVERAGE(P164:S164)</f>
        <v>83.821373438208141</v>
      </c>
      <c r="U164" s="104">
        <f>U159*1.3/1.1023</f>
        <v>88.119765055907834</v>
      </c>
      <c r="V164" s="104">
        <f>V159*1.3/1.1023</f>
        <v>95.95546244683058</v>
      </c>
      <c r="W164" s="104">
        <f>W159*1.3/1.1023</f>
        <v>95.95546244683058</v>
      </c>
      <c r="X164" s="104">
        <f>X159*1.3/1.1023*0.5+W159*1.3/1.1023*0.5</f>
        <v>95.95546244683058</v>
      </c>
      <c r="Y164" s="104">
        <f>AVERAGE(U164:X164)</f>
        <v>93.996538099099894</v>
      </c>
      <c r="Z164" s="104">
        <f>Z159*1.3/1.1023</f>
        <v>95.95546244683058</v>
      </c>
      <c r="AA164" s="104">
        <f>AA159*1.3/1.1023</f>
        <v>100.61770239442963</v>
      </c>
      <c r="AB164" s="104">
        <f>AB159*1.3/1.1023</f>
        <v>100.61770239442963</v>
      </c>
      <c r="AC164" s="104">
        <f>AC159*1.3/1.1023*0.5+AB159*1.3/1.1023*0.5</f>
        <v>100.61770239442963</v>
      </c>
      <c r="AD164" s="104">
        <f>AVERAGE(Z164:AC164)</f>
        <v>99.452142407529863</v>
      </c>
      <c r="AE164" s="104">
        <f>AE159*1.3/1.1023</f>
        <v>100.61770239442963</v>
      </c>
      <c r="AF164" s="104">
        <f>AF159*1.3/1.1023</f>
        <v>158.66689530431429</v>
      </c>
      <c r="AG164" s="104">
        <f>AG159*1.3/1.1023</f>
        <v>158.66689530431429</v>
      </c>
      <c r="AH164" s="104">
        <f>AH159*1.3/1.1023*0.5+AG159*1.3/1.1023*0.5</f>
        <v>158.66689530431429</v>
      </c>
      <c r="AI164" s="104">
        <f>AVERAGE(AE164:AH164)</f>
        <v>144.15459707684312</v>
      </c>
      <c r="AJ164" s="995">
        <f>AJ159*1.3/1.1023</f>
        <v>135.62551029665244</v>
      </c>
      <c r="AK164" s="126">
        <f>AK159*1.3/1.1023</f>
        <v>102.6036469200762</v>
      </c>
      <c r="AL164" s="126">
        <f>AL159*1.3/1.1023</f>
        <v>102.6036469200762</v>
      </c>
      <c r="AM164" s="996">
        <f>AM159*1.3/1.1023*0.5+AL159*1.3/1.1023*0.5</f>
        <v>102.6036469200762</v>
      </c>
      <c r="AN164" s="104">
        <f>AVERAGE(AJ164:AM164)</f>
        <v>110.85911276422026</v>
      </c>
      <c r="AO164" s="995">
        <f>AM159*1.3/1.1023</f>
        <v>102.6036469200762</v>
      </c>
      <c r="AP164" s="126">
        <f>AO159*1.3/1.1023</f>
        <v>74.157670325682659</v>
      </c>
      <c r="AQ164" s="126">
        <f>AP159*1.3/1.1023</f>
        <v>129.15086637031661</v>
      </c>
      <c r="AR164" s="996">
        <f>AQ159*1.3/1.1023</f>
        <v>174.30826453778462</v>
      </c>
      <c r="AS164" s="104">
        <f>AVERAGE(AO164:AR164)</f>
        <v>120.05511203846503</v>
      </c>
      <c r="AT164" s="995">
        <f>AR159*1.3/1.1023</f>
        <v>195.40778372493881</v>
      </c>
      <c r="AU164" s="126">
        <f>AT159*1.3/1.1023</f>
        <v>199.23682300644109</v>
      </c>
      <c r="AV164" s="126">
        <f>AU159*1.3/1.1023</f>
        <v>195.40778372493881</v>
      </c>
      <c r="AW164" s="996">
        <f>AV159*1.3/1.1023</f>
        <v>195.59450075462053</v>
      </c>
      <c r="AX164" s="104">
        <f>AVERAGE(AT164:AW164)</f>
        <v>196.4117228027348</v>
      </c>
      <c r="AY164" s="995">
        <f>AW159*1.3/1.1023</f>
        <v>154.24378961528561</v>
      </c>
      <c r="AZ164" s="126">
        <f>AY159*1.3/1.1023</f>
        <v>155.48730000331207</v>
      </c>
      <c r="BA164" s="126">
        <f>AZ159*1.3/1.1023</f>
        <v>153.63028818530952</v>
      </c>
      <c r="BB164" s="996">
        <f>BA159*1.3/1.1023</f>
        <v>120.20139707883514</v>
      </c>
      <c r="BC164" s="104">
        <f>AVERAGE(AY164:BB164)</f>
        <v>145.89069372068559</v>
      </c>
      <c r="BD164" s="995">
        <f>BB159*1.3/1.1023</f>
        <v>131.21808169159755</v>
      </c>
      <c r="BE164" s="126">
        <f>BD159*1.3/1.1023</f>
        <v>162.98058604735553</v>
      </c>
      <c r="BF164" s="126">
        <f>BE159*1.3/1.1023</f>
        <v>136.63068130273064</v>
      </c>
      <c r="BG164" s="996">
        <f>BF159*1.3/1.1023</f>
        <v>142.66034654812665</v>
      </c>
      <c r="BH164" s="104">
        <f>AVERAGE(BD164:BG164)</f>
        <v>143.37242389745259</v>
      </c>
      <c r="BI164" s="995">
        <f>BG159*1.3/1.1023</f>
        <v>147.20203211466932</v>
      </c>
      <c r="BJ164" s="126">
        <f>BI159*1.3/1.1023</f>
        <v>130.48887836795791</v>
      </c>
      <c r="BK164" s="126">
        <f>BJ159*1.3/1.1023</f>
        <v>109.50285766125373</v>
      </c>
      <c r="BL164" s="996">
        <f>BK159*1.3/1.1023</f>
        <v>94.647486385216581</v>
      </c>
      <c r="BM164" s="104">
        <f>AVERAGE(BI164:BL164)</f>
        <v>120.46031363227439</v>
      </c>
      <c r="BN164" s="995">
        <f>BL159*1.3/1.1023</f>
        <v>75.902932985850526</v>
      </c>
      <c r="BO164" s="126">
        <f>BN159*1.3/1.1023</f>
        <v>61.436873039567423</v>
      </c>
      <c r="BP164" s="126">
        <f>BO159*1.3/1.1023</f>
        <v>56.55267243265066</v>
      </c>
      <c r="BQ164" s="996">
        <f>BP159*1.3/1.1023</f>
        <v>52.694077700763316</v>
      </c>
      <c r="BR164" s="104">
        <f>AVERAGE(BN164:BQ164)</f>
        <v>61.646639039707978</v>
      </c>
      <c r="BS164" s="995">
        <f>BQ159*1.3/1.1023</f>
        <v>43.337189776019251</v>
      </c>
      <c r="BT164" s="126">
        <f>BS159*1.3/1.1023</f>
        <v>45.24254105240896</v>
      </c>
      <c r="BU164" s="126">
        <f>BT159*1.3/1.1023</f>
        <v>53.899631872960377</v>
      </c>
      <c r="BV164" s="996">
        <f>BU159*1.3/1.1023</f>
        <v>56.991016448181107</v>
      </c>
      <c r="BW164" s="104">
        <f>AVERAGE(BS164:BV164)</f>
        <v>49.867594787392427</v>
      </c>
      <c r="BX164" s="995">
        <f>BV159*1.3/1.1023</f>
        <v>71.43297347969397</v>
      </c>
      <c r="BY164" s="126">
        <f>BX159*1.3/1.1023</f>
        <v>88.923160664066032</v>
      </c>
      <c r="BZ164" s="126">
        <f>BY159*1.3/1.1023</f>
        <v>62.79435488642325</v>
      </c>
      <c r="CA164" s="996">
        <f>BZ159*1.3/1.1023</f>
        <v>72.128987873839549</v>
      </c>
      <c r="CB164" s="104">
        <f>AVERAGE(BX164:CA164)</f>
        <v>73.819869226005707</v>
      </c>
      <c r="CC164" s="995">
        <f>CA159*1.3/1.1023</f>
        <v>65.658471680425777</v>
      </c>
      <c r="CD164" s="126">
        <f>CC159*1.3/1.1023</f>
        <v>76.657897124194861</v>
      </c>
      <c r="CE164" s="126">
        <f>CD159*1.3/1.1023</f>
        <v>58.967613172457582</v>
      </c>
      <c r="CF164" s="996">
        <f>CE159*1.3/1.1023</f>
        <v>58.967613172457582</v>
      </c>
      <c r="CG164" s="1502">
        <f>AVERAGE(CC164:CF164)</f>
        <v>65.062898787383958</v>
      </c>
      <c r="CH164" s="995">
        <f>CF159*1.3/1.1023</f>
        <v>58.967613172457582</v>
      </c>
      <c r="CI164" s="126">
        <f>CH159*1.3/1.1023</f>
        <v>56.608908645559289</v>
      </c>
      <c r="CJ164" s="126">
        <f>CI159*1.3/1.1023</f>
        <v>58.967613172457582</v>
      </c>
      <c r="CK164" s="996">
        <f>CJ159*1.3/1.1023</f>
        <v>56.608908645559289</v>
      </c>
      <c r="CL164" s="104">
        <f>AVERAGE(CH164:CK164)</f>
        <v>57.788260909008436</v>
      </c>
      <c r="CM164" s="995">
        <f>CK159*1.3/1.1023</f>
        <v>53.070851855211828</v>
      </c>
      <c r="CN164" s="126">
        <f>CM159*1.3/1.1023</f>
        <v>53.070851855211828</v>
      </c>
      <c r="CO164" s="126">
        <f>CN159*1.3/1.1023</f>
        <v>58.967613172457582</v>
      </c>
      <c r="CP164" s="996">
        <f>CO159*1.3/1.1023</f>
        <v>47.174090537966066</v>
      </c>
      <c r="CQ164" s="126">
        <f>AVERAGE(CM164:CP164)</f>
        <v>53.070851855211828</v>
      </c>
    </row>
    <row r="165" spans="1:105" ht="13.5" customHeight="1" outlineLevel="1">
      <c r="A165" s="76"/>
      <c r="B165" s="81" t="s">
        <v>911</v>
      </c>
      <c r="D165" s="104"/>
      <c r="E165" s="104"/>
      <c r="F165" s="104"/>
      <c r="G165" s="104"/>
      <c r="H165" s="104"/>
      <c r="I165" s="104"/>
      <c r="J165" s="104"/>
      <c r="K165" s="104">
        <f>K160/1.1023*0.9*0.6*0.5+I160/1.1023*0.9*0.6*0.5</f>
        <v>11.340832804136802</v>
      </c>
      <c r="L165" s="104">
        <f>L160/1.1023*0.9*0.6*0.5+K160/1.1023*0.9*0.6*0.5</f>
        <v>25.857098793431909</v>
      </c>
      <c r="M165" s="104">
        <f>M160/1.1023*0.9*0.6*0.5+L160/1.1023*0.9*0.6*0.5</f>
        <v>29.032531978590217</v>
      </c>
      <c r="N165" s="104">
        <f>N160/1.1023*0.9*0.6*0.5+M160/1.1023*0.9*0.6*0.5</f>
        <v>29.032531978590217</v>
      </c>
      <c r="O165" s="104">
        <f>AVERAGE(K165:N165)</f>
        <v>23.815748888687285</v>
      </c>
      <c r="P165" s="104">
        <f>P160/1.1023*0.9*0.6*0.5+N160/1.1023*0.9*0.6*0.5</f>
        <v>29.032531978590217</v>
      </c>
      <c r="Q165" s="104">
        <f>Q160/1.1023*0.9*0.6*0.5+P160/1.1023*0.9*0.6*0.5</f>
        <v>45.133974213916346</v>
      </c>
      <c r="R165" s="104">
        <f>R160/1.1023*0.9*0.6*0.5+Q160/1.1023*0.9*0.6*0.5</f>
        <v>61.235416449242479</v>
      </c>
      <c r="S165" s="104">
        <f>S160/1.1023*0.9*0.6*0.5+R160/1.1023*0.9*0.6*0.5</f>
        <v>61.235416449242479</v>
      </c>
      <c r="T165" s="104">
        <f>AVERAGE(P165:S165)</f>
        <v>49.159334772747876</v>
      </c>
      <c r="U165" s="104">
        <f>U160/1.1023*0.9*0.6*0.5+S160/1.1023*0.9*0.6*0.5</f>
        <v>61.235416449242479</v>
      </c>
      <c r="V165" s="104">
        <f>V160/1.1023*0.9*0.6*0.5+U160/1.1023*0.9*0.6*0.5</f>
        <v>58.786083440079821</v>
      </c>
      <c r="W165" s="104">
        <f>W160/1.1023*0.9*0.6*0.5+V160/1.1023*0.9*0.6*0.5</f>
        <v>56.336750430917164</v>
      </c>
      <c r="X165" s="104">
        <f>X160/1.1023*0.9*0.6*0.5+W160/1.1023*0.9*0.6*0.5</f>
        <v>56.336750430917164</v>
      </c>
      <c r="Y165" s="104">
        <f>AVERAGE(U165:X165)</f>
        <v>58.173750187789153</v>
      </c>
      <c r="Z165" s="104">
        <f>Z160/1.1023*0.9*0.6*0.5+X160/1.1023*0.9*0.6*0.5</f>
        <v>56.336750430917164</v>
      </c>
      <c r="AA165" s="104">
        <f>AA160/1.1023*0.9*0.6*0.5+Z160/1.1023*0.9*0.6*0.5</f>
        <v>51.682844960537054</v>
      </c>
      <c r="AB165" s="104">
        <f>AB160/1.1023*0.9*0.6*0.5+AA160/1.1023*0.9*0.6*0.5</f>
        <v>47.028939490156944</v>
      </c>
      <c r="AC165" s="104">
        <f>AC160/1.1023*0.9*0.6*0.5+AB160/1.1023*0.9*0.6*0.5</f>
        <v>47.028939490156944</v>
      </c>
      <c r="AD165" s="104">
        <f>AVERAGE(Z165:AC165)</f>
        <v>50.519368592942023</v>
      </c>
      <c r="AE165" s="104">
        <f>AE160/1.1023*0.9*0.6*0.5+AC160/1.1023*0.9*0.6*0.5</f>
        <v>60.255828721763585</v>
      </c>
      <c r="AF165" s="104">
        <f>AF160/1.1023*0.9*0.6*0.5+AE160/1.1023*0.9*0.6*0.5</f>
        <v>85.729837612265257</v>
      </c>
      <c r="AG165" s="104">
        <f>AG160/1.1023*0.9*0.6*0.5+AF160/1.1023*0.9*0.6*0.5</f>
        <v>97.976957271160288</v>
      </c>
      <c r="AH165" s="104">
        <f>AH160/1.1023*0.9*0.6*0.5+AG160/1.1023*0.9*0.6*0.5</f>
        <v>97.976957271160288</v>
      </c>
      <c r="AI165" s="104">
        <f>AVERAGE(AE165:AH165)</f>
        <v>85.484895219087363</v>
      </c>
      <c r="AJ165" s="995">
        <f>AJ160/1.1023*0.9*0.6*0.5+AH160/1.1023*0.9*0.6*0.5</f>
        <v>88.179261544044266</v>
      </c>
      <c r="AK165" s="126">
        <f>AK160/1.1023*0.9*0.6*0.5+AJ160/1.1023*0.9*0.6*0.5</f>
        <v>61.235598294475189</v>
      </c>
      <c r="AL165" s="126">
        <f>AL160/1.1023*0.9*0.6*0.5+AK160/1.1023*0.9*0.6*0.5</f>
        <v>44.089630772022133</v>
      </c>
      <c r="AM165" s="996">
        <f>AM160/1.1023*0.9*0.6*0.5+AL160/1.1023*0.9*0.6*0.5</f>
        <v>44.089630772022133</v>
      </c>
      <c r="AN165" s="104">
        <f>AVERAGE(AJ165:AM165)</f>
        <v>59.398530345640928</v>
      </c>
      <c r="AO165" s="995">
        <f>AO160/1.1023*0.9*0.6*0.5+AM160/1.1023*0.9*0.6*0.5</f>
        <v>53.642384105960261</v>
      </c>
      <c r="AP165" s="126">
        <f>AP160/1.1023*0.9*0.6*0.5+AO160/1.1023*0.9*0.6*0.5</f>
        <v>80.586047355529345</v>
      </c>
      <c r="AQ165" s="126">
        <f>AQ160/1.1023*0.9*0.6*0.5+AP160/1.1023*0.9*0.6*0.5</f>
        <v>104.10051710060782</v>
      </c>
      <c r="AR165" s="996">
        <f>AR160/1.1023*0.9*0.6*0.5+AQ160/1.1023*0.9*0.6*0.5</f>
        <v>106.30499863920892</v>
      </c>
      <c r="AS165" s="104">
        <f>AVERAGE(AO165:AR165)</f>
        <v>86.158486800326585</v>
      </c>
      <c r="AT165" s="995">
        <f>AT160/1.1023*0.9*0.6*0.5+AR160/1.1023*0.9*0.6*0.5</f>
        <v>106.30499863920892</v>
      </c>
      <c r="AU165" s="126">
        <f>AU160/1.1023*0.9*0.6*0.5+AT160/1.1023*0.9*0.6*0.5</f>
        <v>135.94302821373492</v>
      </c>
      <c r="AV165" s="126">
        <f>AV160/1.1023*0.9*0.6*0.5+AU160/1.1023*0.9*0.6*0.5</f>
        <v>157.98784359974599</v>
      </c>
      <c r="AW165" s="996">
        <f>AW160/1.1023*0.9*0.6*0.5+AV160/1.1023*0.9*0.6*0.5</f>
        <v>146.96543590674045</v>
      </c>
      <c r="AX165" s="104">
        <f>AVERAGE(AT165:AW165)</f>
        <v>136.80032658985758</v>
      </c>
      <c r="AY165" s="995">
        <f>AY160/1.1023*0.9*0.6*0.5+AW160/1.1023*0.9*0.6*0.5</f>
        <v>127.37004445250838</v>
      </c>
      <c r="AZ165" s="126">
        <f>AZ160/1.1023*0.9*0.6*0.5+AY160/1.1023*0.9*0.6*0.5</f>
        <v>108.01959539145423</v>
      </c>
      <c r="BA165" s="126">
        <f>BA160/1.1023*0.9*0.6*0.5+AZ160/1.1023*0.9*0.6*0.5</f>
        <v>105.57017145967522</v>
      </c>
      <c r="BB165" s="996">
        <f>BB160/1.1023*0.9*0.6*0.8+BA160/1.1023*0.9*0.6*0.2</f>
        <v>88.669146330400082</v>
      </c>
      <c r="BC165" s="104">
        <f>AVERAGE(AY165:BB165)</f>
        <v>107.40723940850947</v>
      </c>
      <c r="BD165" s="995">
        <f>BD160/1.1023*0.9*0.6*0.5+BB160/1.1023*0.9*0.6*0.5</f>
        <v>82.055701714596751</v>
      </c>
      <c r="BE165" s="126">
        <f>BE160/1.1023*0.9*0.6*0.5+BD160/1.1023*0.9*0.6*0.5</f>
        <v>82.545586500952552</v>
      </c>
      <c r="BF165" s="126">
        <f>BF160/1.1023*0.9*0.6*0.5+BE160/1.1023*0.9*0.6*0.5</f>
        <v>77.646738637394535</v>
      </c>
      <c r="BG165" s="996">
        <f>BG160/1.1023*0.9*0.6*0.5+BF160/1.1023*0.9*0.6*0.5</f>
        <v>72.747890773836517</v>
      </c>
      <c r="BH165" s="104">
        <f>AVERAGE(BD165:BG165)</f>
        <v>78.748979406695085</v>
      </c>
      <c r="BI165" s="995">
        <f>BI160/1.1023*0.9*0.6*0.5+BG160/1.1023*0.9*0.6*0.5</f>
        <v>72.258005987480715</v>
      </c>
      <c r="BJ165" s="126">
        <f>BJ160/1.1023*0.9*0.6*0.5+BI160/1.1023*0.9*0.6*0.5</f>
        <v>64.419849405787886</v>
      </c>
      <c r="BK165" s="126">
        <f>BK160/1.1023*0.9*0.6*0.5+BJ160/1.1023*0.9*0.6*0.5</f>
        <v>58.786174362696173</v>
      </c>
      <c r="BL165" s="996">
        <f>BL160/1.1023*0.9*0.6*0.5+BK160/1.1023*0.9*0.6*0.5</f>
        <v>58.541231969518279</v>
      </c>
      <c r="BM165" s="104">
        <f>AVERAGE(BI165:BL165)</f>
        <v>63.501315431370756</v>
      </c>
      <c r="BN165" s="995">
        <f>BN160/1.1023*0.9*0.6*0.5+BL160/1.1023*0.9*0.6*0.5</f>
        <v>57.806404789984583</v>
      </c>
      <c r="BO165" s="126">
        <f>BO160/1.1023*0.9*0.6*0.5+BN160/1.1023*0.9*0.6*0.5</f>
        <v>55.479452054794514</v>
      </c>
      <c r="BP165" s="126">
        <f>BP160/1.1023*0.9*0.6*0.5+BO160/1.1023*0.9*0.6*0.5</f>
        <v>49.600834618524893</v>
      </c>
      <c r="BQ165" s="996">
        <f>BQ160/1.1023*0.9*0.6*0.5+BP160/1.1023*0.9*0.6*0.5</f>
        <v>44.579515558377935</v>
      </c>
      <c r="BR165" s="104">
        <f>AVERAGE(BN165:BQ165)</f>
        <v>51.866551755420474</v>
      </c>
      <c r="BS165" s="995">
        <f>BS160/1.1023*0.9*0.6*0.5+BQ160/1.1023*0.9*0.6*0.5</f>
        <v>41.640206840243124</v>
      </c>
      <c r="BT165" s="126">
        <f>BT160/1.1023*0.9*0.6*0.5+BS160/1.1023*0.9*0.6*0.5</f>
        <v>40.41549487435362</v>
      </c>
      <c r="BU165" s="126">
        <f>BU160/1.1023*0.9*0.6*0.5+BT160/1.1023*0.9*0.6*0.5</f>
        <v>43.232332395899476</v>
      </c>
      <c r="BV165" s="996">
        <f>BV160/1.1023*0.9*0.6*0.5+BU160/1.1023*0.9*0.6*0.5</f>
        <v>71.645650004535966</v>
      </c>
      <c r="BW165" s="104">
        <f>AVERAGE(BS165:BV165)</f>
        <v>49.233421028758045</v>
      </c>
      <c r="BX165" s="995">
        <f>BX160/1.1023*0.9*0.6*0.5+BV160/1.1023*0.9*0.6*0.5</f>
        <v>118.79706069128184</v>
      </c>
      <c r="BY165" s="126">
        <f>BY160/1.1023*0.9*0.6*0.5+BX160/1.1023*0.9*0.6*0.5</f>
        <v>117.2049351356255</v>
      </c>
      <c r="BZ165" s="126">
        <f>BZ160/1.1023*0.9*0.6*0.5+BY160/1.1023*0.9*0.6*0.5</f>
        <v>89.122289757779185</v>
      </c>
      <c r="CA165" s="996">
        <f>CA160/1.1023*0.9*0.6*0.5+BZ160/1.1023*0.9*0.6*0.5</f>
        <v>88.678944026127184</v>
      </c>
      <c r="CB165" s="104">
        <f>AVERAGE(BX165:CA165)</f>
        <v>103.45080740270342</v>
      </c>
      <c r="CC165" s="995">
        <f>CC160/1.1023*0.9*0.6*0.5+CA160/1.1023*0.9*0.6*0.5</f>
        <v>100.84033384740995</v>
      </c>
      <c r="CD165" s="126">
        <f>CD160/1.1023*0.9*0.6*0.5+CC160/1.1023*0.9*0.6*0.5</f>
        <v>102.87580513471831</v>
      </c>
      <c r="CE165" s="126">
        <f>CE160/1.1023*0.9*0.6*0.5+CD160/1.1023*0.9*0.6*0.5</f>
        <v>93.078109407602284</v>
      </c>
      <c r="CF165" s="996">
        <f>CF160/1.1023*0.9*0.6*0.5+CE160/1.1023*0.9*0.6*0.5</f>
        <v>88.179261544044266</v>
      </c>
      <c r="CG165" s="1502">
        <f>AVERAGE(CC165:CF165)</f>
        <v>96.243377483443709</v>
      </c>
      <c r="CH165" s="995">
        <f>CH160/1.1023*0.9*0.6*0.5+CF160/1.1023*0.9*0.6*0.5</f>
        <v>71.033294021591217</v>
      </c>
      <c r="CI165" s="126">
        <f>CI160/1.1023*0.9*0.6*0.5+CH160/1.1023*0.9*0.6*0.5</f>
        <v>52.662614533248657</v>
      </c>
      <c r="CJ165" s="126">
        <f>CJ160/1.1023*0.9*0.6*0.5+CI160/1.1023*0.9*0.6*0.5</f>
        <v>51.437902567359153</v>
      </c>
      <c r="CK165" s="996">
        <f>CK160/1.1023*0.9*0.6*0.5+CJ160/1.1023*0.9*0.6*0.5</f>
        <v>52.662614533248657</v>
      </c>
      <c r="CL165" s="104">
        <f>AVERAGE(CH165:CK165)</f>
        <v>56.949106413861927</v>
      </c>
      <c r="CM165" s="995">
        <f>CM160/1.1023*0.9*0.6*0.5+CK160/1.1023*0.9*0.6*0.5</f>
        <v>53.887326499138162</v>
      </c>
      <c r="CN165" s="126">
        <f>CN160/1.1023*0.9*0.6*0.5+CM160/1.1023*0.9*0.6*0.5</f>
        <v>55.112038465027666</v>
      </c>
      <c r="CO165" s="126">
        <f>CO160/1.1023*0.9*0.6*0.5+CN160/1.1023*0.9*0.6*0.5</f>
        <v>56.336750430917164</v>
      </c>
      <c r="CP165" s="996">
        <f>CP160/1.1023*0.9*0.6*0.5+CO160/1.1023*0.9*0.6*0.5</f>
        <v>56.336750430917164</v>
      </c>
      <c r="CQ165" s="126">
        <f>AVERAGE(CM165:CP165)</f>
        <v>55.418216456500041</v>
      </c>
    </row>
    <row r="166" spans="1:105" ht="13.5" customHeight="1" outlineLevel="1">
      <c r="A166" s="76"/>
      <c r="B166" s="81" t="s">
        <v>912</v>
      </c>
      <c r="D166" s="104"/>
      <c r="E166" s="104"/>
      <c r="F166" s="104"/>
      <c r="G166" s="104"/>
      <c r="H166" s="104"/>
      <c r="I166" s="104"/>
      <c r="J166" s="104"/>
      <c r="K166" s="104">
        <f>K161/1.1023*0.33*0.4*0.5+I161/1.1023*0.33*0.4*0.5</f>
        <v>5.9879597205842341</v>
      </c>
      <c r="L166" s="104">
        <f>L161/1.1023*0.33*0.4*0.5+K161/1.1023*0.33*0.4*0.5</f>
        <v>13.652548162932053</v>
      </c>
      <c r="M166" s="104">
        <f>M161/1.1023*0.33*0.4*0.5+L161/1.1023*0.33*0.4*0.5</f>
        <v>15.32917688469564</v>
      </c>
      <c r="N166" s="104">
        <f>N161/1.1023*0.33*0.4*0.5+M161/1.1023*0.33*0.4*0.5</f>
        <v>15.32917688469564</v>
      </c>
      <c r="O166" s="104">
        <f>AVERAGE(K161:N161)</f>
        <v>121.00968000000002</v>
      </c>
      <c r="P166" s="104">
        <f>P161/1.1023*0.33*0.4*0.5+N161/1.1023*0.33*0.4*0.5</f>
        <v>15.32917688469564</v>
      </c>
      <c r="Q166" s="104">
        <f>Q161/1.1023*0.33*0.4*0.5+P161/1.1023*0.33*0.4*0.5</f>
        <v>23.830738384947839</v>
      </c>
      <c r="R166" s="104">
        <f>R161/1.1023*0.33*0.4*0.5+Q161/1.1023*0.33*0.4*0.5</f>
        <v>32.332299885200037</v>
      </c>
      <c r="S166" s="104">
        <f>S161/1.1023*0.33*0.4*0.5+R161/1.1023*0.33*0.4*0.5</f>
        <v>32.332299885200037</v>
      </c>
      <c r="T166" s="104">
        <f>AVERAGE(P161:S161)</f>
        <v>234.501958656</v>
      </c>
      <c r="U166" s="104">
        <f>U161/1.1023*0.33*0.4*0.5+S161/1.1023*0.33*0.4*0.5</f>
        <v>32.332299885200037</v>
      </c>
      <c r="V166" s="104">
        <f>V161/1.1023*0.33*0.4*0.5+U161/1.1023*0.33*0.4*0.5</f>
        <v>31.039052056362152</v>
      </c>
      <c r="W166" s="104">
        <f>W161/1.1023*0.33*0.4*0.5+V161/1.1023*0.33*0.4*0.5</f>
        <v>29.745804227524271</v>
      </c>
      <c r="X166" s="104">
        <f>X161/1.1023*0.33*0.4*0.5+W161/1.1023*0.33*0.4*0.5</f>
        <v>29.745804227524271</v>
      </c>
      <c r="Y166" s="104">
        <f>AVERAGE(U161:X161)</f>
        <v>253.799799552</v>
      </c>
      <c r="Z166" s="104">
        <f>Z161/1.1023*0.33*0.4*0.5+X161/1.1023*0.33*0.4*0.5</f>
        <v>29.745804227524271</v>
      </c>
      <c r="AA166" s="104">
        <f>AA161/1.1023*0.33*0.4*0.5+Z161/1.1023*0.33*0.4*0.5</f>
        <v>27.288542139163575</v>
      </c>
      <c r="AB166" s="104">
        <f>AB161/1.1023*0.33*0.4*0.5+AA161/1.1023*0.33*0.4*0.5</f>
        <v>24.831280050802874</v>
      </c>
      <c r="AC166" s="104">
        <f>AC161/1.1023*0.33*0.4*0.5+AB161/1.1023*0.33*0.4*0.5</f>
        <v>24.831280050802874</v>
      </c>
      <c r="AD166" s="104">
        <f>AVERAGE(Z161:AC161)</f>
        <v>217.62000000000003</v>
      </c>
      <c r="AE166" s="104">
        <f>AE161/1.1023*0.33*0.4*0.5+AC161/1.1023*0.33*0.4*0.5</f>
        <v>31.81507756509118</v>
      </c>
      <c r="AF166" s="104">
        <f>AF161/1.1023*0.33*0.4*0.5+AE161/1.1023*0.33*0.4*0.5</f>
        <v>45.265354259276066</v>
      </c>
      <c r="AG166" s="104">
        <f>AG161/1.1023*0.33*0.4*0.5+AF161/1.1023*0.33*0.4*0.5</f>
        <v>51.731833439172647</v>
      </c>
      <c r="AH166" s="104">
        <f>AH161/1.1023*0.33*0.4*0.5+AG161/1.1023*0.33*0.4*0.5</f>
        <v>51.731833439172647</v>
      </c>
      <c r="AI166" s="104">
        <f>AVERAGE(AE161:AH161)</f>
        <v>405</v>
      </c>
      <c r="AJ166" s="995">
        <f>AJ161/1.1023*0.33*0.4*0.5+AH161/1.1023*0.33*0.4*0.5</f>
        <v>44.480994284677493</v>
      </c>
      <c r="AK166" s="126">
        <f>AK161/1.1023*0.33*0.4*0.5+AJ161/1.1023*0.33*0.4*0.5</f>
        <v>40.255629139072852</v>
      </c>
      <c r="AL166" s="126">
        <f>AL161/1.1023*0.33*0.4*0.5+AK161/1.1023*0.33*0.4*0.5</f>
        <v>43.197278417853582</v>
      </c>
      <c r="AM166" s="996">
        <f>AM161/1.1023*0.33*0.4*0.5+AL161/1.1023*0.33*0.4*0.5</f>
        <v>41.206441077746533</v>
      </c>
      <c r="AN166" s="104">
        <f>AVERAGE(AJ161:AM161)</f>
        <v>340.13499999999999</v>
      </c>
      <c r="AO166" s="995">
        <f>AO161/1.1023*0.33*0.4*0.5+AM161/1.1023*0.33*0.4*0.5</f>
        <v>39.413190601469658</v>
      </c>
      <c r="AP166" s="126">
        <f>AP161/1.1023*0.33*0.4*0.5+AO161/1.1023*0.33*0.4*0.5</f>
        <v>40.084985938492238</v>
      </c>
      <c r="AQ166" s="126">
        <f>AQ161/1.1023*0.33*0.4*0.5+AP161/1.1023*0.33*0.4*0.5</f>
        <v>39.481447881701897</v>
      </c>
      <c r="AR166" s="996">
        <f>AR161/1.1023*0.33*0.4*0.5+AQ161/1.1023*0.33*0.4*0.5</f>
        <v>38.319876621609367</v>
      </c>
      <c r="AS166" s="104">
        <f>AVERAGE(AO161:AR161)</f>
        <v>327.37</v>
      </c>
      <c r="AT166" s="995">
        <f>AT161/1.1023*0.33*0.4*0.5+AR161/1.1023*0.33*0.4*0.5</f>
        <v>42.957180440896309</v>
      </c>
      <c r="AU166" s="126">
        <f>AU161/1.1023*0.33*0.4*0.5+AT161/1.1023*0.33*0.4*0.5</f>
        <v>50.925319785902211</v>
      </c>
      <c r="AV166" s="126">
        <f>AV161/1.1023*0.33*0.4*0.5+AU161/1.1023*0.33*0.4*0.5</f>
        <v>53.300553388369785</v>
      </c>
      <c r="AW166" s="996">
        <f>AW161/1.1023*0.33*0.4*0.5+AV161/1.1023*0.33*0.4*0.5</f>
        <v>52.427578699083753</v>
      </c>
      <c r="AX166" s="104">
        <f>AVERAGE(AT161:AW161)</f>
        <v>431.53750000000002</v>
      </c>
      <c r="AY166" s="995">
        <f>AY161/1.1023*0.33*0.4*0.5+AW161/1.1023*0.33*0.4*0.5</f>
        <v>50.36728658260003</v>
      </c>
      <c r="AZ166" s="126">
        <f>AZ161/1.1023*0.33*0.4*0.5+AY161/1.1023*0.33*0.4*0.5</f>
        <v>47.395699900208662</v>
      </c>
      <c r="BA166" s="126">
        <f>BA161/1.1023*0.33*0.4*0.5+AZ161/1.1023*0.33*0.4*0.5</f>
        <v>46.813716774017969</v>
      </c>
      <c r="BB166" s="996">
        <f>BB161/1.1023*0.33*0.4*0.5+BA161/1.1023*0.33*0.4*0.5</f>
        <v>47.574725573800237</v>
      </c>
      <c r="BC166" s="104">
        <f>AVERAGE(AY161:BB161)</f>
        <v>396.53750000000002</v>
      </c>
      <c r="BD166" s="995">
        <f>BD161/1.1023*0.33*0.4*0.5+BB161/1.1023*0.33*0.4*0.5</f>
        <v>45.897033475460404</v>
      </c>
      <c r="BE166" s="126">
        <f>BE161/1.1023*0.33*0.4*0.5+BD161/1.1023*0.33*0.4*0.5</f>
        <v>41.686637031661078</v>
      </c>
      <c r="BF166" s="126">
        <f>BF161/1.1023*0.33*0.4*0.5+BE161/1.1023*0.33*0.4*0.5</f>
        <v>39.603592488433279</v>
      </c>
      <c r="BG166" s="996">
        <f>BG161/1.1023*0.33*0.4*0.5+BF161/1.1023*0.33*0.4*0.5</f>
        <v>34.331016964528715</v>
      </c>
      <c r="BH166" s="104">
        <f>AVERAGE(BD161:BG161)</f>
        <v>317.40250000000003</v>
      </c>
      <c r="BI166" s="995">
        <f>BI161/1.1023*0.33*0.4*0.5+BG161/1.1023*0.33*0.4*0.5</f>
        <v>28.260909008436911</v>
      </c>
      <c r="BJ166" s="126">
        <f>BJ161/1.1023*0.33*0.4*0.5+BI161/1.1023*0.33*0.4*0.5</f>
        <v>25.195318878708157</v>
      </c>
      <c r="BK166" s="126">
        <f>BK161/1.1023*0.33*0.4*0.5+BJ161/1.1023*0.33*0.4*0.5</f>
        <v>22.991925972965618</v>
      </c>
      <c r="BL166" s="996">
        <f>BL161/1.1023*0.33*0.4*0.5+BK161/1.1023*0.33*0.4*0.5</f>
        <v>22.896126281411597</v>
      </c>
      <c r="BM166" s="104">
        <f>AVERAGE(BI161:BL161)</f>
        <v>200.79999999999998</v>
      </c>
      <c r="BN166" s="995">
        <f>BN161/1.1023*0.33*0.4*0.5+BL161/1.1023*0.33*0.4*0.5</f>
        <v>22.608727206749528</v>
      </c>
      <c r="BO166" s="126">
        <f>BO161/1.1023*0.33*0.4*0.5+BN161/1.1023*0.33*0.4*0.5</f>
        <v>21.698630136986303</v>
      </c>
      <c r="BP166" s="126">
        <f>BP161/1.1023*0.33*0.4*0.5+BO161/1.1023*0.33*0.4*0.5</f>
        <v>19.399437539689742</v>
      </c>
      <c r="BQ166" s="996">
        <f>BQ161/1.1023*0.33*0.4*0.5+BP161/1.1023*0.33*0.4*0.5</f>
        <v>17.435543862832262</v>
      </c>
      <c r="BR166" s="104">
        <f>AVERAGE(BN161:BQ161)</f>
        <v>163.4</v>
      </c>
      <c r="BS166" s="995">
        <f>BS161/1.1023*0.33*0.4*0.5+BQ161/1.1023*0.33*0.4*0.5</f>
        <v>16.285947564183978</v>
      </c>
      <c r="BT166" s="126">
        <f>BT161/1.1023*0.33*0.4*0.5+BS161/1.1023*0.33*0.4*0.5</f>
        <v>15.806949106413862</v>
      </c>
      <c r="BU166" s="126">
        <f>BU161/1.1023*0.33*0.4*0.5+BT161/1.1023*0.33*0.4*0.5</f>
        <v>16.908645559285134</v>
      </c>
      <c r="BV166" s="996">
        <f>BV161/1.1023*0.33*0.4*0.5+BU161/1.1023*0.33*0.4*0.5</f>
        <v>28.021409779551849</v>
      </c>
      <c r="BW166" s="1564">
        <f>AVERAGE(BS161:BV161)</f>
        <v>183</v>
      </c>
      <c r="BX166" s="995">
        <f>BX161/1.1023*0.33*0.4*0.5+BV161/1.1023*0.33*0.4*0.5</f>
        <v>46.462850403701353</v>
      </c>
      <c r="BY166" s="126">
        <f>BY161/1.1023*0.33*0.4*0.5+BX161/1.1023*0.33*0.4*0.5</f>
        <v>45.840152408600204</v>
      </c>
      <c r="BZ166" s="126">
        <f>BZ161/1.1023*0.33*0.4*0.5+BY161/1.1023*0.33*0.4*0.5</f>
        <v>34.856717771931415</v>
      </c>
      <c r="CA166" s="996">
        <f>CA161/1.1023*0.33*0.4*0.5+BZ161/1.1023*0.33*0.4*0.5</f>
        <v>34.683320330218635</v>
      </c>
      <c r="CB166" s="1564">
        <f>AVERAGE(BX161:CA161)</f>
        <v>336.21600000000001</v>
      </c>
      <c r="CC166" s="995">
        <f>CC161/1.1023*0.33*0.4*0.5+CA161/1.1023*0.33*0.4*0.5</f>
        <v>39.439775015875895</v>
      </c>
      <c r="CD166" s="126">
        <f>CD161/1.1023*0.33*0.4*0.5+CC161/1.1023*0.33*0.4*0.5</f>
        <v>40.235870452689831</v>
      </c>
      <c r="CE166" s="126">
        <f>CE161/1.1023*0.33*0.4*0.5+CD161/1.1023*0.33*0.4*0.5</f>
        <v>36.403882790528897</v>
      </c>
      <c r="CF166" s="996">
        <f>CF161/1.1023*0.33*0.4*0.5+CE161/1.1023*0.33*0.4*0.5</f>
        <v>34.487888959448426</v>
      </c>
      <c r="CG166" s="1565">
        <f>AVERAGE(CC161:CF161)</f>
        <v>312</v>
      </c>
      <c r="CH166" s="995">
        <f>CH161/1.1023*0.33*0.4*0.5+CF161/1.1023*0.33*0.4*0.5</f>
        <v>27.781910550666787</v>
      </c>
      <c r="CI166" s="126">
        <f>CI161/1.1023*0.33*0.4*0.5+CH161/1.1023*0.33*0.4*0.5</f>
        <v>20.596933684115029</v>
      </c>
      <c r="CJ166" s="126">
        <f>CJ161/1.1023*0.33*0.4*0.5+CI161/1.1023*0.33*0.4*0.5</f>
        <v>20.117935226344915</v>
      </c>
      <c r="CK166" s="996">
        <f>CK161/1.1023*0.33*0.4*0.5+CJ161/1.1023*0.33*0.4*0.5</f>
        <v>20.596933684115029</v>
      </c>
      <c r="CL166" s="1564">
        <f>AVERAGE(CH161:CK161)</f>
        <v>172</v>
      </c>
      <c r="CM166" s="995">
        <f>CM161/1.1023*0.33*0.4*0.5+CK161/1.1023*0.33*0.4*0.5</f>
        <v>21.075932141885147</v>
      </c>
      <c r="CN166" s="126">
        <f>CN161/1.1023*0.33*0.4*0.5+CM161/1.1023*0.33*0.4*0.5</f>
        <v>21.554930599655265</v>
      </c>
      <c r="CO166" s="126">
        <f>CO161/1.1023*0.33*0.4*0.5+CN161/1.1023*0.33*0.4*0.5</f>
        <v>22.033929057425386</v>
      </c>
      <c r="CP166" s="996">
        <f>CP161/1.1023*0.33*0.4*0.5+CO161/1.1023*0.33*0.4*0.5</f>
        <v>22.033929057425386</v>
      </c>
      <c r="CQ166" s="1563">
        <f>AVERAGE(CM161:CP161)</f>
        <v>182</v>
      </c>
    </row>
    <row r="167" spans="1:105" ht="13.5" customHeight="1" outlineLevel="1">
      <c r="A167" s="76"/>
      <c r="B167" s="81" t="s">
        <v>913</v>
      </c>
      <c r="D167" s="104"/>
      <c r="E167" s="104"/>
      <c r="F167" s="104">
        <f>F56*0.2*0.5+D56*0.2*0.5</f>
        <v>12.347333333333331</v>
      </c>
      <c r="G167" s="104">
        <f>G56*0.2*0.5+F56*0.2*0.5</f>
        <v>25.071333333333332</v>
      </c>
      <c r="H167" s="104">
        <f>H56*0.2*0.5+G56*0.2*0.5</f>
        <v>26.423999999999999</v>
      </c>
      <c r="I167" s="104">
        <f>I56*0.2*0.5+H56*0.2*0.5</f>
        <v>29.909333333333336</v>
      </c>
      <c r="J167" s="104">
        <f>AVERAGE(F167:I167)</f>
        <v>23.438000000000002</v>
      </c>
      <c r="K167" s="104">
        <f>K56*0.2*0.5+I56*0.2*0.5</f>
        <v>40.659333333333336</v>
      </c>
      <c r="L167" s="104">
        <f>L56*0.2*0.5+K56*0.2*0.5</f>
        <v>44.596666666666678</v>
      </c>
      <c r="M167" s="104">
        <f>M56*0.2*0.5+L56*0.2*0.5</f>
        <v>46.695000000000007</v>
      </c>
      <c r="N167" s="104">
        <f>N56*0.2*0.5+M56*0.2*0.5</f>
        <v>55.25</v>
      </c>
      <c r="O167" s="104">
        <f>AVERAGE(K167:N167)</f>
        <v>46.800250000000005</v>
      </c>
      <c r="P167" s="104">
        <f>P56*0.2*0.5+N56*0.2*0.5</f>
        <v>53.339333333333343</v>
      </c>
      <c r="Q167" s="104">
        <f>Q56*0.2*0.5+P56*0.2*0.5</f>
        <v>45.022333333333336</v>
      </c>
      <c r="R167" s="104">
        <f>R56*0.2*0.5+Q56*0.2*0.5</f>
        <v>42.464333333333336</v>
      </c>
      <c r="S167" s="104">
        <f>S56*0.2*0.5+R56*0.2*0.5</f>
        <v>46.773666666666671</v>
      </c>
      <c r="T167" s="104">
        <f>AVERAGE(P167:S167)</f>
        <v>46.89991666666667</v>
      </c>
      <c r="U167" s="104">
        <f>U56*0.2*0.5+S56*0.2*0.5</f>
        <v>48.862333333333339</v>
      </c>
      <c r="V167" s="104">
        <f>V56*0.2*0.5+U56*0.2*0.5</f>
        <v>50.946333333333328</v>
      </c>
      <c r="W167" s="104">
        <f>W56*0.2*0.5+V56*0.2*0.5</f>
        <v>52.192666666666668</v>
      </c>
      <c r="X167" s="104">
        <f>X56*0.2*0.5+W56*0.2*0.5</f>
        <v>48.276666666666671</v>
      </c>
      <c r="Y167" s="104">
        <f>AVERAGE(U167:X167)</f>
        <v>50.069499999999998</v>
      </c>
      <c r="Z167" s="104">
        <f>Z56*0.2*0.5+X56*0.2*0.5</f>
        <v>52.850999999999999</v>
      </c>
      <c r="AA167" s="104">
        <f>AA56*0.2*0.5+Z56*0.2*0.5</f>
        <v>58.604333333333344</v>
      </c>
      <c r="AB167" s="104">
        <f>AB56*0.2*0.5+AA56*0.2*0.5</f>
        <v>56.50233333333334</v>
      </c>
      <c r="AC167" s="104">
        <f>AC56*0.2*0.5+AB56*0.2*0.5</f>
        <v>57.427</v>
      </c>
      <c r="AD167" s="104">
        <f>AVERAGE(Z167:AC167)</f>
        <v>56.346166666666669</v>
      </c>
      <c r="AE167" s="104">
        <f>AE56*0.2*0.5+AC56*0.2*0.5</f>
        <v>68.794000000000011</v>
      </c>
      <c r="AF167" s="104">
        <f>AF56*0.2*0.5+AE56*0.2*0.5</f>
        <v>93.974666666666693</v>
      </c>
      <c r="AG167" s="104">
        <f>AG56*0.2*0.5+AF56*0.2*0.5</f>
        <v>106.09200000000003</v>
      </c>
      <c r="AH167" s="104">
        <f>AH56*0.2*0.5+AG56*0.2*0.5</f>
        <v>70.737666666666669</v>
      </c>
      <c r="AI167" s="104">
        <f>AVERAGE(AE167:AH167)</f>
        <v>84.899583333333354</v>
      </c>
      <c r="AJ167" s="995">
        <f>AJ56*0.2*0.5+AH56*0.2*0.5</f>
        <v>40.703666666666663</v>
      </c>
      <c r="AK167" s="126">
        <f>AK56*0.2*0.5+AJ56*0.2*0.5</f>
        <v>40.518000000000001</v>
      </c>
      <c r="AL167" s="126">
        <f>AL56*0.2*0.5+AK56*0.2*0.5</f>
        <v>46.13133333333333</v>
      </c>
      <c r="AM167" s="996">
        <f>AM56*0.2*0.5+AL56*0.2*0.5</f>
        <v>53.521999999999998</v>
      </c>
      <c r="AN167" s="104">
        <f>AVERAGE(AJ167:AM167)</f>
        <v>45.21875</v>
      </c>
      <c r="AO167" s="995">
        <f>AO56*0.2*0.5+AM56*0.2*0.5</f>
        <v>62.432999999999993</v>
      </c>
      <c r="AP167" s="126">
        <f>AP56*0.2*0.5+AO56*0.2*0.5</f>
        <v>72.751000000000005</v>
      </c>
      <c r="AQ167" s="126">
        <f>AQ56*0.2*0.5+AP56*0.2*0.5</f>
        <v>70.860000000000014</v>
      </c>
      <c r="AR167" s="996">
        <f>AR56*0.2*0.5+AQ56*0.2*0.5</f>
        <v>70.722333333333324</v>
      </c>
      <c r="AS167" s="104">
        <f>AVERAGE(AO167:AR167)</f>
        <v>69.191583333333341</v>
      </c>
      <c r="AT167" s="995">
        <f>AT56*0.2*0.5+AR56*0.2*0.5</f>
        <v>82.397333333333336</v>
      </c>
      <c r="AU167" s="126">
        <f>AU56*0.2*0.5+AT56*0.2*0.5</f>
        <v>90.385000000000019</v>
      </c>
      <c r="AV167" s="126">
        <f>AV56*0.2*0.5+AU56*0.2*0.5</f>
        <v>89.739333333333349</v>
      </c>
      <c r="AW167" s="996">
        <f>AW56*0.2*0.5+AV56*0.2*0.5</f>
        <v>87.987000000000009</v>
      </c>
      <c r="AX167" s="104">
        <f>AVERAGE(AT167:AW167)</f>
        <v>87.627166666666682</v>
      </c>
      <c r="AY167" s="995">
        <f>AY56*0.2*0.5+AW56*0.2*0.5</f>
        <v>87.937000000000012</v>
      </c>
      <c r="AZ167" s="126">
        <f>AZ56*0.2*0.5+AY56*0.2*0.5</f>
        <v>86.432666666666677</v>
      </c>
      <c r="BA167" s="126">
        <f>BA56*0.2*0.5+AZ56*0.2*0.5</f>
        <v>78.854666666666674</v>
      </c>
      <c r="BB167" s="996">
        <f>BB56*0.2*0.5+BA56*0.2*0.5</f>
        <v>74.305000000000007</v>
      </c>
      <c r="BC167" s="104">
        <f>AVERAGE(AY167:BB167)</f>
        <v>81.882333333333349</v>
      </c>
      <c r="BD167" s="995">
        <f>BD56*0.2*0.5+BB56*0.2*0.5</f>
        <v>75.940333333333342</v>
      </c>
      <c r="BE167" s="126">
        <f>BE56*0.2*0.5+BD56*0.2*0.5</f>
        <v>76.494</v>
      </c>
      <c r="BF167" s="126">
        <f>BF56*0.2*0.5+BE56*0.2*0.5</f>
        <v>74.146999999999991</v>
      </c>
      <c r="BG167" s="996">
        <f>BG56*0.2*0.5+BF56*0.2*0.5</f>
        <v>75.058666666666682</v>
      </c>
      <c r="BH167" s="104">
        <f>AVERAGE(BD167:BG167)</f>
        <v>75.41</v>
      </c>
      <c r="BI167" s="995">
        <f>BI56*0.2*0.5+BG56*0.2*0.5</f>
        <v>79.63966666666667</v>
      </c>
      <c r="BJ167" s="126">
        <f>BJ56*0.2*0.5+BI56*0.2*0.5</f>
        <v>79.605666666666679</v>
      </c>
      <c r="BK167" s="126">
        <f>BK56*0.2*0.5+BJ56*0.2*0.5</f>
        <v>75.788666666666671</v>
      </c>
      <c r="BL167" s="996">
        <f>BL56*0.2*0.5+BK56*0.2*0.5</f>
        <v>71.262666666666675</v>
      </c>
      <c r="BM167" s="104">
        <f>AVERAGE(BI167:BL167)</f>
        <v>76.57416666666667</v>
      </c>
      <c r="BN167" s="995">
        <f>BN56*0.2*0.5+BL56*0.2*0.5</f>
        <v>61.597000000000008</v>
      </c>
      <c r="BO167" s="126">
        <f>BO56*0.2*0.5+BN56*0.2*0.5</f>
        <v>52.677</v>
      </c>
      <c r="BP167" s="126">
        <f>BP56*0.2*0.5+BO56*0.2*0.5</f>
        <v>49.327333333333335</v>
      </c>
      <c r="BQ167" s="996">
        <f>BQ56*0.2*0.5+BP56*0.2*0.5</f>
        <v>41.594666666666669</v>
      </c>
      <c r="BR167" s="104">
        <f>AVERAGE(BN167:BQ167)</f>
        <v>51.299000000000007</v>
      </c>
      <c r="BS167" s="995">
        <f>BS56*0.2*0.5+BQ56*0.2*0.5</f>
        <v>36.607333333333337</v>
      </c>
      <c r="BT167" s="126">
        <f>BT56*0.2*0.5+BS56*0.2*0.5</f>
        <v>45.492333333333335</v>
      </c>
      <c r="BU167" s="126">
        <f>BU56*0.2*0.5+BT56*0.2*0.5</f>
        <v>49.57866666666667</v>
      </c>
      <c r="BV167" s="996">
        <f>BV56*0.2*0.5+BU56*0.2*0.5</f>
        <v>46.251666666666665</v>
      </c>
      <c r="BW167" s="104">
        <f>AVERAGE(BS167:BV167)</f>
        <v>44.482500000000002</v>
      </c>
      <c r="BX167" s="995">
        <f>BX56*0.2*0.5+BV56*0.2*0.5</f>
        <v>52.896333333333331</v>
      </c>
      <c r="BY167" s="126">
        <f>BY56*0.2*0.5+BX56*0.2*0.5</f>
        <v>59.379999999999995</v>
      </c>
      <c r="BZ167" s="126">
        <f>BZ56*0.2*0.5+BY56*0.2*0.5</f>
        <v>58.135999999999996</v>
      </c>
      <c r="CA167" s="996">
        <f>CA56*0.2*0.5+BZ56*0.2*0.5</f>
        <v>56.190333333333328</v>
      </c>
      <c r="CB167" s="104">
        <f>AVERAGE(BX167:CA167)</f>
        <v>56.650666666666666</v>
      </c>
      <c r="CC167" s="995">
        <f>CC56*0.2*0.5+CA56*0.2*0.5</f>
        <v>60.533000000000001</v>
      </c>
      <c r="CD167" s="126">
        <f>CD56*0.2*0.5+CC56*0.2*0.5</f>
        <v>70.751333333333335</v>
      </c>
      <c r="CE167" s="126">
        <f>CE56*0.2*0.5+CD56*0.2*0.5</f>
        <v>73.5</v>
      </c>
      <c r="CF167" s="996">
        <f>CF56*0.2*0.5+CE56*0.2*0.5</f>
        <v>70.5</v>
      </c>
      <c r="CG167" s="1502">
        <f>AVERAGE(CC167:CF167)</f>
        <v>68.821083333333334</v>
      </c>
      <c r="CH167" s="995">
        <f>CH56*0.2*0.5+CF56*0.2*0.5</f>
        <v>70</v>
      </c>
      <c r="CI167" s="126">
        <f>CI56*0.2*0.5+CH56*0.2*0.5</f>
        <v>71.5</v>
      </c>
      <c r="CJ167" s="126">
        <f>CJ56*0.2*0.5+CI56*0.2*0.5</f>
        <v>71</v>
      </c>
      <c r="CK167" s="996">
        <f>CK56*0.2*0.5+CJ56*0.2*0.5</f>
        <v>68.5</v>
      </c>
      <c r="CL167" s="104">
        <f>AVERAGE(CH167:CK167)</f>
        <v>70.25</v>
      </c>
      <c r="CM167" s="995">
        <f>CM56*0.2*0.5+CK56*0.2*0.5</f>
        <v>64</v>
      </c>
      <c r="CN167" s="126">
        <f>CN56*0.2*0.5+CM56*0.2*0.5</f>
        <v>61.5</v>
      </c>
      <c r="CO167" s="126">
        <f>CO56*0.2*0.5+CN56*0.2*0.5</f>
        <v>61</v>
      </c>
      <c r="CP167" s="996">
        <f>CP56*0.2*0.5+CO56*0.2*0.5</f>
        <v>58.5</v>
      </c>
      <c r="CQ167" s="126">
        <f>AVERAGE(CM167:CP167)</f>
        <v>61.25</v>
      </c>
    </row>
    <row r="168" spans="1:105" ht="6.2" customHeight="1">
      <c r="AJ168" s="1000"/>
      <c r="AK168" s="1001"/>
      <c r="AL168" s="1001"/>
      <c r="AM168" s="1002"/>
      <c r="AO168" s="1000"/>
      <c r="AP168" s="1001"/>
      <c r="AQ168" s="1001"/>
      <c r="AR168" s="1002"/>
      <c r="AT168" s="1000"/>
      <c r="AU168" s="1001"/>
      <c r="AV168" s="1001"/>
      <c r="AW168" s="1002"/>
      <c r="AY168" s="1000"/>
      <c r="AZ168" s="1001"/>
      <c r="BA168" s="1001"/>
      <c r="BB168" s="1002"/>
      <c r="BD168" s="1000"/>
      <c r="BE168" s="1001"/>
      <c r="BF168" s="1001"/>
      <c r="BG168" s="1002"/>
      <c r="BI168" s="1000"/>
      <c r="BJ168" s="1001"/>
      <c r="BK168" s="1001"/>
      <c r="BL168" s="1002"/>
      <c r="BN168" s="1000"/>
      <c r="BO168" s="1001"/>
      <c r="BP168" s="1001"/>
      <c r="BQ168" s="1002"/>
      <c r="BS168" s="1000"/>
      <c r="BT168" s="1001"/>
      <c r="BU168" s="1001"/>
      <c r="BV168" s="1002"/>
      <c r="BX168" s="1000"/>
      <c r="BY168" s="1001"/>
      <c r="BZ168" s="1001"/>
      <c r="CA168" s="1002"/>
      <c r="CC168" s="1000"/>
      <c r="CD168" s="1001"/>
      <c r="CE168" s="1001"/>
      <c r="CF168" s="1002"/>
      <c r="CG168" s="1504"/>
      <c r="CH168" s="1000"/>
      <c r="CI168" s="1001"/>
      <c r="CJ168" s="1001"/>
      <c r="CK168" s="1002"/>
      <c r="CM168" s="1000"/>
      <c r="CN168" s="1001"/>
      <c r="CO168" s="1001"/>
      <c r="CP168" s="1002"/>
      <c r="CQ168" s="1001"/>
    </row>
    <row r="169" spans="1:105" ht="13.5" customHeight="1">
      <c r="A169" s="76"/>
      <c r="B169" s="81" t="s">
        <v>981</v>
      </c>
      <c r="D169" s="104"/>
      <c r="E169" s="104"/>
      <c r="F169" s="104">
        <f t="shared" ref="F169:AK169" si="254">+F155-F176</f>
        <v>276.71428571428572</v>
      </c>
      <c r="G169" s="104">
        <f t="shared" si="254"/>
        <v>305.29807692307691</v>
      </c>
      <c r="H169" s="104">
        <f t="shared" si="254"/>
        <v>316.70258236865538</v>
      </c>
      <c r="I169" s="104">
        <f t="shared" si="254"/>
        <v>323.74456521739131</v>
      </c>
      <c r="J169" s="104">
        <f t="shared" si="254"/>
        <v>305.82429366879768</v>
      </c>
      <c r="K169" s="104">
        <f t="shared" si="254"/>
        <v>374.17732310315432</v>
      </c>
      <c r="L169" s="104">
        <f t="shared" si="254"/>
        <v>419.93903404592243</v>
      </c>
      <c r="M169" s="104">
        <f t="shared" si="254"/>
        <v>445.91169451073984</v>
      </c>
      <c r="N169" s="104">
        <f t="shared" si="254"/>
        <v>510.28656273199704</v>
      </c>
      <c r="O169" s="104">
        <f t="shared" si="254"/>
        <v>439.91269841269843</v>
      </c>
      <c r="P169" s="104">
        <f t="shared" si="254"/>
        <v>506.48062015503876</v>
      </c>
      <c r="Q169" s="104">
        <f t="shared" si="254"/>
        <v>524.3813813813814</v>
      </c>
      <c r="R169" s="104">
        <f t="shared" si="254"/>
        <v>520.53658536585363</v>
      </c>
      <c r="S169" s="104">
        <f t="shared" si="254"/>
        <v>449.92641648270785</v>
      </c>
      <c r="T169" s="104">
        <f t="shared" si="254"/>
        <v>499.59839762041833</v>
      </c>
      <c r="U169" s="104">
        <f t="shared" si="254"/>
        <v>441.87798408488061</v>
      </c>
      <c r="V169" s="104">
        <f t="shared" si="254"/>
        <v>453.27602905569006</v>
      </c>
      <c r="W169" s="104">
        <f t="shared" si="254"/>
        <v>482.78350515463922</v>
      </c>
      <c r="X169" s="104">
        <f t="shared" si="254"/>
        <v>528.7830858618463</v>
      </c>
      <c r="Y169" s="104">
        <f t="shared" si="254"/>
        <v>476.53050630889629</v>
      </c>
      <c r="Z169" s="104">
        <f t="shared" si="254"/>
        <v>526.74818401937046</v>
      </c>
      <c r="AA169" s="104">
        <f t="shared" si="254"/>
        <v>556.44554455445541</v>
      </c>
      <c r="AB169" s="104">
        <f t="shared" si="254"/>
        <v>614.8506056527591</v>
      </c>
      <c r="AC169" s="104">
        <f t="shared" si="254"/>
        <v>666.80144404332134</v>
      </c>
      <c r="AD169" s="104">
        <f t="shared" si="254"/>
        <v>589.30668675680079</v>
      </c>
      <c r="AE169" s="104">
        <f t="shared" si="254"/>
        <v>670.12087912087918</v>
      </c>
      <c r="AF169" s="104">
        <f t="shared" si="254"/>
        <v>788.47641509433959</v>
      </c>
      <c r="AG169" s="104">
        <f t="shared" si="254"/>
        <v>936.24840312278207</v>
      </c>
      <c r="AH169" s="104">
        <f t="shared" si="254"/>
        <v>958.23348017621151</v>
      </c>
      <c r="AI169" s="104">
        <f t="shared" si="254"/>
        <v>813.71482923376391</v>
      </c>
      <c r="AJ169" s="995">
        <f t="shared" si="254"/>
        <v>811.35340022296543</v>
      </c>
      <c r="AK169" s="126">
        <f t="shared" si="254"/>
        <v>620.35748792270533</v>
      </c>
      <c r="AL169" s="126">
        <f t="shared" ref="AL169:BQ169" si="255">+AL155-AL176</f>
        <v>580.75875486381324</v>
      </c>
      <c r="AM169" s="996">
        <f t="shared" si="255"/>
        <v>635.91011235955057</v>
      </c>
      <c r="AN169" s="104">
        <f t="shared" si="255"/>
        <v>652.8141944880125</v>
      </c>
      <c r="AO169" s="995">
        <f t="shared" si="255"/>
        <v>583.77660972404726</v>
      </c>
      <c r="AP169" s="126">
        <f t="shared" si="255"/>
        <v>650.92496392496389</v>
      </c>
      <c r="AQ169" s="126">
        <f t="shared" si="255"/>
        <v>743.46485260770976</v>
      </c>
      <c r="AR169" s="996">
        <f t="shared" si="255"/>
        <v>797.86618004866182</v>
      </c>
      <c r="AS169" s="104">
        <f t="shared" si="255"/>
        <v>692.93045387994141</v>
      </c>
      <c r="AT169" s="995">
        <f t="shared" si="255"/>
        <v>802.23875432525949</v>
      </c>
      <c r="AU169" s="126">
        <f t="shared" si="255"/>
        <v>914.18277680140602</v>
      </c>
      <c r="AV169" s="126">
        <f t="shared" si="255"/>
        <v>874.54180602006693</v>
      </c>
      <c r="AW169" s="996">
        <f t="shared" si="255"/>
        <v>817.70164787510839</v>
      </c>
      <c r="AX169" s="104">
        <f t="shared" si="255"/>
        <v>850.71066504460669</v>
      </c>
      <c r="AY169" s="995">
        <f t="shared" si="255"/>
        <v>755.6985645933014</v>
      </c>
      <c r="AZ169" s="126">
        <f t="shared" si="255"/>
        <v>705.21989528795814</v>
      </c>
      <c r="BA169" s="126">
        <f t="shared" si="255"/>
        <v>673.91986827661913</v>
      </c>
      <c r="BB169" s="996">
        <f t="shared" si="255"/>
        <v>682.64088397790056</v>
      </c>
      <c r="BC169" s="104">
        <f t="shared" si="255"/>
        <v>705.61058700209639</v>
      </c>
      <c r="BD169" s="995">
        <f t="shared" si="255"/>
        <v>658.83969465648852</v>
      </c>
      <c r="BE169" s="126">
        <f t="shared" si="255"/>
        <v>669.98493408662898</v>
      </c>
      <c r="BF169" s="126">
        <f t="shared" si="255"/>
        <v>724.45296167247386</v>
      </c>
      <c r="BG169" s="996">
        <f t="shared" si="255"/>
        <v>657.01457725947523</v>
      </c>
      <c r="BH169" s="104">
        <f t="shared" si="255"/>
        <v>675.75</v>
      </c>
      <c r="BI169" s="995">
        <f t="shared" si="255"/>
        <v>672.17264791464595</v>
      </c>
      <c r="BJ169" s="126">
        <f t="shared" si="255"/>
        <v>631.17094017094018</v>
      </c>
      <c r="BK169" s="126">
        <f t="shared" si="255"/>
        <v>618.31509625126648</v>
      </c>
      <c r="BL169" s="996">
        <f t="shared" si="255"/>
        <v>548.55595667870034</v>
      </c>
      <c r="BM169" s="104">
        <f t="shared" si="255"/>
        <v>617.50945202201478</v>
      </c>
      <c r="BN169" s="995">
        <f t="shared" si="255"/>
        <v>484.90506329113924</v>
      </c>
      <c r="BO169" s="126">
        <f t="shared" si="255"/>
        <v>499.66666666666669</v>
      </c>
      <c r="BP169" s="126">
        <f t="shared" si="255"/>
        <v>477.76470588235293</v>
      </c>
      <c r="BQ169" s="996">
        <f t="shared" si="255"/>
        <v>450.52342158859472</v>
      </c>
      <c r="BR169" s="104">
        <f t="shared" ref="BR169:BZ169" si="256">+BR155-BR176</f>
        <v>477.72592924317064</v>
      </c>
      <c r="BS169" s="995">
        <f t="shared" si="256"/>
        <v>453.0199203187251</v>
      </c>
      <c r="BT169" s="126">
        <f t="shared" si="256"/>
        <v>418.33333333333331</v>
      </c>
      <c r="BU169" s="126">
        <f t="shared" si="256"/>
        <v>410.69230769230768</v>
      </c>
      <c r="BV169" s="996">
        <f t="shared" si="256"/>
        <v>418.17922283901663</v>
      </c>
      <c r="BW169" s="104">
        <f t="shared" si="256"/>
        <v>423.54560622914352</v>
      </c>
      <c r="BX169" s="995">
        <f t="shared" si="256"/>
        <v>498.41839495040574</v>
      </c>
      <c r="BY169" s="126">
        <f t="shared" si="256"/>
        <v>557.77009507346588</v>
      </c>
      <c r="BZ169" s="126">
        <f t="shared" si="256"/>
        <v>551.83973758200568</v>
      </c>
      <c r="CA169" s="996">
        <f t="shared" ref="CA169" si="257">+CA155-CA176</f>
        <v>528.5686900958467</v>
      </c>
      <c r="CB169" s="104">
        <f t="shared" ref="CB169:CB171" si="258">AVERAGE(BX169:CA169)</f>
        <v>534.14922942543103</v>
      </c>
      <c r="CC169" s="995">
        <f t="shared" ref="CC169:CF169" si="259">+CC171+CC170</f>
        <v>617.42538111200145</v>
      </c>
      <c r="CD169" s="126">
        <f t="shared" si="259"/>
        <v>663.07651341236374</v>
      </c>
      <c r="CE169" s="126">
        <f t="shared" si="259"/>
        <v>630.02936764767094</v>
      </c>
      <c r="CF169" s="996">
        <f t="shared" si="259"/>
        <v>575.18663768977706</v>
      </c>
      <c r="CG169" s="1502">
        <f t="shared" ref="CG169:CG171" si="260">AVERAGE(CC169:CF169)</f>
        <v>621.42947496545321</v>
      </c>
      <c r="CH169" s="995">
        <f t="shared" ref="CH169" si="261">+CH171+CH170</f>
        <v>623.97764986094273</v>
      </c>
      <c r="CI169" s="126">
        <f t="shared" ref="CI169" si="262">+CI171+CI170</f>
        <v>620.035695957391</v>
      </c>
      <c r="CJ169" s="126">
        <f t="shared" ref="CJ169" si="263">+CJ171+CJ170</f>
        <v>631.31296359191708</v>
      </c>
      <c r="CK169" s="996">
        <f t="shared" ref="CK169" si="264">+CK171+CK170</f>
        <v>580.83555423451742</v>
      </c>
      <c r="CL169" s="104">
        <f t="shared" ref="CL169:CL171" si="265">AVERAGE(CH169:CK169)</f>
        <v>614.04046591119209</v>
      </c>
      <c r="CM169" s="995">
        <f t="shared" ref="CM169" si="266">+CM171+CM170</f>
        <v>624.81954010146956</v>
      </c>
      <c r="CN169" s="126">
        <f t="shared" ref="CN169" si="267">+CN171+CN170</f>
        <v>624.55766468773436</v>
      </c>
      <c r="CO169" s="126">
        <f t="shared" ref="CO169" si="268">+CO171+CO170</f>
        <v>639.67229612873314</v>
      </c>
      <c r="CP169" s="996">
        <f t="shared" ref="CP169" si="269">+CP171+CP170</f>
        <v>586.71118297724081</v>
      </c>
      <c r="CQ169" s="126">
        <f t="shared" ref="CQ169:CQ171" si="270">AVERAGE(CM169:CP169)</f>
        <v>618.94017097379447</v>
      </c>
    </row>
    <row r="170" spans="1:105" ht="13.5" customHeight="1">
      <c r="A170" s="76"/>
      <c r="B170" s="81" t="s">
        <v>982</v>
      </c>
      <c r="D170" s="104"/>
      <c r="E170" s="104"/>
      <c r="F170" s="104"/>
      <c r="G170" s="104"/>
      <c r="H170" s="104"/>
      <c r="I170" s="104"/>
      <c r="J170" s="104"/>
      <c r="K170" s="104"/>
      <c r="L170" s="104"/>
      <c r="M170" s="104"/>
      <c r="N170" s="104"/>
      <c r="O170" s="104"/>
      <c r="P170" s="104"/>
      <c r="Q170" s="104"/>
      <c r="R170" s="104"/>
      <c r="S170" s="104"/>
      <c r="T170" s="104"/>
      <c r="U170" s="104">
        <f t="shared" ref="U170" si="271">+U169-U171</f>
        <v>-19.253517876524143</v>
      </c>
      <c r="V170" s="104">
        <f t="shared" ref="V170" si="272">+V169-V171</f>
        <v>-23.316863334575601</v>
      </c>
      <c r="W170" s="104">
        <f>+W169-W171</f>
        <v>-48.074997954712103</v>
      </c>
      <c r="X170" s="104">
        <f>+X169-X171</f>
        <v>-15.517470080060434</v>
      </c>
      <c r="Y170" s="104">
        <f t="shared" ref="Y170:Y171" si="273">AVERAGE(U170:X170)</f>
        <v>-26.54071231146807</v>
      </c>
      <c r="Z170" s="104">
        <f t="shared" ref="Z170" si="274">+Z169-Z171</f>
        <v>-28.909895004770874</v>
      </c>
      <c r="AA170" s="104">
        <f t="shared" ref="AA170" si="275">+AA169-AA171</f>
        <v>-35.935085038067996</v>
      </c>
      <c r="AB170" s="104">
        <f>+AB169-AB171</f>
        <v>-4.6487488659934115</v>
      </c>
      <c r="AC170" s="104">
        <f>+AC169-AC171</f>
        <v>16.602029596927196</v>
      </c>
      <c r="AD170" s="104">
        <f t="shared" ref="AD170:AD171" si="276">AVERAGE(Z170:AC170)</f>
        <v>-13.222924827976271</v>
      </c>
      <c r="AE170" s="104">
        <f t="shared" ref="AE170" si="277">+AE169-AE171</f>
        <v>19.10986401228763</v>
      </c>
      <c r="AF170" s="104">
        <f t="shared" ref="AF170" si="278">+AF169-AF171</f>
        <v>1.8397476439204183</v>
      </c>
      <c r="AG170" s="104">
        <f>+AG169-AG171</f>
        <v>15.85298998563394</v>
      </c>
      <c r="AH170" s="104">
        <f>+AH169-AH171</f>
        <v>28.915582890831729</v>
      </c>
      <c r="AI170" s="104">
        <f t="shared" ref="AI170:AI171" si="279">AVERAGE(AE170:AH170)</f>
        <v>16.429546133168429</v>
      </c>
      <c r="AJ170" s="995">
        <f t="shared" ref="AJ170" si="280">+AJ169-AJ171</f>
        <v>13.089823499926183</v>
      </c>
      <c r="AK170" s="126">
        <f t="shared" ref="AK170" si="281">+AK169-AK171</f>
        <v>-36.56580217812882</v>
      </c>
      <c r="AL170" s="126">
        <f>+AL169-AL171</f>
        <v>21.708631561591801</v>
      </c>
      <c r="AM170" s="996">
        <f>+AM169-AM171</f>
        <v>30.895753372416834</v>
      </c>
      <c r="AN170" s="104">
        <f t="shared" ref="AN170:AN171" si="282">AVERAGE(AJ170:AM170)</f>
        <v>7.2821015639514997</v>
      </c>
      <c r="AO170" s="995">
        <f t="shared" ref="AO170" si="283">+AO169-AO171</f>
        <v>16.7977223941989</v>
      </c>
      <c r="AP170" s="126">
        <f t="shared" ref="AP170" si="284">+AP169-AP171</f>
        <v>38.126868401769798</v>
      </c>
      <c r="AQ170" s="126">
        <f>+AQ169-AQ171</f>
        <v>60.278574580669556</v>
      </c>
      <c r="AR170" s="996">
        <f>+AR169-AR171</f>
        <v>31.615141544548692</v>
      </c>
      <c r="AS170" s="104">
        <f t="shared" ref="AS170:AS171" si="285">AVERAGE(AO170:AR170)</f>
        <v>36.704576730296736</v>
      </c>
      <c r="AT170" s="995">
        <f t="shared" ref="AT170" si="286">+AT169-AT171</f>
        <v>28.292410592303781</v>
      </c>
      <c r="AU170" s="126">
        <f t="shared" ref="AU170" si="287">+AU169-AU171</f>
        <v>23.72738519591735</v>
      </c>
      <c r="AV170" s="126">
        <f>+AV169-AV171</f>
        <v>3.3436311619055914</v>
      </c>
      <c r="AW170" s="996">
        <f>+AW169-AW171</f>
        <v>-13.736584661231063</v>
      </c>
      <c r="AX170" s="104">
        <f t="shared" ref="AX170:AX171" si="288">AVERAGE(AT170:AW170)</f>
        <v>10.406710572223915</v>
      </c>
      <c r="AY170" s="995">
        <f t="shared" ref="AY170" si="289">+AY169-AY171</f>
        <v>-32.101185203245564</v>
      </c>
      <c r="AZ170" s="126">
        <f t="shared" ref="AZ170" si="290">+AZ169-AZ171</f>
        <v>-57.743614701943329</v>
      </c>
      <c r="BA170" s="126">
        <f>+BA169-BA171</f>
        <v>-43.33154132424886</v>
      </c>
      <c r="BB170" s="996">
        <f>+BB169-BB171</f>
        <v>5.5292007364633946</v>
      </c>
      <c r="BC170" s="104">
        <f t="shared" ref="BC170:BC171" si="291">AVERAGE(AY170:BB170)</f>
        <v>-31.91178512324359</v>
      </c>
      <c r="BD170" s="995">
        <f t="shared" ref="BD170" si="292">+BD169-BD171</f>
        <v>2.4395319356756318</v>
      </c>
      <c r="BE170" s="126">
        <f t="shared" ref="BE170" si="293">+BE169-BE171</f>
        <v>-4.6427989322565963</v>
      </c>
      <c r="BF170" s="126">
        <f>+BF169-BF171</f>
        <v>17.470372047015076</v>
      </c>
      <c r="BG170" s="996">
        <f>+BG169-BG171</f>
        <v>8.509273860806843E-2</v>
      </c>
      <c r="BH170" s="104">
        <f t="shared" ref="BH170:BH171" si="294">AVERAGE(BD170:BG170)</f>
        <v>3.8380494472605449</v>
      </c>
      <c r="BI170" s="995">
        <f t="shared" ref="BI170" si="295">+BI169-BI171</f>
        <v>8.6456450095619175</v>
      </c>
      <c r="BJ170" s="126">
        <f t="shared" ref="BJ170" si="296">+BJ169-BJ171</f>
        <v>-19.749086637047867</v>
      </c>
      <c r="BK170" s="126">
        <f>+BK169-BK171</f>
        <v>-9.8159881123523292</v>
      </c>
      <c r="BL170" s="996">
        <f>+BL169-BL171</f>
        <v>-7.7777021281506222</v>
      </c>
      <c r="BM170" s="104">
        <f t="shared" ref="BM170:BM171" si="297">AVERAGE(BI170:BL170)</f>
        <v>-7.1742829669972252</v>
      </c>
      <c r="BN170" s="995">
        <f t="shared" ref="BN170" si="298">+BN169-BN171</f>
        <v>-0.32864479053358764</v>
      </c>
      <c r="BO170" s="126">
        <f t="shared" ref="BO170" si="299">+BO169-BO171</f>
        <v>16.85320824213278</v>
      </c>
      <c r="BP170" s="126">
        <f>+BP169-BP171</f>
        <v>-18.979249427775926</v>
      </c>
      <c r="BQ170" s="996">
        <f>+BQ169-BQ171</f>
        <v>1.4979538109020609</v>
      </c>
      <c r="BR170" s="104">
        <f t="shared" ref="BR170:BR171" si="300">AVERAGE(BN170:BQ170)</f>
        <v>-0.23918304131866819</v>
      </c>
      <c r="BS170" s="995">
        <f t="shared" ref="BS170" si="301">+BS169-BS171</f>
        <v>39.115061500558113</v>
      </c>
      <c r="BT170" s="126">
        <f t="shared" ref="BT170" si="302">+BT169-BT171</f>
        <v>9.2122304646716771</v>
      </c>
      <c r="BU170" s="126">
        <f>+BU169-BU171</f>
        <v>-17.307996861217362</v>
      </c>
      <c r="BV170" s="996">
        <f>+BV169-BV171</f>
        <v>20.052757111871927</v>
      </c>
      <c r="BW170" s="104">
        <f t="shared" ref="BW170:BW171" si="303">AVERAGE(BS170:BV170)</f>
        <v>12.768013053971089</v>
      </c>
      <c r="BX170" s="995">
        <f t="shared" ref="BX170:BY170" si="304">+BX169-BX171</f>
        <v>-8.9266454502690067</v>
      </c>
      <c r="BY170" s="126">
        <f t="shared" si="304"/>
        <v>23.936499698797661</v>
      </c>
      <c r="BZ170" s="126">
        <f>+BZ169-BZ171</f>
        <v>-19.994757754627244</v>
      </c>
      <c r="CA170" s="996">
        <f>+CA169-CA171</f>
        <v>0.92265413339498537</v>
      </c>
      <c r="CB170" s="104">
        <f t="shared" si="258"/>
        <v>-1.0155623431759011</v>
      </c>
      <c r="CC170" s="1120">
        <v>15</v>
      </c>
      <c r="CD170" s="1121">
        <v>35</v>
      </c>
      <c r="CE170" s="1121">
        <v>-22</v>
      </c>
      <c r="CF170" s="1096">
        <v>-5</v>
      </c>
      <c r="CG170" s="1502">
        <f t="shared" si="260"/>
        <v>5.75</v>
      </c>
      <c r="CH170" s="1120">
        <v>10</v>
      </c>
      <c r="CI170" s="1121">
        <v>10</v>
      </c>
      <c r="CJ170" s="1121">
        <v>10</v>
      </c>
      <c r="CK170" s="1096">
        <v>10</v>
      </c>
      <c r="CL170" s="104">
        <f t="shared" si="265"/>
        <v>10</v>
      </c>
      <c r="CM170" s="1120">
        <v>15</v>
      </c>
      <c r="CN170" s="1121">
        <v>15</v>
      </c>
      <c r="CO170" s="1121">
        <v>15</v>
      </c>
      <c r="CP170" s="1096">
        <v>15</v>
      </c>
      <c r="CQ170" s="126">
        <f t="shared" si="270"/>
        <v>15</v>
      </c>
    </row>
    <row r="171" spans="1:105" ht="13.5" customHeight="1">
      <c r="A171" s="76"/>
      <c r="B171" s="81" t="s">
        <v>983</v>
      </c>
      <c r="D171" s="104"/>
      <c r="E171" s="104"/>
      <c r="F171" s="104"/>
      <c r="G171" s="104"/>
      <c r="H171" s="104"/>
      <c r="I171" s="104"/>
      <c r="J171" s="104"/>
      <c r="K171" s="104"/>
      <c r="L171" s="104"/>
      <c r="M171" s="104"/>
      <c r="N171" s="104"/>
      <c r="O171" s="104"/>
      <c r="P171" s="104"/>
      <c r="Q171" s="104"/>
      <c r="R171" s="104"/>
      <c r="S171" s="104"/>
      <c r="T171" s="104"/>
      <c r="U171" s="104">
        <f>U155*0.3874+U164*0.4215-172.35*(U141/S141-1)+0.4696*S169+0.645*U166</f>
        <v>461.13150196140475</v>
      </c>
      <c r="V171" s="104">
        <f>V155*0.3874+V164*0.4215-172.35*(V141/U141-1)+0.4696*U169+0.645*V166</f>
        <v>476.59289239026566</v>
      </c>
      <c r="W171" s="104">
        <f>W155*0.3874+W164*0.4215-172.35*(W141/V141-1)+0.4696*V169+0.645*W166</f>
        <v>530.85850310935132</v>
      </c>
      <c r="X171" s="104">
        <f>X155*0.3874+X164*0.4215-172.35*(X141/W141-1)+0.4696*W169+0.645*X166</f>
        <v>544.30055594190674</v>
      </c>
      <c r="Y171" s="104">
        <f t="shared" si="273"/>
        <v>503.22086335073209</v>
      </c>
      <c r="Z171" s="104">
        <f>Z155*0.3874+Z164*0.4215-172.35*(Z141/X141-1)+0.4696*X169+0.645*Z166</f>
        <v>555.65807902414133</v>
      </c>
      <c r="AA171" s="104">
        <f>AA155*0.3874+AA164*0.4215-172.35*(AA141/Z141-1)+0.4696*Z169+0.645*AA166</f>
        <v>592.38062959252341</v>
      </c>
      <c r="AB171" s="104">
        <f>AB155*0.3874+AB164*0.4215-172.35*(AB141/AA141-1)+0.4696*AA169+0.645*AB166</f>
        <v>619.49935451875251</v>
      </c>
      <c r="AC171" s="104">
        <f>AC155*0.3874+AC164*0.4215-172.35*(AC141/AB141-1)+0.4696*AB169+0.645*AC166</f>
        <v>650.19941444639414</v>
      </c>
      <c r="AD171" s="104">
        <f t="shared" si="276"/>
        <v>604.4343693954529</v>
      </c>
      <c r="AE171" s="104">
        <f>AE155*0.3874+AE164*0.4215-172.35*(AE141/AC141-1)+0.4696*AC169+0.645*AE166</f>
        <v>651.01101510859155</v>
      </c>
      <c r="AF171" s="104">
        <f>AF155*0.3874+AF164*0.4215-172.35*(AF141/AE141-1)+0.4696*AE169+0.645*AF166</f>
        <v>786.63666745041917</v>
      </c>
      <c r="AG171" s="104">
        <f>AG155*0.3874+AG164*0.4215-172.35*(AG141/AF141-1)+0.4696*AF169+0.645*AG166</f>
        <v>920.39541313714813</v>
      </c>
      <c r="AH171" s="104">
        <f>AH155*0.3874+AH164*0.4215-172.35*(AH141/AG141-1)+0.4696*AG169+0.645*AH166</f>
        <v>929.31789728537979</v>
      </c>
      <c r="AI171" s="104">
        <f t="shared" si="279"/>
        <v>821.84024824538471</v>
      </c>
      <c r="AJ171" s="995">
        <f>AJ155*0.3874+AJ164*0.4215-172.35*(AJ141/AH141-1)+0.4696*AH169+0.645*AJ166</f>
        <v>798.26357672303925</v>
      </c>
      <c r="AK171" s="126">
        <f>AK155*0.3874+AK164*0.4215-172.35*(AK141/AJ141-1)+0.4696*AJ169+0.645*AK166</f>
        <v>656.92329010083415</v>
      </c>
      <c r="AL171" s="126">
        <f>AL155*0.3874+AL164*0.4215-172.35*(AL141/AK141-1)+0.4696*AK169+0.645*AL166</f>
        <v>559.05012330222144</v>
      </c>
      <c r="AM171" s="996">
        <f>AM155*0.3874+AM164*0.4215-172.35*(AM141/AL141-1)+0.4696*AL169+0.645*AM166</f>
        <v>605.01435898713373</v>
      </c>
      <c r="AN171" s="104">
        <f t="shared" si="282"/>
        <v>654.81283727830714</v>
      </c>
      <c r="AO171" s="995">
        <f>AO155*0.3874+AO164*0.4215-172.35*(AO141/AM141-1)+0.4696*AM169+0.645*AO166</f>
        <v>566.97888732984836</v>
      </c>
      <c r="AP171" s="126">
        <f>AP155*0.3874+AP164*0.4215-172.35*(AP141/AO141-1)+0.4696*AO169+0.645*AP166</f>
        <v>612.79809552319409</v>
      </c>
      <c r="AQ171" s="126">
        <f>AQ155*0.3874+AQ164*0.4215-172.35*(AQ141/AP141-1)+0.4696*AP169+0.645*AQ166</f>
        <v>683.1862780270402</v>
      </c>
      <c r="AR171" s="996">
        <f>AR155*0.3874+AR164*0.4215-172.35*(AR141/AQ141-1)+0.4696*AQ169+0.645*AR166</f>
        <v>766.25103850411313</v>
      </c>
      <c r="AS171" s="104">
        <f t="shared" si="285"/>
        <v>657.30357484604895</v>
      </c>
      <c r="AT171" s="995">
        <f>AT155*0.3874+AT164*0.4215-172.35*(AT141/AR141-1)+0.4696*AR169+0.645*AT166</f>
        <v>773.94634373295571</v>
      </c>
      <c r="AU171" s="126">
        <f>AU155*0.3874+AU164*0.4215-172.35*(AU141/AT141-1)+0.4696*AT169+0.645*AU166</f>
        <v>890.45539160548867</v>
      </c>
      <c r="AV171" s="126">
        <f>AV155*0.3874+AV164*0.4215-172.35*(AV141/AU141-1)+0.4696*AU169+0.645*AV166</f>
        <v>871.19817485816134</v>
      </c>
      <c r="AW171" s="996">
        <f>AW155*0.3874+AW164*0.4215-172.35*(AW141/AV141-1)+0.4696*AV169+0.645*AW166</f>
        <v>831.43823253633946</v>
      </c>
      <c r="AX171" s="104">
        <f t="shared" si="288"/>
        <v>841.75953568323621</v>
      </c>
      <c r="AY171" s="995">
        <f>AY155*0.3874+AY164*0.4215-172.35*(AY141/AW141-1)+0.4696*AW169+0.645*AY166</f>
        <v>787.79974979654696</v>
      </c>
      <c r="AZ171" s="126">
        <f>AZ155*0.3874+AZ164*0.4215-172.35*(AZ141/AY141-1)+0.4696*AY169+0.645*AZ166</f>
        <v>762.96350998990147</v>
      </c>
      <c r="BA171" s="126">
        <f>BA155*0.3874+BA164*0.4215-172.35*(BA141/AZ141-1)+0.4696*AZ169+0.645*BA166</f>
        <v>717.25140960086799</v>
      </c>
      <c r="BB171" s="996">
        <f>BB155*0.3874+BB164*0.4215-172.35*(BB141/BA141-1)+0.4696*BA169+0.645*BB166</f>
        <v>677.11168324143716</v>
      </c>
      <c r="BC171" s="104">
        <f t="shared" si="291"/>
        <v>736.28158815718848</v>
      </c>
      <c r="BD171" s="995">
        <f>BD155*0.3874+BD164*0.4215-172.35*(BD141/BB141-1)+0.4696*BB169+0.645*BD166</f>
        <v>656.40016272081289</v>
      </c>
      <c r="BE171" s="126">
        <f>BE155*0.3874+BE164*0.4215-172.35*(BE141/BD141-1)+0.4696*BD169+0.645*BE166</f>
        <v>674.62773301888558</v>
      </c>
      <c r="BF171" s="126">
        <f>BF155*0.3874+BF164*0.4215-172.35*(BF141/BE141-1)+0.4696*BE169+0.645*BF166</f>
        <v>706.98258962545879</v>
      </c>
      <c r="BG171" s="996">
        <f>BG155*0.3874+BG164*0.4215-172.35*(BG141/BF141-1)+0.4696*BF169+0.645*BG166</f>
        <v>656.92948452086716</v>
      </c>
      <c r="BH171" s="104">
        <f t="shared" si="294"/>
        <v>673.73499247150608</v>
      </c>
      <c r="BI171" s="995">
        <f>BI155*0.3874+BI164*0.4215-172.35*(BI141/BG141-1)+0.4696*BG169+0.645*BI166</f>
        <v>663.52700290508403</v>
      </c>
      <c r="BJ171" s="126">
        <f>BJ155*0.3874+BJ164*0.4215-172.35*(BJ141/BI141-1)+0.4696*BI169+0.645*BJ166</f>
        <v>650.92002680798805</v>
      </c>
      <c r="BK171" s="126">
        <f>BK155*0.3874+BK164*0.4215-172.35*(BK141/BJ141-1)+0.4696*BJ169+0.645*BK166</f>
        <v>628.13108436361881</v>
      </c>
      <c r="BL171" s="996">
        <f>BL155*0.3874+BL164*0.4215-172.35*(BL141/BK141-1)+0.4696*BK169+0.645*BL166</f>
        <v>556.33365880685096</v>
      </c>
      <c r="BM171" s="104">
        <f t="shared" si="297"/>
        <v>624.72794322088544</v>
      </c>
      <c r="BN171" s="995">
        <f>BN155*0.3874+BN164*0.4215-172.35*(BN141/BL141-1)+0.4696*BL169+0.645*BN166</f>
        <v>485.23370808167283</v>
      </c>
      <c r="BO171" s="126">
        <f>BO155*0.3874+BO164*0.4215-172.35*(BO141/BN141-1)+0.4696*BN169+0.645*BO166</f>
        <v>482.81345842453391</v>
      </c>
      <c r="BP171" s="126">
        <f>BP155*0.3874+BP164*0.4215-172.35*(BP141/BO141-1)+0.4696*BO169+0.645*BP166</f>
        <v>496.74395531012885</v>
      </c>
      <c r="BQ171" s="996">
        <f>BQ155*0.3874+BQ164*0.4215-172.35*(BQ141/BP141-1)+0.4696*BP169+0.645*BQ166</f>
        <v>449.02546777769265</v>
      </c>
      <c r="BR171" s="104">
        <f t="shared" si="300"/>
        <v>478.45414739850708</v>
      </c>
      <c r="BS171" s="995">
        <f>BS155*0.3874+BS164*0.4215-172.35*(BS141/BQ141-1)+0.4696*BQ169+0.645*BS166</f>
        <v>413.90485881816699</v>
      </c>
      <c r="BT171" s="126">
        <f>BT155*0.3874+BT164*0.4215-172.35*(BT141/BS141-1)+0.4696*BS169+0.645*BT166</f>
        <v>409.12110286866164</v>
      </c>
      <c r="BU171" s="126">
        <f>BU155*0.3874+BU164*0.4215-172.35*(BU141/BT141-1)+0.4696*BT169+0.645*BU166</f>
        <v>428.00030455352504</v>
      </c>
      <c r="BV171" s="996">
        <f>BV155*0.3874+BV164*0.4215-172.35*(BV141/BU141-1)+0.4696*BU169+0.645*BV166</f>
        <v>398.1264657271447</v>
      </c>
      <c r="BW171" s="104">
        <f t="shared" si="303"/>
        <v>412.28818299187458</v>
      </c>
      <c r="BX171" s="995">
        <f>BX155*0.3874+BX164*0.4215-172.35*(BX141/BV141-1)+0.4696*BV169+0.645*BX166</f>
        <v>507.34504040067475</v>
      </c>
      <c r="BY171" s="126">
        <f>BY155*0.3874+BY164*0.4215-172.35*(BY141/BX141-1)+0.4696*BX169+0.645*BY166</f>
        <v>533.83359537466822</v>
      </c>
      <c r="BZ171" s="126">
        <f>BZ155*0.3874+BZ164*0.4215-172.35*(BZ141/BY141-1)+0.4696*BY169+0.645*BZ166</f>
        <v>571.83449533663293</v>
      </c>
      <c r="CA171" s="996">
        <f>CA155*0.3874+CA164*0.4215-172.35*(CA141/BZ141-1)+0.4696*BZ169+0.645*CA166</f>
        <v>527.64603596245172</v>
      </c>
      <c r="CB171" s="104">
        <f t="shared" si="258"/>
        <v>535.16479176860696</v>
      </c>
      <c r="CC171" s="995">
        <f>CC155*0.3874+CC164*0.4215-172.35*(CC141/CA141-1)+0.4696*CA169+0.645*CC166</f>
        <v>602.42538111200145</v>
      </c>
      <c r="CD171" s="126">
        <f>CD155*0.3874+CD164*0.4215-172.35*(CD141/CC141-1)+0.4696*CC169+0.645*CD166</f>
        <v>628.07651341236374</v>
      </c>
      <c r="CE171" s="126">
        <f>CE155*0.3874+CE164*0.4215-172.35*(CE141/CD141-1)+0.4696*CD169+0.645*CE166</f>
        <v>652.02936764767094</v>
      </c>
      <c r="CF171" s="996">
        <f>CF155*0.3874+CF164*0.4215-172.35*(CF141/CE141-1)+0.4696*CE169+0.645*CF166</f>
        <v>580.18663768977706</v>
      </c>
      <c r="CG171" s="1502">
        <f t="shared" si="260"/>
        <v>615.67947496545321</v>
      </c>
      <c r="CH171" s="995">
        <f>CH155*0.3874+CH164*0.4215-172.35*(CH141/CF141-1)+0.4696*CF169+0.645*CH166</f>
        <v>613.97764986094273</v>
      </c>
      <c r="CI171" s="126">
        <f>CI155*0.3874+CI164*0.4215-172.35*(CI141/CH141-1)+0.4696*CH169+0.645*CI166</f>
        <v>610.035695957391</v>
      </c>
      <c r="CJ171" s="126">
        <f>CJ155*0.3874+CJ164*0.4215-172.35*(CJ141/CI141-1)+0.4696*CI169+0.645*CJ166</f>
        <v>621.31296359191708</v>
      </c>
      <c r="CK171" s="996">
        <f>CK155*0.3874+CK164*0.4215-172.35*(CK141/CJ141-1)+0.4696*CJ169+0.645*CK166</f>
        <v>570.83555423451742</v>
      </c>
      <c r="CL171" s="104">
        <f t="shared" si="265"/>
        <v>604.04046591119209</v>
      </c>
      <c r="CM171" s="995">
        <f>CM155*0.3874+CM164*0.4215-172.35*(CM141/CK141-1)+0.4696*CK169+0.645*CM166</f>
        <v>609.81954010146956</v>
      </c>
      <c r="CN171" s="126">
        <f>CN155*0.3874+CN164*0.4215-172.35*(CN141/CM141-1)+0.4696*CM169+0.645*CN166</f>
        <v>609.55766468773436</v>
      </c>
      <c r="CO171" s="126">
        <f>CO155*0.3874+CO164*0.4215-172.35*(CO141/CN141-1)+0.4696*CN169+0.645*CO166</f>
        <v>624.67229612873314</v>
      </c>
      <c r="CP171" s="996">
        <f>CP155*0.3874+CP164*0.4215-172.35*(CP141/CO141-1)+0.4696*CO169+0.645*CP166</f>
        <v>571.71118297724081</v>
      </c>
      <c r="CQ171" s="126">
        <f t="shared" si="270"/>
        <v>603.94017097379447</v>
      </c>
    </row>
    <row r="172" spans="1:105" ht="6.2" customHeight="1">
      <c r="AJ172" s="1000"/>
      <c r="AK172" s="1001"/>
      <c r="AL172" s="1001"/>
      <c r="AM172" s="1002"/>
      <c r="AO172" s="1000"/>
      <c r="AP172" s="1001"/>
      <c r="AQ172" s="1001"/>
      <c r="AR172" s="1002"/>
      <c r="AT172" s="1000"/>
      <c r="AU172" s="1001"/>
      <c r="AV172" s="1001"/>
      <c r="AW172" s="1002"/>
      <c r="AY172" s="1000"/>
      <c r="AZ172" s="1001"/>
      <c r="BA172" s="1001"/>
      <c r="BB172" s="1002"/>
      <c r="BD172" s="1000"/>
      <c r="BE172" s="1001"/>
      <c r="BF172" s="1001"/>
      <c r="BG172" s="1002"/>
      <c r="BI172" s="1000"/>
      <c r="BJ172" s="1001"/>
      <c r="BK172" s="1001"/>
      <c r="BL172" s="1002"/>
      <c r="BN172" s="1000"/>
      <c r="BO172" s="1001"/>
      <c r="BP172" s="1001"/>
      <c r="BQ172" s="1002"/>
      <c r="BS172" s="1000"/>
      <c r="BT172" s="1001"/>
      <c r="BU172" s="1001"/>
      <c r="BV172" s="1002"/>
      <c r="BX172" s="1000"/>
      <c r="BY172" s="126"/>
      <c r="BZ172" s="1097"/>
      <c r="CA172" s="1521"/>
      <c r="CC172" s="1000"/>
      <c r="CD172" s="1001"/>
      <c r="CE172" s="1001"/>
      <c r="CF172" s="1002"/>
      <c r="CG172" s="1504"/>
      <c r="CH172" s="1000"/>
      <c r="CI172" s="1001"/>
      <c r="CJ172" s="1001"/>
      <c r="CK172" s="1002"/>
      <c r="CM172" s="1000"/>
      <c r="CN172" s="1001"/>
      <c r="CO172" s="1001"/>
      <c r="CP172" s="1002"/>
      <c r="CQ172" s="1001"/>
    </row>
    <row r="173" spans="1:105" ht="13.5" customHeight="1">
      <c r="A173" s="291"/>
      <c r="B173" s="93" t="s">
        <v>918</v>
      </c>
      <c r="C173" s="291"/>
      <c r="D173" s="306"/>
      <c r="E173" s="306"/>
      <c r="F173" s="306">
        <f>Financials!F33</f>
        <v>64</v>
      </c>
      <c r="G173" s="306">
        <f>Financials!G33</f>
        <v>67</v>
      </c>
      <c r="H173" s="306">
        <f>Financials!H33</f>
        <v>35</v>
      </c>
      <c r="I173" s="306">
        <f>Financials!I33</f>
        <v>37</v>
      </c>
      <c r="J173" s="306">
        <f>Financials!J33</f>
        <v>203</v>
      </c>
      <c r="K173" s="306">
        <f>Financials!K33</f>
        <v>40</v>
      </c>
      <c r="L173" s="306">
        <f>Financials!L33</f>
        <v>76</v>
      </c>
      <c r="M173" s="306">
        <f>Financials!M33</f>
        <v>146</v>
      </c>
      <c r="N173" s="306">
        <f>Financials!N33</f>
        <v>132</v>
      </c>
      <c r="O173" s="306">
        <f>Financials!O33</f>
        <v>394</v>
      </c>
      <c r="P173" s="306">
        <f>Financials!P33</f>
        <v>212</v>
      </c>
      <c r="Q173" s="306">
        <f>Financials!Q33</f>
        <v>141</v>
      </c>
      <c r="R173" s="306">
        <f>Financials!R33</f>
        <v>32</v>
      </c>
      <c r="S173" s="306">
        <f>Financials!S33</f>
        <v>117</v>
      </c>
      <c r="T173" s="306">
        <f>Financials!T33</f>
        <v>502</v>
      </c>
      <c r="U173" s="619">
        <v>125</v>
      </c>
      <c r="V173" s="619">
        <v>188</v>
      </c>
      <c r="W173" s="619">
        <v>219</v>
      </c>
      <c r="X173" s="619">
        <v>182</v>
      </c>
      <c r="Y173" s="306">
        <f>SUM(U173:X173)</f>
        <v>714</v>
      </c>
      <c r="Z173" s="619">
        <v>206</v>
      </c>
      <c r="AA173" s="619">
        <v>244</v>
      </c>
      <c r="AB173" s="619">
        <v>152</v>
      </c>
      <c r="AC173" s="619">
        <v>85</v>
      </c>
      <c r="AD173" s="306">
        <f>SUM(Z173:AC173)</f>
        <v>687</v>
      </c>
      <c r="AE173" s="619">
        <v>161</v>
      </c>
      <c r="AF173" s="619">
        <v>298</v>
      </c>
      <c r="AG173" s="619">
        <v>173</v>
      </c>
      <c r="AH173" s="619">
        <v>-134</v>
      </c>
      <c r="AI173" s="306">
        <f>SUM(AE173:AH173)</f>
        <v>498</v>
      </c>
      <c r="AJ173" s="977">
        <v>-159</v>
      </c>
      <c r="AK173" s="978">
        <v>-53</v>
      </c>
      <c r="AL173" s="978">
        <v>7</v>
      </c>
      <c r="AM173" s="979">
        <v>-3</v>
      </c>
      <c r="AN173" s="306">
        <f>SUM(AJ173:AM173)</f>
        <v>-208</v>
      </c>
      <c r="AO173" s="977">
        <v>12</v>
      </c>
      <c r="AP173" s="978">
        <v>19</v>
      </c>
      <c r="AQ173" s="978">
        <v>-25</v>
      </c>
      <c r="AR173" s="979">
        <v>-39</v>
      </c>
      <c r="AS173" s="306">
        <f>SUM(AO173:AR173)</f>
        <v>-33</v>
      </c>
      <c r="AT173" s="977">
        <v>-5</v>
      </c>
      <c r="AU173" s="978">
        <v>-18</v>
      </c>
      <c r="AV173" s="1021">
        <v>-50</v>
      </c>
      <c r="AW173" s="979">
        <v>-89</v>
      </c>
      <c r="AX173" s="306">
        <f>SUM(AT173:AW173)</f>
        <v>-162</v>
      </c>
      <c r="AY173" s="977">
        <v>-34</v>
      </c>
      <c r="AZ173" s="978">
        <v>34</v>
      </c>
      <c r="BA173" s="978">
        <v>27</v>
      </c>
      <c r="BB173" s="979">
        <v>7</v>
      </c>
      <c r="BC173" s="306">
        <f>SUM(AY173:BB173)</f>
        <v>34</v>
      </c>
      <c r="BD173" s="977">
        <v>38</v>
      </c>
      <c r="BE173" s="978">
        <v>10</v>
      </c>
      <c r="BF173" s="978">
        <v>-32</v>
      </c>
      <c r="BG173" s="979">
        <v>12</v>
      </c>
      <c r="BH173" s="306">
        <f>SUM(BD173:BG173)</f>
        <v>28</v>
      </c>
      <c r="BI173" s="977">
        <f>32-17</f>
        <v>15</v>
      </c>
      <c r="BJ173" s="978">
        <v>38</v>
      </c>
      <c r="BK173" s="978">
        <v>29</v>
      </c>
      <c r="BL173" s="979">
        <v>34</v>
      </c>
      <c r="BM173" s="306">
        <f>SUM(BI173:BL173)</f>
        <v>116</v>
      </c>
      <c r="BN173" s="977">
        <v>37</v>
      </c>
      <c r="BO173" s="978">
        <v>20</v>
      </c>
      <c r="BP173" s="978">
        <v>18</v>
      </c>
      <c r="BQ173" s="979">
        <f>81-SUM(BN173:BP173)</f>
        <v>6</v>
      </c>
      <c r="BR173" s="306">
        <f>SUM(BN173:BQ173)</f>
        <v>81</v>
      </c>
      <c r="BS173" s="977">
        <v>-14</v>
      </c>
      <c r="BT173" s="978">
        <v>55</v>
      </c>
      <c r="BU173" s="978">
        <v>81</v>
      </c>
      <c r="BV173" s="979">
        <v>63</v>
      </c>
      <c r="BW173" s="306">
        <f>SUM(BS173:BV173)</f>
        <v>185</v>
      </c>
      <c r="BX173" s="977">
        <v>87</v>
      </c>
      <c r="BY173" s="978">
        <v>55</v>
      </c>
      <c r="BZ173" s="978">
        <v>73</v>
      </c>
      <c r="CA173" s="979">
        <v>112</v>
      </c>
      <c r="CB173" s="306">
        <f>SUM(BX173:CA173)</f>
        <v>327</v>
      </c>
      <c r="CC173" s="1112">
        <f t="shared" ref="CC173:CF173" si="305">+CC175-CC174</f>
        <v>100.86178415942898</v>
      </c>
      <c r="CD173" s="1113">
        <f t="shared" si="305"/>
        <v>70.953121378025813</v>
      </c>
      <c r="CE173" s="1113">
        <f t="shared" si="305"/>
        <v>75.939801944990194</v>
      </c>
      <c r="CF173" s="1092">
        <f t="shared" si="305"/>
        <v>123.10618763336902</v>
      </c>
      <c r="CG173" s="1497">
        <f t="shared" ref="CG173:CG175" si="306">SUM(CC173:CF173)</f>
        <v>370.860895115814</v>
      </c>
      <c r="CH173" s="1112">
        <f t="shared" ref="CH173:CK173" si="307">+CH175-CH174</f>
        <v>93.595318116853093</v>
      </c>
      <c r="CI173" s="1113">
        <f t="shared" si="307"/>
        <v>120.75134717342928</v>
      </c>
      <c r="CJ173" s="1113">
        <f t="shared" si="307"/>
        <v>74.570205072479553</v>
      </c>
      <c r="CK173" s="1092">
        <f t="shared" si="307"/>
        <v>116.03374411935411</v>
      </c>
      <c r="CL173" s="306">
        <f t="shared" ref="CL173:CL175" si="308">SUM(CH173:CK173)</f>
        <v>404.95061448211607</v>
      </c>
      <c r="CM173" s="1112">
        <f t="shared" ref="CM173:CP173" si="309">+CM175-CM174</f>
        <v>92.661661840108835</v>
      </c>
      <c r="CN173" s="1113">
        <f t="shared" si="309"/>
        <v>115.51942935242198</v>
      </c>
      <c r="CO173" s="1113">
        <f t="shared" si="309"/>
        <v>65.65079725569683</v>
      </c>
      <c r="CP173" s="1092">
        <f t="shared" si="309"/>
        <v>108.67745693346441</v>
      </c>
      <c r="CQ173" s="1113">
        <f t="shared" ref="CQ173:CQ175" si="310">SUM(CM173:CP173)</f>
        <v>382.50934538169201</v>
      </c>
    </row>
    <row r="174" spans="1:105" ht="13.5" customHeight="1">
      <c r="A174" s="75"/>
      <c r="B174" s="93"/>
      <c r="C174" s="75" t="s">
        <v>722</v>
      </c>
      <c r="D174" s="625">
        <v>38</v>
      </c>
      <c r="E174" s="625">
        <v>41</v>
      </c>
      <c r="F174" s="104">
        <f>G174</f>
        <v>12.5</v>
      </c>
      <c r="G174" s="104">
        <f>H174</f>
        <v>12.5</v>
      </c>
      <c r="H174" s="104">
        <f>I174</f>
        <v>12.5</v>
      </c>
      <c r="I174" s="104">
        <f>J174/4</f>
        <v>12.5</v>
      </c>
      <c r="J174" s="625">
        <v>50</v>
      </c>
      <c r="K174" s="104">
        <f>O174/4</f>
        <v>13.75</v>
      </c>
      <c r="L174" s="104">
        <f>O174/4</f>
        <v>13.75</v>
      </c>
      <c r="M174" s="104">
        <f>O174/4</f>
        <v>13.75</v>
      </c>
      <c r="N174" s="104">
        <f>O174/4</f>
        <v>13.75</v>
      </c>
      <c r="O174" s="625">
        <v>55</v>
      </c>
      <c r="P174" s="625">
        <v>17</v>
      </c>
      <c r="Q174" s="625">
        <v>17</v>
      </c>
      <c r="R174" s="625">
        <v>19</v>
      </c>
      <c r="S174" s="625">
        <v>19</v>
      </c>
      <c r="T174" s="104">
        <f>SUM(P174:S174)</f>
        <v>72</v>
      </c>
      <c r="U174" s="625">
        <v>29</v>
      </c>
      <c r="V174" s="625">
        <v>23</v>
      </c>
      <c r="W174" s="625">
        <v>25</v>
      </c>
      <c r="X174" s="104">
        <f>Y174-W174-V174-U174</f>
        <v>29</v>
      </c>
      <c r="Y174" s="625">
        <v>106</v>
      </c>
      <c r="Z174" s="625">
        <v>29</v>
      </c>
      <c r="AA174" s="625">
        <v>30</v>
      </c>
      <c r="AB174" s="625">
        <v>31</v>
      </c>
      <c r="AC174" s="625">
        <v>33</v>
      </c>
      <c r="AD174" s="104">
        <f>SUM(Z174:AC174)</f>
        <v>123</v>
      </c>
      <c r="AE174" s="625">
        <v>37</v>
      </c>
      <c r="AF174" s="625">
        <v>37</v>
      </c>
      <c r="AG174" s="625">
        <v>38</v>
      </c>
      <c r="AH174" s="625">
        <v>33</v>
      </c>
      <c r="AI174" s="104">
        <f>SUM(AE174:AH174)</f>
        <v>145</v>
      </c>
      <c r="AJ174" s="997">
        <v>34</v>
      </c>
      <c r="AK174" s="998">
        <v>34</v>
      </c>
      <c r="AL174" s="998">
        <v>37</v>
      </c>
      <c r="AM174" s="999">
        <v>38</v>
      </c>
      <c r="AN174" s="104">
        <f>SUM(AJ174:AM174)</f>
        <v>143</v>
      </c>
      <c r="AO174" s="997">
        <v>34</v>
      </c>
      <c r="AP174" s="998">
        <v>31</v>
      </c>
      <c r="AQ174" s="998">
        <v>31</v>
      </c>
      <c r="AR174" s="999">
        <v>33</v>
      </c>
      <c r="AS174" s="104">
        <f>SUM(AO174:AR174)</f>
        <v>129</v>
      </c>
      <c r="AT174" s="997">
        <v>35</v>
      </c>
      <c r="AU174" s="998">
        <v>36</v>
      </c>
      <c r="AV174" s="998">
        <v>35</v>
      </c>
      <c r="AW174" s="999">
        <v>34</v>
      </c>
      <c r="AX174" s="104">
        <f>SUM(AT174:AW174)</f>
        <v>140</v>
      </c>
      <c r="AY174" s="997">
        <v>27</v>
      </c>
      <c r="AZ174" s="998">
        <v>25</v>
      </c>
      <c r="BA174" s="998">
        <v>25</v>
      </c>
      <c r="BB174" s="999">
        <v>25</v>
      </c>
      <c r="BC174" s="104">
        <f>SUM(AY174:BB174)</f>
        <v>102</v>
      </c>
      <c r="BD174" s="1035">
        <v>24</v>
      </c>
      <c r="BE174" s="1036">
        <v>24</v>
      </c>
      <c r="BF174" s="1036">
        <v>23</v>
      </c>
      <c r="BG174" s="960">
        <v>24</v>
      </c>
      <c r="BH174" s="104">
        <f>SUM(BD174:BG174)</f>
        <v>95</v>
      </c>
      <c r="BI174" s="1035">
        <v>24</v>
      </c>
      <c r="BJ174" s="1036">
        <v>25</v>
      </c>
      <c r="BK174" s="1036">
        <v>23</v>
      </c>
      <c r="BL174" s="1046">
        <v>23</v>
      </c>
      <c r="BM174" s="104">
        <f>SUM(BI174:BL174)</f>
        <v>95</v>
      </c>
      <c r="BN174" s="997">
        <v>20</v>
      </c>
      <c r="BO174" s="998">
        <v>20</v>
      </c>
      <c r="BP174" s="998">
        <v>21</v>
      </c>
      <c r="BQ174" s="999">
        <v>20</v>
      </c>
      <c r="BR174" s="104">
        <f>SUM(BN174:BQ174)</f>
        <v>81</v>
      </c>
      <c r="BS174" s="997">
        <v>19</v>
      </c>
      <c r="BT174" s="998">
        <v>20</v>
      </c>
      <c r="BU174" s="998">
        <v>21</v>
      </c>
      <c r="BV174" s="999">
        <v>20</v>
      </c>
      <c r="BW174" s="104">
        <f>SUM(BS174:BV174)</f>
        <v>80</v>
      </c>
      <c r="BX174" s="997">
        <v>19</v>
      </c>
      <c r="BY174" s="998">
        <v>17</v>
      </c>
      <c r="BZ174" s="998">
        <v>20</v>
      </c>
      <c r="CA174" s="999">
        <v>20</v>
      </c>
      <c r="CB174" s="104">
        <f t="shared" ref="CB174:CB175" si="311">SUM(BX174:CA174)</f>
        <v>76</v>
      </c>
      <c r="CC174" s="1120">
        <v>20</v>
      </c>
      <c r="CD174" s="1121">
        <v>20</v>
      </c>
      <c r="CE174" s="1121">
        <v>20</v>
      </c>
      <c r="CF174" s="1096">
        <v>20</v>
      </c>
      <c r="CG174" s="1502">
        <f t="shared" si="306"/>
        <v>80</v>
      </c>
      <c r="CH174" s="1120">
        <v>20</v>
      </c>
      <c r="CI174" s="1121">
        <v>20</v>
      </c>
      <c r="CJ174" s="1121">
        <v>20</v>
      </c>
      <c r="CK174" s="1096">
        <v>20</v>
      </c>
      <c r="CL174" s="104">
        <f t="shared" si="308"/>
        <v>80</v>
      </c>
      <c r="CM174" s="1120">
        <v>20</v>
      </c>
      <c r="CN174" s="1121">
        <v>20</v>
      </c>
      <c r="CO174" s="1121">
        <v>20</v>
      </c>
      <c r="CP174" s="1096">
        <v>20</v>
      </c>
      <c r="CQ174" s="126">
        <f t="shared" si="310"/>
        <v>80</v>
      </c>
    </row>
    <row r="175" spans="1:105" s="873" customFormat="1" ht="13.5" customHeight="1">
      <c r="A175" s="93"/>
      <c r="B175" s="93"/>
      <c r="C175" s="93" t="s">
        <v>588</v>
      </c>
      <c r="D175" s="123">
        <f t="shared" ref="D175:AI175" si="312">D173+D174</f>
        <v>38</v>
      </c>
      <c r="E175" s="123">
        <f t="shared" si="312"/>
        <v>41</v>
      </c>
      <c r="F175" s="123">
        <f t="shared" si="312"/>
        <v>76.5</v>
      </c>
      <c r="G175" s="123">
        <f t="shared" si="312"/>
        <v>79.5</v>
      </c>
      <c r="H175" s="123">
        <f t="shared" si="312"/>
        <v>47.5</v>
      </c>
      <c r="I175" s="123">
        <f t="shared" si="312"/>
        <v>49.5</v>
      </c>
      <c r="J175" s="123">
        <f t="shared" si="312"/>
        <v>253</v>
      </c>
      <c r="K175" s="123">
        <f t="shared" si="312"/>
        <v>53.75</v>
      </c>
      <c r="L175" s="123">
        <f t="shared" si="312"/>
        <v>89.75</v>
      </c>
      <c r="M175" s="123">
        <f t="shared" si="312"/>
        <v>159.75</v>
      </c>
      <c r="N175" s="123">
        <f t="shared" si="312"/>
        <v>145.75</v>
      </c>
      <c r="O175" s="123">
        <f t="shared" si="312"/>
        <v>449</v>
      </c>
      <c r="P175" s="123">
        <f t="shared" si="312"/>
        <v>229</v>
      </c>
      <c r="Q175" s="123">
        <f t="shared" si="312"/>
        <v>158</v>
      </c>
      <c r="R175" s="123">
        <f t="shared" si="312"/>
        <v>51</v>
      </c>
      <c r="S175" s="123">
        <f t="shared" si="312"/>
        <v>136</v>
      </c>
      <c r="T175" s="123">
        <f t="shared" si="312"/>
        <v>574</v>
      </c>
      <c r="U175" s="123">
        <f t="shared" si="312"/>
        <v>154</v>
      </c>
      <c r="V175" s="123">
        <f t="shared" si="312"/>
        <v>211</v>
      </c>
      <c r="W175" s="123">
        <f t="shared" si="312"/>
        <v>244</v>
      </c>
      <c r="X175" s="123">
        <f t="shared" si="312"/>
        <v>211</v>
      </c>
      <c r="Y175" s="123">
        <f t="shared" si="312"/>
        <v>820</v>
      </c>
      <c r="Z175" s="123">
        <f t="shared" si="312"/>
        <v>235</v>
      </c>
      <c r="AA175" s="123">
        <f t="shared" si="312"/>
        <v>274</v>
      </c>
      <c r="AB175" s="123">
        <f t="shared" si="312"/>
        <v>183</v>
      </c>
      <c r="AC175" s="123">
        <f t="shared" si="312"/>
        <v>118</v>
      </c>
      <c r="AD175" s="123">
        <f t="shared" si="312"/>
        <v>810</v>
      </c>
      <c r="AE175" s="123">
        <f t="shared" si="312"/>
        <v>198</v>
      </c>
      <c r="AF175" s="123">
        <f t="shared" si="312"/>
        <v>335</v>
      </c>
      <c r="AG175" s="123">
        <f t="shared" si="312"/>
        <v>211</v>
      </c>
      <c r="AH175" s="123">
        <f t="shared" si="312"/>
        <v>-101</v>
      </c>
      <c r="AI175" s="123">
        <f t="shared" si="312"/>
        <v>643</v>
      </c>
      <c r="AJ175" s="972">
        <f t="shared" ref="AJ175:BO175" si="313">AJ173+AJ174</f>
        <v>-125</v>
      </c>
      <c r="AK175" s="282">
        <f t="shared" si="313"/>
        <v>-19</v>
      </c>
      <c r="AL175" s="282">
        <f t="shared" si="313"/>
        <v>44</v>
      </c>
      <c r="AM175" s="973">
        <f t="shared" si="313"/>
        <v>35</v>
      </c>
      <c r="AN175" s="123">
        <f t="shared" si="313"/>
        <v>-65</v>
      </c>
      <c r="AO175" s="972">
        <f t="shared" si="313"/>
        <v>46</v>
      </c>
      <c r="AP175" s="282">
        <f t="shared" si="313"/>
        <v>50</v>
      </c>
      <c r="AQ175" s="282">
        <f t="shared" si="313"/>
        <v>6</v>
      </c>
      <c r="AR175" s="973">
        <f t="shared" si="313"/>
        <v>-6</v>
      </c>
      <c r="AS175" s="123">
        <f t="shared" si="313"/>
        <v>96</v>
      </c>
      <c r="AT175" s="972">
        <f t="shared" si="313"/>
        <v>30</v>
      </c>
      <c r="AU175" s="282">
        <f t="shared" si="313"/>
        <v>18</v>
      </c>
      <c r="AV175" s="282">
        <f t="shared" si="313"/>
        <v>-15</v>
      </c>
      <c r="AW175" s="973">
        <f t="shared" si="313"/>
        <v>-55</v>
      </c>
      <c r="AX175" s="123">
        <f t="shared" si="313"/>
        <v>-22</v>
      </c>
      <c r="AY175" s="972">
        <f t="shared" si="313"/>
        <v>-7</v>
      </c>
      <c r="AZ175" s="282">
        <f t="shared" si="313"/>
        <v>59</v>
      </c>
      <c r="BA175" s="282">
        <f t="shared" si="313"/>
        <v>52</v>
      </c>
      <c r="BB175" s="973">
        <f t="shared" si="313"/>
        <v>32</v>
      </c>
      <c r="BC175" s="123">
        <f t="shared" si="313"/>
        <v>136</v>
      </c>
      <c r="BD175" s="972">
        <f t="shared" si="313"/>
        <v>62</v>
      </c>
      <c r="BE175" s="282">
        <f t="shared" si="313"/>
        <v>34</v>
      </c>
      <c r="BF175" s="282">
        <f t="shared" si="313"/>
        <v>-9</v>
      </c>
      <c r="BG175" s="973">
        <f t="shared" si="313"/>
        <v>36</v>
      </c>
      <c r="BH175" s="123">
        <f t="shared" si="313"/>
        <v>123</v>
      </c>
      <c r="BI175" s="972">
        <f t="shared" si="313"/>
        <v>39</v>
      </c>
      <c r="BJ175" s="282">
        <f t="shared" si="313"/>
        <v>63</v>
      </c>
      <c r="BK175" s="282">
        <f t="shared" si="313"/>
        <v>52</v>
      </c>
      <c r="BL175" s="973">
        <f t="shared" si="313"/>
        <v>57</v>
      </c>
      <c r="BM175" s="123">
        <f t="shared" si="313"/>
        <v>211</v>
      </c>
      <c r="BN175" s="972">
        <f t="shared" si="313"/>
        <v>57</v>
      </c>
      <c r="BO175" s="282">
        <f t="shared" si="313"/>
        <v>40</v>
      </c>
      <c r="BP175" s="282">
        <f t="shared" ref="BP175:BZ175" si="314">BP173+BP174</f>
        <v>39</v>
      </c>
      <c r="BQ175" s="973">
        <f t="shared" si="314"/>
        <v>26</v>
      </c>
      <c r="BR175" s="123">
        <f t="shared" si="314"/>
        <v>162</v>
      </c>
      <c r="BS175" s="972">
        <f t="shared" si="314"/>
        <v>5</v>
      </c>
      <c r="BT175" s="282">
        <f t="shared" si="314"/>
        <v>75</v>
      </c>
      <c r="BU175" s="282">
        <f t="shared" si="314"/>
        <v>102</v>
      </c>
      <c r="BV175" s="973">
        <f t="shared" si="314"/>
        <v>83</v>
      </c>
      <c r="BW175" s="123">
        <f t="shared" si="314"/>
        <v>265</v>
      </c>
      <c r="BX175" s="972">
        <f t="shared" si="314"/>
        <v>106</v>
      </c>
      <c r="BY175" s="282">
        <f t="shared" si="314"/>
        <v>72</v>
      </c>
      <c r="BZ175" s="282">
        <f t="shared" si="314"/>
        <v>93</v>
      </c>
      <c r="CA175" s="973">
        <f t="shared" ref="CA175" si="315">CA173+CA174</f>
        <v>132</v>
      </c>
      <c r="CB175" s="123">
        <f t="shared" si="311"/>
        <v>403</v>
      </c>
      <c r="CC175" s="972">
        <f>+CC176*CC141/1000</f>
        <v>120.86178415942898</v>
      </c>
      <c r="CD175" s="282">
        <f>+CD176*CD141/1000</f>
        <v>90.953121378025813</v>
      </c>
      <c r="CE175" s="282">
        <f>+CE176*CE141/1000</f>
        <v>95.939801944990194</v>
      </c>
      <c r="CF175" s="973">
        <f>+CF176*CF141/1000</f>
        <v>143.10618763336902</v>
      </c>
      <c r="CG175" s="1483">
        <f t="shared" si="306"/>
        <v>450.860895115814</v>
      </c>
      <c r="CH175" s="972">
        <f>+CH176*CH141/1000</f>
        <v>113.59531811685309</v>
      </c>
      <c r="CI175" s="282">
        <f>+CI176*CI141/1000</f>
        <v>140.75134717342928</v>
      </c>
      <c r="CJ175" s="282">
        <f>+CJ176*CJ141/1000</f>
        <v>94.570205072479553</v>
      </c>
      <c r="CK175" s="973">
        <f>+CK176*CK141/1000</f>
        <v>136.03374411935411</v>
      </c>
      <c r="CL175" s="123">
        <f t="shared" si="308"/>
        <v>484.95061448211607</v>
      </c>
      <c r="CM175" s="972">
        <f>+CM176*CM141/1000</f>
        <v>112.66166184010883</v>
      </c>
      <c r="CN175" s="282">
        <f>+CN176*CN141/1000</f>
        <v>135.51942935242198</v>
      </c>
      <c r="CO175" s="282">
        <f>+CO176*CO141/1000</f>
        <v>85.65079725569683</v>
      </c>
      <c r="CP175" s="973">
        <f>+CP176*CP141/1000</f>
        <v>128.67745693346441</v>
      </c>
      <c r="CQ175" s="282">
        <f t="shared" si="310"/>
        <v>462.50934538169201</v>
      </c>
      <c r="CR175" s="1461"/>
      <c r="CV175"/>
      <c r="CW175"/>
      <c r="CX175"/>
      <c r="CY175"/>
      <c r="CZ175"/>
      <c r="DA175"/>
    </row>
    <row r="176" spans="1:105" ht="13.5" customHeight="1">
      <c r="A176" s="75"/>
      <c r="B176" s="75"/>
      <c r="C176" s="75" t="s">
        <v>919</v>
      </c>
      <c r="D176" s="109">
        <f t="shared" ref="D176:AI176" si="316">D175/D141*1000</f>
        <v>10.231556273559503</v>
      </c>
      <c r="E176" s="109">
        <f t="shared" si="316"/>
        <v>10.247438140464883</v>
      </c>
      <c r="F176" s="109">
        <f t="shared" si="316"/>
        <v>64.285714285714278</v>
      </c>
      <c r="G176" s="109">
        <f t="shared" si="316"/>
        <v>63.701923076923073</v>
      </c>
      <c r="H176" s="109">
        <f t="shared" si="316"/>
        <v>42.297417631344615</v>
      </c>
      <c r="I176" s="109">
        <f t="shared" si="316"/>
        <v>38.431677018633543</v>
      </c>
      <c r="J176" s="109">
        <f t="shared" si="316"/>
        <v>52.175706331202313</v>
      </c>
      <c r="K176" s="109">
        <f t="shared" si="316"/>
        <v>45.822676896845692</v>
      </c>
      <c r="L176" s="109">
        <f t="shared" si="316"/>
        <v>71.060965954077602</v>
      </c>
      <c r="M176" s="109">
        <f t="shared" si="316"/>
        <v>127.08830548926015</v>
      </c>
      <c r="N176" s="109">
        <f t="shared" si="316"/>
        <v>108.20341499628805</v>
      </c>
      <c r="O176" s="109">
        <f t="shared" si="316"/>
        <v>89.087301587301596</v>
      </c>
      <c r="P176" s="109">
        <f t="shared" si="316"/>
        <v>177.51937984496124</v>
      </c>
      <c r="Q176" s="109">
        <f t="shared" si="316"/>
        <v>118.61861861861863</v>
      </c>
      <c r="R176" s="109">
        <f t="shared" si="316"/>
        <v>41.463414634146346</v>
      </c>
      <c r="S176" s="109">
        <f t="shared" si="316"/>
        <v>100.07358351729214</v>
      </c>
      <c r="T176" s="109">
        <f t="shared" si="316"/>
        <v>110.15160237958166</v>
      </c>
      <c r="U176" s="109">
        <f t="shared" si="316"/>
        <v>102.12201591511936</v>
      </c>
      <c r="V176" s="109">
        <f t="shared" si="316"/>
        <v>127.72397094430993</v>
      </c>
      <c r="W176" s="109">
        <f t="shared" si="316"/>
        <v>157.21649484536081</v>
      </c>
      <c r="X176" s="109">
        <f t="shared" si="316"/>
        <v>136.21691413815364</v>
      </c>
      <c r="Y176" s="109">
        <f t="shared" si="316"/>
        <v>130.96949369110368</v>
      </c>
      <c r="Z176" s="109">
        <f t="shared" si="316"/>
        <v>142.25181598062954</v>
      </c>
      <c r="AA176" s="109">
        <f t="shared" si="316"/>
        <v>169.55445544554456</v>
      </c>
      <c r="AB176" s="109">
        <f t="shared" si="316"/>
        <v>123.14939434724091</v>
      </c>
      <c r="AC176" s="109">
        <f t="shared" si="316"/>
        <v>85.198555956678703</v>
      </c>
      <c r="AD176" s="109">
        <f t="shared" si="316"/>
        <v>131.94331324319921</v>
      </c>
      <c r="AE176" s="109">
        <f t="shared" si="316"/>
        <v>120.87912087912088</v>
      </c>
      <c r="AF176" s="109">
        <f t="shared" si="316"/>
        <v>197.52358490566039</v>
      </c>
      <c r="AG176" s="109">
        <f t="shared" si="316"/>
        <v>149.75159687721791</v>
      </c>
      <c r="AH176" s="109">
        <f t="shared" si="316"/>
        <v>-111.23348017621146</v>
      </c>
      <c r="AI176" s="109">
        <f t="shared" si="316"/>
        <v>113.78517076623606</v>
      </c>
      <c r="AJ176" s="918">
        <f t="shared" ref="AJ176:BO176" si="317">AJ175/AJ141*1000</f>
        <v>-139.35340022296543</v>
      </c>
      <c r="AK176" s="216">
        <f t="shared" si="317"/>
        <v>-18.357487922705314</v>
      </c>
      <c r="AL176" s="216">
        <f t="shared" si="317"/>
        <v>34.241245136186777</v>
      </c>
      <c r="AM176" s="919">
        <f t="shared" si="317"/>
        <v>28.089887640449437</v>
      </c>
      <c r="AN176" s="109">
        <f t="shared" si="317"/>
        <v>-14.564194488012548</v>
      </c>
      <c r="AO176" s="918">
        <f t="shared" si="317"/>
        <v>30.223390275952696</v>
      </c>
      <c r="AP176" s="216">
        <f t="shared" si="317"/>
        <v>36.075036075036074</v>
      </c>
      <c r="AQ176" s="216">
        <f t="shared" si="317"/>
        <v>4.5351473922902494</v>
      </c>
      <c r="AR176" s="919">
        <f t="shared" si="317"/>
        <v>-4.8661800486618008</v>
      </c>
      <c r="AS176" s="109">
        <f t="shared" si="317"/>
        <v>17.569546120058565</v>
      </c>
      <c r="AT176" s="918">
        <f t="shared" si="317"/>
        <v>20.761245674740483</v>
      </c>
      <c r="AU176" s="216">
        <f t="shared" si="317"/>
        <v>15.817223198594025</v>
      </c>
      <c r="AV176" s="216">
        <f t="shared" si="317"/>
        <v>-12.54180602006689</v>
      </c>
      <c r="AW176" s="919">
        <f t="shared" si="317"/>
        <v>-47.701647875108414</v>
      </c>
      <c r="AX176" s="109">
        <f t="shared" si="317"/>
        <v>-4.4606650446066505</v>
      </c>
      <c r="AY176" s="918">
        <f t="shared" si="317"/>
        <v>-6.6985645933014357</v>
      </c>
      <c r="AZ176" s="216">
        <f t="shared" si="317"/>
        <v>61.780104712041883</v>
      </c>
      <c r="BA176" s="216">
        <f t="shared" si="317"/>
        <v>57.080131723380902</v>
      </c>
      <c r="BB176" s="919">
        <f t="shared" si="317"/>
        <v>35.35911602209945</v>
      </c>
      <c r="BC176" s="109">
        <f t="shared" si="317"/>
        <v>35.639412997903563</v>
      </c>
      <c r="BD176" s="918">
        <f t="shared" si="317"/>
        <v>59.160305343511453</v>
      </c>
      <c r="BE176" s="216">
        <f t="shared" si="317"/>
        <v>32.015065913370996</v>
      </c>
      <c r="BF176" s="216">
        <f t="shared" si="317"/>
        <v>-10.452961672473869</v>
      </c>
      <c r="BG176" s="919">
        <f t="shared" si="317"/>
        <v>34.985422740524783</v>
      </c>
      <c r="BH176" s="109">
        <f t="shared" si="317"/>
        <v>30.75</v>
      </c>
      <c r="BI176" s="918">
        <f t="shared" si="317"/>
        <v>37.827352085354022</v>
      </c>
      <c r="BJ176" s="216">
        <f t="shared" si="317"/>
        <v>59.82905982905983</v>
      </c>
      <c r="BK176" s="216">
        <f t="shared" si="317"/>
        <v>52.684903748733539</v>
      </c>
      <c r="BL176" s="919">
        <f t="shared" si="317"/>
        <v>51.444043321299638</v>
      </c>
      <c r="BM176" s="109">
        <f t="shared" si="317"/>
        <v>50.490547977985159</v>
      </c>
      <c r="BN176" s="918">
        <f t="shared" si="317"/>
        <v>45.094936708860757</v>
      </c>
      <c r="BO176" s="216">
        <f t="shared" si="317"/>
        <v>33.333333333333336</v>
      </c>
      <c r="BP176" s="216">
        <f t="shared" ref="BP176:BZ176" si="318">BP175/BP141*1000</f>
        <v>38.235294117647065</v>
      </c>
      <c r="BQ176" s="919">
        <f t="shared" si="318"/>
        <v>26.476578411405296</v>
      </c>
      <c r="BR176" s="109">
        <f t="shared" si="318"/>
        <v>36.274070756829374</v>
      </c>
      <c r="BS176" s="918">
        <f t="shared" si="318"/>
        <v>4.9800796812749004</v>
      </c>
      <c r="BT176" s="216">
        <f t="shared" si="318"/>
        <v>66.666666666666671</v>
      </c>
      <c r="BU176" s="216">
        <f t="shared" si="318"/>
        <v>92.307692307692307</v>
      </c>
      <c r="BV176" s="919">
        <f t="shared" si="318"/>
        <v>65.820777160983354</v>
      </c>
      <c r="BW176" s="109">
        <f t="shared" si="318"/>
        <v>58.954393770856505</v>
      </c>
      <c r="BX176" s="918">
        <f t="shared" si="318"/>
        <v>95.581605049594231</v>
      </c>
      <c r="BY176" s="216">
        <f t="shared" si="318"/>
        <v>62.22990492653414</v>
      </c>
      <c r="BZ176" s="216">
        <f t="shared" si="318"/>
        <v>87.160262417994375</v>
      </c>
      <c r="CA176" s="919">
        <f t="shared" ref="CA176" si="319">CA175/CA141*1000</f>
        <v>105.43130990415335</v>
      </c>
      <c r="CB176" s="109">
        <f>AVERAGE(BX176:CA176)</f>
        <v>87.600770574569026</v>
      </c>
      <c r="CC176" s="918">
        <f t="shared" ref="CC176:CF176" si="320">CC155-CC169</f>
        <v>108.98267282184759</v>
      </c>
      <c r="CD176" s="216">
        <f t="shared" si="320"/>
        <v>78.611168001750912</v>
      </c>
      <c r="CE176" s="216">
        <f t="shared" si="320"/>
        <v>89.915465740384434</v>
      </c>
      <c r="CF176" s="919">
        <f t="shared" si="320"/>
        <v>114.30206679981552</v>
      </c>
      <c r="CG176" s="1477">
        <f>AVERAGE(CC176:CF176)</f>
        <v>97.952843340949613</v>
      </c>
      <c r="CH176" s="918">
        <f t="shared" ref="CH176:CK176" si="321">CH155-CH169</f>
        <v>102.4304040729063</v>
      </c>
      <c r="CI176" s="216">
        <f t="shared" si="321"/>
        <v>121.65198545672365</v>
      </c>
      <c r="CJ176" s="216">
        <f t="shared" si="321"/>
        <v>88.63186979613829</v>
      </c>
      <c r="CK176" s="919">
        <f t="shared" si="321"/>
        <v>108.65315025507516</v>
      </c>
      <c r="CL176" s="109">
        <f>AVERAGE(CH176:CK176)</f>
        <v>105.34185239521085</v>
      </c>
      <c r="CM176" s="918">
        <f t="shared" ref="CM176:CP176" si="322">CM155-CM169</f>
        <v>101.58851383237948</v>
      </c>
      <c r="CN176" s="216">
        <f t="shared" si="322"/>
        <v>117.13001672638029</v>
      </c>
      <c r="CO176" s="216">
        <f t="shared" si="322"/>
        <v>80.272537259322235</v>
      </c>
      <c r="CP176" s="919">
        <f t="shared" si="322"/>
        <v>102.77752151235177</v>
      </c>
      <c r="CQ176" s="216">
        <f>AVERAGE(CM176:CP176)</f>
        <v>100.44214733260844</v>
      </c>
    </row>
    <row r="177" spans="1:95" ht="6.2"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904"/>
      <c r="AK177" s="81"/>
      <c r="AL177" s="81"/>
      <c r="AM177" s="905"/>
      <c r="AN177" s="75"/>
      <c r="AO177" s="904"/>
      <c r="AP177" s="81"/>
      <c r="AQ177" s="81"/>
      <c r="AR177" s="905"/>
      <c r="AS177" s="75"/>
      <c r="AT177" s="904"/>
      <c r="AU177" s="81"/>
      <c r="AV177" s="81"/>
      <c r="AW177" s="905"/>
      <c r="AX177" s="75"/>
      <c r="AY177" s="904"/>
      <c r="AZ177" s="81"/>
      <c r="BA177" s="81"/>
      <c r="BB177" s="905"/>
      <c r="BC177" s="75"/>
      <c r="BD177" s="904"/>
      <c r="BE177" s="81"/>
      <c r="BF177" s="81"/>
      <c r="BG177" s="905"/>
      <c r="BH177" s="75"/>
      <c r="BI177" s="904"/>
      <c r="BJ177" s="81"/>
      <c r="BK177" s="81"/>
      <c r="BL177" s="905"/>
      <c r="BM177" s="75"/>
      <c r="BN177" s="904"/>
      <c r="BO177" s="81"/>
      <c r="BP177" s="81"/>
      <c r="BQ177" s="905"/>
      <c r="BR177" s="75"/>
      <c r="BS177" s="904"/>
      <c r="BT177" s="81"/>
      <c r="BU177" s="81"/>
      <c r="BV177" s="905"/>
      <c r="BW177" s="75"/>
      <c r="BX177" s="904"/>
      <c r="BY177" s="81"/>
      <c r="BZ177" s="81"/>
      <c r="CA177" s="905"/>
      <c r="CB177" s="75"/>
      <c r="CC177" s="904"/>
      <c r="CD177" s="81"/>
      <c r="CE177" s="81"/>
      <c r="CF177" s="905"/>
      <c r="CG177" s="1469"/>
      <c r="CH177" s="904"/>
      <c r="CI177" s="81"/>
      <c r="CJ177" s="81"/>
      <c r="CK177" s="905"/>
      <c r="CL177" s="75"/>
      <c r="CM177" s="904"/>
      <c r="CN177" s="81"/>
      <c r="CO177" s="81"/>
      <c r="CP177" s="905"/>
      <c r="CQ177" s="81"/>
    </row>
    <row r="178" spans="1:95" ht="13.5" customHeight="1">
      <c r="A178" s="76"/>
      <c r="B178" s="81" t="s">
        <v>700</v>
      </c>
      <c r="C178" s="81"/>
      <c r="D178" s="608">
        <v>61</v>
      </c>
      <c r="E178" s="608">
        <v>97</v>
      </c>
      <c r="F178" s="608">
        <v>20</v>
      </c>
      <c r="G178" s="608">
        <v>22</v>
      </c>
      <c r="H178" s="608">
        <v>30</v>
      </c>
      <c r="I178" s="153">
        <f>J178-SUM(F178:H178)</f>
        <v>49</v>
      </c>
      <c r="J178" s="608">
        <v>121</v>
      </c>
      <c r="K178" s="608">
        <v>39</v>
      </c>
      <c r="L178" s="608">
        <v>40</v>
      </c>
      <c r="M178" s="608">
        <v>57</v>
      </c>
      <c r="N178" s="153">
        <f>O178-SUM(K178:M178)</f>
        <v>87</v>
      </c>
      <c r="O178" s="608">
        <v>223</v>
      </c>
      <c r="P178" s="608">
        <v>49</v>
      </c>
      <c r="Q178" s="608">
        <v>59</v>
      </c>
      <c r="R178" s="608">
        <v>67</v>
      </c>
      <c r="S178" s="153">
        <f>T178-SUM(P178:R178)</f>
        <v>74</v>
      </c>
      <c r="T178" s="608">
        <v>249</v>
      </c>
      <c r="U178" s="608">
        <v>44</v>
      </c>
      <c r="V178" s="608">
        <v>51</v>
      </c>
      <c r="W178" s="608">
        <v>67</v>
      </c>
      <c r="X178" s="608">
        <v>49</v>
      </c>
      <c r="Y178" s="153">
        <f>SUM(U178:X178)</f>
        <v>211</v>
      </c>
      <c r="Z178" s="608">
        <v>30</v>
      </c>
      <c r="AA178" s="608">
        <v>47</v>
      </c>
      <c r="AB178" s="608">
        <v>52</v>
      </c>
      <c r="AC178" s="608">
        <v>86</v>
      </c>
      <c r="AD178" s="153">
        <f>SUM(Z178:AC178)</f>
        <v>215</v>
      </c>
      <c r="AE178" s="608">
        <v>32</v>
      </c>
      <c r="AF178" s="608">
        <v>49</v>
      </c>
      <c r="AG178" s="608">
        <v>62</v>
      </c>
      <c r="AH178" s="608">
        <v>67</v>
      </c>
      <c r="AI178" s="153">
        <f>SUM(AE178:AH178)</f>
        <v>210</v>
      </c>
      <c r="AJ178" s="954">
        <v>10</v>
      </c>
      <c r="AK178" s="608">
        <v>18</v>
      </c>
      <c r="AL178" s="608">
        <v>46</v>
      </c>
      <c r="AM178" s="960">
        <v>39</v>
      </c>
      <c r="AN178" s="153">
        <f>SUM(AJ178:AM178)</f>
        <v>113</v>
      </c>
      <c r="AO178" s="954">
        <v>44</v>
      </c>
      <c r="AP178" s="608">
        <v>28</v>
      </c>
      <c r="AQ178" s="608">
        <v>21</v>
      </c>
      <c r="AR178" s="960">
        <v>27</v>
      </c>
      <c r="AS178" s="153">
        <f>SUM(AO178:AR178)</f>
        <v>120</v>
      </c>
      <c r="AT178" s="954">
        <v>23</v>
      </c>
      <c r="AU178" s="608">
        <v>44</v>
      </c>
      <c r="AV178" s="608">
        <v>26</v>
      </c>
      <c r="AW178" s="960">
        <v>16</v>
      </c>
      <c r="AX178" s="153">
        <f>SUM(AT178:AW178)</f>
        <v>109</v>
      </c>
      <c r="AY178" s="954">
        <v>2</v>
      </c>
      <c r="AZ178" s="608">
        <v>7</v>
      </c>
      <c r="BA178" s="608">
        <v>12</v>
      </c>
      <c r="BB178" s="960">
        <v>17</v>
      </c>
      <c r="BC178" s="104">
        <f>SUM(AY178:BB178)</f>
        <v>38</v>
      </c>
      <c r="BD178" s="954">
        <v>10</v>
      </c>
      <c r="BE178" s="608">
        <v>8</v>
      </c>
      <c r="BF178" s="608">
        <v>14</v>
      </c>
      <c r="BG178" s="960">
        <v>8</v>
      </c>
      <c r="BH178" s="104">
        <f>SUM(BD178:BG178)</f>
        <v>40</v>
      </c>
      <c r="BI178" s="1033">
        <v>18</v>
      </c>
      <c r="BJ178" s="639">
        <v>17</v>
      </c>
      <c r="BK178" s="608">
        <v>23</v>
      </c>
      <c r="BL178" s="960">
        <v>16</v>
      </c>
      <c r="BM178" s="104">
        <f>SUM(BI178:BL178)</f>
        <v>74</v>
      </c>
      <c r="BN178" s="954">
        <v>21</v>
      </c>
      <c r="BO178" s="608">
        <v>24</v>
      </c>
      <c r="BP178" s="608">
        <v>33</v>
      </c>
      <c r="BQ178" s="960">
        <v>32</v>
      </c>
      <c r="BR178" s="104">
        <f>SUM(BN178:BQ178)</f>
        <v>110</v>
      </c>
      <c r="BS178" s="954">
        <v>29</v>
      </c>
      <c r="BT178" s="608">
        <v>22</v>
      </c>
      <c r="BU178" s="608">
        <v>17</v>
      </c>
      <c r="BV178" s="960">
        <v>15</v>
      </c>
      <c r="BW178" s="104">
        <f>SUM(BS178:BV178)</f>
        <v>83</v>
      </c>
      <c r="BX178" s="954">
        <v>14</v>
      </c>
      <c r="BY178" s="608">
        <v>20</v>
      </c>
      <c r="BZ178" s="608">
        <v>28</v>
      </c>
      <c r="CA178" s="960">
        <v>21</v>
      </c>
      <c r="CB178" s="109">
        <f t="shared" ref="CB178" si="323">SUM(BX178:CA178)</f>
        <v>83</v>
      </c>
      <c r="CC178" s="914">
        <f>CD178</f>
        <v>25</v>
      </c>
      <c r="CD178" s="153">
        <f>CE178</f>
        <v>25</v>
      </c>
      <c r="CE178" s="153">
        <f>CG178/4</f>
        <v>25</v>
      </c>
      <c r="CF178" s="915">
        <f>CG178-SUM(CC178:CE178)</f>
        <v>25</v>
      </c>
      <c r="CG178" s="1493">
        <v>100</v>
      </c>
      <c r="CH178" s="914">
        <f>CI178</f>
        <v>25</v>
      </c>
      <c r="CI178" s="153">
        <f>CJ178</f>
        <v>25</v>
      </c>
      <c r="CJ178" s="153">
        <f>CL178/4</f>
        <v>25</v>
      </c>
      <c r="CK178" s="915">
        <f>CL178-SUM(CH178:CJ178)</f>
        <v>25</v>
      </c>
      <c r="CL178" s="608">
        <v>100</v>
      </c>
      <c r="CM178" s="914">
        <f>CN178</f>
        <v>25</v>
      </c>
      <c r="CN178" s="153">
        <f>CO178</f>
        <v>25</v>
      </c>
      <c r="CO178" s="153">
        <f>CQ178/4</f>
        <v>25</v>
      </c>
      <c r="CP178" s="915">
        <f>CQ178-SUM(CM178:CO178)</f>
        <v>25</v>
      </c>
      <c r="CQ178" s="608">
        <v>100</v>
      </c>
    </row>
    <row r="179" spans="1:95" ht="6.2" customHeight="1">
      <c r="AJ179" s="1000"/>
      <c r="AK179" s="1001"/>
      <c r="AL179" s="1001"/>
      <c r="AM179" s="1002"/>
      <c r="AO179" s="1000"/>
      <c r="AP179" s="1001"/>
      <c r="AQ179" s="1001"/>
      <c r="AR179" s="1002"/>
      <c r="AT179" s="1000"/>
      <c r="AU179" s="1001"/>
      <c r="AV179" s="1001"/>
      <c r="AW179" s="1002"/>
      <c r="AY179" s="1000"/>
      <c r="AZ179" s="1001"/>
      <c r="BA179" s="1001"/>
      <c r="BB179" s="1002"/>
      <c r="BD179" s="1000"/>
      <c r="BE179" s="1001"/>
      <c r="BF179" s="1001"/>
      <c r="BG179" s="1002"/>
      <c r="BI179" s="1000"/>
      <c r="BJ179" s="1001"/>
      <c r="BK179" s="1001"/>
      <c r="BL179" s="1002"/>
      <c r="BN179" s="1000"/>
      <c r="BO179" s="1001"/>
      <c r="BP179" s="1001"/>
      <c r="BQ179" s="1002"/>
      <c r="BS179" s="1000"/>
      <c r="BT179" s="1001"/>
      <c r="BU179" s="1001"/>
      <c r="BV179" s="1002"/>
      <c r="BX179" s="1000"/>
      <c r="BY179" s="1001"/>
      <c r="BZ179" s="1001"/>
      <c r="CA179" s="1002"/>
      <c r="CC179" s="1000"/>
      <c r="CD179" s="1001"/>
      <c r="CE179" s="1001"/>
      <c r="CF179" s="1002"/>
      <c r="CG179" s="1504"/>
      <c r="CH179" s="1000"/>
      <c r="CI179" s="1001"/>
      <c r="CJ179" s="1001"/>
      <c r="CK179" s="1002"/>
      <c r="CM179" s="1000"/>
      <c r="CN179" s="1001"/>
      <c r="CO179" s="1001"/>
      <c r="CP179" s="1002"/>
      <c r="CQ179" s="1001"/>
    </row>
    <row r="180" spans="1:95" ht="13.5" customHeight="1">
      <c r="B180" s="242" t="s">
        <v>996</v>
      </c>
      <c r="AJ180" s="1000"/>
      <c r="AK180" s="1001"/>
      <c r="AL180" s="1001"/>
      <c r="AM180" s="1002"/>
      <c r="AO180" s="1000"/>
      <c r="AP180" s="1001"/>
      <c r="AQ180" s="1001"/>
      <c r="AR180" s="1002"/>
      <c r="AT180" s="1000"/>
      <c r="AU180" s="1001"/>
      <c r="AV180" s="1001"/>
      <c r="AW180" s="1002"/>
      <c r="AY180" s="1000"/>
      <c r="AZ180" s="1001"/>
      <c r="BA180" s="1001"/>
      <c r="BB180" s="1002"/>
      <c r="BD180" s="1000"/>
      <c r="BE180" s="1001"/>
      <c r="BF180" s="1001"/>
      <c r="BG180" s="1002"/>
      <c r="BI180" s="1000"/>
      <c r="BJ180" s="1001"/>
      <c r="BK180" s="1001"/>
      <c r="BL180" s="1002"/>
      <c r="BN180" s="1000"/>
      <c r="BO180" s="1001"/>
      <c r="BP180" s="1001"/>
      <c r="BQ180" s="1002"/>
      <c r="BS180" s="1000"/>
      <c r="BT180" s="1001"/>
      <c r="BU180" s="1001"/>
      <c r="BV180" s="1002"/>
      <c r="BX180" s="1000"/>
      <c r="BY180" s="1001"/>
      <c r="BZ180" s="1001"/>
      <c r="CA180" s="1002"/>
      <c r="CC180" s="1000"/>
      <c r="CD180" s="1001"/>
      <c r="CE180" s="1001"/>
      <c r="CF180" s="1002"/>
      <c r="CG180" s="1504"/>
      <c r="CH180" s="1000"/>
      <c r="CI180" s="1001"/>
      <c r="CJ180" s="1001"/>
      <c r="CK180" s="1002"/>
      <c r="CM180" s="1000"/>
      <c r="CN180" s="1001"/>
      <c r="CO180" s="1001"/>
      <c r="CP180" s="1002"/>
      <c r="CQ180" s="1001"/>
    </row>
    <row r="181" spans="1:95" ht="13.5" customHeight="1" outlineLevel="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961"/>
      <c r="AK181" s="82"/>
      <c r="AL181" s="82"/>
      <c r="AM181" s="962"/>
      <c r="AN181" s="76"/>
      <c r="AO181" s="961"/>
      <c r="AP181" s="82"/>
      <c r="AQ181" s="82"/>
      <c r="AR181" s="962"/>
      <c r="AS181" s="76"/>
      <c r="AT181" s="961"/>
      <c r="AU181" s="82"/>
      <c r="AV181" s="82"/>
      <c r="AW181" s="962"/>
      <c r="AX181" s="76"/>
      <c r="AY181" s="961"/>
      <c r="AZ181" s="82"/>
      <c r="BA181" s="82"/>
      <c r="BB181" s="962"/>
      <c r="BC181" s="76"/>
      <c r="BD181" s="961"/>
      <c r="BE181" s="82"/>
      <c r="BF181" s="82"/>
      <c r="BG181" s="962"/>
      <c r="BH181" s="76"/>
      <c r="BI181" s="961"/>
      <c r="BJ181" s="82"/>
      <c r="BK181" s="82"/>
      <c r="BL181" s="962"/>
      <c r="BM181" s="76"/>
      <c r="BN181" s="1058"/>
      <c r="BO181" s="1059"/>
      <c r="BP181" s="1059"/>
      <c r="BQ181" s="1060"/>
      <c r="BR181" s="105"/>
      <c r="BS181" s="1058"/>
      <c r="BT181" s="1059"/>
      <c r="BU181" s="82"/>
      <c r="BV181" s="962"/>
      <c r="BW181" s="76"/>
      <c r="BX181" s="1089"/>
      <c r="BY181" s="82"/>
      <c r="BZ181" s="82"/>
      <c r="CA181" s="962"/>
      <c r="CB181" s="76"/>
      <c r="CC181" s="961"/>
      <c r="CD181" s="82"/>
      <c r="CE181" s="82"/>
      <c r="CF181" s="962"/>
      <c r="CG181" s="1492"/>
      <c r="CH181" s="961"/>
      <c r="CI181" s="82"/>
      <c r="CJ181" s="82"/>
      <c r="CK181" s="962"/>
      <c r="CL181" s="76"/>
      <c r="CM181" s="961"/>
      <c r="CN181" s="82"/>
      <c r="CO181" s="82"/>
      <c r="CP181" s="962"/>
      <c r="CQ181" s="82"/>
    </row>
    <row r="182" spans="1:95" ht="13.5" customHeight="1" outlineLevel="1">
      <c r="A182" s="242" t="s">
        <v>3</v>
      </c>
      <c r="B182" s="225"/>
      <c r="C182" s="225"/>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961"/>
      <c r="AK182" s="82"/>
      <c r="AL182" s="82"/>
      <c r="AM182" s="962"/>
      <c r="AN182" s="76"/>
      <c r="AO182" s="961"/>
      <c r="AP182" s="82"/>
      <c r="AQ182" s="82"/>
      <c r="AR182" s="962"/>
      <c r="AS182" s="76"/>
      <c r="AT182" s="961"/>
      <c r="AU182" s="82"/>
      <c r="AV182" s="998" t="s">
        <v>4</v>
      </c>
      <c r="AW182" s="962"/>
      <c r="AX182" s="76"/>
      <c r="AY182" s="961"/>
      <c r="AZ182" s="82"/>
      <c r="BA182" s="82"/>
      <c r="BB182" s="962"/>
      <c r="BC182" s="76"/>
      <c r="BD182" s="961"/>
      <c r="BE182" s="82"/>
      <c r="BF182" s="82"/>
      <c r="BG182" s="962"/>
      <c r="BH182" s="76"/>
      <c r="BI182" s="961"/>
      <c r="BJ182" s="82"/>
      <c r="BK182" s="82"/>
      <c r="BL182" s="962"/>
      <c r="BM182" s="76"/>
      <c r="BN182" s="1058"/>
      <c r="BO182" s="1059"/>
      <c r="BP182" s="1059"/>
      <c r="BQ182" s="1060"/>
      <c r="BR182" s="105"/>
      <c r="BS182" s="1058"/>
      <c r="BT182" s="1059"/>
      <c r="BU182" s="82"/>
      <c r="BV182" s="962"/>
      <c r="BW182" s="76"/>
      <c r="BX182" s="1089"/>
      <c r="BY182" s="82"/>
      <c r="BZ182" s="82"/>
      <c r="CA182" s="962"/>
      <c r="CB182" s="76"/>
      <c r="CC182" s="961"/>
      <c r="CD182" s="82"/>
      <c r="CE182" s="82"/>
      <c r="CF182" s="962"/>
      <c r="CG182" s="1492"/>
      <c r="CH182" s="961"/>
      <c r="CI182" s="82"/>
      <c r="CJ182" s="82"/>
      <c r="CK182" s="962"/>
      <c r="CL182" s="76"/>
      <c r="CM182" s="961"/>
      <c r="CN182" s="82"/>
      <c r="CO182" s="82"/>
      <c r="CP182" s="962"/>
      <c r="CQ182" s="82"/>
    </row>
    <row r="183" spans="1:95" ht="13.5" customHeight="1" outlineLevel="1">
      <c r="A183" s="76"/>
      <c r="B183" s="75" t="s">
        <v>5</v>
      </c>
      <c r="C183" s="76"/>
      <c r="D183" s="76"/>
      <c r="E183" s="76"/>
      <c r="F183" s="76"/>
      <c r="G183" s="76"/>
      <c r="H183" s="76"/>
      <c r="I183" s="76"/>
      <c r="J183" s="76"/>
      <c r="K183" s="76"/>
      <c r="L183" s="76"/>
      <c r="M183" s="76"/>
      <c r="N183" s="76"/>
      <c r="O183" s="76"/>
      <c r="P183" s="76"/>
      <c r="Q183" s="76"/>
      <c r="R183" s="76"/>
      <c r="S183" s="76"/>
      <c r="T183" s="76"/>
      <c r="U183" s="104"/>
      <c r="V183" s="104"/>
      <c r="W183" s="104"/>
      <c r="X183" s="104"/>
      <c r="Y183" s="104"/>
      <c r="Z183" s="104"/>
      <c r="AA183" s="104"/>
      <c r="AB183" s="104"/>
      <c r="AC183" s="104"/>
      <c r="AD183" s="104"/>
      <c r="AE183" s="104"/>
      <c r="AF183" s="104"/>
      <c r="AG183" s="104"/>
      <c r="AH183" s="104"/>
      <c r="AI183" s="104"/>
      <c r="AJ183" s="995"/>
      <c r="AK183" s="126"/>
      <c r="AL183" s="126"/>
      <c r="AM183" s="996"/>
      <c r="AN183" s="104"/>
      <c r="AO183" s="995"/>
      <c r="AP183" s="126"/>
      <c r="AQ183" s="126"/>
      <c r="AR183" s="996"/>
      <c r="AS183" s="625">
        <v>969</v>
      </c>
      <c r="AT183" s="995"/>
      <c r="AU183" s="126"/>
      <c r="AV183" s="998">
        <v>821</v>
      </c>
      <c r="AW183" s="996"/>
      <c r="AX183" s="104"/>
      <c r="AY183" s="995"/>
      <c r="AZ183" s="126"/>
      <c r="BA183" s="126"/>
      <c r="BB183" s="996"/>
      <c r="BC183" s="104"/>
      <c r="BD183" s="995"/>
      <c r="BE183" s="126"/>
      <c r="BF183" s="126"/>
      <c r="BG183" s="996"/>
      <c r="BH183" s="104"/>
      <c r="BI183" s="995"/>
      <c r="BJ183" s="126"/>
      <c r="BK183" s="126"/>
      <c r="BL183" s="996"/>
      <c r="BM183" s="104"/>
      <c r="BN183" s="1061"/>
      <c r="BO183" s="128"/>
      <c r="BP183" s="128"/>
      <c r="BQ183" s="1062"/>
      <c r="BR183" s="309"/>
      <c r="BS183" s="1061"/>
      <c r="BT183" s="128"/>
      <c r="BU183" s="126"/>
      <c r="BV183" s="996"/>
      <c r="BW183" s="104"/>
      <c r="BX183" s="995"/>
      <c r="BY183" s="126"/>
      <c r="BZ183" s="126"/>
      <c r="CA183" s="996"/>
      <c r="CB183" s="104"/>
      <c r="CC183" s="995"/>
      <c r="CD183" s="126"/>
      <c r="CE183" s="126"/>
      <c r="CF183" s="996"/>
      <c r="CG183" s="1502"/>
      <c r="CH183" s="995"/>
      <c r="CI183" s="126"/>
      <c r="CJ183" s="126"/>
      <c r="CK183" s="996"/>
      <c r="CL183" s="104"/>
      <c r="CM183" s="995"/>
      <c r="CN183" s="126"/>
      <c r="CO183" s="126"/>
      <c r="CP183" s="996"/>
      <c r="CQ183" s="126"/>
    </row>
    <row r="184" spans="1:95" ht="13.5" customHeight="1" outlineLevel="1">
      <c r="A184" s="76"/>
      <c r="B184" s="75" t="s">
        <v>722</v>
      </c>
      <c r="C184" s="76"/>
      <c r="D184" s="76"/>
      <c r="E184" s="76"/>
      <c r="F184" s="76"/>
      <c r="G184" s="76"/>
      <c r="H184" s="76"/>
      <c r="I184" s="76"/>
      <c r="J184" s="76"/>
      <c r="K184" s="76"/>
      <c r="L184" s="76"/>
      <c r="M184" s="76"/>
      <c r="N184" s="76"/>
      <c r="O184" s="76"/>
      <c r="P184" s="76"/>
      <c r="Q184" s="76"/>
      <c r="R184" s="76"/>
      <c r="S184" s="76"/>
      <c r="T184" s="76"/>
      <c r="U184" s="104"/>
      <c r="V184" s="104"/>
      <c r="W184" s="104"/>
      <c r="X184" s="104"/>
      <c r="Y184" s="104"/>
      <c r="Z184" s="104"/>
      <c r="AA184" s="104"/>
      <c r="AB184" s="104"/>
      <c r="AC184" s="104"/>
      <c r="AD184" s="104"/>
      <c r="AE184" s="104"/>
      <c r="AF184" s="104"/>
      <c r="AG184" s="104"/>
      <c r="AH184" s="104"/>
      <c r="AI184" s="104"/>
      <c r="AJ184" s="995"/>
      <c r="AK184" s="126"/>
      <c r="AL184" s="126"/>
      <c r="AM184" s="996"/>
      <c r="AN184" s="104"/>
      <c r="AO184" s="995"/>
      <c r="AP184" s="126"/>
      <c r="AQ184" s="126"/>
      <c r="AR184" s="996"/>
      <c r="AS184" s="625">
        <v>21</v>
      </c>
      <c r="AT184" s="995"/>
      <c r="AU184" s="126"/>
      <c r="AV184" s="998">
        <v>17</v>
      </c>
      <c r="AW184" s="996"/>
      <c r="AX184" s="104"/>
      <c r="AY184" s="995"/>
      <c r="AZ184" s="126"/>
      <c r="BA184" s="126"/>
      <c r="BB184" s="996"/>
      <c r="BC184" s="104"/>
      <c r="BD184" s="995"/>
      <c r="BE184" s="126"/>
      <c r="BF184" s="126"/>
      <c r="BG184" s="996"/>
      <c r="BH184" s="104"/>
      <c r="BI184" s="995"/>
      <c r="BJ184" s="126"/>
      <c r="BK184" s="126"/>
      <c r="BL184" s="996"/>
      <c r="BM184" s="104"/>
      <c r="BN184" s="1061"/>
      <c r="BO184" s="128"/>
      <c r="BP184" s="128"/>
      <c r="BQ184" s="1062"/>
      <c r="BR184" s="309"/>
      <c r="BS184" s="1061"/>
      <c r="BT184" s="128"/>
      <c r="BU184" s="126"/>
      <c r="BV184" s="996"/>
      <c r="BW184" s="104"/>
      <c r="BX184" s="995"/>
      <c r="BY184" s="126"/>
      <c r="BZ184" s="126"/>
      <c r="CA184" s="996"/>
      <c r="CB184" s="104"/>
      <c r="CC184" s="995"/>
      <c r="CD184" s="126"/>
      <c r="CE184" s="126"/>
      <c r="CF184" s="996"/>
      <c r="CG184" s="1502"/>
      <c r="CH184" s="995"/>
      <c r="CI184" s="126"/>
      <c r="CJ184" s="126"/>
      <c r="CK184" s="996"/>
      <c r="CL184" s="104"/>
      <c r="CM184" s="995"/>
      <c r="CN184" s="126"/>
      <c r="CO184" s="126"/>
      <c r="CP184" s="996"/>
      <c r="CQ184" s="126"/>
    </row>
    <row r="185" spans="1:95" ht="13.5" customHeight="1" outlineLevel="1">
      <c r="A185" s="76"/>
      <c r="B185" s="75" t="s">
        <v>705</v>
      </c>
      <c r="C185" s="76"/>
      <c r="D185" s="76"/>
      <c r="E185" s="76"/>
      <c r="F185" s="76"/>
      <c r="G185" s="76"/>
      <c r="H185" s="76"/>
      <c r="I185" s="76"/>
      <c r="J185" s="76"/>
      <c r="K185" s="76"/>
      <c r="L185" s="76"/>
      <c r="M185" s="76"/>
      <c r="N185" s="76"/>
      <c r="O185" s="76"/>
      <c r="P185" s="76"/>
      <c r="Q185" s="76"/>
      <c r="R185" s="76"/>
      <c r="S185" s="76"/>
      <c r="T185" s="76"/>
      <c r="U185" s="104"/>
      <c r="V185" s="104"/>
      <c r="W185" s="104"/>
      <c r="X185" s="104"/>
      <c r="Y185" s="104"/>
      <c r="Z185" s="104"/>
      <c r="AA185" s="104"/>
      <c r="AB185" s="104"/>
      <c r="AC185" s="104"/>
      <c r="AD185" s="104"/>
      <c r="AE185" s="104"/>
      <c r="AF185" s="104"/>
      <c r="AG185" s="104"/>
      <c r="AH185" s="104"/>
      <c r="AI185" s="104"/>
      <c r="AJ185" s="995"/>
      <c r="AK185" s="126"/>
      <c r="AL185" s="126"/>
      <c r="AM185" s="996"/>
      <c r="AN185" s="104"/>
      <c r="AO185" s="995"/>
      <c r="AP185" s="126"/>
      <c r="AQ185" s="126"/>
      <c r="AR185" s="996"/>
      <c r="AS185" s="625">
        <v>-151</v>
      </c>
      <c r="AT185" s="995"/>
      <c r="AU185" s="126"/>
      <c r="AV185" s="998">
        <v>-139</v>
      </c>
      <c r="AW185" s="999">
        <v>-65</v>
      </c>
      <c r="AX185" s="625">
        <v>-204</v>
      </c>
      <c r="AY185" s="995"/>
      <c r="AZ185" s="126"/>
      <c r="BA185" s="126"/>
      <c r="BB185" s="996"/>
      <c r="BC185" s="104"/>
      <c r="BD185" s="995"/>
      <c r="BE185" s="126"/>
      <c r="BF185" s="126"/>
      <c r="BG185" s="996"/>
      <c r="BH185" s="104"/>
      <c r="BI185" s="995"/>
      <c r="BJ185" s="126"/>
      <c r="BK185" s="126"/>
      <c r="BL185" s="996"/>
      <c r="BM185" s="104"/>
      <c r="BN185" s="1061"/>
      <c r="BO185" s="1063"/>
      <c r="BP185" s="128"/>
      <c r="BQ185" s="1062"/>
      <c r="BR185" s="309"/>
      <c r="BS185" s="1061"/>
      <c r="BT185" s="128"/>
      <c r="BU185" s="126"/>
      <c r="BV185" s="996"/>
      <c r="BW185" s="104"/>
      <c r="BX185" s="995"/>
      <c r="BY185" s="126"/>
      <c r="BZ185" s="126"/>
      <c r="CA185" s="996"/>
      <c r="CB185" s="104"/>
      <c r="CC185" s="995"/>
      <c r="CD185" s="126"/>
      <c r="CE185" s="126"/>
      <c r="CF185" s="996"/>
      <c r="CG185" s="1502"/>
      <c r="CH185" s="995"/>
      <c r="CI185" s="126"/>
      <c r="CJ185" s="126"/>
      <c r="CK185" s="996"/>
      <c r="CL185" s="104"/>
      <c r="CM185" s="995"/>
      <c r="CN185" s="126"/>
      <c r="CO185" s="126"/>
      <c r="CP185" s="996"/>
      <c r="CQ185" s="126"/>
    </row>
    <row r="186" spans="1:95" ht="13.5" customHeight="1" outlineLevel="1">
      <c r="A186" s="76"/>
      <c r="B186" s="75" t="s">
        <v>588</v>
      </c>
      <c r="C186" s="76"/>
      <c r="D186" s="76"/>
      <c r="E186" s="76"/>
      <c r="F186" s="76"/>
      <c r="G186" s="76"/>
      <c r="H186" s="76"/>
      <c r="I186" s="76"/>
      <c r="J186" s="76"/>
      <c r="K186" s="76"/>
      <c r="L186" s="76"/>
      <c r="M186" s="76"/>
      <c r="N186" s="76"/>
      <c r="O186" s="76"/>
      <c r="P186" s="76"/>
      <c r="Q186" s="76"/>
      <c r="R186" s="76"/>
      <c r="S186" s="76"/>
      <c r="T186" s="76"/>
      <c r="U186" s="104"/>
      <c r="V186" s="104"/>
      <c r="W186" s="104"/>
      <c r="X186" s="104"/>
      <c r="Y186" s="104"/>
      <c r="Z186" s="104"/>
      <c r="AA186" s="104"/>
      <c r="AB186" s="104"/>
      <c r="AC186" s="104"/>
      <c r="AD186" s="104"/>
      <c r="AE186" s="104"/>
      <c r="AF186" s="104"/>
      <c r="AG186" s="104"/>
      <c r="AH186" s="104"/>
      <c r="AI186" s="104"/>
      <c r="AJ186" s="995"/>
      <c r="AK186" s="126"/>
      <c r="AL186" s="126"/>
      <c r="AM186" s="996"/>
      <c r="AN186" s="104"/>
      <c r="AO186" s="995"/>
      <c r="AP186" s="126"/>
      <c r="AQ186" s="126"/>
      <c r="AR186" s="996"/>
      <c r="AS186" s="104">
        <f>AS185+AS184</f>
        <v>-130</v>
      </c>
      <c r="AT186" s="995"/>
      <c r="AU186" s="126"/>
      <c r="AV186" s="126">
        <f>AV185+AV184</f>
        <v>-122</v>
      </c>
      <c r="AW186" s="996"/>
      <c r="AX186" s="104"/>
      <c r="AY186" s="995"/>
      <c r="AZ186" s="126"/>
      <c r="BA186" s="126"/>
      <c r="BB186" s="996"/>
      <c r="BC186" s="104"/>
      <c r="BD186" s="995"/>
      <c r="BE186" s="126"/>
      <c r="BF186" s="126"/>
      <c r="BG186" s="996"/>
      <c r="BH186" s="104"/>
      <c r="BI186" s="995"/>
      <c r="BJ186" s="126"/>
      <c r="BK186" s="126"/>
      <c r="BL186" s="996"/>
      <c r="BM186" s="104"/>
      <c r="BN186" s="1061"/>
      <c r="BO186" s="128"/>
      <c r="BP186" s="128"/>
      <c r="BQ186" s="1062"/>
      <c r="BR186" s="309"/>
      <c r="BS186" s="1061"/>
      <c r="BT186" s="128"/>
      <c r="BU186" s="126"/>
      <c r="BV186" s="996"/>
      <c r="BW186" s="104"/>
      <c r="BX186" s="995"/>
      <c r="BY186" s="126"/>
      <c r="BZ186" s="126"/>
      <c r="CA186" s="996"/>
      <c r="CB186" s="104"/>
      <c r="CC186" s="995"/>
      <c r="CD186" s="126"/>
      <c r="CE186" s="126"/>
      <c r="CF186" s="996"/>
      <c r="CG186" s="1502"/>
      <c r="CH186" s="995"/>
      <c r="CI186" s="126"/>
      <c r="CJ186" s="126"/>
      <c r="CK186" s="996"/>
      <c r="CL186" s="104"/>
      <c r="CM186" s="995"/>
      <c r="CN186" s="126"/>
      <c r="CO186" s="126"/>
      <c r="CP186" s="996"/>
      <c r="CQ186" s="126"/>
    </row>
    <row r="187" spans="1:95" ht="13.5" customHeight="1" outlineLevel="1">
      <c r="A187" s="76"/>
      <c r="B187" s="76"/>
      <c r="C187" s="76"/>
      <c r="D187" s="76"/>
      <c r="E187" s="76"/>
      <c r="F187" s="76"/>
      <c r="G187" s="76"/>
      <c r="H187" s="76"/>
      <c r="I187" s="76"/>
      <c r="J187" s="76"/>
      <c r="K187" s="76"/>
      <c r="L187" s="76"/>
      <c r="M187" s="76"/>
      <c r="N187" s="76"/>
      <c r="O187" s="76"/>
      <c r="P187" s="76"/>
      <c r="Q187" s="76"/>
      <c r="R187" s="76"/>
      <c r="S187" s="76"/>
      <c r="T187" s="76"/>
      <c r="U187" s="104"/>
      <c r="V187" s="104"/>
      <c r="W187" s="104"/>
      <c r="X187" s="104"/>
      <c r="Y187" s="104"/>
      <c r="Z187" s="104"/>
      <c r="AA187" s="104"/>
      <c r="AB187" s="104"/>
      <c r="AC187" s="104"/>
      <c r="AD187" s="104"/>
      <c r="AE187" s="104"/>
      <c r="AF187" s="104"/>
      <c r="AG187" s="104"/>
      <c r="AH187" s="104"/>
      <c r="AI187" s="104"/>
      <c r="AJ187" s="995"/>
      <c r="AK187" s="126"/>
      <c r="AL187" s="126"/>
      <c r="AM187" s="996"/>
      <c r="AN187" s="104"/>
      <c r="AO187" s="995"/>
      <c r="AP187" s="126"/>
      <c r="AQ187" s="126"/>
      <c r="AR187" s="996"/>
      <c r="AS187" s="104"/>
      <c r="AT187" s="995"/>
      <c r="AU187" s="126"/>
      <c r="AV187" s="126"/>
      <c r="AW187" s="996"/>
      <c r="AX187" s="104"/>
      <c r="AY187" s="995"/>
      <c r="AZ187" s="126"/>
      <c r="BA187" s="126"/>
      <c r="BB187" s="996"/>
      <c r="BC187" s="104"/>
      <c r="BD187" s="995"/>
      <c r="BE187" s="126"/>
      <c r="BF187" s="126"/>
      <c r="BG187" s="996"/>
      <c r="BH187" s="104"/>
      <c r="BI187" s="995"/>
      <c r="BJ187" s="126"/>
      <c r="BK187" s="126"/>
      <c r="BL187" s="996"/>
      <c r="BM187" s="104"/>
      <c r="BN187" s="1061"/>
      <c r="BO187" s="128"/>
      <c r="BP187" s="128"/>
      <c r="BQ187" s="1062"/>
      <c r="BR187" s="309"/>
      <c r="BS187" s="1061"/>
      <c r="BT187" s="128"/>
      <c r="BU187" s="126"/>
      <c r="BV187" s="996"/>
      <c r="BW187" s="104"/>
      <c r="BX187" s="995"/>
      <c r="BY187" s="126"/>
      <c r="BZ187" s="126"/>
      <c r="CA187" s="996"/>
      <c r="CB187" s="104"/>
      <c r="CC187" s="995"/>
      <c r="CD187" s="126"/>
      <c r="CE187" s="126"/>
      <c r="CF187" s="996"/>
      <c r="CG187" s="1502"/>
      <c r="CH187" s="995"/>
      <c r="CI187" s="126"/>
      <c r="CJ187" s="126"/>
      <c r="CK187" s="996"/>
      <c r="CL187" s="104"/>
      <c r="CM187" s="995"/>
      <c r="CN187" s="126"/>
      <c r="CO187" s="126"/>
      <c r="CP187" s="996"/>
      <c r="CQ187" s="126"/>
    </row>
    <row r="188" spans="1:95" ht="13.5" customHeight="1" outlineLevel="1">
      <c r="A188" s="242" t="s">
        <v>6</v>
      </c>
      <c r="B188" s="76"/>
      <c r="C188" s="76"/>
      <c r="D188" s="76"/>
      <c r="E188" s="76"/>
      <c r="F188" s="76"/>
      <c r="G188" s="76"/>
      <c r="H188" s="76"/>
      <c r="I188" s="76"/>
      <c r="J188" s="76"/>
      <c r="K188" s="76"/>
      <c r="L188" s="76"/>
      <c r="M188" s="76"/>
      <c r="N188" s="76"/>
      <c r="O188" s="76"/>
      <c r="P188" s="76"/>
      <c r="Q188" s="76"/>
      <c r="R188" s="76"/>
      <c r="S188" s="76"/>
      <c r="T188" s="76"/>
      <c r="U188" s="104"/>
      <c r="V188" s="104"/>
      <c r="W188" s="104"/>
      <c r="X188" s="104"/>
      <c r="Y188" s="104"/>
      <c r="Z188" s="104"/>
      <c r="AA188" s="104"/>
      <c r="AB188" s="104"/>
      <c r="AC188" s="104"/>
      <c r="AD188" s="104"/>
      <c r="AE188" s="104"/>
      <c r="AF188" s="104"/>
      <c r="AG188" s="104"/>
      <c r="AH188" s="104"/>
      <c r="AI188" s="104"/>
      <c r="AJ188" s="995"/>
      <c r="AK188" s="126"/>
      <c r="AL188" s="126"/>
      <c r="AM188" s="996"/>
      <c r="AN188" s="104"/>
      <c r="AO188" s="995"/>
      <c r="AP188" s="126"/>
      <c r="AQ188" s="126"/>
      <c r="AR188" s="996"/>
      <c r="AS188" s="104"/>
      <c r="AT188" s="995"/>
      <c r="AU188" s="126"/>
      <c r="AV188" s="126"/>
      <c r="AW188" s="996"/>
      <c r="AX188" s="104"/>
      <c r="AY188" s="995"/>
      <c r="AZ188" s="126"/>
      <c r="BA188" s="126"/>
      <c r="BB188" s="996"/>
      <c r="BC188" s="104"/>
      <c r="BD188" s="995"/>
      <c r="BE188" s="126"/>
      <c r="BF188" s="126"/>
      <c r="BG188" s="996"/>
      <c r="BH188" s="104"/>
      <c r="BI188" s="995"/>
      <c r="BJ188" s="126"/>
      <c r="BK188" s="126"/>
      <c r="BL188" s="996"/>
      <c r="BM188" s="104"/>
      <c r="BN188" s="1061"/>
      <c r="BO188" s="128"/>
      <c r="BP188" s="128"/>
      <c r="BQ188" s="1062"/>
      <c r="BR188" s="309"/>
      <c r="BS188" s="1061"/>
      <c r="BT188" s="128"/>
      <c r="BU188" s="126"/>
      <c r="BV188" s="996"/>
      <c r="BW188" s="104"/>
      <c r="BX188" s="995"/>
      <c r="BY188" s="126"/>
      <c r="BZ188" s="126"/>
      <c r="CA188" s="996"/>
      <c r="CB188" s="104"/>
      <c r="CC188" s="995"/>
      <c r="CD188" s="126"/>
      <c r="CE188" s="126"/>
      <c r="CF188" s="996"/>
      <c r="CG188" s="1502"/>
      <c r="CH188" s="995"/>
      <c r="CI188" s="126"/>
      <c r="CJ188" s="126"/>
      <c r="CK188" s="996"/>
      <c r="CL188" s="104"/>
      <c r="CM188" s="995"/>
      <c r="CN188" s="126"/>
      <c r="CO188" s="126"/>
      <c r="CP188" s="996"/>
      <c r="CQ188" s="126"/>
    </row>
    <row r="189" spans="1:95" ht="13.5" customHeight="1" outlineLevel="1">
      <c r="A189" s="76"/>
      <c r="B189" s="75" t="s">
        <v>5</v>
      </c>
      <c r="C189" s="76"/>
      <c r="D189" s="76"/>
      <c r="E189" s="76"/>
      <c r="F189" s="76"/>
      <c r="G189" s="76"/>
      <c r="H189" s="76"/>
      <c r="I189" s="76"/>
      <c r="J189" s="76"/>
      <c r="K189" s="76"/>
      <c r="L189" s="76"/>
      <c r="M189" s="76"/>
      <c r="N189" s="76"/>
      <c r="O189" s="76"/>
      <c r="P189" s="76"/>
      <c r="Q189" s="76"/>
      <c r="R189" s="76"/>
      <c r="S189" s="76"/>
      <c r="T189" s="76"/>
      <c r="U189" s="104"/>
      <c r="V189" s="104"/>
      <c r="W189" s="104"/>
      <c r="X189" s="104"/>
      <c r="Y189" s="104"/>
      <c r="Z189" s="104"/>
      <c r="AA189" s="104"/>
      <c r="AB189" s="104"/>
      <c r="AC189" s="104"/>
      <c r="AD189" s="104"/>
      <c r="AE189" s="104"/>
      <c r="AF189" s="104"/>
      <c r="AG189" s="104"/>
      <c r="AH189" s="104"/>
      <c r="AI189" s="104"/>
      <c r="AJ189" s="995"/>
      <c r="AK189" s="126"/>
      <c r="AL189" s="126"/>
      <c r="AM189" s="996"/>
      <c r="AN189" s="104"/>
      <c r="AO189" s="995"/>
      <c r="AP189" s="126"/>
      <c r="AQ189" s="126"/>
      <c r="AR189" s="996"/>
      <c r="AS189" s="104">
        <f>AS152-AS183</f>
        <v>3020</v>
      </c>
      <c r="AT189" s="995"/>
      <c r="AU189" s="126"/>
      <c r="AV189" s="126">
        <f>SUM(AT152:AV152)-AV183</f>
        <v>2570</v>
      </c>
      <c r="AW189" s="996"/>
      <c r="AX189" s="104"/>
      <c r="AY189" s="995"/>
      <c r="AZ189" s="126"/>
      <c r="BA189" s="126"/>
      <c r="BB189" s="996"/>
      <c r="BC189" s="104"/>
      <c r="BD189" s="995"/>
      <c r="BE189" s="126"/>
      <c r="BF189" s="126"/>
      <c r="BG189" s="996"/>
      <c r="BH189" s="104"/>
      <c r="BI189" s="995"/>
      <c r="BJ189" s="126"/>
      <c r="BK189" s="126"/>
      <c r="BL189" s="996"/>
      <c r="BM189" s="104"/>
      <c r="BN189" s="1061"/>
      <c r="BO189" s="128"/>
      <c r="BP189" s="128"/>
      <c r="BQ189" s="1062"/>
      <c r="BR189" s="309"/>
      <c r="BS189" s="1061"/>
      <c r="BT189" s="128"/>
      <c r="BU189" s="126"/>
      <c r="BV189" s="996"/>
      <c r="BW189" s="104"/>
      <c r="BX189" s="995"/>
      <c r="BY189" s="126"/>
      <c r="BZ189" s="126"/>
      <c r="CA189" s="996"/>
      <c r="CB189" s="104"/>
      <c r="CC189" s="995"/>
      <c r="CD189" s="126"/>
      <c r="CE189" s="126"/>
      <c r="CF189" s="996"/>
      <c r="CG189" s="1502"/>
      <c r="CH189" s="995"/>
      <c r="CI189" s="126"/>
      <c r="CJ189" s="126"/>
      <c r="CK189" s="996"/>
      <c r="CL189" s="104"/>
      <c r="CM189" s="995"/>
      <c r="CN189" s="126"/>
      <c r="CO189" s="126"/>
      <c r="CP189" s="996"/>
      <c r="CQ189" s="126"/>
    </row>
    <row r="190" spans="1:95" ht="13.5" customHeight="1" outlineLevel="1">
      <c r="A190" s="76"/>
      <c r="B190" s="75" t="s">
        <v>722</v>
      </c>
      <c r="C190" s="76"/>
      <c r="D190" s="76"/>
      <c r="E190" s="76"/>
      <c r="F190" s="76"/>
      <c r="G190" s="76"/>
      <c r="H190" s="76"/>
      <c r="I190" s="76"/>
      <c r="J190" s="76"/>
      <c r="K190" s="76"/>
      <c r="L190" s="76"/>
      <c r="M190" s="76"/>
      <c r="N190" s="76"/>
      <c r="O190" s="76"/>
      <c r="P190" s="76"/>
      <c r="Q190" s="76"/>
      <c r="R190" s="76"/>
      <c r="S190" s="76"/>
      <c r="T190" s="76"/>
      <c r="U190" s="104"/>
      <c r="V190" s="104"/>
      <c r="W190" s="104"/>
      <c r="X190" s="104"/>
      <c r="Y190" s="104"/>
      <c r="Z190" s="104"/>
      <c r="AA190" s="104"/>
      <c r="AB190" s="104"/>
      <c r="AC190" s="104"/>
      <c r="AD190" s="104"/>
      <c r="AE190" s="104"/>
      <c r="AF190" s="104"/>
      <c r="AG190" s="104"/>
      <c r="AH190" s="104"/>
      <c r="AI190" s="104"/>
      <c r="AJ190" s="995"/>
      <c r="AK190" s="126"/>
      <c r="AL190" s="126"/>
      <c r="AM190" s="996"/>
      <c r="AN190" s="104"/>
      <c r="AO190" s="995"/>
      <c r="AP190" s="126"/>
      <c r="AQ190" s="126"/>
      <c r="AR190" s="996"/>
      <c r="AS190" s="104">
        <f>AS174-AS184</f>
        <v>108</v>
      </c>
      <c r="AT190" s="995"/>
      <c r="AU190" s="126"/>
      <c r="AV190" s="126">
        <f>SUM(AT174:AV174)-AV184</f>
        <v>89</v>
      </c>
      <c r="AW190" s="996"/>
      <c r="AX190" s="104"/>
      <c r="AY190" s="995"/>
      <c r="AZ190" s="126"/>
      <c r="BA190" s="126"/>
      <c r="BB190" s="996"/>
      <c r="BC190" s="104"/>
      <c r="BD190" s="995"/>
      <c r="BE190" s="126"/>
      <c r="BF190" s="126"/>
      <c r="BG190" s="996"/>
      <c r="BH190" s="104"/>
      <c r="BI190" s="995"/>
      <c r="BJ190" s="126"/>
      <c r="BK190" s="126"/>
      <c r="BL190" s="996"/>
      <c r="BM190" s="104"/>
      <c r="BN190" s="1061"/>
      <c r="BO190" s="128"/>
      <c r="BP190" s="128"/>
      <c r="BQ190" s="1062"/>
      <c r="BR190" s="309"/>
      <c r="BS190" s="1061"/>
      <c r="BT190" s="128"/>
      <c r="BU190" s="126"/>
      <c r="BV190" s="996"/>
      <c r="BW190" s="104"/>
      <c r="BX190" s="995"/>
      <c r="BY190" s="126"/>
      <c r="BZ190" s="126"/>
      <c r="CA190" s="996"/>
      <c r="CB190" s="104"/>
      <c r="CC190" s="995"/>
      <c r="CD190" s="126"/>
      <c r="CE190" s="126"/>
      <c r="CF190" s="996"/>
      <c r="CG190" s="1502"/>
      <c r="CH190" s="995"/>
      <c r="CI190" s="126"/>
      <c r="CJ190" s="126"/>
      <c r="CK190" s="996"/>
      <c r="CL190" s="104"/>
      <c r="CM190" s="995"/>
      <c r="CN190" s="126"/>
      <c r="CO190" s="126"/>
      <c r="CP190" s="996"/>
      <c r="CQ190" s="126"/>
    </row>
    <row r="191" spans="1:95" ht="13.5" customHeight="1" outlineLevel="1">
      <c r="A191" s="76"/>
      <c r="B191" s="75" t="s">
        <v>705</v>
      </c>
      <c r="C191" s="76"/>
      <c r="D191" s="76"/>
      <c r="E191" s="76"/>
      <c r="F191" s="76"/>
      <c r="G191" s="76"/>
      <c r="H191" s="76"/>
      <c r="I191" s="76"/>
      <c r="J191" s="76"/>
      <c r="K191" s="76"/>
      <c r="L191" s="76"/>
      <c r="M191" s="76"/>
      <c r="N191" s="76"/>
      <c r="O191" s="76"/>
      <c r="P191" s="76"/>
      <c r="Q191" s="76"/>
      <c r="R191" s="76"/>
      <c r="S191" s="76"/>
      <c r="T191" s="76"/>
      <c r="U191" s="104"/>
      <c r="V191" s="104"/>
      <c r="W191" s="104"/>
      <c r="X191" s="104"/>
      <c r="Y191" s="104"/>
      <c r="Z191" s="104"/>
      <c r="AA191" s="104"/>
      <c r="AB191" s="104"/>
      <c r="AC191" s="104"/>
      <c r="AD191" s="104"/>
      <c r="AE191" s="104"/>
      <c r="AF191" s="104"/>
      <c r="AG191" s="104"/>
      <c r="AH191" s="104"/>
      <c r="AI191" s="104"/>
      <c r="AJ191" s="995"/>
      <c r="AK191" s="126"/>
      <c r="AL191" s="126"/>
      <c r="AM191" s="996"/>
      <c r="AN191" s="104"/>
      <c r="AO191" s="995"/>
      <c r="AP191" s="126"/>
      <c r="AQ191" s="126"/>
      <c r="AR191" s="996"/>
      <c r="AS191" s="104">
        <f>AS173-AS185</f>
        <v>118</v>
      </c>
      <c r="AT191" s="995"/>
      <c r="AU191" s="126"/>
      <c r="AV191" s="126">
        <f>SUM(AT173:AV173)-AV185</f>
        <v>66</v>
      </c>
      <c r="AW191" s="996">
        <f>AW173-AW185</f>
        <v>-24</v>
      </c>
      <c r="AX191" s="104">
        <f>AX173-AX185</f>
        <v>42</v>
      </c>
      <c r="AY191" s="995"/>
      <c r="AZ191" s="126"/>
      <c r="BA191" s="126"/>
      <c r="BB191" s="996"/>
      <c r="BC191" s="104"/>
      <c r="BD191" s="995"/>
      <c r="BE191" s="126"/>
      <c r="BF191" s="126"/>
      <c r="BG191" s="996"/>
      <c r="BH191" s="104"/>
      <c r="BI191" s="995"/>
      <c r="BJ191" s="126"/>
      <c r="BK191" s="126"/>
      <c r="BL191" s="996"/>
      <c r="BM191" s="104"/>
      <c r="BN191" s="1061"/>
      <c r="BO191" s="128"/>
      <c r="BP191" s="128"/>
      <c r="BQ191" s="1062"/>
      <c r="BR191" s="309"/>
      <c r="BS191" s="1061"/>
      <c r="BT191" s="128"/>
      <c r="BU191" s="126"/>
      <c r="BV191" s="996"/>
      <c r="BW191" s="104"/>
      <c r="BX191" s="995"/>
      <c r="BY191" s="126"/>
      <c r="BZ191" s="126"/>
      <c r="CA191" s="996"/>
      <c r="CB191" s="104"/>
      <c r="CC191" s="995"/>
      <c r="CD191" s="126"/>
      <c r="CE191" s="126"/>
      <c r="CF191" s="996"/>
      <c r="CG191" s="1502"/>
      <c r="CH191" s="995"/>
      <c r="CI191" s="126"/>
      <c r="CJ191" s="126"/>
      <c r="CK191" s="996"/>
      <c r="CL191" s="104"/>
      <c r="CM191" s="995"/>
      <c r="CN191" s="126"/>
      <c r="CO191" s="126"/>
      <c r="CP191" s="996"/>
      <c r="CQ191" s="126"/>
    </row>
    <row r="192" spans="1:95" ht="13.5" customHeight="1" outlineLevel="1">
      <c r="A192" s="76"/>
      <c r="B192" s="75" t="s">
        <v>588</v>
      </c>
      <c r="C192" s="76"/>
      <c r="D192" s="76"/>
      <c r="E192" s="76"/>
      <c r="F192" s="76"/>
      <c r="G192" s="76"/>
      <c r="H192" s="76"/>
      <c r="I192" s="76"/>
      <c r="J192" s="76"/>
      <c r="K192" s="76"/>
      <c r="L192" s="76"/>
      <c r="M192" s="76"/>
      <c r="N192" s="76"/>
      <c r="O192" s="76"/>
      <c r="P192" s="76"/>
      <c r="Q192" s="76"/>
      <c r="R192" s="76"/>
      <c r="S192" s="76"/>
      <c r="T192" s="76"/>
      <c r="U192" s="104"/>
      <c r="V192" s="104"/>
      <c r="W192" s="104"/>
      <c r="X192" s="104"/>
      <c r="Y192" s="104"/>
      <c r="Z192" s="104"/>
      <c r="AA192" s="104"/>
      <c r="AB192" s="104"/>
      <c r="AC192" s="104"/>
      <c r="AD192" s="104"/>
      <c r="AE192" s="104"/>
      <c r="AF192" s="104"/>
      <c r="AG192" s="104"/>
      <c r="AH192" s="104"/>
      <c r="AI192" s="104"/>
      <c r="AJ192" s="995"/>
      <c r="AK192" s="126"/>
      <c r="AL192" s="126"/>
      <c r="AM192" s="996"/>
      <c r="AN192" s="104"/>
      <c r="AO192" s="995"/>
      <c r="AP192" s="126"/>
      <c r="AQ192" s="126"/>
      <c r="AR192" s="996"/>
      <c r="AS192" s="104">
        <f>AS191+AS190</f>
        <v>226</v>
      </c>
      <c r="AT192" s="995"/>
      <c r="AU192" s="126"/>
      <c r="AV192" s="126">
        <f>AV191+AV190</f>
        <v>155</v>
      </c>
      <c r="AW192" s="996"/>
      <c r="AX192" s="104"/>
      <c r="AY192" s="995"/>
      <c r="AZ192" s="126"/>
      <c r="BA192" s="126"/>
      <c r="BB192" s="996"/>
      <c r="BC192" s="104"/>
      <c r="BD192" s="995"/>
      <c r="BE192" s="126"/>
      <c r="BF192" s="126"/>
      <c r="BG192" s="996"/>
      <c r="BH192" s="104"/>
      <c r="BI192" s="995"/>
      <c r="BJ192" s="126"/>
      <c r="BK192" s="126"/>
      <c r="BL192" s="996"/>
      <c r="BM192" s="104"/>
      <c r="BN192" s="1061"/>
      <c r="BO192" s="128"/>
      <c r="BP192" s="128"/>
      <c r="BQ192" s="1062"/>
      <c r="BR192" s="309"/>
      <c r="BS192" s="1061"/>
      <c r="BT192" s="128"/>
      <c r="BU192" s="126"/>
      <c r="BV192" s="996"/>
      <c r="BW192" s="104"/>
      <c r="BX192" s="995"/>
      <c r="BY192" s="126"/>
      <c r="BZ192" s="126"/>
      <c r="CA192" s="996"/>
      <c r="CB192" s="104"/>
      <c r="CC192" s="995"/>
      <c r="CD192" s="126"/>
      <c r="CE192" s="126"/>
      <c r="CF192" s="996"/>
      <c r="CG192" s="1502"/>
      <c r="CH192" s="995"/>
      <c r="CI192" s="126"/>
      <c r="CJ192" s="126"/>
      <c r="CK192" s="996"/>
      <c r="CL192" s="104"/>
      <c r="CM192" s="995"/>
      <c r="CN192" s="126"/>
      <c r="CO192" s="126"/>
      <c r="CP192" s="996"/>
      <c r="CQ192" s="126"/>
    </row>
    <row r="193" spans="1:99" ht="6.2" customHeight="1">
      <c r="AJ193" s="1000"/>
      <c r="AK193" s="1001"/>
      <c r="AL193" s="1001"/>
      <c r="AM193" s="1002"/>
      <c r="AO193" s="1000"/>
      <c r="AP193" s="1001"/>
      <c r="AQ193" s="1001"/>
      <c r="AR193" s="1002"/>
      <c r="AT193" s="1000"/>
      <c r="AU193" s="1001"/>
      <c r="AV193" s="1001"/>
      <c r="AW193" s="1002"/>
      <c r="AY193" s="1000"/>
      <c r="AZ193" s="1001"/>
      <c r="BA193" s="1001"/>
      <c r="BB193" s="1002"/>
      <c r="BD193" s="1000"/>
      <c r="BE193" s="1001"/>
      <c r="BF193" s="1001"/>
      <c r="BG193" s="1002"/>
      <c r="BI193" s="1000"/>
      <c r="BJ193" s="1001"/>
      <c r="BK193" s="1001"/>
      <c r="BL193" s="1002"/>
      <c r="BN193" s="1000"/>
      <c r="BO193" s="1001"/>
      <c r="BP193" s="1001"/>
      <c r="BQ193" s="1002"/>
      <c r="BS193" s="1000"/>
      <c r="BT193" s="1001"/>
      <c r="BU193" s="1001"/>
      <c r="BV193" s="1002"/>
      <c r="BX193" s="1000"/>
      <c r="BY193" s="1001"/>
      <c r="BZ193" s="1001"/>
      <c r="CA193" s="1002"/>
      <c r="CC193" s="1000"/>
      <c r="CD193" s="1001"/>
      <c r="CE193" s="1001"/>
      <c r="CF193" s="1002"/>
      <c r="CG193" s="1504"/>
      <c r="CH193" s="1000"/>
      <c r="CI193" s="1001"/>
      <c r="CJ193" s="1001"/>
      <c r="CK193" s="1002"/>
      <c r="CM193" s="1000"/>
      <c r="CN193" s="1001"/>
      <c r="CO193" s="1001"/>
      <c r="CP193" s="1002"/>
      <c r="CQ193" s="1001"/>
    </row>
    <row r="194" spans="1:99" ht="13.5" customHeight="1" collapsed="1">
      <c r="A194" s="797" t="s">
        <v>703</v>
      </c>
      <c r="B194" s="797"/>
      <c r="C194" s="797"/>
      <c r="D194" s="798"/>
      <c r="E194" s="798"/>
      <c r="F194" s="800"/>
      <c r="G194" s="800"/>
      <c r="H194" s="800"/>
      <c r="I194" s="800"/>
      <c r="J194" s="798"/>
      <c r="K194" s="800"/>
      <c r="L194" s="800"/>
      <c r="M194" s="800"/>
      <c r="N194" s="800"/>
      <c r="O194" s="799"/>
      <c r="P194" s="800"/>
      <c r="Q194" s="800"/>
      <c r="R194" s="800"/>
      <c r="S194" s="800"/>
      <c r="T194" s="799"/>
      <c r="U194" s="800"/>
      <c r="V194" s="800"/>
      <c r="W194" s="800"/>
      <c r="X194" s="800"/>
      <c r="Y194" s="799"/>
      <c r="Z194" s="800"/>
      <c r="AA194" s="800"/>
      <c r="AB194" s="800"/>
      <c r="AC194" s="800"/>
      <c r="AD194" s="799"/>
      <c r="AE194" s="800"/>
      <c r="AF194" s="800"/>
      <c r="AG194" s="800"/>
      <c r="AH194" s="800"/>
      <c r="AI194" s="799"/>
      <c r="AJ194" s="898"/>
      <c r="AK194" s="800"/>
      <c r="AL194" s="800"/>
      <c r="AM194" s="899"/>
      <c r="AN194" s="799"/>
      <c r="AO194" s="898"/>
      <c r="AP194" s="800"/>
      <c r="AQ194" s="800"/>
      <c r="AR194" s="899"/>
      <c r="AS194" s="799"/>
      <c r="AT194" s="898"/>
      <c r="AU194" s="800"/>
      <c r="AV194" s="800"/>
      <c r="AW194" s="899"/>
      <c r="AX194" s="799"/>
      <c r="AY194" s="898"/>
      <c r="AZ194" s="800"/>
      <c r="BA194" s="800"/>
      <c r="BB194" s="899"/>
      <c r="BC194" s="799"/>
      <c r="BD194" s="898"/>
      <c r="BE194" s="800"/>
      <c r="BF194" s="800"/>
      <c r="BG194" s="899"/>
      <c r="BH194" s="799"/>
      <c r="BI194" s="898"/>
      <c r="BJ194" s="800"/>
      <c r="BK194" s="800"/>
      <c r="BL194" s="899"/>
      <c r="BM194" s="799"/>
      <c r="BN194" s="898"/>
      <c r="BO194" s="800"/>
      <c r="BP194" s="800"/>
      <c r="BQ194" s="899"/>
      <c r="BR194" s="799"/>
      <c r="BS194" s="898"/>
      <c r="BT194" s="800"/>
      <c r="BU194" s="800"/>
      <c r="BV194" s="899"/>
      <c r="BW194" s="799"/>
      <c r="BX194" s="898"/>
      <c r="BY194" s="800"/>
      <c r="BZ194" s="800"/>
      <c r="CA194" s="899"/>
      <c r="CB194" s="799"/>
      <c r="CC194" s="898"/>
      <c r="CD194" s="800"/>
      <c r="CE194" s="800"/>
      <c r="CF194" s="899"/>
      <c r="CG194" s="1466"/>
      <c r="CH194" s="898"/>
      <c r="CI194" s="800"/>
      <c r="CJ194" s="800"/>
      <c r="CK194" s="899"/>
      <c r="CL194" s="799"/>
      <c r="CM194" s="898"/>
      <c r="CN194" s="800"/>
      <c r="CO194" s="800"/>
      <c r="CP194" s="899"/>
      <c r="CQ194" s="799"/>
      <c r="CR194" s="657"/>
      <c r="CS194" s="657"/>
      <c r="CT194" s="657"/>
      <c r="CU194" s="657"/>
    </row>
    <row r="195" spans="1:99" ht="13.5" customHeight="1">
      <c r="A195" s="110"/>
      <c r="B195" s="110"/>
      <c r="C195" s="111" t="s">
        <v>617</v>
      </c>
      <c r="D195" s="112">
        <f t="shared" ref="D195" si="324">D34+D100+D141</f>
        <v>13515</v>
      </c>
      <c r="E195" s="112">
        <f t="shared" ref="E195" si="325">E34+E100+E141</f>
        <v>14674</v>
      </c>
      <c r="F195" s="112"/>
      <c r="G195" s="112"/>
      <c r="H195" s="112"/>
      <c r="I195" s="112"/>
      <c r="J195" s="112">
        <f t="shared" ref="J195:AO195" si="326">J34+J100+J141</f>
        <v>19248</v>
      </c>
      <c r="K195" s="112">
        <f t="shared" si="326"/>
        <v>5606</v>
      </c>
      <c r="L195" s="112">
        <f t="shared" si="326"/>
        <v>5514</v>
      </c>
      <c r="M195" s="112">
        <f t="shared" si="326"/>
        <v>5268</v>
      </c>
      <c r="N195" s="112">
        <f t="shared" si="326"/>
        <v>5379</v>
      </c>
      <c r="O195" s="112">
        <f t="shared" si="326"/>
        <v>21767</v>
      </c>
      <c r="P195" s="112">
        <f t="shared" si="326"/>
        <v>5128</v>
      </c>
      <c r="Q195" s="112">
        <f t="shared" si="326"/>
        <v>4853</v>
      </c>
      <c r="R195" s="112">
        <f t="shared" si="326"/>
        <v>4685</v>
      </c>
      <c r="S195" s="112">
        <f t="shared" si="326"/>
        <v>4997</v>
      </c>
      <c r="T195" s="112">
        <f t="shared" si="326"/>
        <v>19663</v>
      </c>
      <c r="U195" s="112">
        <f t="shared" si="326"/>
        <v>5356</v>
      </c>
      <c r="V195" s="112">
        <f t="shared" si="326"/>
        <v>5828</v>
      </c>
      <c r="W195" s="112">
        <f t="shared" si="326"/>
        <v>5550</v>
      </c>
      <c r="X195" s="112">
        <f t="shared" si="326"/>
        <v>4898</v>
      </c>
      <c r="Y195" s="112">
        <f t="shared" si="326"/>
        <v>21632</v>
      </c>
      <c r="Z195" s="112">
        <f t="shared" si="326"/>
        <v>5087</v>
      </c>
      <c r="AA195" s="112">
        <f t="shared" si="326"/>
        <v>5504</v>
      </c>
      <c r="AB195" s="112">
        <f t="shared" si="326"/>
        <v>5560</v>
      </c>
      <c r="AC195" s="112">
        <f t="shared" si="326"/>
        <v>5958</v>
      </c>
      <c r="AD195" s="112">
        <f t="shared" si="326"/>
        <v>22109</v>
      </c>
      <c r="AE195" s="112">
        <f t="shared" si="326"/>
        <v>6772</v>
      </c>
      <c r="AF195" s="112">
        <f t="shared" si="326"/>
        <v>7045</v>
      </c>
      <c r="AG195" s="112">
        <f t="shared" si="326"/>
        <v>6433</v>
      </c>
      <c r="AH195" s="112">
        <f t="shared" si="326"/>
        <v>4198</v>
      </c>
      <c r="AI195" s="112">
        <f t="shared" si="326"/>
        <v>24448</v>
      </c>
      <c r="AJ195" s="1003">
        <f t="shared" si="326"/>
        <v>3227</v>
      </c>
      <c r="AK195" s="112">
        <f t="shared" si="326"/>
        <v>2942</v>
      </c>
      <c r="AL195" s="112">
        <f t="shared" si="326"/>
        <v>4158</v>
      </c>
      <c r="AM195" s="1004">
        <f t="shared" si="326"/>
        <v>4654</v>
      </c>
      <c r="AN195" s="112">
        <f t="shared" si="326"/>
        <v>14981</v>
      </c>
      <c r="AO195" s="1003">
        <f t="shared" si="326"/>
        <v>5404</v>
      </c>
      <c r="AP195" s="112">
        <f t="shared" ref="AP195:BU195" si="327">AP34+AP100+AP141</f>
        <v>5880</v>
      </c>
      <c r="AQ195" s="112">
        <f t="shared" si="327"/>
        <v>5557</v>
      </c>
      <c r="AR195" s="1004">
        <f t="shared" si="327"/>
        <v>5475</v>
      </c>
      <c r="AS195" s="112">
        <f t="shared" si="327"/>
        <v>22316</v>
      </c>
      <c r="AT195" s="1003">
        <f t="shared" si="327"/>
        <v>5824</v>
      </c>
      <c r="AU195" s="112">
        <f t="shared" si="327"/>
        <v>5498</v>
      </c>
      <c r="AV195" s="112">
        <f t="shared" si="327"/>
        <v>5512</v>
      </c>
      <c r="AW195" s="1004">
        <f t="shared" si="327"/>
        <v>5419</v>
      </c>
      <c r="AX195" s="112">
        <f t="shared" si="327"/>
        <v>22253</v>
      </c>
      <c r="AY195" s="1003">
        <f t="shared" si="327"/>
        <v>5666</v>
      </c>
      <c r="AZ195" s="112">
        <f t="shared" si="327"/>
        <v>5434</v>
      </c>
      <c r="BA195" s="112">
        <f t="shared" si="327"/>
        <v>5340</v>
      </c>
      <c r="BB195" s="1004">
        <f t="shared" si="327"/>
        <v>5236</v>
      </c>
      <c r="BC195" s="112">
        <f t="shared" si="327"/>
        <v>21676</v>
      </c>
      <c r="BD195" s="1003">
        <f t="shared" si="327"/>
        <v>5494</v>
      </c>
      <c r="BE195" s="112">
        <f t="shared" si="327"/>
        <v>5246</v>
      </c>
      <c r="BF195" s="112">
        <f t="shared" si="327"/>
        <v>4748</v>
      </c>
      <c r="BG195" s="1004">
        <f t="shared" si="327"/>
        <v>4913</v>
      </c>
      <c r="BH195" s="112">
        <f t="shared" si="327"/>
        <v>20401</v>
      </c>
      <c r="BI195" s="1003">
        <f t="shared" si="327"/>
        <v>5124</v>
      </c>
      <c r="BJ195" s="112">
        <f t="shared" si="327"/>
        <v>5029</v>
      </c>
      <c r="BK195" s="112">
        <f t="shared" si="327"/>
        <v>5107</v>
      </c>
      <c r="BL195" s="1004">
        <f t="shared" si="327"/>
        <v>4571</v>
      </c>
      <c r="BM195" s="112">
        <f t="shared" si="327"/>
        <v>19831</v>
      </c>
      <c r="BN195" s="1003">
        <f t="shared" si="327"/>
        <v>4101</v>
      </c>
      <c r="BO195" s="112">
        <f t="shared" si="327"/>
        <v>4004</v>
      </c>
      <c r="BP195" s="112">
        <f t="shared" si="327"/>
        <v>3850</v>
      </c>
      <c r="BQ195" s="1004">
        <f t="shared" si="327"/>
        <v>3700</v>
      </c>
      <c r="BR195" s="112">
        <f t="shared" si="327"/>
        <v>15655</v>
      </c>
      <c r="BS195" s="1003">
        <f t="shared" si="327"/>
        <v>3591</v>
      </c>
      <c r="BT195" s="112">
        <f t="shared" si="327"/>
        <v>3887</v>
      </c>
      <c r="BU195" s="112">
        <f t="shared" si="327"/>
        <v>3743</v>
      </c>
      <c r="BV195" s="1004">
        <f t="shared" ref="BV195:CQ195" si="328">BV34+BV100+BV141</f>
        <v>3768</v>
      </c>
      <c r="BW195" s="112">
        <f t="shared" si="328"/>
        <v>14989</v>
      </c>
      <c r="BX195" s="1003">
        <f t="shared" si="328"/>
        <v>3657</v>
      </c>
      <c r="BY195" s="112">
        <f t="shared" si="328"/>
        <v>3834</v>
      </c>
      <c r="BZ195" s="112">
        <f t="shared" si="328"/>
        <v>3796</v>
      </c>
      <c r="CA195" s="1004">
        <f t="shared" si="328"/>
        <v>3873</v>
      </c>
      <c r="CB195" s="112">
        <f t="shared" si="328"/>
        <v>15160</v>
      </c>
      <c r="CC195" s="1003">
        <f t="shared" si="328"/>
        <v>3688.24</v>
      </c>
      <c r="CD195" s="112">
        <f t="shared" si="328"/>
        <v>3894.97</v>
      </c>
      <c r="CE195" s="112">
        <f t="shared" si="328"/>
        <v>4087.4</v>
      </c>
      <c r="CF195" s="1004">
        <f t="shared" si="328"/>
        <v>4174.99</v>
      </c>
      <c r="CG195" s="1505">
        <f t="shared" si="328"/>
        <v>15845.6</v>
      </c>
      <c r="CH195" s="1003">
        <f t="shared" si="328"/>
        <v>4008.4211999999998</v>
      </c>
      <c r="CI195" s="112">
        <f t="shared" si="328"/>
        <v>4246.9598900000001</v>
      </c>
      <c r="CJ195" s="112">
        <f t="shared" si="328"/>
        <v>4150.0280000000002</v>
      </c>
      <c r="CK195" s="1004">
        <f t="shared" si="328"/>
        <v>4235.3293000000003</v>
      </c>
      <c r="CL195" s="112">
        <f t="shared" si="328"/>
        <v>16640.738389999999</v>
      </c>
      <c r="CM195" s="1003">
        <f t="shared" si="328"/>
        <v>4013.09328</v>
      </c>
      <c r="CN195" s="112">
        <f t="shared" si="328"/>
        <v>4253.63429</v>
      </c>
      <c r="CO195" s="112">
        <f t="shared" si="328"/>
        <v>4156.8878000000004</v>
      </c>
      <c r="CP195" s="1004">
        <f t="shared" si="328"/>
        <v>4241.1369549999999</v>
      </c>
      <c r="CQ195" s="112">
        <f t="shared" si="328"/>
        <v>16664.752325000001</v>
      </c>
      <c r="CR195" s="81"/>
      <c r="CS195" s="75"/>
      <c r="CT195" s="75"/>
      <c r="CU195" s="75"/>
    </row>
    <row r="196" spans="1:99" ht="13.5" customHeight="1">
      <c r="A196" s="75"/>
      <c r="B196" s="75"/>
      <c r="C196" s="75" t="s">
        <v>997</v>
      </c>
      <c r="D196" s="89">
        <f t="shared" ref="D196:E196" si="329">(D51*D34+D116*D100+D155*D141)/D195</f>
        <v>381.13007769145395</v>
      </c>
      <c r="E196" s="89">
        <f t="shared" si="329"/>
        <v>386.15912498296308</v>
      </c>
      <c r="F196" s="89"/>
      <c r="G196" s="89"/>
      <c r="H196" s="89"/>
      <c r="I196" s="89"/>
      <c r="J196" s="89">
        <f t="shared" ref="J196:AO196" si="330">(J51*J34+J116*J100+J155*J141)/J195</f>
        <v>415.40814630091438</v>
      </c>
      <c r="K196" s="89">
        <f t="shared" si="330"/>
        <v>473.05012486621479</v>
      </c>
      <c r="L196" s="89">
        <f t="shared" si="330"/>
        <v>571.48893725063476</v>
      </c>
      <c r="M196" s="89">
        <f t="shared" si="330"/>
        <v>628.25322703113136</v>
      </c>
      <c r="N196" s="89">
        <f t="shared" si="330"/>
        <v>645.15690648819486</v>
      </c>
      <c r="O196" s="89">
        <f t="shared" si="330"/>
        <v>578.07901869802913</v>
      </c>
      <c r="P196" s="89">
        <f t="shared" si="330"/>
        <v>688.98303432137288</v>
      </c>
      <c r="Q196" s="89">
        <f t="shared" si="330"/>
        <v>676.68699773336084</v>
      </c>
      <c r="R196" s="89">
        <f t="shared" si="330"/>
        <v>625.17353255069372</v>
      </c>
      <c r="S196" s="89">
        <f t="shared" si="330"/>
        <v>634.46607964778866</v>
      </c>
      <c r="T196" s="89">
        <f t="shared" si="330"/>
        <v>656.76118852667446</v>
      </c>
      <c r="U196" s="89">
        <f t="shared" si="330"/>
        <v>648.73599701269609</v>
      </c>
      <c r="V196" s="89">
        <f t="shared" si="330"/>
        <v>655.5295126973233</v>
      </c>
      <c r="W196" s="89">
        <f t="shared" si="330"/>
        <v>693.78342342342341</v>
      </c>
      <c r="X196" s="89">
        <f t="shared" si="330"/>
        <v>701.78889342588809</v>
      </c>
      <c r="Y196" s="89">
        <f t="shared" si="330"/>
        <v>674.13759707840234</v>
      </c>
      <c r="Z196" s="89">
        <f t="shared" si="330"/>
        <v>694.28602319638298</v>
      </c>
      <c r="AA196" s="89">
        <f t="shared" si="330"/>
        <v>712.42460029069764</v>
      </c>
      <c r="AB196" s="89">
        <f t="shared" si="330"/>
        <v>722.75125899280579</v>
      </c>
      <c r="AC196" s="89">
        <f t="shared" si="330"/>
        <v>704.21869754951331</v>
      </c>
      <c r="AD196" s="89">
        <f t="shared" si="330"/>
        <v>709.14160522863995</v>
      </c>
      <c r="AE196" s="89">
        <f t="shared" si="330"/>
        <v>722.69713526284704</v>
      </c>
      <c r="AF196" s="89">
        <f t="shared" si="330"/>
        <v>892.11199432221429</v>
      </c>
      <c r="AG196" s="89">
        <f t="shared" si="330"/>
        <v>1065.8509249183896</v>
      </c>
      <c r="AH196" s="89">
        <f t="shared" si="330"/>
        <v>1036.8094330633635</v>
      </c>
      <c r="AI196" s="89">
        <f t="shared" si="330"/>
        <v>914.68903386780107</v>
      </c>
      <c r="AJ196" s="906">
        <f t="shared" si="330"/>
        <v>808.11899597149056</v>
      </c>
      <c r="AK196" s="907">
        <f t="shared" si="330"/>
        <v>677.16417403127127</v>
      </c>
      <c r="AL196" s="907">
        <f t="shared" si="330"/>
        <v>639.6486291486292</v>
      </c>
      <c r="AM196" s="908">
        <f t="shared" si="330"/>
        <v>678.17168027503226</v>
      </c>
      <c r="AN196" s="89">
        <f t="shared" si="330"/>
        <v>695.60935518323208</v>
      </c>
      <c r="AO196" s="906">
        <f t="shared" si="330"/>
        <v>684.89748334566991</v>
      </c>
      <c r="AP196" s="907">
        <f t="shared" ref="AP196:BU196" si="331">(AP51*AP34+AP116*AP100+AP155*AP141)/AP195</f>
        <v>755.55272108843542</v>
      </c>
      <c r="AQ196" s="907">
        <f t="shared" si="331"/>
        <v>768.42864855137668</v>
      </c>
      <c r="AR196" s="908">
        <f t="shared" si="331"/>
        <v>747.3433789954338</v>
      </c>
      <c r="AS196" s="89">
        <f t="shared" si="331"/>
        <v>740.89478401147164</v>
      </c>
      <c r="AT196" s="906">
        <f t="shared" si="331"/>
        <v>798.60748626373629</v>
      </c>
      <c r="AU196" s="907">
        <f t="shared" si="331"/>
        <v>888.0516551473263</v>
      </c>
      <c r="AV196" s="907">
        <f t="shared" si="331"/>
        <v>873.11792452830184</v>
      </c>
      <c r="AW196" s="908">
        <f t="shared" si="331"/>
        <v>833.44823768222921</v>
      </c>
      <c r="AX196" s="89">
        <f t="shared" si="331"/>
        <v>847.97771087044441</v>
      </c>
      <c r="AY196" s="906">
        <f t="shared" si="331"/>
        <v>851.14295799505828</v>
      </c>
      <c r="AZ196" s="907">
        <f t="shared" si="331"/>
        <v>855.85848362164154</v>
      </c>
      <c r="BA196" s="907">
        <f t="shared" si="331"/>
        <v>819.31179775280896</v>
      </c>
      <c r="BB196" s="908">
        <f t="shared" si="331"/>
        <v>790.6726508785332</v>
      </c>
      <c r="BC196" s="89">
        <f t="shared" si="331"/>
        <v>829.7696530725226</v>
      </c>
      <c r="BD196" s="906">
        <f t="shared" si="331"/>
        <v>784.01419730615214</v>
      </c>
      <c r="BE196" s="907">
        <f t="shared" si="331"/>
        <v>788.57872664887532</v>
      </c>
      <c r="BF196" s="907">
        <f t="shared" si="331"/>
        <v>821.57687447346257</v>
      </c>
      <c r="BG196" s="908">
        <f t="shared" si="331"/>
        <v>801.81029920618766</v>
      </c>
      <c r="BH196" s="89">
        <f t="shared" si="331"/>
        <v>798.27405519337287</v>
      </c>
      <c r="BI196" s="906">
        <f t="shared" si="331"/>
        <v>809.45062451209992</v>
      </c>
      <c r="BJ196" s="907">
        <f t="shared" si="331"/>
        <v>819.56492344402466</v>
      </c>
      <c r="BK196" s="907">
        <f t="shared" si="331"/>
        <v>822.72116702565108</v>
      </c>
      <c r="BL196" s="908">
        <f t="shared" si="331"/>
        <v>815.88820826952531</v>
      </c>
      <c r="BM196" s="89">
        <f t="shared" si="331"/>
        <v>817.1620694871666</v>
      </c>
      <c r="BN196" s="906">
        <f t="shared" si="331"/>
        <v>741.26213118751525</v>
      </c>
      <c r="BO196" s="907">
        <f t="shared" si="331"/>
        <v>668.41458541458542</v>
      </c>
      <c r="BP196" s="907">
        <f t="shared" si="331"/>
        <v>655.74025974025972</v>
      </c>
      <c r="BQ196" s="908">
        <f t="shared" si="331"/>
        <v>619.86675675675679</v>
      </c>
      <c r="BR196" s="89">
        <f t="shared" si="331"/>
        <v>672.3490897476845</v>
      </c>
      <c r="BS196" s="906">
        <f t="shared" si="331"/>
        <v>582.32525758841552</v>
      </c>
      <c r="BT196" s="907">
        <f t="shared" si="331"/>
        <v>603.90764085412911</v>
      </c>
      <c r="BU196" s="907">
        <f t="shared" si="331"/>
        <v>663.63665508950044</v>
      </c>
      <c r="BV196" s="908">
        <f t="shared" ref="BV196:CQ196" si="332">(BV51*BV34+BV116*BV100+BV155*BV141)/BV195</f>
        <v>634.65976645435239</v>
      </c>
      <c r="BW196" s="89">
        <f t="shared" si="332"/>
        <v>621.19891253585968</v>
      </c>
      <c r="BX196" s="906">
        <f t="shared" si="332"/>
        <v>695.97757724911128</v>
      </c>
      <c r="BY196" s="907">
        <f t="shared" si="332"/>
        <v>728.28221178925401</v>
      </c>
      <c r="BZ196" s="907">
        <f t="shared" si="332"/>
        <v>737.3419388830348</v>
      </c>
      <c r="CA196" s="908">
        <f t="shared" si="332"/>
        <v>722.52130131680872</v>
      </c>
      <c r="CB196" s="89">
        <f t="shared" si="332"/>
        <v>721.22399406332454</v>
      </c>
      <c r="CC196" s="906">
        <f t="shared" si="332"/>
        <v>764.05568534074712</v>
      </c>
      <c r="CD196" s="907">
        <f t="shared" si="332"/>
        <v>818.6593580965482</v>
      </c>
      <c r="CE196" s="907">
        <f t="shared" si="332"/>
        <v>834.13263976836492</v>
      </c>
      <c r="CF196" s="908">
        <f t="shared" si="332"/>
        <v>816.83855741727757</v>
      </c>
      <c r="CG196" s="1471">
        <f t="shared" si="332"/>
        <v>809.66506137396527</v>
      </c>
      <c r="CH196" s="906">
        <f t="shared" si="332"/>
        <v>824.44138634578781</v>
      </c>
      <c r="CI196" s="907">
        <f t="shared" si="332"/>
        <v>841.94581540116656</v>
      </c>
      <c r="CJ196" s="907">
        <f t="shared" si="332"/>
        <v>838.76920877109467</v>
      </c>
      <c r="CK196" s="908">
        <f t="shared" si="332"/>
        <v>805.99850661648429</v>
      </c>
      <c r="CL196" s="89">
        <f t="shared" si="332"/>
        <v>827.98194789089143</v>
      </c>
      <c r="CM196" s="906">
        <f t="shared" si="332"/>
        <v>787.81440374713429</v>
      </c>
      <c r="CN196" s="907">
        <f t="shared" si="332"/>
        <v>798.42606091967673</v>
      </c>
      <c r="CO196" s="907">
        <f t="shared" si="332"/>
        <v>785.15491499628513</v>
      </c>
      <c r="CP196" s="908">
        <f t="shared" si="332"/>
        <v>757.05687071735713</v>
      </c>
      <c r="CQ196" s="907">
        <f t="shared" si="332"/>
        <v>782.22558726186151</v>
      </c>
      <c r="CR196" s="81"/>
      <c r="CS196" s="75"/>
      <c r="CT196" s="95"/>
      <c r="CU196" s="75"/>
    </row>
    <row r="197" spans="1:99" ht="6.2" customHeight="1">
      <c r="A197" s="75"/>
      <c r="B197" s="75"/>
      <c r="C197" s="75"/>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c r="AC197" s="89"/>
      <c r="AD197" s="89"/>
      <c r="AE197" s="89"/>
      <c r="AF197" s="89"/>
      <c r="AG197" s="89"/>
      <c r="AH197" s="89"/>
      <c r="AI197" s="89"/>
      <c r="AJ197" s="906"/>
      <c r="AK197" s="907"/>
      <c r="AL197" s="907"/>
      <c r="AM197" s="908"/>
      <c r="AN197" s="89"/>
      <c r="AO197" s="906"/>
      <c r="AP197" s="907"/>
      <c r="AQ197" s="907"/>
      <c r="AR197" s="908"/>
      <c r="AS197" s="89"/>
      <c r="AT197" s="906"/>
      <c r="AU197" s="907"/>
      <c r="AV197" s="941"/>
      <c r="AW197" s="908"/>
      <c r="AX197" s="89"/>
      <c r="AY197" s="906"/>
      <c r="AZ197" s="907"/>
      <c r="BA197" s="907"/>
      <c r="BB197" s="908"/>
      <c r="BC197" s="89"/>
      <c r="BD197" s="906"/>
      <c r="BE197" s="907"/>
      <c r="BF197" s="907"/>
      <c r="BG197" s="908"/>
      <c r="BH197" s="89"/>
      <c r="BI197" s="906"/>
      <c r="BJ197" s="907"/>
      <c r="BK197" s="907"/>
      <c r="BL197" s="908"/>
      <c r="BM197" s="89"/>
      <c r="BN197" s="906"/>
      <c r="BO197" s="907"/>
      <c r="BP197" s="907"/>
      <c r="BQ197" s="908"/>
      <c r="BR197" s="89"/>
      <c r="BS197" s="906"/>
      <c r="BT197" s="907"/>
      <c r="BU197" s="907"/>
      <c r="BV197" s="908"/>
      <c r="BW197" s="89"/>
      <c r="BX197" s="906"/>
      <c r="BY197" s="907"/>
      <c r="BZ197" s="907"/>
      <c r="CA197" s="908"/>
      <c r="CB197" s="89"/>
      <c r="CC197" s="906"/>
      <c r="CD197" s="907"/>
      <c r="CE197" s="907"/>
      <c r="CF197" s="908"/>
      <c r="CG197" s="1471"/>
      <c r="CH197" s="906"/>
      <c r="CI197" s="907"/>
      <c r="CJ197" s="907"/>
      <c r="CK197" s="908"/>
      <c r="CL197" s="89"/>
      <c r="CM197" s="906"/>
      <c r="CN197" s="907"/>
      <c r="CO197" s="907"/>
      <c r="CP197" s="908"/>
      <c r="CQ197" s="907"/>
      <c r="CR197" s="81"/>
      <c r="CS197" s="75"/>
      <c r="CT197" s="95"/>
      <c r="CU197" s="75"/>
    </row>
    <row r="198" spans="1:99" ht="13.5" customHeight="1">
      <c r="B198" s="93" t="s">
        <v>588</v>
      </c>
      <c r="C198" s="75"/>
      <c r="AJ198" s="1000"/>
      <c r="AK198" s="1001"/>
      <c r="AL198" s="1001"/>
      <c r="AM198" s="1002"/>
      <c r="AO198" s="1000"/>
      <c r="AP198" s="1001"/>
      <c r="AQ198" s="1001"/>
      <c r="AR198" s="1002"/>
      <c r="AT198" s="1000"/>
      <c r="AU198" s="1001"/>
      <c r="AV198" s="1001"/>
      <c r="AW198" s="1002"/>
      <c r="AY198" s="1000"/>
      <c r="AZ198" s="1001"/>
      <c r="BA198" s="1001"/>
      <c r="BB198" s="1002"/>
      <c r="BD198" s="1000"/>
      <c r="BE198" s="1001"/>
      <c r="BF198" s="1001"/>
      <c r="BG198" s="1002"/>
      <c r="BI198" s="1000"/>
      <c r="BJ198" s="1001"/>
      <c r="BK198" s="1001"/>
      <c r="BL198" s="1002"/>
      <c r="BN198" s="1000"/>
      <c r="BO198" s="1001"/>
      <c r="BP198" s="1001"/>
      <c r="BQ198" s="1002"/>
      <c r="BS198" s="1000"/>
      <c r="BT198" s="1001"/>
      <c r="BU198" s="1001"/>
      <c r="BV198" s="1002"/>
      <c r="BX198" s="1000"/>
      <c r="BY198" s="1001"/>
      <c r="BZ198" s="1001"/>
      <c r="CA198" s="1002"/>
      <c r="CC198" s="1000"/>
      <c r="CD198" s="1001"/>
      <c r="CE198" s="1001"/>
      <c r="CF198" s="1002"/>
      <c r="CG198" s="1504"/>
      <c r="CH198" s="1000"/>
      <c r="CI198" s="1001"/>
      <c r="CJ198" s="1001"/>
      <c r="CK198" s="1002"/>
      <c r="CM198" s="1000"/>
      <c r="CN198" s="1001"/>
      <c r="CO198" s="1001"/>
      <c r="CP198" s="1002"/>
      <c r="CQ198" s="1001"/>
    </row>
    <row r="199" spans="1:99" ht="13.5" customHeight="1">
      <c r="B199" s="75"/>
      <c r="C199" s="96" t="s">
        <v>692</v>
      </c>
      <c r="D199" s="97">
        <f>Operations!H86</f>
        <v>31.5</v>
      </c>
      <c r="E199" s="97">
        <f>Operations!I86</f>
        <v>106.5</v>
      </c>
      <c r="F199" s="97"/>
      <c r="G199" s="97"/>
      <c r="H199" s="97"/>
      <c r="I199" s="97"/>
      <c r="J199" s="97">
        <f>Operations!J86</f>
        <v>196</v>
      </c>
      <c r="K199" s="97">
        <f>Operations!K86</f>
        <v>180</v>
      </c>
      <c r="L199" s="97">
        <f>Operations!L86</f>
        <v>402</v>
      </c>
      <c r="M199" s="97">
        <f>Operations!M86</f>
        <v>429</v>
      </c>
      <c r="N199" s="97">
        <f>Operations!N86</f>
        <v>442</v>
      </c>
      <c r="O199" s="97">
        <f>Operations!O86</f>
        <v>1453</v>
      </c>
      <c r="P199" s="97">
        <f>Operations!P86</f>
        <v>399</v>
      </c>
      <c r="Q199" s="97">
        <f>Operations!Q86</f>
        <v>246</v>
      </c>
      <c r="R199" s="97">
        <f>Operations!R86</f>
        <v>96</v>
      </c>
      <c r="S199" s="97">
        <f>Operations!S86</f>
        <v>93</v>
      </c>
      <c r="T199" s="97">
        <f>Operations!T86</f>
        <v>834</v>
      </c>
      <c r="U199" s="97">
        <f>Operations!U86</f>
        <v>193</v>
      </c>
      <c r="V199" s="97">
        <f>Operations!V86</f>
        <v>284</v>
      </c>
      <c r="W199" s="97">
        <f>Operations!W86</f>
        <v>299</v>
      </c>
      <c r="X199" s="97">
        <f>Operations!X86</f>
        <v>87</v>
      </c>
      <c r="Y199" s="97">
        <f>Operations!Y86</f>
        <v>863</v>
      </c>
      <c r="Z199" s="97">
        <f>Operations!Z86</f>
        <v>138</v>
      </c>
      <c r="AA199" s="97">
        <f>Operations!AA86</f>
        <v>156</v>
      </c>
      <c r="AB199" s="97">
        <f>Operations!AB86</f>
        <v>236</v>
      </c>
      <c r="AC199" s="97">
        <f>Operations!AC86</f>
        <v>145</v>
      </c>
      <c r="AD199" s="97">
        <f>Operations!AD86</f>
        <v>675</v>
      </c>
      <c r="AE199" s="97">
        <f>Operations!AE86</f>
        <v>226</v>
      </c>
      <c r="AF199" s="97">
        <f>Operations!AF86</f>
        <v>585</v>
      </c>
      <c r="AG199" s="97">
        <f>Operations!AG86</f>
        <v>932</v>
      </c>
      <c r="AH199" s="97">
        <f>Operations!AH86</f>
        <v>74</v>
      </c>
      <c r="AI199" s="97">
        <f>Operations!AI86</f>
        <v>1817</v>
      </c>
      <c r="AJ199" s="939">
        <f>Operations!AJ86</f>
        <v>-312</v>
      </c>
      <c r="AK199" s="290">
        <f>Operations!AK86</f>
        <v>-251</v>
      </c>
      <c r="AL199" s="290">
        <f>Operations!AL86</f>
        <v>-139.34333333333336</v>
      </c>
      <c r="AM199" s="940">
        <f>Operations!AM86</f>
        <v>-16.389999999999986</v>
      </c>
      <c r="AN199" s="97">
        <f>Operations!AN86</f>
        <v>-1211.90625</v>
      </c>
      <c r="AO199" s="939">
        <f>Operations!AO86</f>
        <v>232.16499999999996</v>
      </c>
      <c r="AP199" s="290">
        <f>Operations!AP86</f>
        <v>214</v>
      </c>
      <c r="AQ199" s="290">
        <f>Operations!AQ86</f>
        <v>180.3</v>
      </c>
      <c r="AR199" s="940">
        <f>Operations!AR86</f>
        <v>197.61166666666668</v>
      </c>
      <c r="AS199" s="97">
        <f>Operations!AS86</f>
        <v>33.957916666666677</v>
      </c>
      <c r="AT199" s="939">
        <f>Operations!AT86</f>
        <v>84</v>
      </c>
      <c r="AU199" s="290">
        <f>Operations!AU86</f>
        <v>494</v>
      </c>
      <c r="AV199" s="290">
        <f>Operations!AV86</f>
        <v>324</v>
      </c>
      <c r="AW199" s="940">
        <f>Operations!AW86</f>
        <v>52</v>
      </c>
      <c r="AX199" s="97">
        <f>Operations!AX86</f>
        <v>907.13583333333338</v>
      </c>
      <c r="AY199" s="939">
        <f>Operations!AY86</f>
        <v>302</v>
      </c>
      <c r="AZ199" s="290">
        <f>Operations!AZ86</f>
        <v>299</v>
      </c>
      <c r="BA199" s="290">
        <f>Operations!BA86</f>
        <v>151</v>
      </c>
      <c r="BB199" s="940">
        <f>Operations!BB86</f>
        <v>140</v>
      </c>
      <c r="BC199" s="97">
        <f>Operations!BC86</f>
        <v>809.41166666666663</v>
      </c>
      <c r="BD199" s="939">
        <f>Operations!BD86</f>
        <v>116</v>
      </c>
      <c r="BE199" s="290">
        <f>Operations!BE86</f>
        <v>77</v>
      </c>
      <c r="BF199" s="290">
        <f>Operations!BF86</f>
        <v>214</v>
      </c>
      <c r="BG199" s="940">
        <f>Operations!BG86</f>
        <v>210</v>
      </c>
      <c r="BH199" s="97">
        <f>Operations!BH86</f>
        <v>617</v>
      </c>
      <c r="BI199" s="939">
        <f>Operations!BI86</f>
        <v>209</v>
      </c>
      <c r="BJ199" s="290">
        <f>Operations!BJ86</f>
        <v>151</v>
      </c>
      <c r="BK199" s="290">
        <f>Operations!BK86</f>
        <v>462</v>
      </c>
      <c r="BL199" s="940">
        <f>Operations!BL86</f>
        <v>343</v>
      </c>
      <c r="BM199" s="97">
        <f>Operations!BM86</f>
        <v>1165</v>
      </c>
      <c r="BN199" s="939">
        <f>Operations!BN86</f>
        <v>37</v>
      </c>
      <c r="BO199" s="290">
        <f>Operations!BO86</f>
        <v>35</v>
      </c>
      <c r="BP199" s="290">
        <f>Operations!BP86</f>
        <v>81</v>
      </c>
      <c r="BQ199" s="940">
        <f>Operations!BQ86</f>
        <v>2</v>
      </c>
      <c r="BR199" s="97">
        <f>Operations!BR86</f>
        <v>155</v>
      </c>
      <c r="BS199" s="939">
        <f>Operations!BS86</f>
        <v>-97</v>
      </c>
      <c r="BT199" s="290">
        <f>Operations!BT86</f>
        <v>95</v>
      </c>
      <c r="BU199" s="290">
        <f>Operations!BU86</f>
        <v>201</v>
      </c>
      <c r="BV199" s="940">
        <f>Operations!BV86</f>
        <v>147</v>
      </c>
      <c r="BW199" s="97">
        <f>Operations!BW86</f>
        <v>346</v>
      </c>
      <c r="BX199" s="939">
        <f>Operations!BX86</f>
        <v>9</v>
      </c>
      <c r="BY199" s="290">
        <f>Operations!BY86</f>
        <v>299</v>
      </c>
      <c r="BZ199" s="290">
        <f>Operations!BZ86</f>
        <v>243</v>
      </c>
      <c r="CA199" s="940">
        <f>Operations!CA86</f>
        <v>181</v>
      </c>
      <c r="CB199" s="97">
        <f>Operations!CB86</f>
        <v>732</v>
      </c>
      <c r="CC199" s="939">
        <f>Operations!CC86</f>
        <v>112.18277387766572</v>
      </c>
      <c r="CD199" s="290">
        <f>Operations!CD86</f>
        <v>330.49193922147333</v>
      </c>
      <c r="CE199" s="290">
        <f>Operations!CE86</f>
        <v>395.1320080755936</v>
      </c>
      <c r="CF199" s="940">
        <f>Operations!CF86</f>
        <v>291.56297442298262</v>
      </c>
      <c r="CG199" s="1484">
        <f>Operations!CG86</f>
        <v>1129.3696955977152</v>
      </c>
      <c r="CH199" s="939">
        <f>Operations!CH86</f>
        <v>207.96101278390674</v>
      </c>
      <c r="CI199" s="290">
        <f>Operations!CI86</f>
        <v>376.65964273098268</v>
      </c>
      <c r="CJ199" s="290">
        <f>Operations!CJ86</f>
        <v>377.67141799045856</v>
      </c>
      <c r="CK199" s="940">
        <f>Operations!CK86</f>
        <v>329.79272818215185</v>
      </c>
      <c r="CL199" s="97">
        <f>Operations!CL86</f>
        <v>1292.0848016875</v>
      </c>
      <c r="CM199" s="939">
        <f>Operations!CM86</f>
        <v>228.83760177827739</v>
      </c>
      <c r="CN199" s="290">
        <f>Operations!CN86</f>
        <v>299.17660767470176</v>
      </c>
      <c r="CO199" s="290">
        <f>Operations!CO86</f>
        <v>271.1237118427224</v>
      </c>
      <c r="CP199" s="940">
        <f>Operations!CP86</f>
        <v>228.62485128372748</v>
      </c>
      <c r="CQ199" s="290">
        <f>Operations!CQ86</f>
        <v>1027.7627725794291</v>
      </c>
    </row>
    <row r="200" spans="1:99" ht="13.5" customHeight="1">
      <c r="B200" s="75"/>
      <c r="C200" s="96" t="s">
        <v>583</v>
      </c>
      <c r="D200" s="97">
        <f>Operations!H126</f>
        <v>-6.25</v>
      </c>
      <c r="E200" s="97">
        <f>Operations!I126</f>
        <v>-2.25</v>
      </c>
      <c r="F200" s="97"/>
      <c r="G200" s="97"/>
      <c r="H200" s="97"/>
      <c r="I200" s="97"/>
      <c r="J200" s="97">
        <f>Operations!J126</f>
        <v>-10</v>
      </c>
      <c r="K200" s="97">
        <f>Operations!K126</f>
        <v>7</v>
      </c>
      <c r="L200" s="97">
        <f>Operations!L126</f>
        <v>29</v>
      </c>
      <c r="M200" s="97">
        <f>Operations!M126</f>
        <v>59</v>
      </c>
      <c r="N200" s="97">
        <f>Operations!N126</f>
        <v>118</v>
      </c>
      <c r="O200" s="97">
        <f>Operations!O126</f>
        <v>213</v>
      </c>
      <c r="P200" s="97">
        <f>Operations!P126</f>
        <v>126</v>
      </c>
      <c r="Q200" s="97">
        <f>Operations!Q126</f>
        <v>136</v>
      </c>
      <c r="R200" s="97">
        <f>Operations!R126</f>
        <v>127</v>
      </c>
      <c r="S200" s="97">
        <f>Operations!S126</f>
        <v>152</v>
      </c>
      <c r="T200" s="97">
        <f>Operations!T126</f>
        <v>541</v>
      </c>
      <c r="U200" s="97">
        <f>Operations!U126</f>
        <v>180</v>
      </c>
      <c r="V200" s="97">
        <f>Operations!V126</f>
        <v>150</v>
      </c>
      <c r="W200" s="97">
        <f>Operations!W126</f>
        <v>167</v>
      </c>
      <c r="X200" s="97">
        <f>Operations!X126</f>
        <v>147</v>
      </c>
      <c r="Y200" s="97">
        <f>Operations!Y126</f>
        <v>644</v>
      </c>
      <c r="Z200" s="97">
        <f>Operations!Z126</f>
        <v>104</v>
      </c>
      <c r="AA200" s="97">
        <f>Operations!AA126</f>
        <v>98</v>
      </c>
      <c r="AB200" s="97">
        <f>Operations!AB126</f>
        <v>84</v>
      </c>
      <c r="AC200" s="97">
        <f>Operations!AC126</f>
        <v>93</v>
      </c>
      <c r="AD200" s="97">
        <f>Operations!AD126</f>
        <v>379</v>
      </c>
      <c r="AE200" s="97">
        <f>Operations!AE126</f>
        <v>55</v>
      </c>
      <c r="AF200" s="97">
        <f>Operations!AF126</f>
        <v>182</v>
      </c>
      <c r="AG200" s="97">
        <f>Operations!AG126</f>
        <v>429</v>
      </c>
      <c r="AH200" s="97">
        <f>Operations!AH126</f>
        <v>570</v>
      </c>
      <c r="AI200" s="97">
        <f>Operations!AI126</f>
        <v>1236</v>
      </c>
      <c r="AJ200" s="939">
        <f>Operations!AJ126</f>
        <v>138</v>
      </c>
      <c r="AK200" s="290">
        <f>Operations!AK126</f>
        <v>-77</v>
      </c>
      <c r="AL200" s="290">
        <f>Operations!AL126</f>
        <v>-9</v>
      </c>
      <c r="AM200" s="940">
        <f>Operations!AM126</f>
        <v>49</v>
      </c>
      <c r="AN200" s="97">
        <f>Operations!AN126</f>
        <v>101</v>
      </c>
      <c r="AO200" s="939">
        <f>Operations!AO126</f>
        <v>56</v>
      </c>
      <c r="AP200" s="290">
        <f>Operations!AP126</f>
        <v>107</v>
      </c>
      <c r="AQ200" s="290">
        <f>Operations!AQ126</f>
        <v>124</v>
      </c>
      <c r="AR200" s="940">
        <f>Operations!AR126</f>
        <v>107</v>
      </c>
      <c r="AS200" s="97">
        <f>Operations!AS126</f>
        <v>394</v>
      </c>
      <c r="AT200" s="939">
        <f>Operations!AT126</f>
        <v>43</v>
      </c>
      <c r="AU200" s="290">
        <f>Operations!AU126</f>
        <v>43</v>
      </c>
      <c r="AV200" s="290">
        <f>Operations!AV126</f>
        <v>147</v>
      </c>
      <c r="AW200" s="940">
        <f>Operations!AW126</f>
        <v>127</v>
      </c>
      <c r="AX200" s="97">
        <f>Operations!AX126</f>
        <v>360</v>
      </c>
      <c r="AY200" s="939">
        <f>Operations!AY126</f>
        <v>143</v>
      </c>
      <c r="AZ200" s="290">
        <f>Operations!AZ126</f>
        <v>118</v>
      </c>
      <c r="BA200" s="290">
        <f>Operations!BA126</f>
        <v>117</v>
      </c>
      <c r="BB200" s="940">
        <f>Operations!BB126</f>
        <v>46</v>
      </c>
      <c r="BC200" s="97">
        <f>Operations!BC126</f>
        <v>424</v>
      </c>
      <c r="BD200" s="939">
        <f>Operations!BD126</f>
        <v>79</v>
      </c>
      <c r="BE200" s="290">
        <f>Operations!BE126</f>
        <v>61</v>
      </c>
      <c r="BF200" s="290">
        <f>Operations!BF126</f>
        <v>64</v>
      </c>
      <c r="BG200" s="940">
        <f>Operations!BG126</f>
        <v>48</v>
      </c>
      <c r="BH200" s="97">
        <f>Operations!BH126</f>
        <v>252</v>
      </c>
      <c r="BI200" s="939">
        <f>Operations!BI126</f>
        <v>40</v>
      </c>
      <c r="BJ200" s="290">
        <f>Operations!BJ126</f>
        <v>63</v>
      </c>
      <c r="BK200" s="290">
        <f>Operations!BK126</f>
        <v>86</v>
      </c>
      <c r="BL200" s="940">
        <f>Operations!BL126</f>
        <v>138</v>
      </c>
      <c r="BM200" s="97">
        <f>Operations!BM126</f>
        <v>327</v>
      </c>
      <c r="BN200" s="939">
        <f>Operations!BN126</f>
        <v>18</v>
      </c>
      <c r="BO200" s="290">
        <f>Operations!BO126</f>
        <v>-49</v>
      </c>
      <c r="BP200" s="290">
        <f>Operations!BP126</f>
        <v>-36</v>
      </c>
      <c r="BQ200" s="940">
        <f>Operations!BQ126</f>
        <v>-48</v>
      </c>
      <c r="BR200" s="97">
        <f>Operations!BR126</f>
        <v>-115</v>
      </c>
      <c r="BS200" s="939">
        <f>Operations!BS126</f>
        <v>-47</v>
      </c>
      <c r="BT200" s="290">
        <f>Operations!BT126</f>
        <v>-61</v>
      </c>
      <c r="BU200" s="290">
        <f>Operations!BU126</f>
        <v>-58</v>
      </c>
      <c r="BV200" s="940">
        <f>Operations!BV126</f>
        <v>-70</v>
      </c>
      <c r="BW200" s="97">
        <f>Operations!BW126</f>
        <v>-236</v>
      </c>
      <c r="BX200" s="939">
        <f>Operations!BX126</f>
        <v>-42</v>
      </c>
      <c r="BY200" s="290">
        <f>Operations!BY126</f>
        <v>-16</v>
      </c>
      <c r="BZ200" s="290">
        <f>Operations!BZ126</f>
        <v>4</v>
      </c>
      <c r="CA200" s="940">
        <f>Operations!CA126</f>
        <v>6</v>
      </c>
      <c r="CB200" s="97">
        <f>Operations!CB126</f>
        <v>-48</v>
      </c>
      <c r="CC200" s="939">
        <f>Operations!CC126</f>
        <v>15.241913567999994</v>
      </c>
      <c r="CD200" s="290">
        <f>Operations!CD126</f>
        <v>27.299131919999972</v>
      </c>
      <c r="CE200" s="290">
        <f>Operations!CE126</f>
        <v>39.611343820000052</v>
      </c>
      <c r="CF200" s="940">
        <f>Operations!CF126</f>
        <v>30.15830914600004</v>
      </c>
      <c r="CG200" s="1484">
        <f>Operations!CG126</f>
        <v>112.31069845400005</v>
      </c>
      <c r="CH200" s="939">
        <f>Operations!CH126</f>
        <v>0.90425097503999197</v>
      </c>
      <c r="CI200" s="290">
        <f>Operations!CI126</f>
        <v>30.342905877599971</v>
      </c>
      <c r="CJ200" s="290">
        <f>Operations!CJ126</f>
        <v>43.086284134600056</v>
      </c>
      <c r="CK200" s="940">
        <f>Operations!CK126</f>
        <v>32.998943420380044</v>
      </c>
      <c r="CL200" s="97">
        <f>Operations!CL126</f>
        <v>107.33238440762007</v>
      </c>
      <c r="CM200" s="939">
        <f>Operations!CM126</f>
        <v>0.93137850429119173</v>
      </c>
      <c r="CN200" s="290">
        <f>Operations!CN126</f>
        <v>31.253193053927976</v>
      </c>
      <c r="CO200" s="290">
        <f>Operations!CO126</f>
        <v>44.378872658638059</v>
      </c>
      <c r="CP200" s="940">
        <f>Operations!CP126</f>
        <v>33.988911722991439</v>
      </c>
      <c r="CQ200" s="290">
        <f>Operations!CQ126</f>
        <v>110.55235593984867</v>
      </c>
    </row>
    <row r="201" spans="1:99" ht="13.5" customHeight="1">
      <c r="B201" s="75"/>
      <c r="C201" s="96" t="s">
        <v>585</v>
      </c>
      <c r="D201" s="97">
        <f>Operations!H175</f>
        <v>47.5</v>
      </c>
      <c r="E201" s="97">
        <f>Operations!I175</f>
        <v>49.5</v>
      </c>
      <c r="F201" s="97"/>
      <c r="G201" s="97"/>
      <c r="H201" s="97"/>
      <c r="I201" s="97"/>
      <c r="J201" s="97">
        <f>Operations!J175</f>
        <v>253</v>
      </c>
      <c r="K201" s="97">
        <f>Operations!K175</f>
        <v>53.75</v>
      </c>
      <c r="L201" s="97">
        <f>Operations!L175</f>
        <v>89.75</v>
      </c>
      <c r="M201" s="97">
        <f>Operations!M175</f>
        <v>159.75</v>
      </c>
      <c r="N201" s="97">
        <f>Operations!N175</f>
        <v>145.75</v>
      </c>
      <c r="O201" s="97">
        <f>Operations!O175</f>
        <v>449</v>
      </c>
      <c r="P201" s="97">
        <f>Operations!P175</f>
        <v>229</v>
      </c>
      <c r="Q201" s="97">
        <f>Operations!Q175</f>
        <v>158</v>
      </c>
      <c r="R201" s="97">
        <f>Operations!R175</f>
        <v>51</v>
      </c>
      <c r="S201" s="97">
        <f>Operations!S175</f>
        <v>136</v>
      </c>
      <c r="T201" s="97">
        <f>Operations!T175</f>
        <v>574</v>
      </c>
      <c r="U201" s="97">
        <f>Operations!U175</f>
        <v>154</v>
      </c>
      <c r="V201" s="97">
        <f>Operations!V175</f>
        <v>211</v>
      </c>
      <c r="W201" s="97">
        <f>Operations!W175</f>
        <v>244</v>
      </c>
      <c r="X201" s="97">
        <f>Operations!X175</f>
        <v>211</v>
      </c>
      <c r="Y201" s="97">
        <f>Operations!Y175</f>
        <v>820</v>
      </c>
      <c r="Z201" s="97">
        <f>Operations!Z175</f>
        <v>235</v>
      </c>
      <c r="AA201" s="97">
        <f>Operations!AA175</f>
        <v>274</v>
      </c>
      <c r="AB201" s="97">
        <f>Operations!AB175</f>
        <v>183</v>
      </c>
      <c r="AC201" s="97">
        <f>Operations!AC175</f>
        <v>118</v>
      </c>
      <c r="AD201" s="97">
        <f>Operations!AD175</f>
        <v>810</v>
      </c>
      <c r="AE201" s="97">
        <f>Operations!AE175</f>
        <v>198</v>
      </c>
      <c r="AF201" s="97">
        <f>Operations!AF175</f>
        <v>335</v>
      </c>
      <c r="AG201" s="97">
        <f>Operations!AG175</f>
        <v>211</v>
      </c>
      <c r="AH201" s="97">
        <f>Operations!AH175</f>
        <v>-101</v>
      </c>
      <c r="AI201" s="97">
        <f>Operations!AI175</f>
        <v>643</v>
      </c>
      <c r="AJ201" s="939">
        <f>Operations!AJ175</f>
        <v>-125</v>
      </c>
      <c r="AK201" s="290">
        <f>Operations!AK175</f>
        <v>-19</v>
      </c>
      <c r="AL201" s="290">
        <f>Operations!AL175</f>
        <v>44</v>
      </c>
      <c r="AM201" s="940">
        <f>Operations!AM175</f>
        <v>35</v>
      </c>
      <c r="AN201" s="97">
        <f>Operations!AN175</f>
        <v>-65</v>
      </c>
      <c r="AO201" s="939">
        <f>Operations!AO175</f>
        <v>46</v>
      </c>
      <c r="AP201" s="290">
        <f>Operations!AP175</f>
        <v>50</v>
      </c>
      <c r="AQ201" s="290">
        <f>Operations!AQ175</f>
        <v>6</v>
      </c>
      <c r="AR201" s="940">
        <f>Operations!AR175</f>
        <v>-6</v>
      </c>
      <c r="AS201" s="97">
        <f>Operations!AS175</f>
        <v>96</v>
      </c>
      <c r="AT201" s="939">
        <f>Operations!AT175</f>
        <v>30</v>
      </c>
      <c r="AU201" s="290">
        <f>Operations!AU175</f>
        <v>18</v>
      </c>
      <c r="AV201" s="290">
        <f>Operations!AV175</f>
        <v>-15</v>
      </c>
      <c r="AW201" s="940">
        <f>Operations!AW175</f>
        <v>-55</v>
      </c>
      <c r="AX201" s="97">
        <f>Operations!AX175</f>
        <v>-22</v>
      </c>
      <c r="AY201" s="939">
        <f>Operations!AY175</f>
        <v>-7</v>
      </c>
      <c r="AZ201" s="290">
        <f>Operations!AZ175</f>
        <v>59</v>
      </c>
      <c r="BA201" s="290">
        <f>Operations!BA175</f>
        <v>52</v>
      </c>
      <c r="BB201" s="940">
        <f>Operations!BB175</f>
        <v>32</v>
      </c>
      <c r="BC201" s="97">
        <f>Operations!BC175</f>
        <v>136</v>
      </c>
      <c r="BD201" s="939">
        <f>Operations!BD175</f>
        <v>62</v>
      </c>
      <c r="BE201" s="290">
        <f>Operations!BE175</f>
        <v>34</v>
      </c>
      <c r="BF201" s="290">
        <f>Operations!BF175</f>
        <v>-9</v>
      </c>
      <c r="BG201" s="940">
        <f>Operations!BG175</f>
        <v>36</v>
      </c>
      <c r="BH201" s="97">
        <f>Operations!BH175</f>
        <v>123</v>
      </c>
      <c r="BI201" s="939">
        <f>Operations!BI175</f>
        <v>39</v>
      </c>
      <c r="BJ201" s="290">
        <f>Operations!BJ175</f>
        <v>63</v>
      </c>
      <c r="BK201" s="290">
        <f>Operations!BK175</f>
        <v>52</v>
      </c>
      <c r="BL201" s="940">
        <f>Operations!BL175</f>
        <v>57</v>
      </c>
      <c r="BM201" s="97">
        <f>Operations!BM175</f>
        <v>211</v>
      </c>
      <c r="BN201" s="939">
        <f>Operations!BN175</f>
        <v>57</v>
      </c>
      <c r="BO201" s="290">
        <f>Operations!BO175</f>
        <v>40</v>
      </c>
      <c r="BP201" s="290">
        <f>Operations!BP175</f>
        <v>39</v>
      </c>
      <c r="BQ201" s="940">
        <f>Operations!BQ175</f>
        <v>26</v>
      </c>
      <c r="BR201" s="97">
        <f>Operations!BR175</f>
        <v>162</v>
      </c>
      <c r="BS201" s="939">
        <f>Operations!BS175</f>
        <v>5</v>
      </c>
      <c r="BT201" s="290">
        <f>Operations!BT175</f>
        <v>75</v>
      </c>
      <c r="BU201" s="290">
        <f>Operations!BU175</f>
        <v>102</v>
      </c>
      <c r="BV201" s="940">
        <f>Operations!BV175</f>
        <v>83</v>
      </c>
      <c r="BW201" s="97">
        <f>Operations!BW175</f>
        <v>265</v>
      </c>
      <c r="BX201" s="939">
        <f>Operations!BX175</f>
        <v>106</v>
      </c>
      <c r="BY201" s="290">
        <f>Operations!BY175</f>
        <v>72</v>
      </c>
      <c r="BZ201" s="290">
        <f>Operations!BZ175</f>
        <v>93</v>
      </c>
      <c r="CA201" s="940">
        <f>Operations!CA175</f>
        <v>132</v>
      </c>
      <c r="CB201" s="97">
        <f>Operations!CB175</f>
        <v>403</v>
      </c>
      <c r="CC201" s="939">
        <f>Operations!CC175</f>
        <v>120.86178415942898</v>
      </c>
      <c r="CD201" s="290">
        <f>Operations!CD175</f>
        <v>90.953121378025813</v>
      </c>
      <c r="CE201" s="290">
        <f>Operations!CE175</f>
        <v>95.939801944990194</v>
      </c>
      <c r="CF201" s="940">
        <f>Operations!CF175</f>
        <v>143.10618763336902</v>
      </c>
      <c r="CG201" s="1484">
        <f>Operations!CG175</f>
        <v>450.860895115814</v>
      </c>
      <c r="CH201" s="939">
        <f>Operations!CH175</f>
        <v>113.59531811685309</v>
      </c>
      <c r="CI201" s="290">
        <f>Operations!CI175</f>
        <v>140.75134717342928</v>
      </c>
      <c r="CJ201" s="290">
        <f>Operations!CJ175</f>
        <v>94.570205072479553</v>
      </c>
      <c r="CK201" s="940">
        <f>Operations!CK175</f>
        <v>136.03374411935411</v>
      </c>
      <c r="CL201" s="97">
        <f>Operations!CL175</f>
        <v>484.95061448211607</v>
      </c>
      <c r="CM201" s="939">
        <f>Operations!CM175</f>
        <v>112.66166184010883</v>
      </c>
      <c r="CN201" s="290">
        <f>Operations!CN175</f>
        <v>135.51942935242198</v>
      </c>
      <c r="CO201" s="290">
        <f>Operations!CO175</f>
        <v>85.65079725569683</v>
      </c>
      <c r="CP201" s="940">
        <f>Operations!CP175</f>
        <v>128.67745693346441</v>
      </c>
      <c r="CQ201" s="290">
        <f>Operations!CQ175</f>
        <v>462.50934538169201</v>
      </c>
    </row>
    <row r="202" spans="1:99" ht="13.5" customHeight="1">
      <c r="B202" s="110"/>
      <c r="C202" s="111" t="s">
        <v>595</v>
      </c>
      <c r="D202" s="97">
        <f>Financials!H101</f>
        <v>110</v>
      </c>
      <c r="E202" s="97">
        <f>Financials!I101</f>
        <v>51</v>
      </c>
      <c r="F202" s="97"/>
      <c r="G202" s="97"/>
      <c r="H202" s="97"/>
      <c r="I202" s="97"/>
      <c r="J202" s="97">
        <f>Financials!J101</f>
        <v>325</v>
      </c>
      <c r="K202" s="97">
        <f>Financials!K101</f>
        <v>219</v>
      </c>
      <c r="L202" s="97">
        <f>Financials!L101</f>
        <v>510</v>
      </c>
      <c r="M202" s="97">
        <f>Financials!M101</f>
        <v>597</v>
      </c>
      <c r="N202" s="97">
        <f>Financials!N101</f>
        <v>655</v>
      </c>
      <c r="O202" s="97">
        <f>Financials!O101</f>
        <v>1981</v>
      </c>
      <c r="P202" s="97">
        <f>Financials!P101</f>
        <v>676</v>
      </c>
      <c r="Q202" s="97">
        <f>Financials!Q101</f>
        <v>515</v>
      </c>
      <c r="R202" s="97">
        <f>Financials!R101</f>
        <v>239</v>
      </c>
      <c r="S202" s="97">
        <f>Financials!S101</f>
        <v>345</v>
      </c>
      <c r="T202" s="97">
        <f>Financials!T101</f>
        <v>1775</v>
      </c>
      <c r="U202" s="97">
        <f>Financials!U101</f>
        <v>486</v>
      </c>
      <c r="V202" s="97">
        <f>Financials!V101</f>
        <v>628</v>
      </c>
      <c r="W202" s="97">
        <f>Financials!W101</f>
        <v>695</v>
      </c>
      <c r="X202" s="97">
        <f>Financials!X101</f>
        <v>438</v>
      </c>
      <c r="Y202" s="97">
        <f>Financials!Y101</f>
        <v>2247</v>
      </c>
      <c r="Z202" s="97">
        <f>Financials!Z101</f>
        <v>457</v>
      </c>
      <c r="AA202" s="97">
        <f>Financials!AA101</f>
        <v>509</v>
      </c>
      <c r="AB202" s="97">
        <f>Financials!AB101</f>
        <v>527</v>
      </c>
      <c r="AC202" s="97">
        <f>Financials!AC101</f>
        <v>395</v>
      </c>
      <c r="AD202" s="97">
        <f>Financials!AD101</f>
        <v>1888</v>
      </c>
      <c r="AE202" s="97">
        <f>Financials!AE101</f>
        <v>484</v>
      </c>
      <c r="AF202" s="97">
        <f>Financials!AF101</f>
        <v>1119</v>
      </c>
      <c r="AG202" s="97">
        <f>Financials!AG101</f>
        <v>1604</v>
      </c>
      <c r="AH202" s="97">
        <f>Financials!AH101</f>
        <v>568</v>
      </c>
      <c r="AI202" s="97">
        <f>Financials!AI101</f>
        <v>3775</v>
      </c>
      <c r="AJ202" s="939">
        <f>Financials!AJ101</f>
        <v>-331</v>
      </c>
      <c r="AK202" s="290">
        <f>Financials!AK101</f>
        <v>-385</v>
      </c>
      <c r="AL202" s="290">
        <f>Financials!AL101</f>
        <v>-245</v>
      </c>
      <c r="AM202" s="940">
        <f>Financials!AM101</f>
        <v>-103</v>
      </c>
      <c r="AN202" s="97">
        <f>Financials!AN101</f>
        <v>-1064</v>
      </c>
      <c r="AO202" s="939">
        <f>Financials!AO101</f>
        <v>108</v>
      </c>
      <c r="AP202" s="290">
        <f>Financials!AP101</f>
        <v>360</v>
      </c>
      <c r="AQ202" s="290">
        <f>Financials!AQ101</f>
        <v>25</v>
      </c>
      <c r="AR202" s="940">
        <f>Financials!AR101</f>
        <v>33</v>
      </c>
      <c r="AS202" s="97">
        <f>Financials!AS101</f>
        <v>526</v>
      </c>
      <c r="AT202" s="939">
        <f>Financials!AT101</f>
        <v>78</v>
      </c>
      <c r="AU202" s="290">
        <f>Financials!AU101</f>
        <v>471</v>
      </c>
      <c r="AV202" s="290">
        <f>Financials!AV101</f>
        <v>371</v>
      </c>
      <c r="AW202" s="940">
        <f>Financials!AW101</f>
        <v>44</v>
      </c>
      <c r="AX202" s="97">
        <f>Financials!AX101</f>
        <v>964</v>
      </c>
      <c r="AY202" s="939">
        <f>Financials!AY101</f>
        <v>381</v>
      </c>
      <c r="AZ202" s="290">
        <f>Financials!AZ101</f>
        <v>417</v>
      </c>
      <c r="BA202" s="290">
        <f>Financials!BA101</f>
        <v>260</v>
      </c>
      <c r="BB202" s="940">
        <f>Financials!BB101</f>
        <v>161</v>
      </c>
      <c r="BC202" s="97">
        <f>Financials!BC101</f>
        <v>1219</v>
      </c>
      <c r="BD202" s="939">
        <f>Financials!BD101</f>
        <v>209</v>
      </c>
      <c r="BE202" s="290">
        <f>Financials!BE101</f>
        <v>163</v>
      </c>
      <c r="BF202" s="290">
        <f>Financials!BF101</f>
        <v>231</v>
      </c>
      <c r="BG202" s="940">
        <f>Financials!BG101</f>
        <v>260</v>
      </c>
      <c r="BH202" s="97">
        <f>Financials!BH101</f>
        <v>863</v>
      </c>
      <c r="BI202" s="939">
        <f>Financials!BI101</f>
        <v>268</v>
      </c>
      <c r="BJ202" s="290">
        <f>Financials!BJ101</f>
        <v>265</v>
      </c>
      <c r="BK202" s="290">
        <f>Financials!BK101</f>
        <v>611</v>
      </c>
      <c r="BL202" s="940">
        <f>Financials!BL101</f>
        <v>534</v>
      </c>
      <c r="BM202" s="97">
        <f>Financials!BM101</f>
        <v>1678</v>
      </c>
      <c r="BN202" s="939">
        <f>Financials!BN101</f>
        <v>110</v>
      </c>
      <c r="BO202" s="290">
        <f>Financials!BO101</f>
        <v>20</v>
      </c>
      <c r="BP202" s="290">
        <f>Financials!BP101</f>
        <v>85</v>
      </c>
      <c r="BQ202" s="940">
        <f>Financials!BQ101</f>
        <v>-13</v>
      </c>
      <c r="BR202" s="97">
        <f>Financials!BR101</f>
        <v>202</v>
      </c>
      <c r="BS202" s="939">
        <f>Financials!BS101</f>
        <v>-107</v>
      </c>
      <c r="BT202" s="290">
        <f>Financials!BT101</f>
        <v>134</v>
      </c>
      <c r="BU202" s="290">
        <f>Financials!BU101</f>
        <v>272</v>
      </c>
      <c r="BV202" s="940">
        <f>Financials!BV101</f>
        <v>211</v>
      </c>
      <c r="BW202" s="97">
        <f>Financials!BW101</f>
        <v>510</v>
      </c>
      <c r="BX202" s="939">
        <f>Financials!BX101</f>
        <v>74</v>
      </c>
      <c r="BY202" s="290">
        <f>Financials!BY101</f>
        <v>362</v>
      </c>
      <c r="BZ202" s="290">
        <f>Financials!BZ101</f>
        <v>342</v>
      </c>
      <c r="CA202" s="940">
        <f>Financials!CA101</f>
        <v>309</v>
      </c>
      <c r="CB202" s="97">
        <f>Financials!CB101</f>
        <v>1087</v>
      </c>
      <c r="CC202" s="939">
        <f>Financials!CC101</f>
        <v>259.78647160509468</v>
      </c>
      <c r="CD202" s="290">
        <f>Financials!CD101</f>
        <v>460.24419251949911</v>
      </c>
      <c r="CE202" s="290">
        <f>Financials!CE101</f>
        <v>542.18315384058383</v>
      </c>
      <c r="CF202" s="940">
        <f>Financials!CF101</f>
        <v>476.32747120235166</v>
      </c>
      <c r="CG202" s="1484">
        <f>Financials!CG101</f>
        <v>1738.5412891675294</v>
      </c>
      <c r="CH202" s="939">
        <f>Financials!CH101</f>
        <v>333.96058187579979</v>
      </c>
      <c r="CI202" s="290">
        <f>Financials!CI101</f>
        <v>559.25389578201191</v>
      </c>
      <c r="CJ202" s="290">
        <f>Financials!CJ101</f>
        <v>526.82790719753825</v>
      </c>
      <c r="CK202" s="940">
        <f>Financials!CK101</f>
        <v>510.32541572188603</v>
      </c>
      <c r="CL202" s="97">
        <f>Financials!CL101</f>
        <v>1930.367800577236</v>
      </c>
      <c r="CM202" s="939">
        <f>Financials!CM101</f>
        <v>353.93064212267745</v>
      </c>
      <c r="CN202" s="290">
        <f>Financials!CN101</f>
        <v>477.44923008105172</v>
      </c>
      <c r="CO202" s="290">
        <f>Financials!CO101</f>
        <v>412.65338175705728</v>
      </c>
      <c r="CP202" s="940">
        <f>Financials!CP101</f>
        <v>402.79121994018334</v>
      </c>
      <c r="CQ202" s="290">
        <f>Financials!CQ101</f>
        <v>1646.8244739009697</v>
      </c>
    </row>
    <row r="203" spans="1:99" ht="6.2" customHeight="1">
      <c r="A203" s="75"/>
      <c r="B203" s="75"/>
      <c r="C203" s="75"/>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39"/>
      <c r="AK203" s="290"/>
      <c r="AL203" s="290"/>
      <c r="AM203" s="940"/>
      <c r="AN203" s="97"/>
      <c r="AO203" s="939"/>
      <c r="AP203" s="290"/>
      <c r="AQ203" s="290"/>
      <c r="AR203" s="940"/>
      <c r="AS203" s="97"/>
      <c r="AT203" s="939"/>
      <c r="AU203" s="290"/>
      <c r="AV203" s="290"/>
      <c r="AW203" s="940"/>
      <c r="AX203" s="97"/>
      <c r="AY203" s="939"/>
      <c r="AZ203" s="290"/>
      <c r="BA203" s="290"/>
      <c r="BB203" s="940"/>
      <c r="BC203" s="97"/>
      <c r="BD203" s="939"/>
      <c r="BE203" s="290"/>
      <c r="BF203" s="290"/>
      <c r="BG203" s="940"/>
      <c r="BH203" s="97"/>
      <c r="BI203" s="939"/>
      <c r="BJ203" s="290"/>
      <c r="BK203" s="290"/>
      <c r="BL203" s="940"/>
      <c r="BM203" s="97"/>
      <c r="BN203" s="939"/>
      <c r="BO203" s="290"/>
      <c r="BP203" s="290"/>
      <c r="BQ203" s="940"/>
      <c r="BR203" s="97"/>
      <c r="BS203" s="939"/>
      <c r="BT203" s="290"/>
      <c r="BU203" s="290"/>
      <c r="BV203" s="940"/>
      <c r="BW203" s="97"/>
      <c r="BX203" s="939"/>
      <c r="BY203" s="290"/>
      <c r="BZ203" s="290"/>
      <c r="CA203" s="940"/>
      <c r="CB203" s="97"/>
      <c r="CC203" s="939"/>
      <c r="CD203" s="290"/>
      <c r="CE203" s="290"/>
      <c r="CF203" s="940"/>
      <c r="CG203" s="1484"/>
      <c r="CH203" s="939"/>
      <c r="CI203" s="290"/>
      <c r="CJ203" s="290"/>
      <c r="CK203" s="940"/>
      <c r="CL203" s="97"/>
      <c r="CM203" s="939"/>
      <c r="CN203" s="290"/>
      <c r="CO203" s="290"/>
      <c r="CP203" s="940"/>
      <c r="CQ203" s="290"/>
      <c r="CR203" s="81"/>
      <c r="CS203" s="75"/>
      <c r="CT203" s="75"/>
      <c r="CU203" s="75"/>
    </row>
    <row r="204" spans="1:99" ht="13.5" customHeight="1">
      <c r="A204" s="75"/>
      <c r="B204" s="75"/>
      <c r="C204" s="75" t="s">
        <v>704</v>
      </c>
      <c r="D204" s="97"/>
      <c r="E204" s="97"/>
      <c r="F204" s="97"/>
      <c r="G204" s="97"/>
      <c r="H204" s="97"/>
      <c r="I204" s="97"/>
      <c r="J204" s="97">
        <f>Financials!J14</f>
        <v>9328</v>
      </c>
      <c r="K204" s="97">
        <f>Financials!K14</f>
        <v>2906</v>
      </c>
      <c r="L204" s="97">
        <f>Financials!L14</f>
        <v>3448</v>
      </c>
      <c r="M204" s="97">
        <f>Financials!M14</f>
        <v>3707</v>
      </c>
      <c r="N204" s="97">
        <f>Financials!N14</f>
        <v>3908</v>
      </c>
      <c r="O204" s="97">
        <f>Financials!O14</f>
        <v>13969</v>
      </c>
      <c r="P204" s="97">
        <f>Financials!P14</f>
        <v>3761</v>
      </c>
      <c r="Q204" s="97">
        <f>Financials!Q14</f>
        <v>3582</v>
      </c>
      <c r="R204" s="97">
        <f>Financials!R14</f>
        <v>3200</v>
      </c>
      <c r="S204" s="97">
        <f>Financials!S14</f>
        <v>3496</v>
      </c>
      <c r="T204" s="97">
        <f>Financials!T14</f>
        <v>14039</v>
      </c>
      <c r="U204" s="97">
        <f>Financials!U14</f>
        <v>3726</v>
      </c>
      <c r="V204" s="97">
        <f>Financials!V14</f>
        <v>4107</v>
      </c>
      <c r="W204" s="97">
        <f>Financials!W14</f>
        <v>4106</v>
      </c>
      <c r="X204" s="97">
        <f>Financials!X14</f>
        <v>3776</v>
      </c>
      <c r="Y204" s="97">
        <f>Financials!Y14</f>
        <v>15715</v>
      </c>
      <c r="Z204" s="97">
        <f>Financials!Z14</f>
        <v>3756</v>
      </c>
      <c r="AA204" s="97">
        <f>Financials!AA14</f>
        <v>4228</v>
      </c>
      <c r="AB204" s="97">
        <f>Financials!AB14</f>
        <v>4354</v>
      </c>
      <c r="AC204" s="97">
        <f>Financials!AC14</f>
        <v>4535</v>
      </c>
      <c r="AD204" s="97">
        <f>Financials!AD14</f>
        <v>16873</v>
      </c>
      <c r="AE204" s="97">
        <f>Financials!AE14</f>
        <v>5196</v>
      </c>
      <c r="AF204" s="97">
        <f>Financials!AF14</f>
        <v>6744</v>
      </c>
      <c r="AG204" s="97">
        <f>Financials!AG14</f>
        <v>7312</v>
      </c>
      <c r="AH204" s="97">
        <f>Financials!AH14</f>
        <v>4565</v>
      </c>
      <c r="AI204" s="97">
        <f>Financials!AI14</f>
        <v>23817</v>
      </c>
      <c r="AJ204" s="939">
        <f>Financials!AJ14</f>
        <v>2750</v>
      </c>
      <c r="AK204" s="290">
        <f>Financials!AK14</f>
        <v>2127</v>
      </c>
      <c r="AL204" s="290">
        <f>Financials!AL14</f>
        <v>2817</v>
      </c>
      <c r="AM204" s="940">
        <f>Financials!AM14</f>
        <v>3354</v>
      </c>
      <c r="AN204" s="97">
        <f>Financials!AN14</f>
        <v>11048</v>
      </c>
      <c r="AO204" s="939">
        <f>Financials!AO14</f>
        <v>3896</v>
      </c>
      <c r="AP204" s="290">
        <f>Financials!AP14</f>
        <v>4681</v>
      </c>
      <c r="AQ204" s="290">
        <f>Financials!AQ14</f>
        <v>4497</v>
      </c>
      <c r="AR204" s="940">
        <f>Financials!AR14</f>
        <v>4300</v>
      </c>
      <c r="AS204" s="97">
        <f>Financials!AS14</f>
        <v>17374</v>
      </c>
      <c r="AT204" s="939">
        <f>Financials!AT14</f>
        <v>4864</v>
      </c>
      <c r="AU204" s="290">
        <f>Financials!AU14</f>
        <v>5120</v>
      </c>
      <c r="AV204" s="290">
        <f>Financials!AV14</f>
        <v>5081</v>
      </c>
      <c r="AW204" s="940">
        <f>Financials!AW14</f>
        <v>4819</v>
      </c>
      <c r="AX204" s="97">
        <f>Financials!AX14</f>
        <v>19884</v>
      </c>
      <c r="AY204" s="939">
        <f>Financials!AY14</f>
        <v>5172</v>
      </c>
      <c r="AZ204" s="290">
        <f>Financials!AZ14</f>
        <v>5017</v>
      </c>
      <c r="BA204" s="290">
        <f>Financials!BA14</f>
        <v>4652</v>
      </c>
      <c r="BB204" s="940">
        <f>Financials!BB14</f>
        <v>4487</v>
      </c>
      <c r="BC204" s="97">
        <f>Financials!BC14</f>
        <v>19328</v>
      </c>
      <c r="BD204" s="939">
        <f>Financials!BD14</f>
        <v>4595</v>
      </c>
      <c r="BE204" s="290">
        <f>Financials!BE14</f>
        <v>4429</v>
      </c>
      <c r="BF204" s="290">
        <f>Financials!BF14</f>
        <v>4131</v>
      </c>
      <c r="BG204" s="940">
        <f>Financials!BG14</f>
        <v>4269</v>
      </c>
      <c r="BH204" s="97">
        <f>Financials!BH14</f>
        <v>17424</v>
      </c>
      <c r="BI204" s="939">
        <f>Financials!BI14</f>
        <v>4448</v>
      </c>
      <c r="BJ204" s="290">
        <f>Financials!BJ14</f>
        <v>4400</v>
      </c>
      <c r="BK204" s="290">
        <f>Financials!BK14</f>
        <v>4587</v>
      </c>
      <c r="BL204" s="940">
        <f>Financials!BL14</f>
        <v>4072</v>
      </c>
      <c r="BM204" s="97">
        <f>Financials!BM14</f>
        <v>17507</v>
      </c>
      <c r="BN204" s="939">
        <f>Financials!BN14</f>
        <v>3272</v>
      </c>
      <c r="BO204" s="290">
        <f>Financials!BO14</f>
        <v>2900</v>
      </c>
      <c r="BP204" s="290">
        <f>Financials!BP14</f>
        <v>2830</v>
      </c>
      <c r="BQ204" s="940">
        <f>Financials!BQ14</f>
        <v>2572</v>
      </c>
      <c r="BR204" s="97">
        <f>Financials!BR14</f>
        <v>11574</v>
      </c>
      <c r="BS204" s="939">
        <f>Financials!BS14</f>
        <v>2341</v>
      </c>
      <c r="BT204" s="290">
        <f>Financials!BT14</f>
        <v>2584</v>
      </c>
      <c r="BU204" s="290">
        <f>Financials!BU14</f>
        <v>2686</v>
      </c>
      <c r="BV204" s="940">
        <f>Financials!BV14</f>
        <v>2650</v>
      </c>
      <c r="BW204" s="97">
        <f>Financials!BW14</f>
        <v>10261</v>
      </c>
      <c r="BX204" s="939">
        <f>Financials!BX14</f>
        <v>2725</v>
      </c>
      <c r="BY204" s="290">
        <f>Financials!BY14</f>
        <v>3144</v>
      </c>
      <c r="BZ204" s="290">
        <f>Financials!BZ14</f>
        <v>3248</v>
      </c>
      <c r="CA204" s="940">
        <f>Financials!CA14</f>
        <v>3133</v>
      </c>
      <c r="CB204" s="97">
        <f>Financials!CB14</f>
        <v>12250</v>
      </c>
      <c r="CC204" s="939">
        <f>Financials!CC14</f>
        <v>3135.5207409011568</v>
      </c>
      <c r="CD204" s="290">
        <f>Financials!CD14</f>
        <v>3506.1536400053119</v>
      </c>
      <c r="CE204" s="290">
        <f>Financials!CE14</f>
        <v>3726.9337517892145</v>
      </c>
      <c r="CF204" s="940">
        <f>Financials!CF14</f>
        <v>3727.7928088315593</v>
      </c>
      <c r="CG204" s="1484">
        <f>Financials!CG14</f>
        <v>14096.400941527243</v>
      </c>
      <c r="CH204" s="939">
        <f>Financials!CH14</f>
        <v>3622.2083311858469</v>
      </c>
      <c r="CI204" s="290">
        <f>Financials!CI14</f>
        <v>3893.210107562099</v>
      </c>
      <c r="CJ204" s="290">
        <f>Financials!CJ14</f>
        <v>3798.4157019378886</v>
      </c>
      <c r="CK204" s="940">
        <f>Financials!CK14</f>
        <v>3731.1690908290402</v>
      </c>
      <c r="CL204" s="97">
        <f>Financials!CL14</f>
        <v>15045.003231514875</v>
      </c>
      <c r="CM204" s="939">
        <f>Financials!CM14</f>
        <v>3479.0726895648322</v>
      </c>
      <c r="CN204" s="290">
        <f>Financials!CN14</f>
        <v>3713.7124707575658</v>
      </c>
      <c r="CO204" s="290">
        <f>Financials!CO14</f>
        <v>3581.3008872580949</v>
      </c>
      <c r="CP204" s="940">
        <f>Financials!CP14</f>
        <v>3528.281871436041</v>
      </c>
      <c r="CQ204" s="290">
        <f>Financials!CQ14</f>
        <v>14302.367919016533</v>
      </c>
      <c r="CR204" s="81"/>
      <c r="CS204" s="75"/>
      <c r="CT204" s="75"/>
      <c r="CU204" s="75"/>
    </row>
    <row r="205" spans="1:99" ht="13.5" customHeight="1">
      <c r="A205" s="75"/>
      <c r="B205" s="75"/>
      <c r="C205" s="75" t="s">
        <v>705</v>
      </c>
      <c r="D205" s="97"/>
      <c r="E205" s="97"/>
      <c r="F205" s="97"/>
      <c r="G205" s="97"/>
      <c r="H205" s="97"/>
      <c r="I205" s="97"/>
      <c r="J205" s="97">
        <f>Financials!J28</f>
        <v>-38</v>
      </c>
      <c r="K205" s="97">
        <f>Financials!K28</f>
        <v>121</v>
      </c>
      <c r="L205" s="97">
        <f>Financials!L28</f>
        <v>417</v>
      </c>
      <c r="M205" s="97">
        <f>Financials!M28</f>
        <v>501</v>
      </c>
      <c r="N205" s="97">
        <f>Financials!N28</f>
        <v>560</v>
      </c>
      <c r="O205" s="97">
        <f>Financials!O28</f>
        <v>1599</v>
      </c>
      <c r="P205" s="97">
        <f>Financials!P28</f>
        <v>578</v>
      </c>
      <c r="Q205" s="97">
        <f>Financials!Q28</f>
        <v>427</v>
      </c>
      <c r="R205" s="97">
        <f>Financials!R28</f>
        <v>151</v>
      </c>
      <c r="S205" s="97">
        <f>Financials!S28</f>
        <v>253</v>
      </c>
      <c r="T205" s="97">
        <f>Financials!T28</f>
        <v>1409</v>
      </c>
      <c r="U205" s="97">
        <f>Financials!U28</f>
        <v>374</v>
      </c>
      <c r="V205" s="97">
        <f>Financials!V28</f>
        <v>514</v>
      </c>
      <c r="W205" s="97">
        <f>Financials!W28</f>
        <v>582</v>
      </c>
      <c r="X205" s="97">
        <f>Financials!X28</f>
        <v>336</v>
      </c>
      <c r="Y205" s="97">
        <f>Financials!Y28</f>
        <v>1806</v>
      </c>
      <c r="Z205" s="97">
        <f>Financials!Z28</f>
        <v>346</v>
      </c>
      <c r="AA205" s="97">
        <f>Financials!AA28</f>
        <v>391</v>
      </c>
      <c r="AB205" s="97">
        <f>Financials!AB28</f>
        <v>403</v>
      </c>
      <c r="AC205" s="97">
        <f>Financials!AC28</f>
        <v>242</v>
      </c>
      <c r="AD205" s="97">
        <f>Financials!AD28</f>
        <v>1382</v>
      </c>
      <c r="AE205" s="97">
        <f>Financials!AE28</f>
        <v>328</v>
      </c>
      <c r="AF205" s="97">
        <f>Financials!AF28</f>
        <v>960</v>
      </c>
      <c r="AG205" s="97">
        <f>Financials!AG28</f>
        <v>1455</v>
      </c>
      <c r="AH205" s="97">
        <f>Financials!AH28</f>
        <v>427</v>
      </c>
      <c r="AI205" s="97">
        <f>Financials!AI28</f>
        <v>3170</v>
      </c>
      <c r="AJ205" s="939">
        <f>Financials!AJ28</f>
        <v>-489</v>
      </c>
      <c r="AK205" s="290">
        <f>Financials!AK28</f>
        <v>-544</v>
      </c>
      <c r="AL205" s="290">
        <f>Financials!AL28</f>
        <v>-412</v>
      </c>
      <c r="AM205" s="940">
        <f>Financials!AM28</f>
        <v>-280</v>
      </c>
      <c r="AN205" s="97">
        <f>Financials!AN28</f>
        <v>-1725</v>
      </c>
      <c r="AO205" s="939">
        <f>Financials!AO28</f>
        <v>-57</v>
      </c>
      <c r="AP205" s="290">
        <f>Financials!AP28</f>
        <v>198</v>
      </c>
      <c r="AQ205" s="290">
        <f>Financials!AQ28</f>
        <v>-138</v>
      </c>
      <c r="AR205" s="940">
        <f>Financials!AR28</f>
        <v>-135</v>
      </c>
      <c r="AS205" s="97">
        <f>Financials!AS28</f>
        <v>-132</v>
      </c>
      <c r="AT205" s="939">
        <f>Financials!AT28</f>
        <v>-91</v>
      </c>
      <c r="AU205" s="290">
        <f>Financials!AU28</f>
        <v>300</v>
      </c>
      <c r="AV205" s="290">
        <f>Financials!AV28</f>
        <v>199</v>
      </c>
      <c r="AW205" s="940">
        <f>Financials!AW28</f>
        <v>-125</v>
      </c>
      <c r="AX205" s="97">
        <f>Financials!AX28</f>
        <v>283</v>
      </c>
      <c r="AY205" s="939">
        <f>Financials!AY28</f>
        <v>218</v>
      </c>
      <c r="AZ205" s="290">
        <f>Financials!AZ28</f>
        <v>253</v>
      </c>
      <c r="BA205" s="290">
        <f>Financials!BA28</f>
        <v>97</v>
      </c>
      <c r="BB205" s="940">
        <f>Financials!BB28</f>
        <v>-10</v>
      </c>
      <c r="BC205" s="97">
        <f>Financials!BC28</f>
        <v>558</v>
      </c>
      <c r="BD205" s="939">
        <f>Financials!BD28</f>
        <v>38</v>
      </c>
      <c r="BE205" s="290">
        <f>Financials!BE28</f>
        <v>-7</v>
      </c>
      <c r="BF205" s="290">
        <f>Financials!BF28</f>
        <v>58</v>
      </c>
      <c r="BG205" s="940">
        <f>Financials!BG28</f>
        <v>90</v>
      </c>
      <c r="BH205" s="97">
        <f>Financials!BH28</f>
        <v>179</v>
      </c>
      <c r="BI205" s="939">
        <f>Financials!BI28</f>
        <v>102</v>
      </c>
      <c r="BJ205" s="290">
        <f>Financials!BJ28</f>
        <v>100</v>
      </c>
      <c r="BK205" s="290">
        <f>Financials!BK28</f>
        <v>453</v>
      </c>
      <c r="BL205" s="940">
        <f>Financials!BL28</f>
        <v>396</v>
      </c>
      <c r="BM205" s="97">
        <f>Financials!BM28</f>
        <v>1051</v>
      </c>
      <c r="BN205" s="939">
        <f>Financials!BN28</f>
        <v>-34</v>
      </c>
      <c r="BO205" s="290">
        <f>Financials!BO28</f>
        <v>-118</v>
      </c>
      <c r="BP205" s="290">
        <f>Financials!BP28</f>
        <v>-51</v>
      </c>
      <c r="BQ205" s="940">
        <f>Financials!BQ28</f>
        <v>-142</v>
      </c>
      <c r="BR205" s="97">
        <f>Financials!BR28</f>
        <v>-345</v>
      </c>
      <c r="BS205" s="939">
        <f>Financials!BS28</f>
        <v>-236</v>
      </c>
      <c r="BT205" s="290">
        <f>Financials!BT28</f>
        <v>5</v>
      </c>
      <c r="BU205" s="290">
        <f>Financials!BU28</f>
        <v>146</v>
      </c>
      <c r="BV205" s="940">
        <f>Financials!BV28</f>
        <v>88</v>
      </c>
      <c r="BW205" s="97">
        <f>Financials!BW28</f>
        <v>3</v>
      </c>
      <c r="BX205" s="939">
        <f>Financials!BX28</f>
        <v>-63</v>
      </c>
      <c r="BY205" s="290">
        <f>Financials!BY28</f>
        <v>241</v>
      </c>
      <c r="BZ205" s="290">
        <f>Financials!BZ28</f>
        <v>224</v>
      </c>
      <c r="CA205" s="940">
        <f>Financials!CA28</f>
        <v>184</v>
      </c>
      <c r="CB205" s="97">
        <f>Financials!CB28</f>
        <v>586</v>
      </c>
      <c r="CC205" s="939">
        <f>Financials!CC28</f>
        <v>127.7864716050947</v>
      </c>
      <c r="CD205" s="290">
        <f>Financials!CD28</f>
        <v>336.24419251949911</v>
      </c>
      <c r="CE205" s="290">
        <f>Financials!CE28</f>
        <v>418.18315384058388</v>
      </c>
      <c r="CF205" s="940">
        <f>Financials!CF28</f>
        <v>361.32747120235166</v>
      </c>
      <c r="CG205" s="1484">
        <f>Financials!CG28</f>
        <v>1243.5412891675294</v>
      </c>
      <c r="CH205" s="939">
        <f>Financials!CH28</f>
        <v>201.96058187579982</v>
      </c>
      <c r="CI205" s="290">
        <f>Financials!CI28</f>
        <v>435.25389578201191</v>
      </c>
      <c r="CJ205" s="290">
        <f>Financials!CJ28</f>
        <v>402.8279071975382</v>
      </c>
      <c r="CK205" s="940">
        <f>Financials!CK28</f>
        <v>395.32541572188603</v>
      </c>
      <c r="CL205" s="97">
        <f>Financials!CL28</f>
        <v>1435.367800577236</v>
      </c>
      <c r="CM205" s="939">
        <f>Financials!CM28</f>
        <v>221.93064212267743</v>
      </c>
      <c r="CN205" s="290">
        <f>Financials!CN28</f>
        <v>353.44923008105172</v>
      </c>
      <c r="CO205" s="290">
        <f>Financials!CO28</f>
        <v>288.65338175705728</v>
      </c>
      <c r="CP205" s="940">
        <f>Financials!CP28</f>
        <v>287.79121994018334</v>
      </c>
      <c r="CQ205" s="290">
        <f>Financials!CQ28</f>
        <v>1151.8244739009697</v>
      </c>
      <c r="CR205" s="81"/>
      <c r="CS205" s="75"/>
      <c r="CT205" s="75"/>
      <c r="CU205" s="75"/>
    </row>
    <row r="206" spans="1:99" ht="13.5" customHeight="1">
      <c r="A206" s="75"/>
      <c r="B206" s="75"/>
      <c r="C206" s="75" t="s">
        <v>629</v>
      </c>
      <c r="D206" s="97"/>
      <c r="E206" s="97"/>
      <c r="F206" s="97"/>
      <c r="G206" s="97"/>
      <c r="H206" s="97"/>
      <c r="I206" s="97"/>
      <c r="J206" s="97">
        <f>Financials!J59</f>
        <v>-78</v>
      </c>
      <c r="K206" s="97">
        <f>Financials!K59</f>
        <v>24</v>
      </c>
      <c r="L206" s="97">
        <f>Financials!L59</f>
        <v>250</v>
      </c>
      <c r="M206" s="97">
        <f>Financials!M59</f>
        <v>355</v>
      </c>
      <c r="N206" s="97">
        <f>Financials!N59</f>
        <v>457</v>
      </c>
      <c r="O206" s="97">
        <f>Financials!O59</f>
        <v>1086</v>
      </c>
      <c r="P206" s="97">
        <f>Financials!P59</f>
        <v>409</v>
      </c>
      <c r="Q206" s="97">
        <f>Financials!Q59</f>
        <v>248</v>
      </c>
      <c r="R206" s="97">
        <f>Financials!R59</f>
        <v>91</v>
      </c>
      <c r="S206" s="97">
        <f>Financials!S59</f>
        <v>124</v>
      </c>
      <c r="T206" s="97">
        <f>Financials!T59</f>
        <v>872</v>
      </c>
      <c r="U206" s="97">
        <f>Financials!U59</f>
        <v>255</v>
      </c>
      <c r="V206" s="97">
        <f>Financials!V59</f>
        <v>400</v>
      </c>
      <c r="W206" s="97">
        <f>Financials!W59</f>
        <v>431</v>
      </c>
      <c r="X206" s="97">
        <f>Financials!X59</f>
        <v>257</v>
      </c>
      <c r="Y206" s="97">
        <f>Financials!Y59</f>
        <v>1343</v>
      </c>
      <c r="Z206" s="97">
        <f>Financials!Z59</f>
        <v>275</v>
      </c>
      <c r="AA206" s="97">
        <f>Financials!AA59</f>
        <v>316</v>
      </c>
      <c r="AB206" s="97">
        <f>Financials!AB59</f>
        <v>297</v>
      </c>
      <c r="AC206" s="97">
        <f>Financials!AC59</f>
        <v>172</v>
      </c>
      <c r="AD206" s="97">
        <f>Financials!AD59</f>
        <v>1060</v>
      </c>
      <c r="AE206" s="97">
        <f>Financials!AE59</f>
        <v>210</v>
      </c>
      <c r="AF206" s="97">
        <f>Financials!AF59</f>
        <v>672</v>
      </c>
      <c r="AG206" s="97">
        <f>Financials!AG59</f>
        <v>1037</v>
      </c>
      <c r="AH206" s="97">
        <f>Financials!AH59</f>
        <v>232.4</v>
      </c>
      <c r="AI206" s="97">
        <f>Financials!AI59</f>
        <v>2151.4</v>
      </c>
      <c r="AJ206" s="939">
        <f>Financials!AJ59</f>
        <v>-446</v>
      </c>
      <c r="AK206" s="290">
        <f>Financials!AK59</f>
        <v>-441</v>
      </c>
      <c r="AL206" s="290">
        <f>Financials!AL59</f>
        <v>-303</v>
      </c>
      <c r="AM206" s="940">
        <f>Financials!AM59</f>
        <v>-236</v>
      </c>
      <c r="AN206" s="97">
        <f>Financials!AN59</f>
        <v>-1426</v>
      </c>
      <c r="AO206" s="939">
        <f>Financials!AO59</f>
        <v>-104</v>
      </c>
      <c r="AP206" s="290">
        <f>Financials!AP59</f>
        <v>71</v>
      </c>
      <c r="AQ206" s="290">
        <f>Financials!AQ59</f>
        <v>-188</v>
      </c>
      <c r="AR206" s="940">
        <f>Financials!AR59</f>
        <v>-175</v>
      </c>
      <c r="AS206" s="97">
        <f>Financials!AS59</f>
        <v>-396</v>
      </c>
      <c r="AT206" s="939">
        <f>Financials!AT59</f>
        <v>-167</v>
      </c>
      <c r="AU206" s="290">
        <f>Financials!AU59</f>
        <v>185</v>
      </c>
      <c r="AV206" s="290">
        <f>Financials!AV59</f>
        <v>118</v>
      </c>
      <c r="AW206" s="940">
        <f>Financials!AW59</f>
        <v>-149</v>
      </c>
      <c r="AX206" s="97">
        <f>Financials!AX59</f>
        <v>-13</v>
      </c>
      <c r="AY206" s="939">
        <f>Financials!AY59</f>
        <v>110</v>
      </c>
      <c r="AZ206" s="290">
        <f>Financials!AZ59</f>
        <v>112</v>
      </c>
      <c r="BA206" s="290">
        <f>Financials!BA59</f>
        <v>20</v>
      </c>
      <c r="BB206" s="940">
        <f>Financials!BB59</f>
        <v>-59</v>
      </c>
      <c r="BC206" s="97">
        <f>Financials!BC59</f>
        <v>183</v>
      </c>
      <c r="BD206" s="939">
        <f>Financials!BD59</f>
        <v>-51</v>
      </c>
      <c r="BE206" s="290">
        <f>Financials!BE59</f>
        <v>-78</v>
      </c>
      <c r="BF206" s="290">
        <f>Financials!BF59</f>
        <v>-20.7</v>
      </c>
      <c r="BG206" s="940">
        <f>Financials!BG59</f>
        <v>38</v>
      </c>
      <c r="BH206" s="97">
        <f>Financials!BH59</f>
        <v>-111.7</v>
      </c>
      <c r="BI206" s="939">
        <f>Financials!BI59</f>
        <v>39</v>
      </c>
      <c r="BJ206" s="290">
        <f>Financials!BJ59</f>
        <v>25</v>
      </c>
      <c r="BK206" s="290">
        <f>Financials!BK59</f>
        <v>325</v>
      </c>
      <c r="BL206" s="940">
        <f>Financials!BL59</f>
        <v>274</v>
      </c>
      <c r="BM206" s="97">
        <f>Financials!BM59</f>
        <v>663</v>
      </c>
      <c r="BN206" s="939">
        <f>Financials!BN59</f>
        <v>-10</v>
      </c>
      <c r="BO206" s="290">
        <f>Financials!BO59</f>
        <v>-115</v>
      </c>
      <c r="BP206" s="290">
        <f>Financials!BP59</f>
        <v>-103</v>
      </c>
      <c r="BQ206" s="940">
        <f>Financials!BQ59</f>
        <v>-521</v>
      </c>
      <c r="BR206" s="97">
        <f>Financials!BR59</f>
        <v>-749</v>
      </c>
      <c r="BS206" s="939">
        <f>Financials!BS59</f>
        <v>-315</v>
      </c>
      <c r="BT206" s="290">
        <f>Financials!BT59</f>
        <v>-45</v>
      </c>
      <c r="BU206" s="290">
        <f>Financials!BU59</f>
        <v>65</v>
      </c>
      <c r="BV206" s="940">
        <f>Financials!BV59</f>
        <v>47</v>
      </c>
      <c r="BW206" s="97">
        <f>Financials!BW59</f>
        <v>-248</v>
      </c>
      <c r="BX206" s="939">
        <f>Financials!BX59</f>
        <v>-145</v>
      </c>
      <c r="BY206" s="290">
        <f>Financials!BY59</f>
        <v>189</v>
      </c>
      <c r="BZ206" s="290">
        <f>Financials!BZ59</f>
        <v>161</v>
      </c>
      <c r="CA206" s="940">
        <f>Financials!CA59</f>
        <v>136</v>
      </c>
      <c r="CB206" s="97">
        <f>Financials!CB59</f>
        <v>341</v>
      </c>
      <c r="CC206" s="939">
        <f>Financials!CC59</f>
        <v>38.900496931614612</v>
      </c>
      <c r="CD206" s="290">
        <f>Financials!CD59</f>
        <v>253.30293584813623</v>
      </c>
      <c r="CE206" s="290">
        <f>Financials!CE59</f>
        <v>334.38776713614362</v>
      </c>
      <c r="CF206" s="940">
        <f>Financials!CF59</f>
        <v>267.80449808243009</v>
      </c>
      <c r="CG206" s="1484">
        <f>Financials!CG59</f>
        <v>894.39569799832464</v>
      </c>
      <c r="CH206" s="939">
        <f>Financials!CH59</f>
        <v>114.90923427117056</v>
      </c>
      <c r="CI206" s="290">
        <f>Financials!CI59</f>
        <v>342.9093344643008</v>
      </c>
      <c r="CJ206" s="290">
        <f>Financials!CJ59</f>
        <v>319.72186731508117</v>
      </c>
      <c r="CK206" s="940">
        <f>Financials!CK59</f>
        <v>304.53614576855244</v>
      </c>
      <c r="CL206" s="97">
        <f>Financials!CL59</f>
        <v>1082.0765818191051</v>
      </c>
      <c r="CM206" s="939">
        <f>Financials!CM59</f>
        <v>135.50418002268219</v>
      </c>
      <c r="CN206" s="290">
        <f>Financials!CN59</f>
        <v>263.06838285849545</v>
      </c>
      <c r="CO206" s="290">
        <f>Financials!CO59</f>
        <v>207.83141399191331</v>
      </c>
      <c r="CP206" s="940">
        <f>Financials!CP59</f>
        <v>199.21441883366413</v>
      </c>
      <c r="CQ206" s="290">
        <f>Financials!CQ59</f>
        <v>805.618395706755</v>
      </c>
      <c r="CR206" s="81"/>
      <c r="CS206" s="75"/>
      <c r="CT206" s="75"/>
      <c r="CU206" s="75"/>
    </row>
    <row r="207" spans="1:99" ht="13.5" customHeight="1">
      <c r="A207" s="93"/>
      <c r="B207" s="93"/>
      <c r="C207" s="93" t="s">
        <v>706</v>
      </c>
      <c r="D207" s="122"/>
      <c r="E207" s="122"/>
      <c r="F207" s="122"/>
      <c r="G207" s="122"/>
      <c r="H207" s="122"/>
      <c r="I207" s="122"/>
      <c r="J207" s="122">
        <f>Financials!J64</f>
        <v>-0.75596778414212196</v>
      </c>
      <c r="K207" s="122">
        <f>Financials!K64</f>
        <v>0.22717315462378501</v>
      </c>
      <c r="L207" s="122">
        <f>Financials!L64</f>
        <v>1.9634414894436147</v>
      </c>
      <c r="M207" s="122">
        <f>Financials!M64</f>
        <v>2.7610924389137144</v>
      </c>
      <c r="N207" s="122">
        <f>Financials!N64</f>
        <v>3.54506529979589</v>
      </c>
      <c r="O207" s="122">
        <f>Financials!O64</f>
        <v>8.5818894148923768</v>
      </c>
      <c r="P207" s="122">
        <f>Financials!P64</f>
        <v>3.1567683253076511</v>
      </c>
      <c r="Q207" s="122">
        <f>Financials!Q64</f>
        <v>1.9365307778271055</v>
      </c>
      <c r="R207" s="122">
        <f>Financials!R64</f>
        <v>0.72886856581683146</v>
      </c>
      <c r="S207" s="122">
        <f>Financials!S64</f>
        <v>0.99112977269322244</v>
      </c>
      <c r="T207" s="122">
        <f>Financials!T64</f>
        <v>6.8477340924828809</v>
      </c>
      <c r="U207" s="122">
        <f>Financials!U64</f>
        <v>2.0627752689970453</v>
      </c>
      <c r="V207" s="122">
        <f>Financials!V64</f>
        <v>3.2257549384391817</v>
      </c>
      <c r="W207" s="122">
        <f>Financials!W64</f>
        <v>3.5338296546521923</v>
      </c>
      <c r="X207" s="122">
        <f>Financials!X64</f>
        <v>2.1594642512036701</v>
      </c>
      <c r="Y207" s="122">
        <f>Financials!Y64</f>
        <v>10.988742842269652</v>
      </c>
      <c r="Z207" s="122">
        <f>Financials!Z64</f>
        <v>2.3108272761648672</v>
      </c>
      <c r="AA207" s="122">
        <f>Financials!AA64</f>
        <v>2.6578967289365889</v>
      </c>
      <c r="AB207" s="122">
        <f>Financials!AB64</f>
        <v>2.5009473285335355</v>
      </c>
      <c r="AC207" s="122">
        <f>Financials!AC64</f>
        <v>1.4504853222691663</v>
      </c>
      <c r="AD207" s="122">
        <f>Financials!AD64</f>
        <v>8.9219581172984981</v>
      </c>
      <c r="AE207" s="122">
        <f>Financials!AE64</f>
        <v>1.7735737511084835</v>
      </c>
      <c r="AF207" s="122">
        <f>Financials!AF64</f>
        <v>5.6844616256545164</v>
      </c>
      <c r="AG207" s="122">
        <f>Financials!AG64</f>
        <v>8.8011135063568311</v>
      </c>
      <c r="AH207" s="122">
        <f>Financials!AH64</f>
        <v>1.9957920048091375</v>
      </c>
      <c r="AI207" s="122">
        <f>Financials!AI64</f>
        <v>18.27506461128112</v>
      </c>
      <c r="AJ207" s="1005">
        <f>Financials!AJ64</f>
        <v>-3.8414166731264481</v>
      </c>
      <c r="AK207" s="1006">
        <f>Financials!AK64</f>
        <v>-3.2755470386380856</v>
      </c>
      <c r="AL207" s="1006">
        <f>Financials!AL64</f>
        <v>-2.1135160397034101</v>
      </c>
      <c r="AM207" s="1007">
        <f>Financials!AM64</f>
        <v>-1.6463464725547905</v>
      </c>
      <c r="AN207" s="122">
        <f>Financials!AN64</f>
        <v>-10.613125468101353</v>
      </c>
      <c r="AO207" s="1005">
        <f>Financials!AO64</f>
        <v>-0.72529465095194934</v>
      </c>
      <c r="AP207" s="1006">
        <f>Financials!AP64</f>
        <v>0.44824141038243692</v>
      </c>
      <c r="AQ207" s="1006">
        <f>Financials!AQ64</f>
        <v>-1.3086454127801754</v>
      </c>
      <c r="AR207" s="1007">
        <f>Financials!AR64</f>
        <v>-1.2177132041861503</v>
      </c>
      <c r="AS207" s="122">
        <f>Financials!AS64</f>
        <v>-2.7583036432593957</v>
      </c>
      <c r="AT207" s="1005">
        <f>Financials!AT64</f>
        <v>-1.161327111772519</v>
      </c>
      <c r="AU207" s="1006">
        <f>Financials!AU64</f>
        <v>1.1125614340248187</v>
      </c>
      <c r="AV207" s="1006">
        <f>Financials!AV64</f>
        <v>0.72087486221838604</v>
      </c>
      <c r="AW207" s="1007">
        <f>Financials!AW64</f>
        <v>-1.0342122981030186</v>
      </c>
      <c r="AX207" s="122">
        <f>Financials!AX64</f>
        <v>-9.029956881955889E-2</v>
      </c>
      <c r="AY207" s="1005">
        <f>Financials!AY64</f>
        <v>0.67418719930018955</v>
      </c>
      <c r="AZ207" s="1006">
        <f>Financials!AZ64</f>
        <v>0.6854469739357486</v>
      </c>
      <c r="BA207" s="1006">
        <f>Financials!BA64</f>
        <v>0.1381692573402418</v>
      </c>
      <c r="BB207" s="1007">
        <f>Financials!BB64</f>
        <v>-0.40872595271248552</v>
      </c>
      <c r="BC207" s="122">
        <f>Financials!BC64</f>
        <v>1.1968503478250738</v>
      </c>
      <c r="BD207" s="1005">
        <f>Financials!BD64</f>
        <v>-0.35330058952706211</v>
      </c>
      <c r="BE207" s="1006">
        <f>Financials!BE64</f>
        <v>-0.52720004634725681</v>
      </c>
      <c r="BF207" s="1006">
        <f>Financials!BF64</f>
        <v>-0.13968230710056548</v>
      </c>
      <c r="BG207" s="1007">
        <f>Financials!BG64</f>
        <v>0.23806736036186044</v>
      </c>
      <c r="BH207" s="122">
        <f>Financials!BH64</f>
        <v>-0.75451215202179867</v>
      </c>
      <c r="BI207" s="1005">
        <f>Financials!BI64</f>
        <v>0.26322431043980682</v>
      </c>
      <c r="BJ207" s="1006">
        <f>Financials!BJ64</f>
        <v>0.17255183457110518</v>
      </c>
      <c r="BK207" s="1006">
        <f>Financials!BK64</f>
        <v>2.1839280177325353</v>
      </c>
      <c r="BL207" s="1007">
        <f>Financials!BL64</f>
        <v>1.8208278786026144</v>
      </c>
      <c r="BM207" s="122">
        <f>Financials!BM64</f>
        <v>4.4608261178918198</v>
      </c>
      <c r="BN207" s="1005">
        <f>Financials!BN64</f>
        <v>-6.8618638194506393E-2</v>
      </c>
      <c r="BO207" s="1006">
        <f>Financials!BO64</f>
        <v>-0.78787629657034031</v>
      </c>
      <c r="BP207" s="1006">
        <f>Financials!BP64</f>
        <v>-0.70391733413520674</v>
      </c>
      <c r="BQ207" s="1007">
        <f>Financials!BQ64</f>
        <v>-3.5600319787901356</v>
      </c>
      <c r="BR207" s="122">
        <f>Financials!BR64</f>
        <v>-5.1268361465905512</v>
      </c>
      <c r="BS207" s="1005">
        <f>Financials!BS64</f>
        <v>-2.1516099506837341</v>
      </c>
      <c r="BT207" s="1006">
        <f>Financials!BT64</f>
        <v>-0.3069954018910917</v>
      </c>
      <c r="BU207" s="1006">
        <f>Financials!BU64</f>
        <v>0.40197897340754485</v>
      </c>
      <c r="BV207" s="1007">
        <f>Financials!BV64</f>
        <v>0.27171556583321288</v>
      </c>
      <c r="BW207" s="122">
        <f>Financials!BW64</f>
        <v>-1.5834706100192826</v>
      </c>
      <c r="BX207" s="1005">
        <f>Financials!BX64</f>
        <v>-0.83217593921098243</v>
      </c>
      <c r="BY207" s="1006">
        <f>Financials!BY64</f>
        <v>1.0736928215965642</v>
      </c>
      <c r="BZ207" s="1006">
        <f>Financials!BZ64</f>
        <v>0.91226400126923679</v>
      </c>
      <c r="CA207" s="1007">
        <f>Financials!CA64</f>
        <v>0.76745104678065568</v>
      </c>
      <c r="CB207" s="122">
        <f>Financials!CB64</f>
        <v>1.9292631789372743</v>
      </c>
      <c r="CC207" s="1005">
        <f>Financials!CC64</f>
        <v>0.22229558605702299</v>
      </c>
      <c r="CD207" s="1006">
        <f>Financials!CD64</f>
        <v>1.4474911380518656</v>
      </c>
      <c r="CE207" s="1006">
        <f>Financials!CE64</f>
        <v>1.9108476890797164</v>
      </c>
      <c r="CF207" s="1007">
        <f>Financials!CF64</f>
        <v>1.5303598294539769</v>
      </c>
      <c r="CG207" s="1506">
        <f>Financials!CG64</f>
        <v>5.1109942426425823</v>
      </c>
      <c r="CH207" s="1005">
        <f>Financials!CH64</f>
        <v>0.65664496832980135</v>
      </c>
      <c r="CI207" s="1006">
        <f>Financials!CI64</f>
        <v>1.9595438999961783</v>
      </c>
      <c r="CJ207" s="1006">
        <f>Financials!CJ64</f>
        <v>1.827039896045404</v>
      </c>
      <c r="CK207" s="1007">
        <f>Financials!CK64</f>
        <v>1.7402615991815173</v>
      </c>
      <c r="CL207" s="122">
        <f>Financials!CL64</f>
        <v>6.1834903635529015</v>
      </c>
      <c r="CM207" s="1005">
        <f>Financials!CM64</f>
        <v>0.77433409563563216</v>
      </c>
      <c r="CN207" s="1006">
        <f>Financials!CN64</f>
        <v>1.5032954577265683</v>
      </c>
      <c r="CO207" s="1006">
        <f>Financials!CO64</f>
        <v>1.1876456502756185</v>
      </c>
      <c r="CP207" s="1007">
        <f>Financials!CP64</f>
        <v>1.1384041202221353</v>
      </c>
      <c r="CQ207" s="1006">
        <f>Financials!CQ64</f>
        <v>4.6036793238599536</v>
      </c>
      <c r="CR207" s="81"/>
      <c r="CS207" s="75"/>
      <c r="CT207" s="75"/>
      <c r="CU207" s="75"/>
    </row>
    <row r="208" spans="1:99" ht="6.2"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904"/>
      <c r="AK208" s="81"/>
      <c r="AL208" s="81"/>
      <c r="AM208" s="905"/>
      <c r="AN208" s="75"/>
      <c r="AO208" s="904"/>
      <c r="AP208" s="81"/>
      <c r="AQ208" s="81"/>
      <c r="AR208" s="905"/>
      <c r="AS208" s="75"/>
      <c r="AT208" s="904"/>
      <c r="AU208" s="81"/>
      <c r="AV208" s="81"/>
      <c r="AW208" s="905"/>
      <c r="AX208" s="75"/>
      <c r="AY208" s="904"/>
      <c r="AZ208" s="81"/>
      <c r="BA208" s="81"/>
      <c r="BB208" s="905"/>
      <c r="BC208" s="75"/>
      <c r="BD208" s="904"/>
      <c r="BE208" s="81"/>
      <c r="BF208" s="81"/>
      <c r="BG208" s="905"/>
      <c r="BH208" s="75"/>
      <c r="BI208" s="904"/>
      <c r="BJ208" s="81"/>
      <c r="BK208" s="81"/>
      <c r="BL208" s="905"/>
      <c r="BM208" s="75"/>
      <c r="BN208" s="904"/>
      <c r="BO208" s="81"/>
      <c r="BP208" s="81"/>
      <c r="BQ208" s="905"/>
      <c r="BR208" s="75"/>
      <c r="BS208" s="904"/>
      <c r="BT208" s="81"/>
      <c r="BU208" s="81"/>
      <c r="BV208" s="905"/>
      <c r="BW208" s="75"/>
      <c r="BX208" s="904"/>
      <c r="BY208" s="81"/>
      <c r="BZ208" s="81"/>
      <c r="CA208" s="905"/>
      <c r="CB208" s="75"/>
      <c r="CC208" s="904"/>
      <c r="CD208" s="81"/>
      <c r="CE208" s="81"/>
      <c r="CF208" s="905"/>
      <c r="CG208" s="1469"/>
      <c r="CH208" s="904"/>
      <c r="CI208" s="81"/>
      <c r="CJ208" s="81"/>
      <c r="CK208" s="905"/>
      <c r="CL208" s="75"/>
      <c r="CM208" s="904"/>
      <c r="CN208" s="81"/>
      <c r="CO208" s="81"/>
      <c r="CP208" s="905"/>
      <c r="CQ208" s="81"/>
      <c r="CR208" s="81"/>
      <c r="CS208" s="75"/>
      <c r="CT208" s="75"/>
      <c r="CU208" s="75"/>
    </row>
    <row r="209" spans="1:99" ht="13.5" customHeight="1">
      <c r="A209" s="75"/>
      <c r="B209" s="75"/>
      <c r="C209" s="75" t="s">
        <v>588</v>
      </c>
      <c r="D209" s="97"/>
      <c r="E209" s="97"/>
      <c r="F209" s="97"/>
      <c r="G209" s="97"/>
      <c r="H209" s="97"/>
      <c r="I209" s="97"/>
      <c r="J209" s="97">
        <f>Financials!J101</f>
        <v>325</v>
      </c>
      <c r="K209" s="97">
        <f>Financials!K101</f>
        <v>219</v>
      </c>
      <c r="L209" s="97">
        <f>Financials!L101</f>
        <v>510</v>
      </c>
      <c r="M209" s="97">
        <f>Financials!M101</f>
        <v>597</v>
      </c>
      <c r="N209" s="97">
        <f>Financials!N101</f>
        <v>655</v>
      </c>
      <c r="O209" s="97">
        <f>Financials!O101</f>
        <v>1981</v>
      </c>
      <c r="P209" s="97">
        <f>Financials!P101</f>
        <v>676</v>
      </c>
      <c r="Q209" s="97">
        <f>Financials!Q101</f>
        <v>515</v>
      </c>
      <c r="R209" s="97">
        <f>Financials!R101</f>
        <v>239</v>
      </c>
      <c r="S209" s="97">
        <f>Financials!S101</f>
        <v>345</v>
      </c>
      <c r="T209" s="97">
        <f>Financials!T101</f>
        <v>1775</v>
      </c>
      <c r="U209" s="97">
        <f>Financials!U101</f>
        <v>486</v>
      </c>
      <c r="V209" s="97">
        <f>Financials!V101</f>
        <v>628</v>
      </c>
      <c r="W209" s="97">
        <f>Financials!W101</f>
        <v>695</v>
      </c>
      <c r="X209" s="97">
        <f>Financials!X101</f>
        <v>438</v>
      </c>
      <c r="Y209" s="97">
        <f>Financials!Y101</f>
        <v>2247</v>
      </c>
      <c r="Z209" s="97">
        <f>Financials!Z101</f>
        <v>457</v>
      </c>
      <c r="AA209" s="97">
        <f>Financials!AA101</f>
        <v>509</v>
      </c>
      <c r="AB209" s="97">
        <f>Financials!AB101</f>
        <v>527</v>
      </c>
      <c r="AC209" s="97">
        <f>Financials!AC101</f>
        <v>395</v>
      </c>
      <c r="AD209" s="97">
        <f>Financials!AD101</f>
        <v>1888</v>
      </c>
      <c r="AE209" s="97">
        <f>Financials!AE101</f>
        <v>484</v>
      </c>
      <c r="AF209" s="97">
        <f>Financials!AF101</f>
        <v>1119</v>
      </c>
      <c r="AG209" s="97">
        <f>Financials!AG101</f>
        <v>1604</v>
      </c>
      <c r="AH209" s="97">
        <f>Financials!AH101</f>
        <v>568</v>
      </c>
      <c r="AI209" s="97">
        <f>Financials!AI101</f>
        <v>3775</v>
      </c>
      <c r="AJ209" s="939">
        <f>Financials!AJ101</f>
        <v>-331</v>
      </c>
      <c r="AK209" s="290">
        <f>Financials!AK101</f>
        <v>-385</v>
      </c>
      <c r="AL209" s="290">
        <f>Financials!AL101</f>
        <v>-245</v>
      </c>
      <c r="AM209" s="940">
        <f>Financials!AM101</f>
        <v>-103</v>
      </c>
      <c r="AN209" s="97">
        <f>Financials!AN101</f>
        <v>-1064</v>
      </c>
      <c r="AO209" s="939">
        <f>Financials!AO101</f>
        <v>108</v>
      </c>
      <c r="AP209" s="290">
        <f>Financials!AP101</f>
        <v>360</v>
      </c>
      <c r="AQ209" s="290">
        <f>Financials!AQ101</f>
        <v>25</v>
      </c>
      <c r="AR209" s="940">
        <f>Financials!AR101</f>
        <v>33</v>
      </c>
      <c r="AS209" s="97">
        <f>Financials!AS101</f>
        <v>526</v>
      </c>
      <c r="AT209" s="939">
        <f>Financials!AT101</f>
        <v>78</v>
      </c>
      <c r="AU209" s="290">
        <f>Financials!AU101</f>
        <v>471</v>
      </c>
      <c r="AV209" s="290">
        <f>Financials!AV101</f>
        <v>371</v>
      </c>
      <c r="AW209" s="940">
        <f>Financials!AW101</f>
        <v>44</v>
      </c>
      <c r="AX209" s="97">
        <f>Financials!AX101</f>
        <v>964</v>
      </c>
      <c r="AY209" s="939">
        <f>Financials!AY101</f>
        <v>381</v>
      </c>
      <c r="AZ209" s="290">
        <f>Financials!AZ101</f>
        <v>417</v>
      </c>
      <c r="BA209" s="290">
        <f>Financials!BA101</f>
        <v>260</v>
      </c>
      <c r="BB209" s="940">
        <f>Financials!BB101</f>
        <v>161</v>
      </c>
      <c r="BC209" s="97">
        <f>Financials!BC101</f>
        <v>1219</v>
      </c>
      <c r="BD209" s="939">
        <f>Financials!BD101</f>
        <v>209</v>
      </c>
      <c r="BE209" s="290">
        <f>Financials!BE101</f>
        <v>163</v>
      </c>
      <c r="BF209" s="290">
        <f>Financials!BF101</f>
        <v>231</v>
      </c>
      <c r="BG209" s="940">
        <f>Financials!BG101</f>
        <v>260</v>
      </c>
      <c r="BH209" s="97">
        <f>Financials!BH101</f>
        <v>863</v>
      </c>
      <c r="BI209" s="939">
        <f>Financials!BI101</f>
        <v>268</v>
      </c>
      <c r="BJ209" s="290">
        <f>Financials!BJ101</f>
        <v>265</v>
      </c>
      <c r="BK209" s="290">
        <f>Financials!BK101</f>
        <v>611</v>
      </c>
      <c r="BL209" s="940">
        <f>Financials!BL101</f>
        <v>534</v>
      </c>
      <c r="BM209" s="97">
        <f>Financials!BM101</f>
        <v>1678</v>
      </c>
      <c r="BN209" s="939">
        <f>Financials!BN101</f>
        <v>110</v>
      </c>
      <c r="BO209" s="290">
        <f>Financials!BO101</f>
        <v>20</v>
      </c>
      <c r="BP209" s="290">
        <f>Financials!BP101</f>
        <v>85</v>
      </c>
      <c r="BQ209" s="940">
        <f>Financials!BQ101</f>
        <v>-13</v>
      </c>
      <c r="BR209" s="97">
        <f>Financials!BR101</f>
        <v>202</v>
      </c>
      <c r="BS209" s="939">
        <f>Financials!BS101</f>
        <v>-107</v>
      </c>
      <c r="BT209" s="290">
        <f>Financials!BT101</f>
        <v>134</v>
      </c>
      <c r="BU209" s="290">
        <f>Financials!BU101</f>
        <v>272</v>
      </c>
      <c r="BV209" s="940">
        <f>Financials!BV101</f>
        <v>211</v>
      </c>
      <c r="BW209" s="97">
        <f>Financials!BW101</f>
        <v>510</v>
      </c>
      <c r="BX209" s="939">
        <f>Financials!BX101</f>
        <v>74</v>
      </c>
      <c r="BY209" s="290">
        <f>Financials!BY101</f>
        <v>362</v>
      </c>
      <c r="BZ209" s="290">
        <f>Financials!BZ101</f>
        <v>342</v>
      </c>
      <c r="CA209" s="940">
        <f>Financials!CA101</f>
        <v>309</v>
      </c>
      <c r="CB209" s="97">
        <f>Financials!CB101</f>
        <v>1087</v>
      </c>
      <c r="CC209" s="939">
        <f>Financials!CC101</f>
        <v>259.78647160509468</v>
      </c>
      <c r="CD209" s="290">
        <f>Financials!CD101</f>
        <v>460.24419251949911</v>
      </c>
      <c r="CE209" s="290">
        <f>Financials!CE101</f>
        <v>542.18315384058383</v>
      </c>
      <c r="CF209" s="940">
        <f>Financials!CF101</f>
        <v>476.32747120235166</v>
      </c>
      <c r="CG209" s="1484">
        <f>Financials!CG101</f>
        <v>1738.5412891675294</v>
      </c>
      <c r="CH209" s="939">
        <f>Financials!CH101</f>
        <v>333.96058187579979</v>
      </c>
      <c r="CI209" s="290">
        <f>Financials!CI101</f>
        <v>559.25389578201191</v>
      </c>
      <c r="CJ209" s="290">
        <f>Financials!CJ101</f>
        <v>526.82790719753825</v>
      </c>
      <c r="CK209" s="940">
        <f>Financials!CK101</f>
        <v>510.32541572188603</v>
      </c>
      <c r="CL209" s="97">
        <f>Financials!CL101</f>
        <v>1930.367800577236</v>
      </c>
      <c r="CM209" s="939">
        <f>Financials!CM101</f>
        <v>353.93064212267745</v>
      </c>
      <c r="CN209" s="290">
        <f>Financials!CN101</f>
        <v>477.44923008105172</v>
      </c>
      <c r="CO209" s="290">
        <f>Financials!CO101</f>
        <v>412.65338175705728</v>
      </c>
      <c r="CP209" s="940">
        <f>Financials!CP101</f>
        <v>402.79121994018334</v>
      </c>
      <c r="CQ209" s="290">
        <f>Financials!CQ101</f>
        <v>1646.8244739009697</v>
      </c>
      <c r="CR209" s="83"/>
      <c r="CS209" s="93"/>
      <c r="CT209" s="93"/>
      <c r="CU209" s="93"/>
    </row>
    <row r="210" spans="1:99" ht="13.5" customHeight="1">
      <c r="A210" s="75"/>
      <c r="B210" s="75"/>
      <c r="C210" s="75" t="s">
        <v>707</v>
      </c>
      <c r="D210" s="97"/>
      <c r="E210" s="97"/>
      <c r="F210" s="97"/>
      <c r="G210" s="97"/>
      <c r="H210" s="97"/>
      <c r="I210" s="97"/>
      <c r="J210" s="97">
        <f>Financials!J233</f>
        <v>577</v>
      </c>
      <c r="K210" s="97">
        <f>Financials!K233</f>
        <v>97</v>
      </c>
      <c r="L210" s="97">
        <f>Financials!L233</f>
        <v>217</v>
      </c>
      <c r="M210" s="97">
        <f>Financials!M233</f>
        <v>701</v>
      </c>
      <c r="N210" s="97">
        <f>Financials!N233</f>
        <v>385</v>
      </c>
      <c r="O210" s="97">
        <f>Financials!O233</f>
        <v>1400</v>
      </c>
      <c r="P210" s="97">
        <f>Financials!P233</f>
        <v>296</v>
      </c>
      <c r="Q210" s="97">
        <f>Financials!Q233</f>
        <v>207</v>
      </c>
      <c r="R210" s="97">
        <f>Financials!R233</f>
        <v>381</v>
      </c>
      <c r="S210" s="97">
        <f>Financials!S233</f>
        <v>334</v>
      </c>
      <c r="T210" s="97">
        <f>Financials!T233</f>
        <v>1218</v>
      </c>
      <c r="U210" s="97">
        <f>Financials!U233</f>
        <v>228</v>
      </c>
      <c r="V210" s="97">
        <f>Financials!V233</f>
        <v>340</v>
      </c>
      <c r="W210" s="97">
        <f>Financials!W233</f>
        <v>467</v>
      </c>
      <c r="X210" s="97">
        <f>Financials!X233</f>
        <v>651</v>
      </c>
      <c r="Y210" s="97">
        <f>Financials!Y233</f>
        <v>1686</v>
      </c>
      <c r="Z210" s="97">
        <f>Financials!Z233</f>
        <v>319</v>
      </c>
      <c r="AA210" s="97">
        <f>Financials!AA233</f>
        <v>471</v>
      </c>
      <c r="AB210" s="97">
        <f>Financials!AB233</f>
        <v>564</v>
      </c>
      <c r="AC210" s="97">
        <f>Financials!AC233</f>
        <v>352</v>
      </c>
      <c r="AD210" s="97">
        <f>Financials!AD233</f>
        <v>1706</v>
      </c>
      <c r="AE210" s="97">
        <f>Financials!AE233</f>
        <v>237</v>
      </c>
      <c r="AF210" s="97">
        <f>Financials!AF233</f>
        <v>226</v>
      </c>
      <c r="AG210" s="97">
        <f>Financials!AG233</f>
        <v>868</v>
      </c>
      <c r="AH210" s="97">
        <f>Financials!AH233</f>
        <v>327</v>
      </c>
      <c r="AI210" s="97">
        <f>Financials!AI233</f>
        <v>1658</v>
      </c>
      <c r="AJ210" s="939">
        <f>Financials!AJ233</f>
        <v>309</v>
      </c>
      <c r="AK210" s="290">
        <f>Financials!AK233</f>
        <v>52</v>
      </c>
      <c r="AL210" s="290">
        <f>Financials!AL233</f>
        <v>-243</v>
      </c>
      <c r="AM210" s="940">
        <f>Financials!AM233</f>
        <v>-179</v>
      </c>
      <c r="AN210" s="97">
        <f>Financials!AN233</f>
        <v>-61</v>
      </c>
      <c r="AO210" s="939">
        <f>Financials!AO233</f>
        <v>-59</v>
      </c>
      <c r="AP210" s="290">
        <f>Financials!AP233</f>
        <v>-289</v>
      </c>
      <c r="AQ210" s="290">
        <f>Financials!AQ233</f>
        <v>-130</v>
      </c>
      <c r="AR210" s="940">
        <f>Financials!AR233</f>
        <v>99</v>
      </c>
      <c r="AS210" s="97">
        <f>Financials!AS233</f>
        <v>-379</v>
      </c>
      <c r="AT210" s="939">
        <f>Financials!AT233</f>
        <v>17</v>
      </c>
      <c r="AU210" s="290">
        <f>Financials!AU233</f>
        <v>21</v>
      </c>
      <c r="AV210" s="290">
        <f>Financials!AV233</f>
        <v>70</v>
      </c>
      <c r="AW210" s="940">
        <f>Financials!AW233</f>
        <v>60</v>
      </c>
      <c r="AX210" s="97">
        <f>Financials!AX233</f>
        <v>168</v>
      </c>
      <c r="AY210" s="939">
        <f>Financials!AY233</f>
        <v>426</v>
      </c>
      <c r="AZ210" s="290">
        <f>Financials!AZ233</f>
        <v>435</v>
      </c>
      <c r="BA210" s="290">
        <f>Financials!BA233</f>
        <v>97</v>
      </c>
      <c r="BB210" s="940">
        <f>Financials!BB233</f>
        <v>177</v>
      </c>
      <c r="BC210" s="97">
        <f>Financials!BC233</f>
        <v>1135</v>
      </c>
      <c r="BD210" s="939">
        <f>Financials!BD233</f>
        <v>233</v>
      </c>
      <c r="BE210" s="290">
        <f>Financials!BE233</f>
        <v>151</v>
      </c>
      <c r="BF210" s="290">
        <f>Financials!BF233</f>
        <v>37</v>
      </c>
      <c r="BG210" s="940">
        <f>Financials!BG233</f>
        <v>-7</v>
      </c>
      <c r="BH210" s="97">
        <f>Financials!BH233</f>
        <v>414</v>
      </c>
      <c r="BI210" s="939">
        <f>Financials!BI233</f>
        <v>570</v>
      </c>
      <c r="BJ210" s="290">
        <f>Financials!BJ233</f>
        <v>783</v>
      </c>
      <c r="BK210" s="290">
        <f>Financials!BK233</f>
        <v>-106</v>
      </c>
      <c r="BL210" s="940">
        <f>Financials!BL233</f>
        <v>245</v>
      </c>
      <c r="BM210" s="97">
        <f>Financials!BM233</f>
        <v>1492</v>
      </c>
      <c r="BN210" s="939">
        <f>Financials!BN233</f>
        <v>136</v>
      </c>
      <c r="BO210" s="290">
        <f>Financials!BO233</f>
        <v>79</v>
      </c>
      <c r="BP210" s="290">
        <f>Financials!BP233</f>
        <v>93</v>
      </c>
      <c r="BQ210" s="940">
        <f>Financials!BQ233</f>
        <v>51</v>
      </c>
      <c r="BR210" s="97">
        <f>Financials!BR233</f>
        <v>359</v>
      </c>
      <c r="BS210" s="939">
        <f>Financials!BS233</f>
        <v>113</v>
      </c>
      <c r="BT210" s="290">
        <f>Financials!BT233</f>
        <v>200</v>
      </c>
      <c r="BU210" s="290">
        <f>Financials!BU233</f>
        <v>264</v>
      </c>
      <c r="BV210" s="940">
        <f>Financials!BV233</f>
        <v>150</v>
      </c>
      <c r="BW210" s="97">
        <f>Financials!BW233</f>
        <v>727</v>
      </c>
      <c r="BX210" s="939">
        <f>Financials!BX233</f>
        <v>-135</v>
      </c>
      <c r="BY210" s="290">
        <f>Financials!BY233</f>
        <v>377</v>
      </c>
      <c r="BZ210" s="290">
        <f>Financials!BZ233</f>
        <v>299</v>
      </c>
      <c r="CA210" s="940">
        <f>Financials!CA233</f>
        <v>261</v>
      </c>
      <c r="CB210" s="97">
        <f>Financials!CB233</f>
        <v>802</v>
      </c>
      <c r="CC210" s="939">
        <f>Financials!CC233</f>
        <v>-47.631222381963731</v>
      </c>
      <c r="CD210" s="290">
        <f>Financials!CD233</f>
        <v>375.70803198811751</v>
      </c>
      <c r="CE210" s="290">
        <f>Financials!CE233</f>
        <v>363.13338646256341</v>
      </c>
      <c r="CF210" s="940">
        <f>Financials!CF233</f>
        <v>440.72405665921582</v>
      </c>
      <c r="CG210" s="1484">
        <f>Financials!CG233</f>
        <v>1131.934252727933</v>
      </c>
      <c r="CH210" s="939">
        <f>Financials!CH233</f>
        <v>623.89163423927243</v>
      </c>
      <c r="CI210" s="290">
        <f>Financials!CI233</f>
        <v>-71.365001556250732</v>
      </c>
      <c r="CJ210" s="290">
        <f>Financials!CJ233</f>
        <v>1115.5402263736582</v>
      </c>
      <c r="CK210" s="940">
        <f>Financials!CK233</f>
        <v>-140.0138170425106</v>
      </c>
      <c r="CL210" s="97">
        <f>Financials!CL233</f>
        <v>1528.0530420141695</v>
      </c>
      <c r="CM210" s="939">
        <f>Financials!CM233</f>
        <v>972.84656721976876</v>
      </c>
      <c r="CN210" s="290">
        <f>Financials!CN233</f>
        <v>-434.57690311996919</v>
      </c>
      <c r="CO210" s="290">
        <f>Financials!CO233</f>
        <v>1320.8618759647732</v>
      </c>
      <c r="CP210" s="940">
        <f>Financials!CP233</f>
        <v>-340.08775536673539</v>
      </c>
      <c r="CQ210" s="290">
        <f>Financials!CQ233</f>
        <v>1519.0437846978373</v>
      </c>
      <c r="CR210" s="81"/>
      <c r="CS210" s="75"/>
      <c r="CT210" s="75"/>
      <c r="CU210" s="75"/>
    </row>
    <row r="211" spans="1:99" ht="13.5" customHeight="1">
      <c r="A211" s="93"/>
      <c r="B211" s="93"/>
      <c r="C211" s="93" t="s">
        <v>708</v>
      </c>
      <c r="D211" s="123"/>
      <c r="E211" s="123"/>
      <c r="F211" s="123"/>
      <c r="G211" s="123"/>
      <c r="H211" s="123"/>
      <c r="I211" s="123"/>
      <c r="J211" s="123">
        <f>Financials!J267</f>
        <v>261</v>
      </c>
      <c r="K211" s="123">
        <f>Financials!K267</f>
        <v>27</v>
      </c>
      <c r="L211" s="123">
        <f>Financials!L267</f>
        <v>122</v>
      </c>
      <c r="M211" s="123">
        <f>Financials!M267</f>
        <v>499</v>
      </c>
      <c r="N211" s="123">
        <f>Financials!N267</f>
        <v>173</v>
      </c>
      <c r="O211" s="123">
        <f>Financials!O267</f>
        <v>821</v>
      </c>
      <c r="P211" s="123">
        <f>Financials!P267</f>
        <v>174</v>
      </c>
      <c r="Q211" s="123">
        <f>Financials!Q267</f>
        <v>50</v>
      </c>
      <c r="R211" s="123">
        <f>Financials!R267</f>
        <v>187</v>
      </c>
      <c r="S211" s="123">
        <f>Financials!S267</f>
        <v>66</v>
      </c>
      <c r="T211" s="123">
        <f>Financials!T267</f>
        <v>477</v>
      </c>
      <c r="U211" s="123">
        <f>Financials!U267</f>
        <v>101</v>
      </c>
      <c r="V211" s="123">
        <f>Financials!V267</f>
        <v>216</v>
      </c>
      <c r="W211" s="123">
        <f>Financials!W267</f>
        <v>321</v>
      </c>
      <c r="X211" s="123">
        <f>Financials!X267</f>
        <v>436</v>
      </c>
      <c r="Y211" s="123">
        <f>Financials!Y267</f>
        <v>1074</v>
      </c>
      <c r="Z211" s="123">
        <f>Financials!Z267</f>
        <v>211</v>
      </c>
      <c r="AA211" s="123">
        <f>Financials!AA267</f>
        <v>329</v>
      </c>
      <c r="AB211" s="123">
        <f>Financials!AB267</f>
        <v>354</v>
      </c>
      <c r="AC211" s="123">
        <f>Financials!AC267</f>
        <v>137</v>
      </c>
      <c r="AD211" s="123">
        <f>Financials!AD267</f>
        <v>1031</v>
      </c>
      <c r="AE211" s="123">
        <f>Financials!AE267</f>
        <v>110</v>
      </c>
      <c r="AF211" s="123">
        <f>Financials!AF267</f>
        <v>13</v>
      </c>
      <c r="AG211" s="123">
        <f>Financials!AG267</f>
        <v>575</v>
      </c>
      <c r="AH211" s="123">
        <f>Financials!AH267</f>
        <v>64</v>
      </c>
      <c r="AI211" s="123">
        <f>Financials!AI267</f>
        <v>762</v>
      </c>
      <c r="AJ211" s="972">
        <f>Financials!AJ267</f>
        <v>191</v>
      </c>
      <c r="AK211" s="282">
        <f>Financials!AK267</f>
        <v>-36</v>
      </c>
      <c r="AL211" s="282">
        <f>Financials!AL267</f>
        <v>-360</v>
      </c>
      <c r="AM211" s="973">
        <f>Financials!AM267</f>
        <v>-328</v>
      </c>
      <c r="AN211" s="123">
        <f>Financials!AN267</f>
        <v>-533</v>
      </c>
      <c r="AO211" s="972">
        <f>Financials!AO267</f>
        <v>-184</v>
      </c>
      <c r="AP211" s="282">
        <f>Financials!AP267</f>
        <v>-406</v>
      </c>
      <c r="AQ211" s="282">
        <f>Financials!AQ267</f>
        <v>-314</v>
      </c>
      <c r="AR211" s="973">
        <f>Financials!AR267</f>
        <v>-151</v>
      </c>
      <c r="AS211" s="123">
        <f>Financials!AS267</f>
        <v>-1055</v>
      </c>
      <c r="AT211" s="972">
        <f>Financials!AT267</f>
        <v>-163</v>
      </c>
      <c r="AU211" s="282">
        <f>Financials!AU267</f>
        <v>-200</v>
      </c>
      <c r="AV211" s="282">
        <f>Financials!AV267</f>
        <v>-155</v>
      </c>
      <c r="AW211" s="973">
        <f>Financials!AW267</f>
        <v>-162</v>
      </c>
      <c r="AX211" s="123">
        <f>Financials!AX267</f>
        <v>-680</v>
      </c>
      <c r="AY211" s="972">
        <f>Financials!AY267</f>
        <v>237</v>
      </c>
      <c r="AZ211" s="282">
        <f>Financials!AZ267</f>
        <v>227</v>
      </c>
      <c r="BA211" s="282">
        <f>Financials!BA267</f>
        <v>-42</v>
      </c>
      <c r="BB211" s="973">
        <f>Financials!BB267</f>
        <v>-10</v>
      </c>
      <c r="BC211" s="123">
        <f>Financials!BC267</f>
        <v>412</v>
      </c>
      <c r="BD211" s="972">
        <f>Financials!BD267</f>
        <v>117</v>
      </c>
      <c r="BE211" s="282">
        <f>Financials!BE267</f>
        <v>46</v>
      </c>
      <c r="BF211" s="282">
        <f>Financials!BF267</f>
        <v>-70</v>
      </c>
      <c r="BG211" s="973">
        <f>Financials!BG267</f>
        <v>-156</v>
      </c>
      <c r="BH211" s="123">
        <f>Financials!BH267</f>
        <v>-63</v>
      </c>
      <c r="BI211" s="972">
        <f>Financials!BI267</f>
        <v>480</v>
      </c>
      <c r="BJ211" s="282">
        <f>Financials!BJ267</f>
        <v>687</v>
      </c>
      <c r="BK211" s="282">
        <f>Financials!BK267</f>
        <v>-202</v>
      </c>
      <c r="BL211" s="973">
        <f>Financials!BL267</f>
        <v>108</v>
      </c>
      <c r="BM211" s="123">
        <f>Financials!BM267</f>
        <v>1073</v>
      </c>
      <c r="BN211" s="972">
        <f>Financials!BN267</f>
        <v>-36</v>
      </c>
      <c r="BO211" s="282">
        <f>Financials!BO267</f>
        <v>-25</v>
      </c>
      <c r="BP211" s="282">
        <f>Financials!BP267</f>
        <v>-40</v>
      </c>
      <c r="BQ211" s="973">
        <f>Financials!BQ267</f>
        <v>-40</v>
      </c>
      <c r="BR211" s="123">
        <f>Financials!BR267</f>
        <v>-141</v>
      </c>
      <c r="BS211" s="972">
        <f>Financials!BS267</f>
        <v>-35</v>
      </c>
      <c r="BT211" s="282">
        <f>Financials!BT267</f>
        <v>131</v>
      </c>
      <c r="BU211" s="282">
        <f>Financials!BU267</f>
        <v>213</v>
      </c>
      <c r="BV211" s="973">
        <f>Financials!BV267</f>
        <v>112</v>
      </c>
      <c r="BW211" s="123">
        <f>Financials!BW267</f>
        <v>421</v>
      </c>
      <c r="BX211" s="972">
        <f>Financials!BX267</f>
        <v>-182</v>
      </c>
      <c r="BY211" s="282">
        <f>Financials!BY267</f>
        <v>304</v>
      </c>
      <c r="BZ211" s="282">
        <f>Financials!BZ267</f>
        <v>128</v>
      </c>
      <c r="CA211" s="973">
        <f>Financials!CA267</f>
        <v>47</v>
      </c>
      <c r="CB211" s="123">
        <f>Financials!CB267</f>
        <v>297</v>
      </c>
      <c r="CC211" s="972">
        <f>Financials!CC267</f>
        <v>-260.13122238196371</v>
      </c>
      <c r="CD211" s="282">
        <f>Financials!CD267</f>
        <v>163.20803198811751</v>
      </c>
      <c r="CE211" s="282">
        <f>Financials!CE267</f>
        <v>150.63338646256341</v>
      </c>
      <c r="CF211" s="973">
        <f>Financials!CF267</f>
        <v>228.22405665921582</v>
      </c>
      <c r="CG211" s="1483">
        <f>Financials!CG267</f>
        <v>281.93425272793297</v>
      </c>
      <c r="CH211" s="972">
        <f>Financials!CH267</f>
        <v>336.39163423927243</v>
      </c>
      <c r="CI211" s="282">
        <f>Financials!CI267</f>
        <v>-358.86500155625072</v>
      </c>
      <c r="CJ211" s="282">
        <f>Financials!CJ267</f>
        <v>828.04022637365824</v>
      </c>
      <c r="CK211" s="973">
        <f>Financials!CK267</f>
        <v>-427.5138170425106</v>
      </c>
      <c r="CL211" s="123">
        <f>Financials!CL267</f>
        <v>378.05304201416948</v>
      </c>
      <c r="CM211" s="972">
        <f>Financials!CM267</f>
        <v>685.34656721976876</v>
      </c>
      <c r="CN211" s="282">
        <f>Financials!CN267</f>
        <v>-722.07690311996919</v>
      </c>
      <c r="CO211" s="282">
        <f>Financials!CO267</f>
        <v>1033.3618759647732</v>
      </c>
      <c r="CP211" s="973">
        <f>Financials!CP267</f>
        <v>-627.58775536673534</v>
      </c>
      <c r="CQ211" s="282">
        <f>Financials!CQ267</f>
        <v>369.04378469783728</v>
      </c>
      <c r="CR211" s="81"/>
      <c r="CS211" s="75"/>
      <c r="CT211" s="75"/>
      <c r="CU211" s="75"/>
    </row>
    <row r="212" spans="1:99" ht="13.5" customHeight="1">
      <c r="A212" s="75"/>
      <c r="B212" s="75"/>
      <c r="C212" s="75" t="s">
        <v>653</v>
      </c>
      <c r="D212" s="124"/>
      <c r="E212" s="124"/>
      <c r="F212" s="124"/>
      <c r="G212" s="124"/>
      <c r="H212" s="124"/>
      <c r="I212" s="124"/>
      <c r="J212" s="124">
        <f>J211/Financials!J77</f>
        <v>2.5295845084755619</v>
      </c>
      <c r="K212" s="124">
        <f>K211/Financials!K77</f>
        <v>0.25315743579646138</v>
      </c>
      <c r="L212" s="124">
        <f>L211/Financials!L77</f>
        <v>1.0764832527441499</v>
      </c>
      <c r="M212" s="124">
        <f>M211/Financials!M77</f>
        <v>4.3955850356315462</v>
      </c>
      <c r="N212" s="124">
        <f>N211/Financials!N77</f>
        <v>1.5195032190631781</v>
      </c>
      <c r="O212" s="124">
        <f>O211/Financials!O77</f>
        <v>7.3409753393301029</v>
      </c>
      <c r="P212" s="124">
        <f>P211/Financials!P77</f>
        <v>1.5240564426420482</v>
      </c>
      <c r="Q212" s="124">
        <f>Q211/Financials!Q77</f>
        <v>0.43774404230358427</v>
      </c>
      <c r="R212" s="124">
        <f>R211/Financials!R77</f>
        <v>1.6406387085453589</v>
      </c>
      <c r="S212" s="124">
        <f>S211/Financials!S77</f>
        <v>0.58034732908331499</v>
      </c>
      <c r="T212" s="124">
        <f>T211/Financials!T77</f>
        <v>4.2037542962897678</v>
      </c>
      <c r="U212" s="124">
        <f>U211/Financials!U77</f>
        <v>0.92823203962907486</v>
      </c>
      <c r="V212" s="124">
        <f>V211/Financials!V77</f>
        <v>1.9436870663823123</v>
      </c>
      <c r="W212" s="124">
        <f>W211/Financials!W77</f>
        <v>2.6469860641543663</v>
      </c>
      <c r="X212" s="124">
        <f>X211/Financials!X77</f>
        <v>3.6842060789400302</v>
      </c>
      <c r="Y212" s="124">
        <f>Y211/Financials!Y77</f>
        <v>9.3457943925233646</v>
      </c>
      <c r="Z212" s="124">
        <f>Z211/Financials!Z77</f>
        <v>1.7844457224045194</v>
      </c>
      <c r="AA212" s="124">
        <f>AA211/Financials!AA77</f>
        <v>2.7829235076678422</v>
      </c>
      <c r="AB212" s="124">
        <f>AB211/Financials!AB77</f>
        <v>2.9978151516691227</v>
      </c>
      <c r="AC212" s="124">
        <f>AC211/Financials!AC77</f>
        <v>1.162859786271464</v>
      </c>
      <c r="AD212" s="124">
        <f>AD211/Financials!AD77</f>
        <v>8.730555249765013</v>
      </c>
      <c r="AE212" s="124">
        <f>AE211/Financials!AE77</f>
        <v>0.93541392065989204</v>
      </c>
      <c r="AF212" s="124">
        <f>AF211/Financials!AF77</f>
        <v>0.11063170704723974</v>
      </c>
      <c r="AG212" s="124">
        <f>AG211/Financials!AG77</f>
        <v>4.907441388080465</v>
      </c>
      <c r="AH212" s="124">
        <f>AH211/Financials!AH77</f>
        <v>0.55102585516629787</v>
      </c>
      <c r="AI212" s="124">
        <f>AI211/Financials!AI77</f>
        <v>6.5070086973600505</v>
      </c>
      <c r="AJ212" s="1008">
        <f>AJ211/Financials!AJ77</f>
        <v>1.6450909967873355</v>
      </c>
      <c r="AK212" s="1009">
        <f>AK211/Financials!AK77</f>
        <v>-0.26739159499086412</v>
      </c>
      <c r="AL212" s="1009">
        <f>AL211/Financials!AL77</f>
        <v>-2.5111081659842496</v>
      </c>
      <c r="AM212" s="1010">
        <f>AM211/Financials!AM77</f>
        <v>-2.2881425550761492</v>
      </c>
      <c r="AN212" s="124">
        <f>AN211/Financials!AN77</f>
        <v>-3.9668975276984719</v>
      </c>
      <c r="AO212" s="1008">
        <f>AO211/Financials!AO77</f>
        <v>-1.2832136132226795</v>
      </c>
      <c r="AP212" s="1009">
        <f>AP211/Financials!AP77</f>
        <v>-2.8291894302597838</v>
      </c>
      <c r="AQ212" s="1009">
        <f>AQ211/Financials!AQ77</f>
        <v>-2.1857162745371017</v>
      </c>
      <c r="AR212" s="1010">
        <f>AR211/Financials!AR77</f>
        <v>-1.0507125361834782</v>
      </c>
      <c r="AS212" s="124">
        <f>AS211/Financials!AS77</f>
        <v>-7.3485109687845007</v>
      </c>
      <c r="AT212" s="1008">
        <f>AT211/Financials!AT77</f>
        <v>-1.1335108935264706</v>
      </c>
      <c r="AU212" s="1009">
        <f>AU211/Financials!AU77</f>
        <v>-1.3896416114284127</v>
      </c>
      <c r="AV212" s="1009">
        <f>AV211/Financials!AV77</f>
        <v>-1.0758883019706109</v>
      </c>
      <c r="AW212" s="1010">
        <f>AW211/Financials!AW77</f>
        <v>-1.1244455858569733</v>
      </c>
      <c r="AX212" s="124">
        <f>AX211/Financials!AX77</f>
        <v>-4.7233620613307723</v>
      </c>
      <c r="AY212" s="1008">
        <f>AY211/Financials!AY77</f>
        <v>1.6449765747006768</v>
      </c>
      <c r="AZ212" s="1009">
        <f>AZ211/Financials!AZ77</f>
        <v>1.574464543335923</v>
      </c>
      <c r="BA212" s="1009">
        <f>BA211/Financials!BA77</f>
        <v>-0.2909594735019051</v>
      </c>
      <c r="BB212" s="1010">
        <f>BB211/Financials!BB77</f>
        <v>-6.9275585205506029E-2</v>
      </c>
      <c r="BC212" s="124">
        <f>BC211/Financials!BC77</f>
        <v>2.856390132974667</v>
      </c>
      <c r="BD212" s="1008">
        <f>BD211/Financials!BD77</f>
        <v>0.81051311715031893</v>
      </c>
      <c r="BE212" s="1009">
        <f>BE211/Financials!BE77</f>
        <v>0.31837214935806479</v>
      </c>
      <c r="BF212" s="1009">
        <f>BF211/Financials!BF77</f>
        <v>-0.48366925314557752</v>
      </c>
      <c r="BG212" s="1010">
        <f>BG211/Financials!BG77</f>
        <v>-1.0777946662981899</v>
      </c>
      <c r="BH212" s="124">
        <f>BH211/Financials!BH77</f>
        <v>-0.43575621860436964</v>
      </c>
      <c r="BI212" s="1008">
        <f>BI211/Financials!BI77</f>
        <v>3.3159018216735632</v>
      </c>
      <c r="BJ212" s="1009">
        <f>BJ211/Financials!BJ77</f>
        <v>4.7417244140139703</v>
      </c>
      <c r="BK212" s="1009">
        <f>BK211/Financials!BK77</f>
        <v>-1.3897680050637091</v>
      </c>
      <c r="BL212" s="1010">
        <f>BL211/Financials!BL77</f>
        <v>0.74148324110563391</v>
      </c>
      <c r="BM212" s="124">
        <f>BM211/Financials!BM77</f>
        <v>7.391805291719697</v>
      </c>
      <c r="BN212" s="1008">
        <f>BN211/Financials!BN77</f>
        <v>-0.247027097500223</v>
      </c>
      <c r="BO212" s="1009">
        <f>BO211/Financials!BO77</f>
        <v>-0.17127745577616094</v>
      </c>
      <c r="BP212" s="1009">
        <f>BP211/Financials!BP77</f>
        <v>-0.27336595500396377</v>
      </c>
      <c r="BQ212" s="1010">
        <f>BQ211/Financials!BQ77</f>
        <v>-0.27332299261344611</v>
      </c>
      <c r="BR212" s="124">
        <f>BR211/Financials!BR77</f>
        <v>-0.965132038276726</v>
      </c>
      <c r="BS212" s="1008">
        <f>BS211/Financials!BS77</f>
        <v>-0.23906777229819268</v>
      </c>
      <c r="BT212" s="1009">
        <f>BT211/Financials!BT77</f>
        <v>0.89369772550517801</v>
      </c>
      <c r="BU212" s="1009">
        <f>BU211/Financials!BU77</f>
        <v>1.3269953212512382</v>
      </c>
      <c r="BV212" s="1010">
        <f>BV211/Financials!BV77</f>
        <v>0.64749241219829456</v>
      </c>
      <c r="BW212" s="124">
        <f>BW211/Financials!BW77</f>
        <v>2.6880690597504757</v>
      </c>
      <c r="BX212" s="1008">
        <f>BX211/Financials!BX77</f>
        <v>-1.0445242823199918</v>
      </c>
      <c r="BY212" s="1009">
        <f>BY211/Financials!BY77</f>
        <v>1.7391602830712198</v>
      </c>
      <c r="BZ212" s="1009">
        <f>BZ211/Financials!BZ77</f>
        <v>0.73141603286800805</v>
      </c>
      <c r="CA212" s="1010">
        <f>CA211/Financials!CA77</f>
        <v>0.26839198935568792</v>
      </c>
      <c r="CB212" s="124">
        <f>CB211/Financials!CB77</f>
        <v>1.6991843057158675</v>
      </c>
      <c r="CC212" s="1008">
        <f>CC211/Financials!CC77</f>
        <v>-1.4865111526154549</v>
      </c>
      <c r="CD212" s="1009">
        <f>CD211/Financials!CD77</f>
        <v>0.93264682926265319</v>
      </c>
      <c r="CE212" s="1009">
        <f>CE211/Financials!CE77</f>
        <v>0.86078943881655257</v>
      </c>
      <c r="CF212" s="1010">
        <f>CF211/Financials!CF77</f>
        <v>1.3041787233864486</v>
      </c>
      <c r="CG212" s="1507">
        <f>CG211/Financials!CG77</f>
        <v>1.6111038388501993</v>
      </c>
      <c r="CH212" s="1008">
        <f>CH211/Financials!CH77</f>
        <v>1.9222987204856516</v>
      </c>
      <c r="CI212" s="1009">
        <f>CI211/Financials!CI77</f>
        <v>-2.0507220248764595</v>
      </c>
      <c r="CJ212" s="1009">
        <f>CJ211/Financials!CJ77</f>
        <v>4.7318081237910379</v>
      </c>
      <c r="CK212" s="1010">
        <f>CK211/Financials!CK77</f>
        <v>-2.4430133803690532</v>
      </c>
      <c r="CL212" s="124">
        <f>CL211/Financials!CL77</f>
        <v>2.1603714390311768</v>
      </c>
      <c r="CM212" s="1008">
        <f>CM211/Financials!CM77</f>
        <v>3.9163899905986099</v>
      </c>
      <c r="CN212" s="1009">
        <f>CN211/Financials!CN77</f>
        <v>-4.1262842641694606</v>
      </c>
      <c r="CO212" s="1009">
        <f>CO211/Financials!CO77</f>
        <v>5.9051118095071464</v>
      </c>
      <c r="CP212" s="1010">
        <f>CP211/Financials!CP77</f>
        <v>-3.5863291959152224</v>
      </c>
      <c r="CQ212" s="1009">
        <f>CQ211/Financials!CQ77</f>
        <v>2.1088883400210725</v>
      </c>
      <c r="CR212" s="81"/>
      <c r="CS212" s="75"/>
      <c r="CT212" s="75"/>
      <c r="CU212" s="75"/>
    </row>
    <row r="213" spans="1:99" ht="6.2" customHeight="1">
      <c r="AJ213" s="1000"/>
      <c r="AK213" s="1001"/>
      <c r="AL213" s="1001"/>
      <c r="AM213" s="1002"/>
      <c r="AO213" s="1000"/>
      <c r="AP213" s="1001"/>
      <c r="AQ213" s="1001"/>
      <c r="AR213" s="1002"/>
      <c r="AT213" s="1000"/>
      <c r="AU213" s="1001"/>
      <c r="AV213" s="1001"/>
      <c r="AW213" s="1002"/>
      <c r="AY213" s="1000"/>
      <c r="AZ213" s="1001"/>
      <c r="BA213" s="1001"/>
      <c r="BB213" s="1002"/>
      <c r="BD213" s="1000"/>
      <c r="BE213" s="1001"/>
      <c r="BF213" s="1001"/>
      <c r="BG213" s="1002"/>
      <c r="BI213" s="1000"/>
      <c r="BJ213" s="1001"/>
      <c r="BK213" s="1001"/>
      <c r="BL213" s="1002"/>
      <c r="BN213" s="1000"/>
      <c r="BO213" s="1001"/>
      <c r="BP213" s="1001"/>
      <c r="BQ213" s="1002"/>
      <c r="BS213" s="1000"/>
      <c r="BT213" s="1001"/>
      <c r="BU213" s="1001"/>
      <c r="BV213" s="1002"/>
      <c r="BX213" s="1000"/>
      <c r="BY213" s="1001"/>
      <c r="BZ213" s="1001"/>
      <c r="CA213" s="1002"/>
      <c r="CC213" s="1000"/>
      <c r="CD213" s="1001"/>
      <c r="CE213" s="1001"/>
      <c r="CF213" s="1002"/>
      <c r="CG213" s="1504"/>
      <c r="CH213" s="1000"/>
      <c r="CI213" s="1001"/>
      <c r="CJ213" s="1001"/>
      <c r="CK213" s="1002"/>
      <c r="CM213" s="1000"/>
      <c r="CN213" s="1001"/>
      <c r="CO213" s="1001"/>
      <c r="CP213" s="1002"/>
      <c r="CQ213" s="1001"/>
    </row>
    <row r="214" spans="1:99" ht="13.5" customHeight="1">
      <c r="A214" s="93" t="s">
        <v>700</v>
      </c>
      <c r="B214" s="75"/>
      <c r="C214" s="76"/>
      <c r="D214" s="88"/>
      <c r="E214" s="88"/>
      <c r="F214" s="88">
        <f>-Financials!F236</f>
        <v>63</v>
      </c>
      <c r="G214" s="88">
        <f>-Financials!G236</f>
        <v>69</v>
      </c>
      <c r="H214" s="88">
        <f>-Financials!H236</f>
        <v>73</v>
      </c>
      <c r="I214" s="88">
        <f>-Financials!I236</f>
        <v>111</v>
      </c>
      <c r="J214" s="88">
        <f>-Financials!J236</f>
        <v>316</v>
      </c>
      <c r="K214" s="88">
        <f>-Financials!K236</f>
        <v>70</v>
      </c>
      <c r="L214" s="88">
        <f>-Financials!L236</f>
        <v>95</v>
      </c>
      <c r="M214" s="88">
        <f>-Financials!M236</f>
        <v>202</v>
      </c>
      <c r="N214" s="88">
        <f>-Financials!N236</f>
        <v>212</v>
      </c>
      <c r="O214" s="89">
        <f>SUM(K214:N214)</f>
        <v>579</v>
      </c>
      <c r="P214" s="88">
        <f>-Financials!P236</f>
        <v>122</v>
      </c>
      <c r="Q214" s="88">
        <f>-Financials!Q236</f>
        <v>157</v>
      </c>
      <c r="R214" s="88">
        <f>-Financials!R236</f>
        <v>194</v>
      </c>
      <c r="S214" s="88">
        <f>-Financials!S236</f>
        <v>268</v>
      </c>
      <c r="T214" s="88">
        <f>-Financials!T236</f>
        <v>741</v>
      </c>
      <c r="U214" s="88">
        <f>-Financials!U236</f>
        <v>127</v>
      </c>
      <c r="V214" s="88">
        <f>-Financials!V236</f>
        <v>124</v>
      </c>
      <c r="W214" s="88">
        <f>-Financials!W236</f>
        <v>146</v>
      </c>
      <c r="X214" s="88">
        <f>-Financials!X236</f>
        <v>215</v>
      </c>
      <c r="Y214" s="88">
        <f>-Financials!Y236</f>
        <v>612</v>
      </c>
      <c r="Z214" s="88">
        <f>-Financials!Z236</f>
        <v>108</v>
      </c>
      <c r="AA214" s="88">
        <f>-Financials!AA236</f>
        <v>142</v>
      </c>
      <c r="AB214" s="88">
        <f>-Financials!AB236</f>
        <v>210</v>
      </c>
      <c r="AC214" s="88">
        <f>-Financials!AC236</f>
        <v>215</v>
      </c>
      <c r="AD214" s="89">
        <f>SUM(Z214:AC214)</f>
        <v>675</v>
      </c>
      <c r="AE214" s="88">
        <f>-Financials!AE236</f>
        <v>127</v>
      </c>
      <c r="AF214" s="88">
        <f>-Financials!AF236</f>
        <v>213</v>
      </c>
      <c r="AG214" s="88">
        <f>-Financials!AG236</f>
        <v>293</v>
      </c>
      <c r="AH214" s="88">
        <f>-Financials!AH236</f>
        <v>263</v>
      </c>
      <c r="AI214" s="89">
        <f>SUM(AE214:AH214)</f>
        <v>896</v>
      </c>
      <c r="AJ214" s="933">
        <f>-Financials!AJ236</f>
        <v>118</v>
      </c>
      <c r="AK214" s="934">
        <f>-Financials!AK236</f>
        <v>88</v>
      </c>
      <c r="AL214" s="934">
        <f>-Financials!AL236</f>
        <v>117</v>
      </c>
      <c r="AM214" s="935">
        <f>-Financials!AM236</f>
        <v>149</v>
      </c>
      <c r="AN214" s="89">
        <f>SUM(AJ214:AM214)</f>
        <v>472</v>
      </c>
      <c r="AO214" s="933">
        <f>-Financials!AO236</f>
        <v>125</v>
      </c>
      <c r="AP214" s="934">
        <f>-Financials!AP236</f>
        <v>117</v>
      </c>
      <c r="AQ214" s="934">
        <f>-Financials!AQ236</f>
        <v>184</v>
      </c>
      <c r="AR214" s="935">
        <f>-Financials!AR236</f>
        <v>250</v>
      </c>
      <c r="AS214" s="89">
        <f>SUM(AO214:AR214)</f>
        <v>676</v>
      </c>
      <c r="AT214" s="933">
        <f>-Financials!AT236</f>
        <v>180</v>
      </c>
      <c r="AU214" s="934">
        <f>-Financials!AU236</f>
        <v>221</v>
      </c>
      <c r="AV214" s="934">
        <f>-Financials!AV236</f>
        <v>225</v>
      </c>
      <c r="AW214" s="935">
        <f>-Financials!AW236</f>
        <v>222</v>
      </c>
      <c r="AX214" s="89">
        <f>SUM(AT214:AW214)</f>
        <v>848</v>
      </c>
      <c r="AY214" s="933">
        <f>-Financials!AY236</f>
        <v>189</v>
      </c>
      <c r="AZ214" s="934">
        <f>-Financials!AZ236</f>
        <v>208</v>
      </c>
      <c r="BA214" s="934">
        <f>-Financials!BA236</f>
        <v>139</v>
      </c>
      <c r="BB214" s="935">
        <f>-Financials!BB236</f>
        <v>187</v>
      </c>
      <c r="BC214" s="89">
        <f>SUM(AY214:BB214)</f>
        <v>723</v>
      </c>
      <c r="BD214" s="933">
        <f>-Financials!BD236</f>
        <v>116</v>
      </c>
      <c r="BE214" s="934">
        <f>-Financials!BE236</f>
        <v>105</v>
      </c>
      <c r="BF214" s="934">
        <f>-Financials!BF236</f>
        <v>107</v>
      </c>
      <c r="BG214" s="935">
        <f>-Financials!BG236</f>
        <v>149</v>
      </c>
      <c r="BH214" s="89">
        <f>SUM(BD214:BG214)</f>
        <v>477</v>
      </c>
      <c r="BI214" s="933">
        <f>-Financials!BI236</f>
        <v>90</v>
      </c>
      <c r="BJ214" s="934">
        <f>-Financials!BJ236</f>
        <v>96</v>
      </c>
      <c r="BK214" s="934">
        <f>-Financials!BK236</f>
        <v>96</v>
      </c>
      <c r="BL214" s="935">
        <f>-Financials!BL236</f>
        <v>137</v>
      </c>
      <c r="BM214" s="89">
        <f>SUM(BI214:BL214)</f>
        <v>419</v>
      </c>
      <c r="BN214" s="933">
        <f>-Financials!BN236</f>
        <v>172</v>
      </c>
      <c r="BO214" s="934">
        <f>-Financials!BO236</f>
        <v>104</v>
      </c>
      <c r="BP214" s="934">
        <f>-Financials!BP236</f>
        <v>133</v>
      </c>
      <c r="BQ214" s="935">
        <f>-Financials!BQ236</f>
        <v>91</v>
      </c>
      <c r="BR214" s="89">
        <f>SUM(BN214:BQ214)</f>
        <v>500</v>
      </c>
      <c r="BS214" s="906">
        <f>-Financials!BS236</f>
        <v>148</v>
      </c>
      <c r="BT214" s="907">
        <f>-Financials!BT236</f>
        <v>69</v>
      </c>
      <c r="BU214" s="907">
        <f>-Financials!BU236</f>
        <v>51</v>
      </c>
      <c r="BV214" s="908">
        <f>-Financials!BV236</f>
        <v>38</v>
      </c>
      <c r="BW214" s="89">
        <f>SUM(BS214:BV214)</f>
        <v>306</v>
      </c>
      <c r="BX214" s="906">
        <f>-Financials!BX236</f>
        <v>47</v>
      </c>
      <c r="BY214" s="907">
        <f>-Financials!BY236</f>
        <v>73</v>
      </c>
      <c r="BZ214" s="907">
        <f>-Financials!BZ236</f>
        <v>171</v>
      </c>
      <c r="CA214" s="908">
        <f>CA178+CA129+CA91</f>
        <v>212</v>
      </c>
      <c r="CB214" s="89">
        <f>SUM(BX214:CA214)</f>
        <v>503</v>
      </c>
      <c r="CC214" s="906">
        <f t="shared" ref="CC214:CP214" si="333">CC178+CC129+CC91</f>
        <v>212.5</v>
      </c>
      <c r="CD214" s="907">
        <f t="shared" si="333"/>
        <v>212.5</v>
      </c>
      <c r="CE214" s="907">
        <f t="shared" si="333"/>
        <v>212.5</v>
      </c>
      <c r="CF214" s="908">
        <f t="shared" si="333"/>
        <v>212.5</v>
      </c>
      <c r="CG214" s="1470">
        <f>SUM(CC214:CF214)</f>
        <v>850</v>
      </c>
      <c r="CH214" s="906">
        <f t="shared" si="333"/>
        <v>287.5</v>
      </c>
      <c r="CI214" s="907">
        <f t="shared" si="333"/>
        <v>287.5</v>
      </c>
      <c r="CJ214" s="907">
        <f t="shared" si="333"/>
        <v>287.5</v>
      </c>
      <c r="CK214" s="908">
        <f t="shared" si="333"/>
        <v>287.5</v>
      </c>
      <c r="CL214" s="761">
        <f>SUM(CH214:CK214)</f>
        <v>1150</v>
      </c>
      <c r="CM214" s="906">
        <f t="shared" si="333"/>
        <v>287.5</v>
      </c>
      <c r="CN214" s="907">
        <f t="shared" si="333"/>
        <v>287.5</v>
      </c>
      <c r="CO214" s="907">
        <f t="shared" si="333"/>
        <v>287.5</v>
      </c>
      <c r="CP214" s="908">
        <f t="shared" si="333"/>
        <v>287.5</v>
      </c>
      <c r="CQ214" s="931">
        <f>SUM(CM214:CP214)</f>
        <v>1150</v>
      </c>
      <c r="CR214" s="159"/>
      <c r="CS214" s="115"/>
      <c r="CT214" s="115"/>
      <c r="CU214" s="115"/>
    </row>
    <row r="215" spans="1:99" ht="13.5" customHeight="1">
      <c r="A215" s="93" t="s">
        <v>701</v>
      </c>
      <c r="B215" s="75"/>
      <c r="C215" s="76"/>
      <c r="D215" s="88"/>
      <c r="E215" s="88"/>
      <c r="F215" s="88">
        <f>Financials!F218</f>
        <v>90</v>
      </c>
      <c r="G215" s="88">
        <f>Financials!G218</f>
        <v>87</v>
      </c>
      <c r="H215" s="88">
        <f>Financials!H218</f>
        <v>140</v>
      </c>
      <c r="I215" s="88">
        <f>Financials!I218</f>
        <v>46</v>
      </c>
      <c r="J215" s="88">
        <f>Financials!J218</f>
        <v>363</v>
      </c>
      <c r="K215" s="88">
        <f>Financials!K218</f>
        <v>98</v>
      </c>
      <c r="L215" s="88">
        <f>Financials!L218</f>
        <v>93</v>
      </c>
      <c r="M215" s="88">
        <f>Financials!M218</f>
        <v>96</v>
      </c>
      <c r="N215" s="88">
        <f>Financials!N218</f>
        <v>95</v>
      </c>
      <c r="O215" s="89">
        <f>SUM(K215:N215)</f>
        <v>382</v>
      </c>
      <c r="P215" s="88">
        <f>Financials!P218</f>
        <v>98</v>
      </c>
      <c r="Q215" s="88">
        <f>Financials!Q218</f>
        <v>88</v>
      </c>
      <c r="R215" s="88">
        <f>Financials!R218</f>
        <v>88</v>
      </c>
      <c r="S215" s="88">
        <f>Financials!S218</f>
        <v>92</v>
      </c>
      <c r="T215" s="89">
        <f>SUM(P215:S215)</f>
        <v>366</v>
      </c>
      <c r="U215" s="88">
        <f>Financials!U218</f>
        <v>112</v>
      </c>
      <c r="V215" s="88">
        <f>Financials!V218</f>
        <v>114</v>
      </c>
      <c r="W215" s="88">
        <f>Financials!W218</f>
        <v>113</v>
      </c>
      <c r="X215" s="88">
        <f>Financials!X218</f>
        <v>102</v>
      </c>
      <c r="Y215" s="88">
        <f>Financials!Y218</f>
        <v>441</v>
      </c>
      <c r="Z215" s="89">
        <f>Financials!Z25</f>
        <v>111</v>
      </c>
      <c r="AA215" s="89">
        <f>Financials!AA25</f>
        <v>118</v>
      </c>
      <c r="AB215" s="89">
        <f>Financials!AB25</f>
        <v>124</v>
      </c>
      <c r="AC215" s="89">
        <f>Financials!AC25</f>
        <v>153</v>
      </c>
      <c r="AD215" s="89">
        <f>SUM(Z215:AC215)</f>
        <v>506</v>
      </c>
      <c r="AE215" s="89">
        <f>Financials!AE25</f>
        <v>156</v>
      </c>
      <c r="AF215" s="89">
        <f>Financials!AF25</f>
        <v>159</v>
      </c>
      <c r="AG215" s="89">
        <f>Financials!AG25</f>
        <v>149</v>
      </c>
      <c r="AH215" s="89">
        <f>Financials!AH25</f>
        <v>141</v>
      </c>
      <c r="AI215" s="89">
        <f>SUM(AE215:AH215)</f>
        <v>605</v>
      </c>
      <c r="AJ215" s="906">
        <f>Financials!AJ25</f>
        <v>158</v>
      </c>
      <c r="AK215" s="907">
        <f>Financials!AK25</f>
        <v>159</v>
      </c>
      <c r="AL215" s="907">
        <f>Financials!AL25</f>
        <v>167</v>
      </c>
      <c r="AM215" s="908">
        <f>Financials!AM25</f>
        <v>177</v>
      </c>
      <c r="AN215" s="89">
        <f>SUM(AJ215:AM215)</f>
        <v>661</v>
      </c>
      <c r="AO215" s="906">
        <f>Financials!AO25</f>
        <v>165</v>
      </c>
      <c r="AP215" s="907">
        <f>Financials!AP25</f>
        <v>162</v>
      </c>
      <c r="AQ215" s="907">
        <f>Financials!AQ25</f>
        <v>163</v>
      </c>
      <c r="AR215" s="908">
        <f>Financials!AR25</f>
        <v>168</v>
      </c>
      <c r="AS215" s="89">
        <f>SUM(AO215:AR215)</f>
        <v>658</v>
      </c>
      <c r="AT215" s="906">
        <f>Financials!AT25</f>
        <v>169</v>
      </c>
      <c r="AU215" s="907">
        <f>Financials!AU25</f>
        <v>171</v>
      </c>
      <c r="AV215" s="907">
        <f>Financials!AV25</f>
        <v>172</v>
      </c>
      <c r="AW215" s="908">
        <f>Financials!AW25</f>
        <v>169</v>
      </c>
      <c r="AX215" s="89">
        <f>SUM(AT215:AW215)</f>
        <v>681</v>
      </c>
      <c r="AY215" s="906">
        <f>Financials!AY25</f>
        <v>163</v>
      </c>
      <c r="AZ215" s="907">
        <f>Financials!AZ25</f>
        <v>164</v>
      </c>
      <c r="BA215" s="907">
        <f>Financials!BA25</f>
        <v>163</v>
      </c>
      <c r="BB215" s="908">
        <f>Financials!BB25</f>
        <v>171</v>
      </c>
      <c r="BC215" s="89">
        <f>SUM(AY215:BB215)</f>
        <v>661</v>
      </c>
      <c r="BD215" s="906">
        <f>Financials!BD25</f>
        <v>171</v>
      </c>
      <c r="BE215" s="907">
        <f>Financials!BE25</f>
        <v>170</v>
      </c>
      <c r="BF215" s="907">
        <f>Financials!BF25</f>
        <v>173</v>
      </c>
      <c r="BG215" s="908">
        <f>Financials!BG25</f>
        <v>170</v>
      </c>
      <c r="BH215" s="89">
        <f>SUM(BD215:BG215)</f>
        <v>684</v>
      </c>
      <c r="BI215" s="906">
        <f>Financials!BI25</f>
        <v>166</v>
      </c>
      <c r="BJ215" s="907">
        <f>Financials!BJ25</f>
        <v>165</v>
      </c>
      <c r="BK215" s="907">
        <f>Financials!BK25</f>
        <v>158</v>
      </c>
      <c r="BL215" s="908">
        <f>Financials!BL25</f>
        <v>138</v>
      </c>
      <c r="BM215" s="89">
        <f>SUM(BI215:BL215)</f>
        <v>627</v>
      </c>
      <c r="BN215" s="906">
        <f>Financials!BN25</f>
        <v>144</v>
      </c>
      <c r="BO215" s="907">
        <f>Financials!BO25</f>
        <v>138</v>
      </c>
      <c r="BP215" s="907">
        <f>Financials!BP25</f>
        <v>136</v>
      </c>
      <c r="BQ215" s="908">
        <f>Financials!BQ25</f>
        <v>129</v>
      </c>
      <c r="BR215" s="89">
        <f>SUM(BN215:BQ215)</f>
        <v>547</v>
      </c>
      <c r="BS215" s="906">
        <f>Financials!BS25</f>
        <v>129</v>
      </c>
      <c r="BT215" s="907">
        <f>Financials!BT25</f>
        <v>129</v>
      </c>
      <c r="BU215" s="907">
        <f>Financials!BU25</f>
        <v>126</v>
      </c>
      <c r="BV215" s="908">
        <f>Financials!BV25</f>
        <v>123</v>
      </c>
      <c r="BW215" s="89">
        <f>SUM(BS215:BV215)</f>
        <v>507</v>
      </c>
      <c r="BX215" s="906">
        <f>Financials!BX25</f>
        <v>137</v>
      </c>
      <c r="BY215" s="907">
        <f>Financials!BY25</f>
        <v>121</v>
      </c>
      <c r="BZ215" s="907">
        <f>Financials!BZ25</f>
        <v>118</v>
      </c>
      <c r="CA215" s="908">
        <f>+CA174+CA125+CA85</f>
        <v>121</v>
      </c>
      <c r="CB215" s="89">
        <f>SUM(BX215:CA215)</f>
        <v>497</v>
      </c>
      <c r="CC215" s="906">
        <f t="shared" ref="CC215:CP215" si="334">+CC174+CC125+CC85</f>
        <v>132</v>
      </c>
      <c r="CD215" s="907">
        <f t="shared" si="334"/>
        <v>124</v>
      </c>
      <c r="CE215" s="907">
        <f t="shared" si="334"/>
        <v>124</v>
      </c>
      <c r="CF215" s="908">
        <f t="shared" si="334"/>
        <v>115</v>
      </c>
      <c r="CG215" s="1471">
        <f>SUM(CC215:CF215)</f>
        <v>495</v>
      </c>
      <c r="CH215" s="906">
        <f t="shared" si="334"/>
        <v>132</v>
      </c>
      <c r="CI215" s="907">
        <f t="shared" si="334"/>
        <v>124</v>
      </c>
      <c r="CJ215" s="907">
        <f t="shared" si="334"/>
        <v>124</v>
      </c>
      <c r="CK215" s="908">
        <f t="shared" si="334"/>
        <v>115</v>
      </c>
      <c r="CL215" s="89">
        <f>SUM(CH215:CK215)</f>
        <v>495</v>
      </c>
      <c r="CM215" s="906">
        <f t="shared" si="334"/>
        <v>132</v>
      </c>
      <c r="CN215" s="907">
        <f t="shared" si="334"/>
        <v>124</v>
      </c>
      <c r="CO215" s="907">
        <f t="shared" si="334"/>
        <v>124</v>
      </c>
      <c r="CP215" s="908">
        <f t="shared" si="334"/>
        <v>115</v>
      </c>
      <c r="CQ215" s="907">
        <f>SUM(CM215:CP215)</f>
        <v>495</v>
      </c>
      <c r="CR215" s="81"/>
      <c r="CS215" s="75"/>
      <c r="CT215" s="75"/>
      <c r="CU215" s="75"/>
    </row>
    <row r="216" spans="1:99" ht="13.5" customHeight="1">
      <c r="A216" s="87" t="s">
        <v>702</v>
      </c>
      <c r="B216" s="75"/>
      <c r="C216" s="76"/>
      <c r="D216" s="120"/>
      <c r="E216" s="120"/>
      <c r="F216" s="120"/>
      <c r="G216" s="120"/>
      <c r="H216" s="120"/>
      <c r="I216" s="120"/>
      <c r="J216" s="120"/>
      <c r="K216" s="120"/>
      <c r="L216" s="120"/>
      <c r="M216" s="120"/>
      <c r="N216" s="106"/>
      <c r="O216" s="107"/>
      <c r="P216" s="104"/>
      <c r="Q216" s="104"/>
      <c r="R216" s="104"/>
      <c r="S216" s="104"/>
      <c r="T216" s="107"/>
      <c r="U216" s="104"/>
      <c r="V216" s="104"/>
      <c r="W216" s="104"/>
      <c r="X216" s="104"/>
      <c r="Y216" s="120"/>
      <c r="Z216" s="104"/>
      <c r="AA216" s="104"/>
      <c r="AB216" s="104"/>
      <c r="AC216" s="104"/>
      <c r="AD216" s="104"/>
      <c r="AE216" s="104"/>
      <c r="AF216" s="104"/>
      <c r="AG216" s="104"/>
      <c r="AH216" s="104"/>
      <c r="AI216" s="104"/>
      <c r="AJ216" s="906"/>
      <c r="AK216" s="907"/>
      <c r="AL216" s="907"/>
      <c r="AM216" s="908"/>
      <c r="AN216" s="104"/>
      <c r="AO216" s="906"/>
      <c r="AP216" s="907"/>
      <c r="AQ216" s="907"/>
      <c r="AR216" s="908"/>
      <c r="AS216" s="104"/>
      <c r="AT216" s="906"/>
      <c r="AU216" s="907"/>
      <c r="AV216" s="907"/>
      <c r="AW216" s="908"/>
      <c r="AX216" s="104"/>
      <c r="AY216" s="1026"/>
      <c r="AZ216" s="1027"/>
      <c r="BA216" s="1027"/>
      <c r="BB216" s="1028"/>
      <c r="BC216" s="104"/>
      <c r="BD216" s="1037"/>
      <c r="BE216" s="1038"/>
      <c r="BF216" s="1038"/>
      <c r="BG216" s="1039"/>
      <c r="BH216" s="121"/>
      <c r="BI216" s="1037"/>
      <c r="BJ216" s="1038"/>
      <c r="BK216" s="1038"/>
      <c r="BL216" s="1039"/>
      <c r="BM216" s="121"/>
      <c r="BN216" s="1064"/>
      <c r="BO216" s="1065"/>
      <c r="BP216" s="1066"/>
      <c r="BQ216" s="985"/>
      <c r="BR216" s="104"/>
      <c r="BS216" s="906"/>
      <c r="BT216" s="907"/>
      <c r="BU216" s="910"/>
      <c r="BV216" s="911">
        <v>20</v>
      </c>
      <c r="BW216" s="104">
        <f>BV216</f>
        <v>20</v>
      </c>
      <c r="BX216" s="1098">
        <v>25</v>
      </c>
      <c r="BY216" s="1099">
        <v>25</v>
      </c>
      <c r="BZ216" s="1099">
        <v>25</v>
      </c>
      <c r="CA216" s="1100">
        <v>30</v>
      </c>
      <c r="CB216" s="104">
        <f>CA216</f>
        <v>30</v>
      </c>
      <c r="CC216" s="983">
        <v>30</v>
      </c>
      <c r="CD216" s="907">
        <f>CC216</f>
        <v>30</v>
      </c>
      <c r="CE216" s="907">
        <f>CD216</f>
        <v>30</v>
      </c>
      <c r="CF216" s="908">
        <f>CE216</f>
        <v>30</v>
      </c>
      <c r="CG216" s="1502">
        <f>CF216</f>
        <v>30</v>
      </c>
      <c r="CH216" s="983">
        <v>30</v>
      </c>
      <c r="CI216" s="907">
        <f>CH216</f>
        <v>30</v>
      </c>
      <c r="CJ216" s="907">
        <f>CI216</f>
        <v>30</v>
      </c>
      <c r="CK216" s="908">
        <f>CJ216</f>
        <v>30</v>
      </c>
      <c r="CL216" s="104">
        <f>CK216</f>
        <v>30</v>
      </c>
      <c r="CM216" s="983">
        <v>30</v>
      </c>
      <c r="CN216" s="907">
        <f>CM216</f>
        <v>30</v>
      </c>
      <c r="CO216" s="907">
        <f>CN216</f>
        <v>30</v>
      </c>
      <c r="CP216" s="908">
        <f>CO216</f>
        <v>30</v>
      </c>
      <c r="CQ216" s="126">
        <f>CP216</f>
        <v>30</v>
      </c>
      <c r="CR216" s="81"/>
      <c r="CS216" s="75"/>
      <c r="CT216" s="75"/>
      <c r="CU216" s="75"/>
    </row>
    <row r="217" spans="1:99" ht="13.5" customHeight="1">
      <c r="AJ217" s="1000"/>
      <c r="AK217" s="1001"/>
      <c r="AL217" s="1001"/>
      <c r="AM217" s="1002"/>
      <c r="AO217" s="1000"/>
      <c r="AP217" s="1001"/>
      <c r="AQ217" s="1001"/>
      <c r="AR217" s="1002"/>
      <c r="AT217" s="1000"/>
      <c r="AU217" s="1001"/>
      <c r="AV217" s="1001"/>
      <c r="AW217" s="1002"/>
      <c r="AY217" s="1000"/>
      <c r="AZ217" s="1001"/>
      <c r="BA217" s="1001"/>
      <c r="BB217" s="1002"/>
      <c r="BD217" s="1000"/>
      <c r="BE217" s="1001"/>
      <c r="BF217" s="1001"/>
      <c r="BG217" s="1002"/>
      <c r="BI217" s="1000"/>
      <c r="BJ217" s="1001"/>
      <c r="BK217" s="1001"/>
      <c r="BL217" s="1002"/>
      <c r="BN217" s="1000"/>
      <c r="BO217" s="1001"/>
      <c r="BP217" s="1001"/>
      <c r="BQ217" s="1002"/>
      <c r="BS217" s="1000"/>
      <c r="BT217" s="1001"/>
      <c r="BU217" s="1001"/>
      <c r="BV217" s="1002"/>
      <c r="BX217" s="1000"/>
      <c r="BY217" s="1001"/>
      <c r="BZ217" s="1001"/>
      <c r="CA217" s="1002"/>
      <c r="CC217" s="1000"/>
      <c r="CD217" s="1001"/>
      <c r="CE217" s="1001"/>
      <c r="CF217" s="1002"/>
      <c r="CH217" s="1000"/>
      <c r="CI217" s="1001"/>
      <c r="CJ217" s="1001"/>
      <c r="CK217" s="1002"/>
      <c r="CM217" s="1000"/>
      <c r="CN217" s="1001"/>
      <c r="CO217" s="1001"/>
      <c r="CP217" s="1002"/>
      <c r="CQ217" s="1001"/>
    </row>
    <row r="218" spans="1:99" ht="13.5" customHeight="1" outlineLevel="1">
      <c r="A218" s="75"/>
      <c r="B218" s="75"/>
      <c r="C218" s="607" t="s">
        <v>570</v>
      </c>
      <c r="D218" s="233"/>
      <c r="E218" s="233"/>
      <c r="F218" s="233"/>
      <c r="G218" s="233"/>
      <c r="H218" s="233"/>
      <c r="I218" s="233"/>
      <c r="J218" s="233"/>
      <c r="K218" s="233">
        <f t="shared" ref="K218:AP218" si="335">(K41+K145)/1.1023</f>
        <v>5282.5909462033924</v>
      </c>
      <c r="L218" s="233">
        <f t="shared" si="335"/>
        <v>5168.2844960537059</v>
      </c>
      <c r="M218" s="233">
        <f t="shared" si="335"/>
        <v>5164.6557198584778</v>
      </c>
      <c r="N218" s="233">
        <f t="shared" si="335"/>
        <v>5205.4794520547939</v>
      </c>
      <c r="O218" s="233">
        <f t="shared" si="335"/>
        <v>20821.010614170369</v>
      </c>
      <c r="P218" s="233">
        <f t="shared" si="335"/>
        <v>5307.9923795699897</v>
      </c>
      <c r="Q218" s="233">
        <f t="shared" si="335"/>
        <v>4611.2673500861829</v>
      </c>
      <c r="R218" s="233">
        <f t="shared" si="335"/>
        <v>4276.5127460763852</v>
      </c>
      <c r="S218" s="233">
        <f t="shared" si="335"/>
        <v>5060.328404245668</v>
      </c>
      <c r="T218" s="233">
        <f t="shared" si="335"/>
        <v>19256.100879978225</v>
      </c>
      <c r="U218" s="233">
        <f t="shared" si="335"/>
        <v>5347.0017236686926</v>
      </c>
      <c r="V218" s="233">
        <f t="shared" si="335"/>
        <v>5795.1555837793703</v>
      </c>
      <c r="W218" s="233">
        <f t="shared" si="335"/>
        <v>5527.5333393812934</v>
      </c>
      <c r="X218" s="233">
        <f t="shared" si="335"/>
        <v>4574.0723940850949</v>
      </c>
      <c r="Y218" s="233">
        <f t="shared" si="335"/>
        <v>21243.763040914451</v>
      </c>
      <c r="Z218" s="233">
        <f t="shared" si="335"/>
        <v>5000.4535970244033</v>
      </c>
      <c r="AA218" s="233">
        <f t="shared" si="335"/>
        <v>5425.9276059149051</v>
      </c>
      <c r="AB218" s="233">
        <f t="shared" si="335"/>
        <v>5433.1851583053613</v>
      </c>
      <c r="AC218" s="233">
        <f t="shared" si="335"/>
        <v>5577.4290120656806</v>
      </c>
      <c r="AD218" s="233">
        <f t="shared" si="335"/>
        <v>21436.99537331035</v>
      </c>
      <c r="AE218" s="233">
        <f t="shared" si="335"/>
        <v>6773.1107683933587</v>
      </c>
      <c r="AF218" s="233">
        <f t="shared" si="335"/>
        <v>6839.335933956273</v>
      </c>
      <c r="AG218" s="233">
        <f t="shared" si="335"/>
        <v>6264.1749070126098</v>
      </c>
      <c r="AH218" s="233">
        <f t="shared" si="335"/>
        <v>3347.5460400979769</v>
      </c>
      <c r="AI218" s="233">
        <f t="shared" si="335"/>
        <v>23224.167649460218</v>
      </c>
      <c r="AJ218" s="1011">
        <f t="shared" si="335"/>
        <v>2973.7820919894766</v>
      </c>
      <c r="AK218" s="1012">
        <f t="shared" si="335"/>
        <v>2742.4476095436812</v>
      </c>
      <c r="AL218" s="1012">
        <f t="shared" si="335"/>
        <v>4604.9169917445342</v>
      </c>
      <c r="AM218" s="1013">
        <f t="shared" si="335"/>
        <v>4918.8061326317693</v>
      </c>
      <c r="AN218" s="233">
        <f t="shared" si="335"/>
        <v>15239.95282590946</v>
      </c>
      <c r="AO218" s="1011">
        <f t="shared" si="335"/>
        <v>5416.8556654268341</v>
      </c>
      <c r="AP218" s="1012">
        <f t="shared" si="335"/>
        <v>6001.995826907375</v>
      </c>
      <c r="AQ218" s="1012">
        <f t="shared" ref="AQ218:BV218" si="336">(AQ41+AQ145)/1.1023</f>
        <v>5565.6354894311889</v>
      </c>
      <c r="AR218" s="1013">
        <f t="shared" si="336"/>
        <v>5274.4261997641297</v>
      </c>
      <c r="AS218" s="233">
        <f t="shared" si="336"/>
        <v>22258.91318152953</v>
      </c>
      <c r="AT218" s="1011">
        <f t="shared" si="336"/>
        <v>5696.2714324594026</v>
      </c>
      <c r="AU218" s="1012">
        <f t="shared" si="336"/>
        <v>5738.0023587045262</v>
      </c>
      <c r="AV218" s="1012">
        <f t="shared" si="336"/>
        <v>5291.6628866914634</v>
      </c>
      <c r="AW218" s="1013">
        <f t="shared" si="336"/>
        <v>5265.3542592760587</v>
      </c>
      <c r="AX218" s="233">
        <f t="shared" si="336"/>
        <v>21991.290937131453</v>
      </c>
      <c r="AY218" s="1011">
        <f t="shared" si="336"/>
        <v>5699.9002086546307</v>
      </c>
      <c r="AZ218" s="1012">
        <f t="shared" si="336"/>
        <v>5317.0643200580598</v>
      </c>
      <c r="BA218" s="1012">
        <f t="shared" si="336"/>
        <v>5297.1060509843055</v>
      </c>
      <c r="BB218" s="1013">
        <f t="shared" si="336"/>
        <v>5130.1823460038104</v>
      </c>
      <c r="BC218" s="233">
        <f t="shared" si="336"/>
        <v>21444.252925700806</v>
      </c>
      <c r="BD218" s="1011">
        <f t="shared" si="336"/>
        <v>5554.7491608455048</v>
      </c>
      <c r="BE218" s="1012">
        <f t="shared" si="336"/>
        <v>4871.6320420938036</v>
      </c>
      <c r="BF218" s="1012">
        <f t="shared" si="336"/>
        <v>4801.7781003356613</v>
      </c>
      <c r="BG218" s="1013">
        <f t="shared" si="336"/>
        <v>5151.9550031751787</v>
      </c>
      <c r="BH218" s="233">
        <f t="shared" si="336"/>
        <v>20380.114306450148</v>
      </c>
      <c r="BI218" s="1011">
        <f t="shared" si="336"/>
        <v>5109.3168828812477</v>
      </c>
      <c r="BJ218" s="1012">
        <f t="shared" si="336"/>
        <v>4858.024131361698</v>
      </c>
      <c r="BK218" s="1012">
        <f t="shared" si="336"/>
        <v>5249.0247663975324</v>
      </c>
      <c r="BL218" s="1013">
        <f t="shared" si="336"/>
        <v>4515.1047809126367</v>
      </c>
      <c r="BM218" s="233">
        <f t="shared" si="336"/>
        <v>19731.470561553117</v>
      </c>
      <c r="BN218" s="1011">
        <f t="shared" si="336"/>
        <v>3765.7624965980222</v>
      </c>
      <c r="BO218" s="1012">
        <f t="shared" si="336"/>
        <v>3636.0337476186155</v>
      </c>
      <c r="BP218" s="1012">
        <f t="shared" si="336"/>
        <v>3967.1595754331847</v>
      </c>
      <c r="BQ218" s="1013">
        <f t="shared" si="336"/>
        <v>3152.4993196044634</v>
      </c>
      <c r="BR218" s="233">
        <f t="shared" si="336"/>
        <v>14521.455139254285</v>
      </c>
      <c r="BS218" s="1011">
        <f t="shared" si="336"/>
        <v>3566.1798058604732</v>
      </c>
      <c r="BT218" s="1012">
        <f t="shared" si="336"/>
        <v>3622.4258368865098</v>
      </c>
      <c r="BU218" s="1012">
        <f t="shared" si="336"/>
        <v>3640.5697178626506</v>
      </c>
      <c r="BV218" s="1013">
        <f t="shared" si="336"/>
        <v>3389.2769663431004</v>
      </c>
      <c r="BW218" s="233">
        <f t="shared" ref="BW218:CQ218" si="337">(BW41+BW145)/1.1023</f>
        <v>14218.452326952734</v>
      </c>
      <c r="BX218" s="1011">
        <f t="shared" si="337"/>
        <v>3603.3747618615621</v>
      </c>
      <c r="BY218" s="1012">
        <f t="shared" si="337"/>
        <v>3625.1474190329309</v>
      </c>
      <c r="BZ218" s="1012">
        <f t="shared" si="337"/>
        <v>3679.5790619613535</v>
      </c>
      <c r="CA218" s="1013">
        <f t="shared" si="337"/>
        <v>3528.0776558105777</v>
      </c>
      <c r="CB218" s="233">
        <f t="shared" si="337"/>
        <v>14436.178898666423</v>
      </c>
      <c r="CC218" s="1011">
        <f t="shared" si="337"/>
        <v>3485.298013245033</v>
      </c>
      <c r="CD218" s="1012">
        <f t="shared" si="337"/>
        <v>3622.5773382926604</v>
      </c>
      <c r="CE218" s="1012">
        <f t="shared" si="337"/>
        <v>3816.78308990293</v>
      </c>
      <c r="CF218" s="1013">
        <f t="shared" si="337"/>
        <v>3921.3861925065776</v>
      </c>
      <c r="CG218" s="233">
        <f t="shared" si="337"/>
        <v>14846.044633947202</v>
      </c>
      <c r="CH218" s="1011">
        <f t="shared" si="337"/>
        <v>3800.2846049169916</v>
      </c>
      <c r="CI218" s="1012">
        <f t="shared" si="337"/>
        <v>3967.3663059058331</v>
      </c>
      <c r="CJ218" s="1012">
        <f t="shared" si="337"/>
        <v>3872.6343100789254</v>
      </c>
      <c r="CK218" s="1013">
        <f t="shared" si="337"/>
        <v>3975.9728567540606</v>
      </c>
      <c r="CL218" s="233">
        <f t="shared" si="337"/>
        <v>15616.25807765581</v>
      </c>
      <c r="CM218" s="1011">
        <f t="shared" si="337"/>
        <v>3800.2846049169916</v>
      </c>
      <c r="CN218" s="1012">
        <f t="shared" si="337"/>
        <v>3967.3663059058331</v>
      </c>
      <c r="CO218" s="1012">
        <f t="shared" si="337"/>
        <v>3872.6343100789254</v>
      </c>
      <c r="CP218" s="1013">
        <f t="shared" si="337"/>
        <v>3975.9728567540606</v>
      </c>
      <c r="CQ218" s="1012">
        <f t="shared" si="337"/>
        <v>15616.25807765581</v>
      </c>
      <c r="CR218" s="81"/>
      <c r="CS218" s="75"/>
      <c r="CT218" s="75"/>
      <c r="CU218" s="75"/>
    </row>
    <row r="219" spans="1:99" ht="13.5" customHeight="1" outlineLevel="1">
      <c r="A219" s="75"/>
      <c r="B219" s="75"/>
      <c r="C219" s="607" t="s">
        <v>572</v>
      </c>
      <c r="D219" s="233"/>
      <c r="E219" s="233"/>
      <c r="F219" s="233"/>
      <c r="G219" s="233"/>
      <c r="H219" s="233"/>
      <c r="I219" s="233"/>
      <c r="J219" s="233"/>
      <c r="K219" s="233">
        <f t="shared" ref="K219:AP219" si="338">(K34+K141+K100)/1.1023</f>
        <v>5085.7298376122653</v>
      </c>
      <c r="L219" s="233">
        <f t="shared" si="338"/>
        <v>5002.2679851220173</v>
      </c>
      <c r="M219" s="233">
        <f t="shared" si="338"/>
        <v>4779.0982491154855</v>
      </c>
      <c r="N219" s="233">
        <f t="shared" si="338"/>
        <v>4879.7967885330672</v>
      </c>
      <c r="O219" s="233">
        <f t="shared" si="338"/>
        <v>19746.892860382835</v>
      </c>
      <c r="P219" s="233">
        <f t="shared" si="338"/>
        <v>4652.0910822824999</v>
      </c>
      <c r="Q219" s="233">
        <f t="shared" si="338"/>
        <v>4402.6127188605642</v>
      </c>
      <c r="R219" s="233">
        <f t="shared" si="338"/>
        <v>4250.2041186609813</v>
      </c>
      <c r="S219" s="233">
        <f t="shared" si="338"/>
        <v>4533.2486618887779</v>
      </c>
      <c r="T219" s="233">
        <f t="shared" si="338"/>
        <v>17838.156581692823</v>
      </c>
      <c r="U219" s="233">
        <f t="shared" si="338"/>
        <v>4858.9313254105055</v>
      </c>
      <c r="V219" s="233">
        <f t="shared" si="338"/>
        <v>5287.1269164474279</v>
      </c>
      <c r="W219" s="233">
        <f t="shared" si="338"/>
        <v>5034.9269708790707</v>
      </c>
      <c r="X219" s="233">
        <f t="shared" si="338"/>
        <v>4443.4364510568812</v>
      </c>
      <c r="Y219" s="233">
        <f t="shared" si="338"/>
        <v>19624.421663793884</v>
      </c>
      <c r="Z219" s="233">
        <f t="shared" si="338"/>
        <v>4614.8961262814109</v>
      </c>
      <c r="AA219" s="233">
        <f t="shared" si="338"/>
        <v>4993.1960446339472</v>
      </c>
      <c r="AB219" s="233">
        <f t="shared" si="338"/>
        <v>5043.9989113671409</v>
      </c>
      <c r="AC219" s="233">
        <f t="shared" si="338"/>
        <v>5405.0621427923434</v>
      </c>
      <c r="AD219" s="233">
        <f t="shared" si="338"/>
        <v>20057.153225074842</v>
      </c>
      <c r="AE219" s="233">
        <f t="shared" si="338"/>
        <v>6143.5180985212737</v>
      </c>
      <c r="AF219" s="233">
        <f t="shared" si="338"/>
        <v>6391.1820738455954</v>
      </c>
      <c r="AG219" s="233">
        <f t="shared" si="338"/>
        <v>5835.9793159756873</v>
      </c>
      <c r="AH219" s="233">
        <f t="shared" si="338"/>
        <v>3808.4006168919532</v>
      </c>
      <c r="AI219" s="233">
        <f t="shared" si="338"/>
        <v>22179.080105234509</v>
      </c>
      <c r="AJ219" s="1011">
        <f t="shared" si="338"/>
        <v>2927.5151955003175</v>
      </c>
      <c r="AK219" s="1012">
        <f t="shared" si="338"/>
        <v>2668.9648915903113</v>
      </c>
      <c r="AL219" s="1012">
        <f t="shared" si="338"/>
        <v>3772.1128549396713</v>
      </c>
      <c r="AM219" s="1013">
        <f t="shared" si="338"/>
        <v>4222.0811031479634</v>
      </c>
      <c r="AN219" s="233">
        <f t="shared" si="338"/>
        <v>13590.674045178263</v>
      </c>
      <c r="AO219" s="1011">
        <f t="shared" si="338"/>
        <v>4902.476639753243</v>
      </c>
      <c r="AP219" s="1012">
        <f t="shared" si="338"/>
        <v>5334.3010069853935</v>
      </c>
      <c r="AQ219" s="1012">
        <f t="shared" ref="AQ219:BV219" si="339">(AQ34+AQ141+AQ100)/1.1023</f>
        <v>5041.2773292207203</v>
      </c>
      <c r="AR219" s="1013">
        <f t="shared" si="339"/>
        <v>4966.8874172185424</v>
      </c>
      <c r="AS219" s="233">
        <f t="shared" si="339"/>
        <v>20244.942393177898</v>
      </c>
      <c r="AT219" s="1011">
        <f t="shared" si="339"/>
        <v>5283.4981402521998</v>
      </c>
      <c r="AU219" s="1012">
        <f t="shared" si="339"/>
        <v>4987.7528803411051</v>
      </c>
      <c r="AV219" s="1012">
        <f t="shared" si="339"/>
        <v>5000.4535970244033</v>
      </c>
      <c r="AW219" s="1013">
        <f t="shared" si="339"/>
        <v>4916.0845504853487</v>
      </c>
      <c r="AX219" s="233">
        <f t="shared" si="339"/>
        <v>20187.789168103056</v>
      </c>
      <c r="AY219" s="1011">
        <f t="shared" si="339"/>
        <v>5140.1614805406871</v>
      </c>
      <c r="AZ219" s="1012">
        <f t="shared" si="339"/>
        <v>4929.6924612174544</v>
      </c>
      <c r="BA219" s="1012">
        <f t="shared" si="339"/>
        <v>4844.4162206295923</v>
      </c>
      <c r="BB219" s="1013">
        <f t="shared" si="339"/>
        <v>4750.0680395536601</v>
      </c>
      <c r="BC219" s="233">
        <f t="shared" si="339"/>
        <v>19664.338201941395</v>
      </c>
      <c r="BD219" s="1011">
        <f t="shared" si="339"/>
        <v>4984.1241041458761</v>
      </c>
      <c r="BE219" s="1012">
        <f t="shared" si="339"/>
        <v>4759.1399800417303</v>
      </c>
      <c r="BF219" s="1012">
        <f t="shared" si="339"/>
        <v>4307.3573437358245</v>
      </c>
      <c r="BG219" s="1013">
        <f t="shared" si="339"/>
        <v>4457.0443617889869</v>
      </c>
      <c r="BH219" s="233">
        <f t="shared" si="339"/>
        <v>18507.665789712417</v>
      </c>
      <c r="BI219" s="1011">
        <f t="shared" si="339"/>
        <v>4648.4623060872718</v>
      </c>
      <c r="BJ219" s="1012">
        <f t="shared" si="339"/>
        <v>4562.2788714506032</v>
      </c>
      <c r="BK219" s="1012">
        <f t="shared" si="339"/>
        <v>4633.0400072575521</v>
      </c>
      <c r="BL219" s="1013">
        <f t="shared" si="339"/>
        <v>4146.783997096979</v>
      </c>
      <c r="BM219" s="233">
        <f t="shared" si="339"/>
        <v>17990.565181892405</v>
      </c>
      <c r="BN219" s="1011">
        <f t="shared" si="339"/>
        <v>3720.4027941576701</v>
      </c>
      <c r="BO219" s="1012">
        <f t="shared" si="339"/>
        <v>3632.4049714233875</v>
      </c>
      <c r="BP219" s="1012">
        <f t="shared" si="339"/>
        <v>3492.6970879071032</v>
      </c>
      <c r="BQ219" s="1013">
        <f t="shared" si="339"/>
        <v>3356.617980586047</v>
      </c>
      <c r="BR219" s="233">
        <f t="shared" si="339"/>
        <v>14202.122834074207</v>
      </c>
      <c r="BS219" s="1011">
        <f t="shared" si="339"/>
        <v>3257.7338292660797</v>
      </c>
      <c r="BT219" s="1012">
        <f t="shared" si="339"/>
        <v>3526.2632677129636</v>
      </c>
      <c r="BU219" s="1012">
        <f t="shared" si="339"/>
        <v>3395.62732468475</v>
      </c>
      <c r="BV219" s="1013">
        <f t="shared" si="339"/>
        <v>3418.3071759049258</v>
      </c>
      <c r="BW219" s="233">
        <f t="shared" ref="BW219:CQ219" si="340">(BW34+BW141+BW100)/1.1023</f>
        <v>13597.931597568719</v>
      </c>
      <c r="BX219" s="1011">
        <f t="shared" si="340"/>
        <v>3317.6086364873445</v>
      </c>
      <c r="BY219" s="1012">
        <f t="shared" si="340"/>
        <v>3478.1819831261905</v>
      </c>
      <c r="BZ219" s="1012">
        <f t="shared" si="340"/>
        <v>3443.7086092715231</v>
      </c>
      <c r="CA219" s="1013">
        <f t="shared" si="340"/>
        <v>3513.562551029665</v>
      </c>
      <c r="CB219" s="233">
        <f t="shared" si="340"/>
        <v>13753.061779914722</v>
      </c>
      <c r="CC219" s="1011">
        <f t="shared" si="340"/>
        <v>3345.9493785720761</v>
      </c>
      <c r="CD219" s="1012">
        <f t="shared" si="340"/>
        <v>3533.4936042819554</v>
      </c>
      <c r="CE219" s="1012">
        <f t="shared" si="340"/>
        <v>3708.0649550938947</v>
      </c>
      <c r="CF219" s="1013">
        <f t="shared" si="340"/>
        <v>3787.5260818289034</v>
      </c>
      <c r="CG219" s="233">
        <f t="shared" si="340"/>
        <v>14375.034019776829</v>
      </c>
      <c r="CH219" s="1011">
        <f t="shared" si="340"/>
        <v>3636.4158577519729</v>
      </c>
      <c r="CI219" s="1012">
        <f t="shared" si="340"/>
        <v>3852.8167377302002</v>
      </c>
      <c r="CJ219" s="1012">
        <f t="shared" si="340"/>
        <v>3764.880703982582</v>
      </c>
      <c r="CK219" s="1013">
        <f t="shared" si="340"/>
        <v>3842.2655356980858</v>
      </c>
      <c r="CL219" s="233">
        <f t="shared" si="340"/>
        <v>15096.378835162839</v>
      </c>
      <c r="CM219" s="1011">
        <f t="shared" si="340"/>
        <v>3640.6543409235233</v>
      </c>
      <c r="CN219" s="1012">
        <f t="shared" si="340"/>
        <v>3858.871713689558</v>
      </c>
      <c r="CO219" s="1012">
        <f t="shared" si="340"/>
        <v>3771.1038737185877</v>
      </c>
      <c r="CP219" s="1013">
        <f t="shared" si="340"/>
        <v>3847.5342057516109</v>
      </c>
      <c r="CQ219" s="1012">
        <f t="shared" si="340"/>
        <v>15118.164134083281</v>
      </c>
      <c r="CR219" s="81"/>
      <c r="CS219" s="75"/>
      <c r="CT219" s="75"/>
      <c r="CU219" s="75"/>
    </row>
    <row r="220" spans="1:99" ht="13.5" customHeight="1" outlineLevel="1">
      <c r="A220" s="75"/>
      <c r="B220" s="75"/>
      <c r="C220" s="607" t="s">
        <v>571</v>
      </c>
      <c r="D220" s="233"/>
      <c r="E220" s="233"/>
      <c r="F220" s="233"/>
      <c r="G220" s="233"/>
      <c r="H220" s="233"/>
      <c r="I220" s="233"/>
      <c r="J220" s="233"/>
      <c r="K220" s="233">
        <f t="shared" ref="K220:AP220" si="341">(K40+K144)/1.1023</f>
        <v>6110.5373674015236</v>
      </c>
      <c r="L220" s="233">
        <f t="shared" si="341"/>
        <v>6059.6650033145597</v>
      </c>
      <c r="M220" s="233">
        <f t="shared" si="341"/>
        <v>6129.1738245103716</v>
      </c>
      <c r="N220" s="233">
        <f t="shared" si="341"/>
        <v>6128.7589963629316</v>
      </c>
      <c r="O220" s="233">
        <f t="shared" si="341"/>
        <v>24428.135191589387</v>
      </c>
      <c r="P220" s="233">
        <f t="shared" si="341"/>
        <v>5997.3676359917117</v>
      </c>
      <c r="Q220" s="233">
        <f t="shared" si="341"/>
        <v>6066.9012517270967</v>
      </c>
      <c r="R220" s="233">
        <f t="shared" si="341"/>
        <v>6132.1041601012457</v>
      </c>
      <c r="S220" s="233">
        <f t="shared" si="341"/>
        <v>6134.914389368294</v>
      </c>
      <c r="T220" s="233">
        <f t="shared" si="341"/>
        <v>24331.287437188352</v>
      </c>
      <c r="U220" s="233">
        <f t="shared" si="341"/>
        <v>5999.7470121736915</v>
      </c>
      <c r="V220" s="233">
        <f t="shared" si="341"/>
        <v>6066.9756452372776</v>
      </c>
      <c r="W220" s="233">
        <f t="shared" si="341"/>
        <v>6135.1774054868811</v>
      </c>
      <c r="X220" s="233">
        <f t="shared" si="341"/>
        <v>6131.7830891533104</v>
      </c>
      <c r="Y220" s="233">
        <f t="shared" si="341"/>
        <v>24333.683152051166</v>
      </c>
      <c r="Z220" s="233">
        <f t="shared" si="341"/>
        <v>6002.6937988881928</v>
      </c>
      <c r="AA220" s="233">
        <f t="shared" si="341"/>
        <v>6066.2806517324143</v>
      </c>
      <c r="AB220" s="233">
        <f t="shared" si="341"/>
        <v>6135.3531382833244</v>
      </c>
      <c r="AC220" s="233">
        <f t="shared" si="341"/>
        <v>6871.9484705672794</v>
      </c>
      <c r="AD220" s="233">
        <f t="shared" si="341"/>
        <v>25076.276059471213</v>
      </c>
      <c r="AE220" s="233">
        <f t="shared" si="341"/>
        <v>7172.5753643717162</v>
      </c>
      <c r="AF220" s="233">
        <f t="shared" si="341"/>
        <v>7168.4047117608225</v>
      </c>
      <c r="AG220" s="233">
        <f t="shared" si="341"/>
        <v>7251.317654174014</v>
      </c>
      <c r="AH220" s="233">
        <f t="shared" si="341"/>
        <v>7246.4238066610778</v>
      </c>
      <c r="AI220" s="233">
        <f t="shared" si="341"/>
        <v>28838.721536967631</v>
      </c>
      <c r="AJ220" s="1011">
        <f t="shared" si="341"/>
        <v>7094.5850692030826</v>
      </c>
      <c r="AK220" s="1012">
        <f t="shared" si="341"/>
        <v>7172.8895312105287</v>
      </c>
      <c r="AL220" s="1012">
        <f t="shared" si="341"/>
        <v>7249.588312787866</v>
      </c>
      <c r="AM220" s="1013">
        <f t="shared" si="341"/>
        <v>7247.9739006611717</v>
      </c>
      <c r="AN220" s="233">
        <f t="shared" si="341"/>
        <v>28765.036813862651</v>
      </c>
      <c r="AO220" s="1011">
        <f t="shared" si="341"/>
        <v>7102.7823145812708</v>
      </c>
      <c r="AP220" s="1012">
        <f t="shared" si="341"/>
        <v>7177.0634692994863</v>
      </c>
      <c r="AQ220" s="1012">
        <f t="shared" ref="AQ220:BV220" si="342">(AQ40+AQ144)/1.1023</f>
        <v>7228.0980382223233</v>
      </c>
      <c r="AR220" s="1013">
        <f t="shared" si="342"/>
        <v>7208.8381645670952</v>
      </c>
      <c r="AS220" s="233">
        <f t="shared" si="342"/>
        <v>28716.781986670176</v>
      </c>
      <c r="AT220" s="1011">
        <f t="shared" si="342"/>
        <v>7074.8457629248378</v>
      </c>
      <c r="AU220" s="1012">
        <f t="shared" si="342"/>
        <v>7145.5962018119926</v>
      </c>
      <c r="AV220" s="1012">
        <f t="shared" si="342"/>
        <v>7219.1166471627421</v>
      </c>
      <c r="AW220" s="1013">
        <f t="shared" si="342"/>
        <v>7245.8286519794274</v>
      </c>
      <c r="AX220" s="233">
        <f t="shared" si="342"/>
        <v>28685.387263879002</v>
      </c>
      <c r="AY220" s="1011">
        <f t="shared" si="342"/>
        <v>6835.459624303362</v>
      </c>
      <c r="AZ220" s="1012">
        <f t="shared" si="342"/>
        <v>6655.3424918236587</v>
      </c>
      <c r="BA220" s="1012">
        <f t="shared" si="342"/>
        <v>6685.3525077239128</v>
      </c>
      <c r="BB220" s="1013">
        <f t="shared" si="342"/>
        <v>6662.5744753296231</v>
      </c>
      <c r="BC220" s="233">
        <f t="shared" si="342"/>
        <v>26838.729099180557</v>
      </c>
      <c r="BD220" s="1011">
        <f t="shared" si="342"/>
        <v>6556.7912731635342</v>
      </c>
      <c r="BE220" s="1012">
        <f t="shared" si="342"/>
        <v>6588.3191032073282</v>
      </c>
      <c r="BF220" s="1012">
        <f t="shared" si="342"/>
        <v>6663.9566746881173</v>
      </c>
      <c r="BG220" s="1013">
        <f t="shared" si="342"/>
        <v>6698.6985907838198</v>
      </c>
      <c r="BH220" s="233">
        <f t="shared" si="342"/>
        <v>26507.765641842801</v>
      </c>
      <c r="BI220" s="1011">
        <f t="shared" si="342"/>
        <v>6021.7047028250781</v>
      </c>
      <c r="BJ220" s="1012">
        <f t="shared" si="342"/>
        <v>6130.175557476914</v>
      </c>
      <c r="BK220" s="1012">
        <f t="shared" si="342"/>
        <v>6076.8815310059936</v>
      </c>
      <c r="BL220" s="1013">
        <f t="shared" si="342"/>
        <v>5577.2778130575462</v>
      </c>
      <c r="BM220" s="233">
        <f t="shared" si="342"/>
        <v>23806.039604365531</v>
      </c>
      <c r="BN220" s="1011">
        <f t="shared" si="342"/>
        <v>5455.5509808163342</v>
      </c>
      <c r="BO220" s="1012">
        <f t="shared" si="342"/>
        <v>5526.0630593711585</v>
      </c>
      <c r="BP220" s="1012">
        <f t="shared" si="342"/>
        <v>5595.5545658893197</v>
      </c>
      <c r="BQ220" s="1013">
        <f t="shared" si="342"/>
        <v>4991.4998873396862</v>
      </c>
      <c r="BR220" s="233">
        <f t="shared" si="342"/>
        <v>21568.668493416502</v>
      </c>
      <c r="BS220" s="1011">
        <f t="shared" si="342"/>
        <v>4955.8014820371382</v>
      </c>
      <c r="BT220" s="1012">
        <f t="shared" si="342"/>
        <v>4947.1440280756169</v>
      </c>
      <c r="BU220" s="1012">
        <f t="shared" si="342"/>
        <v>5012.969761977185</v>
      </c>
      <c r="BV220" s="1013">
        <f t="shared" si="342"/>
        <v>5059.9902353332591</v>
      </c>
      <c r="BW220" s="233">
        <f t="shared" ref="BW220:CQ220" si="343">(BW40+BW144)/1.1023</f>
        <v>19975.905507423202</v>
      </c>
      <c r="BX220" s="1011">
        <f t="shared" si="343"/>
        <v>4906.7567347527429</v>
      </c>
      <c r="BY220" s="1012">
        <f t="shared" si="343"/>
        <v>4974.6079248244396</v>
      </c>
      <c r="BZ220" s="1012">
        <f t="shared" si="343"/>
        <v>5020.8169335707862</v>
      </c>
      <c r="CA220" s="1013">
        <f t="shared" si="343"/>
        <v>5039.5792480524406</v>
      </c>
      <c r="CB220" s="233">
        <f t="shared" si="343"/>
        <v>19941.760841200408</v>
      </c>
      <c r="CC220" s="1011">
        <f t="shared" si="343"/>
        <v>4989.5672684387191</v>
      </c>
      <c r="CD220" s="1012">
        <f t="shared" si="343"/>
        <v>4989.5672684387191</v>
      </c>
      <c r="CE220" s="1012">
        <f t="shared" si="343"/>
        <v>4989.5672684387191</v>
      </c>
      <c r="CF220" s="1013">
        <f t="shared" si="343"/>
        <v>4989.5672684387191</v>
      </c>
      <c r="CG220" s="233">
        <f t="shared" si="343"/>
        <v>19958.269073754876</v>
      </c>
      <c r="CH220" s="1011">
        <f t="shared" si="343"/>
        <v>4989.5672684387191</v>
      </c>
      <c r="CI220" s="1012">
        <f t="shared" si="343"/>
        <v>4989.5672684387191</v>
      </c>
      <c r="CJ220" s="1012">
        <f t="shared" si="343"/>
        <v>4989.5672684387191</v>
      </c>
      <c r="CK220" s="1013">
        <f t="shared" si="343"/>
        <v>4989.5672684387191</v>
      </c>
      <c r="CL220" s="233">
        <f t="shared" si="343"/>
        <v>19958.269073754876</v>
      </c>
      <c r="CM220" s="1011">
        <f t="shared" si="343"/>
        <v>4989.5672684387191</v>
      </c>
      <c r="CN220" s="1012">
        <f t="shared" si="343"/>
        <v>4989.5672684387191</v>
      </c>
      <c r="CO220" s="1012">
        <f t="shared" si="343"/>
        <v>4989.5672684387191</v>
      </c>
      <c r="CP220" s="1013">
        <f t="shared" si="343"/>
        <v>4989.5672684387191</v>
      </c>
      <c r="CQ220" s="1012">
        <f t="shared" si="343"/>
        <v>19958.269073754876</v>
      </c>
      <c r="CR220" s="81"/>
      <c r="CS220" s="75"/>
      <c r="CT220" s="75"/>
      <c r="CU220" s="75"/>
    </row>
    <row r="221" spans="1:99" ht="13.5" customHeight="1" outlineLevel="1">
      <c r="CR221"/>
    </row>
    <row r="222" spans="1:99" ht="13.5" customHeight="1">
      <c r="A222" s="1126"/>
      <c r="B222" s="1126"/>
      <c r="C222" s="1126"/>
      <c r="D222" s="1126"/>
      <c r="E222" s="1126"/>
      <c r="F222" s="1126"/>
      <c r="G222" s="1126"/>
      <c r="H222" s="1126"/>
      <c r="I222" s="1126"/>
      <c r="J222" s="1126"/>
      <c r="K222" s="1126"/>
      <c r="L222" s="1126"/>
      <c r="M222" s="1126"/>
      <c r="N222" s="1126"/>
      <c r="O222" s="1126"/>
      <c r="P222" s="1126"/>
      <c r="Q222" s="1126"/>
      <c r="R222" s="1126"/>
      <c r="S222" s="1126"/>
      <c r="T222" s="1126"/>
      <c r="U222" s="1126"/>
      <c r="V222" s="1126"/>
      <c r="W222" s="1126"/>
      <c r="X222" s="1126"/>
      <c r="Y222" s="1126"/>
      <c r="Z222" s="1126"/>
      <c r="AA222" s="1126"/>
      <c r="AB222" s="1126"/>
      <c r="AC222" s="1126"/>
      <c r="AD222" s="1126"/>
      <c r="AE222" s="1126"/>
      <c r="AF222" s="1126"/>
      <c r="AG222" s="1126"/>
      <c r="AH222" s="1126"/>
      <c r="AI222" s="1126"/>
      <c r="AJ222" s="1127"/>
      <c r="AK222" s="1126"/>
      <c r="AL222" s="1126"/>
      <c r="AM222" s="1128"/>
      <c r="AN222" s="1126"/>
      <c r="AO222" s="1127"/>
      <c r="AP222" s="1126"/>
      <c r="AQ222" s="1126"/>
      <c r="AR222" s="1128"/>
      <c r="AS222" s="1126"/>
      <c r="AT222" s="1127"/>
      <c r="AU222" s="1126"/>
      <c r="AV222" s="1126"/>
      <c r="AW222" s="1128"/>
      <c r="AX222" s="1126"/>
      <c r="AY222" s="1127"/>
      <c r="AZ222" s="1126"/>
      <c r="BA222" s="1126"/>
      <c r="BB222" s="1128"/>
      <c r="BC222" s="1126"/>
      <c r="BD222" s="1127"/>
      <c r="BE222" s="1126"/>
      <c r="BF222" s="1126"/>
      <c r="BG222" s="1128"/>
      <c r="BH222" s="1126"/>
      <c r="BI222" s="1127"/>
      <c r="BJ222" s="1126"/>
      <c r="BK222" s="1126"/>
      <c r="BL222" s="1128"/>
      <c r="BM222" s="1126"/>
      <c r="BN222" s="1127"/>
      <c r="BO222" s="1126"/>
      <c r="BP222" s="1126"/>
      <c r="BQ222" s="1128"/>
      <c r="BR222" s="1126"/>
      <c r="BS222" s="1127"/>
      <c r="BT222" s="1126"/>
      <c r="BU222" s="1126"/>
      <c r="BV222" s="1128"/>
      <c r="BW222" s="1126"/>
      <c r="BX222" s="1127"/>
      <c r="BY222" s="1126"/>
      <c r="BZ222" s="1126"/>
      <c r="CA222" s="1128"/>
      <c r="CB222" s="1126"/>
      <c r="CC222" s="1127"/>
      <c r="CD222" s="1126"/>
      <c r="CE222" s="1126"/>
      <c r="CF222" s="1128"/>
      <c r="CG222" s="1126"/>
      <c r="CH222" s="1127"/>
      <c r="CI222" s="1126"/>
      <c r="CJ222" s="1126"/>
      <c r="CK222" s="1128"/>
      <c r="CL222" s="1126"/>
      <c r="CM222" s="1127"/>
      <c r="CN222" s="1126"/>
      <c r="CO222" s="1126"/>
      <c r="CP222" s="1128"/>
      <c r="CQ222" s="1126"/>
    </row>
  </sheetData>
  <phoneticPr fontId="27" type="noConversion"/>
  <pageMargins left="0.75" right="0.75" top="1" bottom="1" header="0.5" footer="0.5"/>
  <pageSetup scale="11"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CR313"/>
  <sheetViews>
    <sheetView showGridLines="0" zoomScaleNormal="100" workbookViewId="0">
      <pane xSplit="4" ySplit="7" topLeftCell="BH109" activePane="bottomRight" state="frozen"/>
      <selection pane="topRight"/>
      <selection pane="bottomLeft"/>
      <selection pane="bottomRight"/>
    </sheetView>
  </sheetViews>
  <sheetFormatPr defaultRowHeight="12.75" outlineLevelRow="1" outlineLevelCol="1"/>
  <cols>
    <col min="1" max="2" width="2.7109375" customWidth="1"/>
    <col min="3" max="3" width="28.42578125" bestFit="1" customWidth="1"/>
    <col min="4" max="29" width="9.140625" hidden="1" customWidth="1" outlineLevel="1"/>
    <col min="30" max="30" width="9.140625" hidden="1" customWidth="1" outlineLevel="1" collapsed="1"/>
    <col min="31" max="34" width="9.140625" hidden="1" customWidth="1" outlineLevel="1"/>
    <col min="35" max="35" width="9.140625" customWidth="1" collapsed="1"/>
    <col min="36" max="39" width="9.140625" hidden="1" customWidth="1" outlineLevel="1"/>
    <col min="40" max="40" width="9.140625" customWidth="1" collapsed="1"/>
    <col min="41" max="44" width="9.140625" hidden="1" customWidth="1" outlineLevel="1"/>
    <col min="45" max="45" width="9.140625" customWidth="1" collapsed="1"/>
    <col min="46" max="49" width="9.140625" hidden="1" customWidth="1" outlineLevel="1"/>
    <col min="50" max="50" width="9.140625" customWidth="1" collapsed="1"/>
    <col min="51" max="54" width="9.140625" hidden="1" customWidth="1" outlineLevel="1"/>
    <col min="55" max="55" width="9.140625" customWidth="1" collapsed="1"/>
    <col min="56" max="59" width="9.140625" hidden="1" customWidth="1" outlineLevel="1"/>
    <col min="60" max="60" width="9.140625" customWidth="1" collapsed="1"/>
    <col min="61" max="64" width="9.140625" hidden="1" customWidth="1" outlineLevel="1"/>
    <col min="65" max="65" width="9.140625" customWidth="1" collapsed="1"/>
    <col min="66" max="69" width="9.140625" hidden="1" customWidth="1" outlineLevel="1"/>
    <col min="70" max="70" width="9.140625" customWidth="1" collapsed="1"/>
    <col min="71" max="74" width="9.140625" hidden="1" customWidth="1" outlineLevel="1"/>
    <col min="75" max="75" width="9.140625" customWidth="1" collapsed="1"/>
    <col min="76" max="79" width="9.140625" customWidth="1" outlineLevel="1"/>
    <col min="80" max="80" width="9.140625" customWidth="1"/>
    <col min="81" max="84" width="9.140625" customWidth="1" outlineLevel="1"/>
    <col min="85" max="85" width="9.140625" customWidth="1"/>
    <col min="86" max="89" width="9.140625" hidden="1" customWidth="1" outlineLevel="1"/>
    <col min="90" max="90" width="9.140625" customWidth="1" collapsed="1"/>
    <col min="91" max="94" width="9.140625" hidden="1" customWidth="1" outlineLevel="1"/>
    <col min="95" max="95" width="9.140625" customWidth="1" collapsed="1"/>
    <col min="97" max="97" width="21.7109375" customWidth="1"/>
  </cols>
  <sheetData>
    <row r="1" spans="1:96" ht="13.5" customHeight="1">
      <c r="A1" s="79"/>
      <c r="B1" s="79"/>
      <c r="C1" s="79"/>
      <c r="D1" s="79"/>
      <c r="E1" s="79"/>
      <c r="F1" s="129"/>
      <c r="G1" s="129"/>
      <c r="H1" s="129"/>
      <c r="I1" s="129"/>
      <c r="J1" s="129"/>
      <c r="K1" s="129"/>
      <c r="L1" s="129"/>
      <c r="M1" s="129"/>
      <c r="N1" s="129"/>
      <c r="O1" s="129"/>
      <c r="P1" s="129"/>
      <c r="Q1" s="129"/>
      <c r="R1" s="129"/>
      <c r="S1" s="129"/>
      <c r="T1" s="129"/>
      <c r="U1" s="130"/>
      <c r="V1" s="130"/>
      <c r="W1" s="130"/>
      <c r="X1" s="130"/>
      <c r="Y1" s="129"/>
      <c r="Z1" s="129"/>
      <c r="AA1" s="129"/>
      <c r="AB1" s="129"/>
      <c r="AC1" s="129"/>
      <c r="AD1" s="129"/>
      <c r="AE1" s="129"/>
      <c r="AF1" s="129"/>
      <c r="AG1" s="129"/>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30"/>
      <c r="BG1" s="129"/>
      <c r="BH1" s="129"/>
      <c r="BI1" s="131"/>
      <c r="BJ1" s="131"/>
      <c r="BK1" s="153"/>
      <c r="BL1" s="153"/>
      <c r="BM1" s="131"/>
      <c r="BN1" s="131"/>
      <c r="BO1" s="131"/>
      <c r="BP1" s="131"/>
      <c r="BQ1" s="131"/>
      <c r="BR1" s="131"/>
      <c r="BS1" s="131"/>
      <c r="BT1" s="131"/>
      <c r="BU1" s="131"/>
      <c r="BV1" s="131"/>
      <c r="BW1" s="131"/>
      <c r="BX1" s="131"/>
      <c r="BY1" s="131"/>
      <c r="BZ1" s="131"/>
      <c r="CA1" s="131"/>
      <c r="CB1" s="131"/>
      <c r="CC1" s="131"/>
      <c r="CD1" s="131"/>
      <c r="CE1" s="131"/>
      <c r="CF1" s="131"/>
      <c r="CG1" s="131"/>
      <c r="CH1" s="131"/>
      <c r="CI1" s="131"/>
      <c r="CJ1" s="131"/>
      <c r="CK1" s="131"/>
      <c r="CL1" s="131"/>
      <c r="CM1" s="131"/>
      <c r="CN1" s="131"/>
      <c r="CO1" s="131"/>
      <c r="CP1" s="131"/>
      <c r="CQ1" s="131"/>
      <c r="CR1" s="75"/>
    </row>
    <row r="2" spans="1:96" ht="13.5" customHeight="1">
      <c r="A2" s="132" t="s">
        <v>709</v>
      </c>
      <c r="B2" s="133"/>
      <c r="C2" s="134"/>
      <c r="D2" s="79"/>
      <c r="E2" s="79"/>
      <c r="F2" s="135"/>
      <c r="G2" s="135"/>
      <c r="H2" s="135"/>
      <c r="I2" s="135"/>
      <c r="J2" s="135"/>
      <c r="K2" s="135"/>
      <c r="L2" s="135"/>
      <c r="M2" s="135"/>
      <c r="N2" s="135"/>
      <c r="O2" s="135"/>
      <c r="P2" s="129"/>
      <c r="Q2" s="129"/>
      <c r="R2" s="129"/>
      <c r="S2" s="129"/>
      <c r="T2" s="129"/>
      <c r="U2" s="130"/>
      <c r="V2" s="130"/>
      <c r="W2" s="130"/>
      <c r="X2" s="130"/>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30"/>
      <c r="BG2" s="385"/>
      <c r="BH2" s="129"/>
      <c r="BI2" s="129"/>
      <c r="BJ2" s="129"/>
      <c r="BK2" s="153"/>
      <c r="BL2" s="153"/>
      <c r="BM2" s="129"/>
      <c r="BN2" s="129"/>
      <c r="BO2" s="129"/>
      <c r="BP2" s="129"/>
      <c r="BQ2" s="129"/>
      <c r="BR2" s="129"/>
      <c r="BS2" s="129"/>
      <c r="BT2" s="129"/>
      <c r="BU2" s="129"/>
      <c r="BV2" s="129"/>
      <c r="BW2" s="129"/>
      <c r="BX2" s="129"/>
      <c r="BY2" s="129"/>
      <c r="BZ2" s="129"/>
      <c r="CA2" s="129"/>
      <c r="CB2" s="129"/>
      <c r="CC2" s="129"/>
      <c r="CD2" s="129"/>
      <c r="CE2" s="129"/>
      <c r="CF2" s="129"/>
      <c r="CG2" s="129"/>
      <c r="CH2" s="129"/>
      <c r="CI2" s="129"/>
      <c r="CJ2" s="129"/>
      <c r="CK2" s="129"/>
      <c r="CL2" s="129"/>
      <c r="CM2" s="129"/>
      <c r="CN2" s="129"/>
      <c r="CO2" s="129"/>
      <c r="CP2" s="129"/>
      <c r="CQ2" s="129"/>
      <c r="CR2" s="75"/>
    </row>
    <row r="3" spans="1:96" ht="13.5" customHeight="1">
      <c r="A3" s="132" t="s">
        <v>710</v>
      </c>
      <c r="B3" s="133"/>
      <c r="C3" s="136"/>
      <c r="D3" s="137"/>
      <c r="E3" s="137"/>
      <c r="F3" s="135"/>
      <c r="G3" s="135"/>
      <c r="H3" s="135"/>
      <c r="I3" s="138"/>
      <c r="J3" s="138"/>
      <c r="K3" s="135"/>
      <c r="L3" s="135"/>
      <c r="M3" s="135"/>
      <c r="N3" s="135"/>
      <c r="O3" s="135"/>
      <c r="P3" s="135"/>
      <c r="Q3" s="135"/>
      <c r="R3" s="135"/>
      <c r="S3" s="135"/>
      <c r="T3" s="135"/>
      <c r="U3" s="139"/>
      <c r="V3" s="139"/>
      <c r="W3" s="139"/>
      <c r="X3" s="139"/>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589"/>
      <c r="BG3" s="589"/>
      <c r="BH3" s="135"/>
      <c r="BI3" s="135"/>
      <c r="BJ3" s="135"/>
      <c r="BK3" s="153"/>
      <c r="BL3" s="153"/>
      <c r="BM3" s="135"/>
      <c r="BN3" s="384"/>
      <c r="BO3" s="384"/>
      <c r="BP3" s="384"/>
      <c r="BQ3" s="384"/>
      <c r="BR3" s="384"/>
      <c r="BS3" s="384"/>
      <c r="BT3" s="135"/>
      <c r="BU3" s="135"/>
      <c r="BV3" s="135"/>
      <c r="BW3" s="135"/>
      <c r="BX3" s="135"/>
      <c r="BY3" s="135"/>
      <c r="BZ3" s="135"/>
      <c r="CA3" s="135"/>
      <c r="CB3" s="135"/>
      <c r="CC3" s="135"/>
      <c r="CD3" s="135"/>
      <c r="CE3" s="135"/>
      <c r="CF3" s="135"/>
      <c r="CG3" s="135"/>
      <c r="CH3" s="135"/>
      <c r="CI3" s="135"/>
      <c r="CJ3" s="135"/>
      <c r="CK3" s="135"/>
      <c r="CL3" s="135"/>
      <c r="CM3" s="135"/>
      <c r="CN3" s="135"/>
      <c r="CO3" s="135"/>
      <c r="CP3" s="135"/>
      <c r="CQ3" s="135"/>
      <c r="CR3" s="81"/>
    </row>
    <row r="4" spans="1:96" ht="13.5" hidden="1" customHeight="1" outlineLevel="1">
      <c r="A4" s="132"/>
      <c r="B4" s="133"/>
      <c r="C4" s="136"/>
      <c r="D4" s="137"/>
      <c r="E4" s="137"/>
      <c r="F4" s="135"/>
      <c r="G4" s="135"/>
      <c r="H4" s="135"/>
      <c r="I4" s="138"/>
      <c r="J4" s="138"/>
      <c r="K4" s="135"/>
      <c r="L4" s="135"/>
      <c r="M4" s="135"/>
      <c r="N4" s="135"/>
      <c r="O4" s="135"/>
      <c r="P4" s="135"/>
      <c r="Q4" s="135"/>
      <c r="R4" s="135"/>
      <c r="S4" s="135"/>
      <c r="T4" s="135"/>
      <c r="U4" s="139"/>
      <c r="V4" s="139"/>
      <c r="W4" s="139"/>
      <c r="X4" s="139"/>
      <c r="Y4" s="135"/>
      <c r="Z4" s="135"/>
      <c r="AA4" s="135"/>
      <c r="AB4" s="135"/>
      <c r="AC4" s="135"/>
      <c r="AD4" s="135"/>
      <c r="AE4" s="86">
        <f>Operations!AE5</f>
        <v>39538</v>
      </c>
      <c r="AF4" s="86">
        <f>Operations!AF5</f>
        <v>39629</v>
      </c>
      <c r="AG4" s="86">
        <f>Operations!AG5</f>
        <v>39721</v>
      </c>
      <c r="AH4" s="86">
        <f>Operations!AH5</f>
        <v>39813</v>
      </c>
      <c r="AI4" s="86" t="str">
        <f>Operations!AI5</f>
        <v>FY8</v>
      </c>
      <c r="AJ4" s="86">
        <f>Operations!AJ5</f>
        <v>39903</v>
      </c>
      <c r="AK4" s="86">
        <f>Operations!AK5</f>
        <v>39994</v>
      </c>
      <c r="AL4" s="86">
        <f>Operations!AL5</f>
        <v>40086</v>
      </c>
      <c r="AM4" s="86">
        <f>Operations!AM5</f>
        <v>40178</v>
      </c>
      <c r="AN4" s="86" t="str">
        <f>Operations!AN5</f>
        <v>FY9</v>
      </c>
      <c r="AO4" s="86">
        <f>Operations!AO5</f>
        <v>40268</v>
      </c>
      <c r="AP4" s="86">
        <f>Operations!AP5</f>
        <v>40359</v>
      </c>
      <c r="AQ4" s="86">
        <f>Operations!AQ5</f>
        <v>40451</v>
      </c>
      <c r="AR4" s="86">
        <f>Operations!AR5</f>
        <v>40543</v>
      </c>
      <c r="AS4" s="86" t="str">
        <f>Operations!AS5</f>
        <v>FY10</v>
      </c>
      <c r="AT4" s="86">
        <f>Operations!AT5</f>
        <v>40633</v>
      </c>
      <c r="AU4" s="86">
        <f>Operations!AU5</f>
        <v>40724</v>
      </c>
      <c r="AV4" s="86">
        <f>Operations!AV5</f>
        <v>40816</v>
      </c>
      <c r="AW4" s="86">
        <f>Operations!AW5</f>
        <v>40908</v>
      </c>
      <c r="AX4" s="86" t="str">
        <f>Operations!AX5</f>
        <v>FY11</v>
      </c>
      <c r="AY4" s="86">
        <f>Operations!AY5</f>
        <v>40999</v>
      </c>
      <c r="AZ4" s="86">
        <f>Operations!AZ5</f>
        <v>41090</v>
      </c>
      <c r="BA4" s="86">
        <f>Operations!BA5</f>
        <v>41182</v>
      </c>
      <c r="BB4" s="86">
        <f>Operations!BB5</f>
        <v>41274</v>
      </c>
      <c r="BC4" s="86" t="str">
        <f>Operations!BC5</f>
        <v>FY12</v>
      </c>
      <c r="BD4" s="86">
        <f>Operations!BD5</f>
        <v>41364</v>
      </c>
      <c r="BE4" s="86">
        <f>Operations!BE5</f>
        <v>41455</v>
      </c>
      <c r="BF4" s="86">
        <f>Operations!BF5</f>
        <v>41547</v>
      </c>
      <c r="BG4" s="86">
        <f>Operations!BG5</f>
        <v>41639</v>
      </c>
      <c r="BH4" s="86" t="str">
        <f>Operations!BH5</f>
        <v>FY13</v>
      </c>
      <c r="BI4" s="86">
        <v>41729</v>
      </c>
      <c r="BJ4" s="86">
        <v>41820</v>
      </c>
      <c r="BK4" s="86">
        <f>Operations!BK5</f>
        <v>41912</v>
      </c>
      <c r="BL4" s="86">
        <f>Operations!BL5</f>
        <v>42004</v>
      </c>
      <c r="BM4" s="86" t="str">
        <f>Operations!BM5</f>
        <v>FY14</v>
      </c>
      <c r="BN4" s="86">
        <f>Operations!BN5</f>
        <v>42094</v>
      </c>
      <c r="BO4" s="86">
        <f>Operations!BO5</f>
        <v>42185</v>
      </c>
      <c r="BP4" s="86">
        <f>Operations!BP5</f>
        <v>42277</v>
      </c>
      <c r="BQ4" s="86">
        <f>Operations!BQ5</f>
        <v>42369</v>
      </c>
      <c r="BR4" s="86" t="str">
        <f>Operations!BR5</f>
        <v>FY15</v>
      </c>
      <c r="BS4" s="86">
        <f>Operations!BS5</f>
        <v>42460</v>
      </c>
      <c r="BT4" s="86">
        <f>Operations!BT5</f>
        <v>42551</v>
      </c>
      <c r="BU4" s="86">
        <f>Operations!BU5</f>
        <v>42643</v>
      </c>
      <c r="BV4" s="86">
        <f>Operations!BV5</f>
        <v>42735</v>
      </c>
      <c r="BW4" s="86" t="str">
        <f>Operations!BW5</f>
        <v>FY16</v>
      </c>
      <c r="BX4" s="86">
        <f>Operations!BX5</f>
        <v>42825</v>
      </c>
      <c r="BY4" s="86">
        <f>Operations!BY5</f>
        <v>42916</v>
      </c>
      <c r="BZ4" s="86">
        <f>Operations!BZ5</f>
        <v>43008</v>
      </c>
      <c r="CA4" s="86">
        <f>Operations!CA5</f>
        <v>43100</v>
      </c>
      <c r="CB4" s="86" t="str">
        <f>Operations!CB5</f>
        <v>FY17</v>
      </c>
      <c r="CC4" s="86">
        <f>Operations!CC5</f>
        <v>43190</v>
      </c>
      <c r="CD4" s="86">
        <f>Operations!CD5</f>
        <v>43281</v>
      </c>
      <c r="CE4" s="86">
        <f>Operations!CE5</f>
        <v>43373</v>
      </c>
      <c r="CF4" s="86">
        <f>Operations!CF5</f>
        <v>43465</v>
      </c>
      <c r="CG4" s="86" t="str">
        <f>Operations!CG5</f>
        <v>FY18</v>
      </c>
      <c r="CH4" s="86">
        <f>Operations!CH5</f>
        <v>43555</v>
      </c>
      <c r="CI4" s="86">
        <f>Operations!CI5</f>
        <v>43646</v>
      </c>
      <c r="CJ4" s="86">
        <f>Operations!CJ5</f>
        <v>43738</v>
      </c>
      <c r="CK4" s="86">
        <f>Operations!CK5</f>
        <v>43830</v>
      </c>
      <c r="CL4" s="86" t="str">
        <f>Operations!CL5</f>
        <v>FY19</v>
      </c>
      <c r="CM4" s="86">
        <f>Operations!CM5</f>
        <v>43921</v>
      </c>
      <c r="CN4" s="86">
        <f>Operations!CN5</f>
        <v>44012</v>
      </c>
      <c r="CO4" s="86">
        <f>Operations!CO5</f>
        <v>44104</v>
      </c>
      <c r="CP4" s="86">
        <f>Operations!CP5</f>
        <v>44196</v>
      </c>
      <c r="CQ4" s="86" t="str">
        <f>Operations!CQ5</f>
        <v>FY20</v>
      </c>
      <c r="CR4" s="81"/>
    </row>
    <row r="5" spans="1:96" ht="13.5" customHeight="1" collapsed="1">
      <c r="A5" s="140"/>
      <c r="B5" s="141"/>
      <c r="C5" s="140"/>
      <c r="D5" s="137"/>
      <c r="E5" s="137"/>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81"/>
    </row>
    <row r="6" spans="1:96" ht="13.5" hidden="1" customHeight="1" outlineLevel="1">
      <c r="A6" s="805"/>
      <c r="B6" s="806"/>
      <c r="C6" s="807"/>
      <c r="D6" s="895"/>
      <c r="E6" s="895"/>
      <c r="F6" s="896">
        <v>2003</v>
      </c>
      <c r="G6" s="896"/>
      <c r="H6" s="896"/>
      <c r="I6" s="896"/>
      <c r="J6" s="808"/>
      <c r="K6" s="896">
        <f>O7</f>
        <v>2004</v>
      </c>
      <c r="L6" s="896"/>
      <c r="M6" s="896"/>
      <c r="N6" s="896"/>
      <c r="O6" s="808"/>
      <c r="P6" s="896">
        <f>T7</f>
        <v>2005</v>
      </c>
      <c r="Q6" s="896"/>
      <c r="R6" s="896"/>
      <c r="S6" s="896"/>
      <c r="T6" s="808"/>
      <c r="U6" s="896">
        <f>Y7</f>
        <v>2006</v>
      </c>
      <c r="V6" s="896"/>
      <c r="W6" s="896"/>
      <c r="X6" s="896"/>
      <c r="Y6" s="808"/>
      <c r="Z6" s="896">
        <f>AD7</f>
        <v>2007</v>
      </c>
      <c r="AA6" s="896"/>
      <c r="AB6" s="896"/>
      <c r="AC6" s="896"/>
      <c r="AD6" s="808"/>
      <c r="AE6" s="896">
        <f>AI7</f>
        <v>2008</v>
      </c>
      <c r="AF6" s="896"/>
      <c r="AG6" s="896"/>
      <c r="AH6" s="896"/>
      <c r="AI6" s="808"/>
      <c r="AJ6" s="896">
        <f>AN7</f>
        <v>2009</v>
      </c>
      <c r="AK6" s="896"/>
      <c r="AL6" s="896"/>
      <c r="AM6" s="896"/>
      <c r="AN6" s="808"/>
      <c r="AO6" s="896">
        <f>AS7</f>
        <v>2010</v>
      </c>
      <c r="AP6" s="896"/>
      <c r="AQ6" s="896"/>
      <c r="AR6" s="896"/>
      <c r="AS6" s="808"/>
      <c r="AT6" s="896">
        <f>AX7</f>
        <v>2011</v>
      </c>
      <c r="AU6" s="896"/>
      <c r="AV6" s="896"/>
      <c r="AW6" s="896"/>
      <c r="AX6" s="808"/>
      <c r="AY6" s="896">
        <f>BC7</f>
        <v>2012</v>
      </c>
      <c r="AZ6" s="896"/>
      <c r="BA6" s="896"/>
      <c r="BB6" s="896"/>
      <c r="BC6" s="808"/>
      <c r="BD6" s="896">
        <f>BH7</f>
        <v>2013</v>
      </c>
      <c r="BE6" s="896"/>
      <c r="BF6" s="896"/>
      <c r="BG6" s="896"/>
      <c r="BH6" s="808"/>
      <c r="BI6" s="896">
        <f>BM7</f>
        <v>2014</v>
      </c>
      <c r="BJ6" s="896"/>
      <c r="BK6" s="896"/>
      <c r="BL6" s="896"/>
      <c r="BM6" s="808"/>
      <c r="BN6" s="896">
        <f>BR7</f>
        <v>2015</v>
      </c>
      <c r="BO6" s="896"/>
      <c r="BP6" s="896"/>
      <c r="BQ6" s="896"/>
      <c r="BR6" s="808"/>
      <c r="BS6" s="896">
        <f>BW7</f>
        <v>2016</v>
      </c>
      <c r="BT6" s="896"/>
      <c r="BU6" s="896"/>
      <c r="BV6" s="896"/>
      <c r="BW6" s="808"/>
      <c r="BX6" s="896">
        <f>CB7</f>
        <v>2017</v>
      </c>
      <c r="BY6" s="896"/>
      <c r="BZ6" s="896"/>
      <c r="CA6" s="896"/>
      <c r="CB6" s="808"/>
      <c r="CC6" s="896" t="str">
        <f>CG7</f>
        <v>2018E</v>
      </c>
      <c r="CD6" s="896"/>
      <c r="CE6" s="896"/>
      <c r="CF6" s="896"/>
      <c r="CG6" s="808"/>
      <c r="CH6" s="896" t="str">
        <f>CL7</f>
        <v>2019E</v>
      </c>
      <c r="CI6" s="896"/>
      <c r="CJ6" s="896"/>
      <c r="CK6" s="896"/>
      <c r="CL6" s="808"/>
      <c r="CM6" s="896" t="str">
        <f>CQ7</f>
        <v>2020E</v>
      </c>
      <c r="CN6" s="896"/>
      <c r="CO6" s="896"/>
      <c r="CP6" s="896"/>
      <c r="CQ6" s="808"/>
      <c r="CR6" s="81"/>
    </row>
    <row r="7" spans="1:96" ht="13.5" customHeight="1" collapsed="1">
      <c r="A7" s="805" t="s">
        <v>711</v>
      </c>
      <c r="B7" s="806"/>
      <c r="C7" s="810"/>
      <c r="D7" s="895"/>
      <c r="E7" s="895"/>
      <c r="F7" s="897" t="s">
        <v>658</v>
      </c>
      <c r="G7" s="897" t="s">
        <v>659</v>
      </c>
      <c r="H7" s="897" t="s">
        <v>660</v>
      </c>
      <c r="I7" s="897" t="s">
        <v>661</v>
      </c>
      <c r="J7" s="811">
        <f>Operations!J4</f>
        <v>2003</v>
      </c>
      <c r="K7" s="897" t="str">
        <f>Operations!K4</f>
        <v>1Q</v>
      </c>
      <c r="L7" s="897" t="str">
        <f>Operations!L4</f>
        <v>2Q</v>
      </c>
      <c r="M7" s="897" t="str">
        <f>Operations!M4</f>
        <v>3Q</v>
      </c>
      <c r="N7" s="897" t="str">
        <f>Operations!N4</f>
        <v>4Q</v>
      </c>
      <c r="O7" s="811">
        <f>Operations!O4</f>
        <v>2004</v>
      </c>
      <c r="P7" s="897" t="str">
        <f>Operations!P4</f>
        <v>1Q</v>
      </c>
      <c r="Q7" s="897" t="str">
        <f>Operations!Q4</f>
        <v>2Q</v>
      </c>
      <c r="R7" s="897" t="str">
        <f>Operations!R4</f>
        <v>3Q</v>
      </c>
      <c r="S7" s="897" t="str">
        <f>Operations!S4</f>
        <v>4Q</v>
      </c>
      <c r="T7" s="811">
        <f>Operations!T4</f>
        <v>2005</v>
      </c>
      <c r="U7" s="897" t="str">
        <f>Operations!U4</f>
        <v>1Q</v>
      </c>
      <c r="V7" s="897" t="str">
        <f>Operations!V4</f>
        <v>2Q</v>
      </c>
      <c r="W7" s="897" t="str">
        <f>Operations!W4</f>
        <v>3Q</v>
      </c>
      <c r="X7" s="897" t="str">
        <f>Operations!X4</f>
        <v>4Q</v>
      </c>
      <c r="Y7" s="811">
        <f>Operations!Y4</f>
        <v>2006</v>
      </c>
      <c r="Z7" s="897" t="str">
        <f>Operations!Z4</f>
        <v>1Q</v>
      </c>
      <c r="AA7" s="897" t="str">
        <f>Operations!AA4</f>
        <v>2Q</v>
      </c>
      <c r="AB7" s="897" t="str">
        <f>Operations!AB4</f>
        <v>3Q</v>
      </c>
      <c r="AC7" s="897" t="str">
        <f>Operations!AC4</f>
        <v>4Q</v>
      </c>
      <c r="AD7" s="811">
        <f>Operations!AD4</f>
        <v>2007</v>
      </c>
      <c r="AE7" s="897" t="str">
        <f>Operations!AE4</f>
        <v>1Q</v>
      </c>
      <c r="AF7" s="897" t="str">
        <f>Operations!AF4</f>
        <v>2Q</v>
      </c>
      <c r="AG7" s="897" t="str">
        <f>Operations!AG4</f>
        <v>3Q</v>
      </c>
      <c r="AH7" s="897" t="str">
        <f>Operations!AH4</f>
        <v>4Q</v>
      </c>
      <c r="AI7" s="811">
        <f>Operations!AI4</f>
        <v>2008</v>
      </c>
      <c r="AJ7" s="1129" t="str">
        <f>Operations!AJ4</f>
        <v>1Q</v>
      </c>
      <c r="AK7" s="1130" t="str">
        <f>Operations!AK4</f>
        <v>2Q</v>
      </c>
      <c r="AL7" s="1130" t="str">
        <f>Operations!AL4</f>
        <v>3Q</v>
      </c>
      <c r="AM7" s="1131" t="str">
        <f>Operations!AM4</f>
        <v>4Q</v>
      </c>
      <c r="AN7" s="811">
        <f>Operations!AN4</f>
        <v>2009</v>
      </c>
      <c r="AO7" s="1129" t="str">
        <f>Operations!AO4</f>
        <v>1Q</v>
      </c>
      <c r="AP7" s="1130" t="str">
        <f>Operations!AP4</f>
        <v>2Q</v>
      </c>
      <c r="AQ7" s="1130" t="str">
        <f>Operations!AQ4</f>
        <v>3Q</v>
      </c>
      <c r="AR7" s="1131" t="str">
        <f>Operations!AR4</f>
        <v>4Q</v>
      </c>
      <c r="AS7" s="811">
        <f>Operations!AS4</f>
        <v>2010</v>
      </c>
      <c r="AT7" s="1129" t="str">
        <f>Operations!AT4</f>
        <v>1Q</v>
      </c>
      <c r="AU7" s="1130" t="str">
        <f>Operations!AU4</f>
        <v>2Q</v>
      </c>
      <c r="AV7" s="1130" t="str">
        <f>Operations!AV4</f>
        <v>3Q</v>
      </c>
      <c r="AW7" s="1131" t="str">
        <f>Operations!AW4</f>
        <v>4Q</v>
      </c>
      <c r="AX7" s="811">
        <f>Operations!AX4</f>
        <v>2011</v>
      </c>
      <c r="AY7" s="1129" t="str">
        <f>Operations!AY4</f>
        <v>1Q</v>
      </c>
      <c r="AZ7" s="1130" t="str">
        <f>Operations!AZ4</f>
        <v>2Q</v>
      </c>
      <c r="BA7" s="1130" t="str">
        <f>Operations!BA4</f>
        <v>3Q</v>
      </c>
      <c r="BB7" s="1131" t="str">
        <f>Operations!BB4</f>
        <v>4Q</v>
      </c>
      <c r="BC7" s="811">
        <f>Operations!BC4</f>
        <v>2012</v>
      </c>
      <c r="BD7" s="1129" t="str">
        <f>Operations!BD4</f>
        <v>1Q</v>
      </c>
      <c r="BE7" s="1130" t="str">
        <f>Operations!BE4</f>
        <v>2Q</v>
      </c>
      <c r="BF7" s="1130" t="str">
        <f>Operations!BF4</f>
        <v>3Q</v>
      </c>
      <c r="BG7" s="1131" t="str">
        <f>Operations!BG4</f>
        <v>4Q</v>
      </c>
      <c r="BH7" s="811">
        <f>Operations!BH4</f>
        <v>2013</v>
      </c>
      <c r="BI7" s="1129" t="str">
        <f>Operations!BI4</f>
        <v>1Q</v>
      </c>
      <c r="BJ7" s="1130" t="str">
        <f>Operations!BJ4</f>
        <v>2Q</v>
      </c>
      <c r="BK7" s="1130" t="str">
        <f>Operations!BK4</f>
        <v>3Q</v>
      </c>
      <c r="BL7" s="1131" t="str">
        <f>Operations!BL4</f>
        <v>4Q</v>
      </c>
      <c r="BM7" s="811">
        <f>Operations!BM4</f>
        <v>2014</v>
      </c>
      <c r="BN7" s="1129" t="str">
        <f>Operations!BN4</f>
        <v>1Q</v>
      </c>
      <c r="BO7" s="1130" t="str">
        <f>Operations!BO4</f>
        <v>2Q</v>
      </c>
      <c r="BP7" s="1130" t="str">
        <f>Operations!BP4</f>
        <v>3Q</v>
      </c>
      <c r="BQ7" s="1131" t="str">
        <f>Operations!BQ4</f>
        <v>4Q</v>
      </c>
      <c r="BR7" s="811">
        <f>Operations!BR4</f>
        <v>2015</v>
      </c>
      <c r="BS7" s="1129" t="str">
        <f>Operations!BS4</f>
        <v>1Q</v>
      </c>
      <c r="BT7" s="1130" t="str">
        <f>Operations!BT4</f>
        <v>2Q</v>
      </c>
      <c r="BU7" s="1130" t="str">
        <f>Operations!BU4</f>
        <v>3Q</v>
      </c>
      <c r="BV7" s="1131" t="str">
        <f>Operations!BV4</f>
        <v>4Q</v>
      </c>
      <c r="BW7" s="811">
        <f>Operations!BW4</f>
        <v>2016</v>
      </c>
      <c r="BX7" s="1129" t="str">
        <f>Operations!BX4</f>
        <v>1Q</v>
      </c>
      <c r="BY7" s="1130" t="str">
        <f>Operations!BY4</f>
        <v>2Q</v>
      </c>
      <c r="BZ7" s="1130" t="str">
        <f>Operations!BZ4</f>
        <v>3Q</v>
      </c>
      <c r="CA7" s="1131" t="str">
        <f>Operations!CA4</f>
        <v>4Q</v>
      </c>
      <c r="CB7" s="811">
        <f>Operations!CB4</f>
        <v>2017</v>
      </c>
      <c r="CC7" s="1129" t="str">
        <f>Operations!CC4</f>
        <v>1QE</v>
      </c>
      <c r="CD7" s="1130" t="str">
        <f>Operations!CD4</f>
        <v>2QE</v>
      </c>
      <c r="CE7" s="1130" t="str">
        <f>Operations!CE4</f>
        <v>3QE</v>
      </c>
      <c r="CF7" s="1131" t="str">
        <f>Operations!CF4</f>
        <v>4QE</v>
      </c>
      <c r="CG7" s="811" t="str">
        <f>Operations!CG4</f>
        <v>2018E</v>
      </c>
      <c r="CH7" s="1129" t="str">
        <f>Operations!CH4</f>
        <v>1QE</v>
      </c>
      <c r="CI7" s="1130" t="str">
        <f>Operations!CI4</f>
        <v>2QE</v>
      </c>
      <c r="CJ7" s="1130" t="str">
        <f>Operations!CJ4</f>
        <v>3QE</v>
      </c>
      <c r="CK7" s="1131" t="str">
        <f>Operations!CK4</f>
        <v>4QE</v>
      </c>
      <c r="CL7" s="811" t="str">
        <f>Operations!CL4</f>
        <v>2019E</v>
      </c>
      <c r="CM7" s="1129" t="str">
        <f>Operations!CM4</f>
        <v>1QE</v>
      </c>
      <c r="CN7" s="1130" t="str">
        <f>Operations!CN4</f>
        <v>2QE</v>
      </c>
      <c r="CO7" s="1130" t="str">
        <f>Operations!CO4</f>
        <v>3QE</v>
      </c>
      <c r="CP7" s="1131" t="str">
        <f>Operations!CP4</f>
        <v>4QE</v>
      </c>
      <c r="CQ7" s="1379" t="str">
        <f>Operations!CQ4</f>
        <v>2020E</v>
      </c>
      <c r="CR7" s="81"/>
    </row>
    <row r="8" spans="1:96" ht="13.5" customHeight="1">
      <c r="A8" s="93" t="s">
        <v>704</v>
      </c>
      <c r="B8" s="75"/>
      <c r="C8" s="93"/>
      <c r="D8" s="81"/>
      <c r="E8" s="81"/>
      <c r="F8" s="142"/>
      <c r="G8" s="142"/>
      <c r="H8" s="142"/>
      <c r="I8" s="142"/>
      <c r="J8" s="143"/>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c r="AJ8" s="1132"/>
      <c r="AK8" s="85"/>
      <c r="AL8" s="85"/>
      <c r="AM8" s="1133"/>
      <c r="AN8" s="142"/>
      <c r="AO8" s="1132"/>
      <c r="AP8" s="85"/>
      <c r="AQ8" s="85"/>
      <c r="AR8" s="1133"/>
      <c r="AS8" s="142"/>
      <c r="AT8" s="1265">
        <v>40633</v>
      </c>
      <c r="AU8" s="1266">
        <v>40724</v>
      </c>
      <c r="AV8" s="1266">
        <v>40816</v>
      </c>
      <c r="AW8" s="1267">
        <v>40908</v>
      </c>
      <c r="AX8" s="76"/>
      <c r="AY8" s="1265">
        <v>40999</v>
      </c>
      <c r="AZ8" s="1266">
        <v>41090</v>
      </c>
      <c r="BA8" s="1266">
        <v>41182</v>
      </c>
      <c r="BB8" s="1267">
        <v>41274</v>
      </c>
      <c r="BC8" s="142"/>
      <c r="BD8" s="1265">
        <v>41364</v>
      </c>
      <c r="BE8" s="1266">
        <v>41455</v>
      </c>
      <c r="BF8" s="1266">
        <v>41547</v>
      </c>
      <c r="BG8" s="1267">
        <v>41639</v>
      </c>
      <c r="BH8" s="142"/>
      <c r="BI8" s="1265">
        <v>41729</v>
      </c>
      <c r="BJ8" s="1266">
        <v>41820</v>
      </c>
      <c r="BK8" s="1266">
        <v>41912</v>
      </c>
      <c r="BL8" s="1267">
        <v>42004</v>
      </c>
      <c r="BM8" s="144"/>
      <c r="BN8" s="1265">
        <v>42094</v>
      </c>
      <c r="BO8" s="1266">
        <v>42185</v>
      </c>
      <c r="BP8" s="1266">
        <v>42277</v>
      </c>
      <c r="BQ8" s="1267">
        <v>42369</v>
      </c>
      <c r="BR8" s="144"/>
      <c r="BS8" s="1265">
        <v>42460</v>
      </c>
      <c r="BT8" s="1266">
        <v>42551</v>
      </c>
      <c r="BU8" s="1266">
        <v>42643</v>
      </c>
      <c r="BV8" s="1267">
        <v>42735</v>
      </c>
      <c r="BW8" s="142"/>
      <c r="BX8" s="1265">
        <v>42825</v>
      </c>
      <c r="BY8" s="1266">
        <v>42916</v>
      </c>
      <c r="BZ8" s="1266">
        <v>43008</v>
      </c>
      <c r="CA8" s="1267">
        <v>43100</v>
      </c>
      <c r="CB8" s="142"/>
      <c r="CC8" s="1265">
        <v>43190</v>
      </c>
      <c r="CD8" s="1266">
        <v>43281</v>
      </c>
      <c r="CE8" s="1266">
        <v>43373</v>
      </c>
      <c r="CF8" s="1267">
        <v>43465</v>
      </c>
      <c r="CG8" s="142"/>
      <c r="CH8" s="1265">
        <v>43555</v>
      </c>
      <c r="CI8" s="1266">
        <v>43646</v>
      </c>
      <c r="CJ8" s="1266">
        <v>43738</v>
      </c>
      <c r="CK8" s="1267">
        <v>43830</v>
      </c>
      <c r="CL8" s="142"/>
      <c r="CM8" s="1265"/>
      <c r="CN8" s="1266"/>
      <c r="CO8" s="1266"/>
      <c r="CP8" s="1267"/>
      <c r="CQ8" s="1133"/>
      <c r="CR8" s="81"/>
    </row>
    <row r="9" spans="1:96" ht="13.5" customHeight="1">
      <c r="A9" s="75"/>
      <c r="B9" s="81" t="s">
        <v>692</v>
      </c>
      <c r="C9" s="81"/>
      <c r="D9" s="75"/>
      <c r="E9" s="75"/>
      <c r="F9" s="627">
        <v>1055</v>
      </c>
      <c r="G9" s="627">
        <v>1397</v>
      </c>
      <c r="H9" s="627">
        <v>1820</v>
      </c>
      <c r="I9" s="145">
        <f>J9-F9-G9-H9</f>
        <v>2129</v>
      </c>
      <c r="J9" s="627">
        <v>6401</v>
      </c>
      <c r="K9" s="627">
        <v>2112</v>
      </c>
      <c r="L9" s="627">
        <v>2510</v>
      </c>
      <c r="M9" s="627">
        <v>2595</v>
      </c>
      <c r="N9" s="145">
        <f>O9-K9-L9-M9</f>
        <v>2603</v>
      </c>
      <c r="O9" s="627">
        <v>9820</v>
      </c>
      <c r="P9" s="627">
        <v>2444</v>
      </c>
      <c r="Q9" s="627">
        <v>2207</v>
      </c>
      <c r="R9" s="627">
        <v>2005</v>
      </c>
      <c r="S9" s="145">
        <f>T9-P9-Q9-R9</f>
        <v>2157</v>
      </c>
      <c r="T9" s="627">
        <v>8813</v>
      </c>
      <c r="U9" s="145">
        <f>Operations!U49+Operations!U50</f>
        <v>2324</v>
      </c>
      <c r="V9" s="145">
        <f>Operations!V49+Operations!V50</f>
        <v>2581</v>
      </c>
      <c r="W9" s="145">
        <f>Operations!W49+Operations!W50</f>
        <v>2545</v>
      </c>
      <c r="X9" s="145">
        <f>Operations!X49+Operations!X50</f>
        <v>2157</v>
      </c>
      <c r="Y9" s="145">
        <f>SUM(U9:X9)</f>
        <v>9607</v>
      </c>
      <c r="Z9" s="145">
        <f>Operations!Z48</f>
        <v>2189</v>
      </c>
      <c r="AA9" s="145">
        <f>Operations!AA48</f>
        <v>2509</v>
      </c>
      <c r="AB9" s="145">
        <f>Operations!AB48</f>
        <v>2439</v>
      </c>
      <c r="AC9" s="145">
        <f>Operations!AC48</f>
        <v>2747</v>
      </c>
      <c r="AD9" s="145">
        <f>SUM(Z9:AC9)</f>
        <v>9884</v>
      </c>
      <c r="AE9" s="145">
        <f>Operations!AE48</f>
        <v>3155</v>
      </c>
      <c r="AF9" s="145">
        <f>Operations!AF48</f>
        <v>4010</v>
      </c>
      <c r="AG9" s="145">
        <f>Operations!AG48</f>
        <v>4303</v>
      </c>
      <c r="AH9" s="145">
        <f>Operations!AH48</f>
        <v>2363</v>
      </c>
      <c r="AI9" s="145">
        <f>SUM(AE9:AH9)</f>
        <v>13831</v>
      </c>
      <c r="AJ9" s="1134">
        <f>Operations!AJ48</f>
        <v>1592</v>
      </c>
      <c r="AK9" s="145">
        <f>Operations!AK48</f>
        <v>1310</v>
      </c>
      <c r="AL9" s="145">
        <f>Operations!AL48</f>
        <v>1745</v>
      </c>
      <c r="AM9" s="1135">
        <f>Operations!AM48</f>
        <v>2167</v>
      </c>
      <c r="AN9" s="145">
        <f>SUM(AJ9:AM9)</f>
        <v>6814</v>
      </c>
      <c r="AO9" s="1134">
        <f>Operations!AO48</f>
        <v>2455</v>
      </c>
      <c r="AP9" s="145">
        <f>Operations!AP48</f>
        <v>2963</v>
      </c>
      <c r="AQ9" s="145">
        <f>Operations!AQ48</f>
        <v>2763</v>
      </c>
      <c r="AR9" s="1135">
        <f>Operations!AR48</f>
        <v>2667</v>
      </c>
      <c r="AS9" s="145">
        <f>SUM(AO9:AR9)</f>
        <v>10848</v>
      </c>
      <c r="AT9" s="1134">
        <f>Operations!AT48</f>
        <v>2969</v>
      </c>
      <c r="AU9" s="145">
        <f>Operations!AU48</f>
        <v>3304</v>
      </c>
      <c r="AV9" s="145">
        <f>Operations!AV48</f>
        <v>3136</v>
      </c>
      <c r="AW9" s="1135">
        <f>Operations!AW48</f>
        <v>2958</v>
      </c>
      <c r="AX9" s="145">
        <f>SUM(AT9:AW9)</f>
        <v>12367</v>
      </c>
      <c r="AY9" s="1134">
        <f>Operations!AY48</f>
        <v>3300</v>
      </c>
      <c r="AZ9" s="145">
        <f>Operations!AZ48</f>
        <v>3356</v>
      </c>
      <c r="BA9" s="145">
        <f>Operations!BA48</f>
        <v>3142</v>
      </c>
      <c r="BB9" s="1135">
        <f>Operations!BB48</f>
        <v>3110</v>
      </c>
      <c r="BC9" s="145">
        <f>SUM(AY9:BB9)</f>
        <v>12908</v>
      </c>
      <c r="BD9" s="1134">
        <f>Operations!BD48</f>
        <v>3103</v>
      </c>
      <c r="BE9" s="145">
        <f>Operations!BE48</f>
        <v>2876</v>
      </c>
      <c r="BF9" s="145">
        <f>Operations!BF48</f>
        <v>2731</v>
      </c>
      <c r="BG9" s="1135">
        <f>Operations!BG48</f>
        <v>2862</v>
      </c>
      <c r="BH9" s="145">
        <f>SUM(BD9:BG9)</f>
        <v>11572</v>
      </c>
      <c r="BI9" s="1134">
        <f>Operations!BI48</f>
        <v>3025</v>
      </c>
      <c r="BJ9" s="145">
        <f>Operations!BJ48</f>
        <v>2938</v>
      </c>
      <c r="BK9" s="145">
        <f>Operations!BK48</f>
        <v>3125</v>
      </c>
      <c r="BL9" s="1135">
        <f>Operations!BL48</f>
        <v>2619</v>
      </c>
      <c r="BM9" s="145">
        <f>SUM(BI9:BL9)</f>
        <v>11707</v>
      </c>
      <c r="BN9" s="1134">
        <f>Operations!BN48</f>
        <v>2194</v>
      </c>
      <c r="BO9" s="145">
        <f>Operations!BO48</f>
        <v>2125</v>
      </c>
      <c r="BP9" s="145">
        <f>Operations!BP48</f>
        <v>2070</v>
      </c>
      <c r="BQ9" s="1135">
        <f>Operations!BQ48</f>
        <v>1904</v>
      </c>
      <c r="BR9" s="145">
        <f>SUM(BN9:BQ9)</f>
        <v>8293</v>
      </c>
      <c r="BS9" s="1134">
        <f>Operations!BS48</f>
        <v>1748</v>
      </c>
      <c r="BT9" s="145">
        <f>Operations!BT48</f>
        <v>1926</v>
      </c>
      <c r="BU9" s="145">
        <f>Operations!BU48</f>
        <v>1986</v>
      </c>
      <c r="BV9" s="1135">
        <f>Operations!BV48</f>
        <v>1873</v>
      </c>
      <c r="BW9" s="145">
        <f>SUM(BS9:BV9)</f>
        <v>7533</v>
      </c>
      <c r="BX9" s="1134">
        <f>Operations!BX48</f>
        <v>1886</v>
      </c>
      <c r="BY9" s="145">
        <f>Operations!BY48</f>
        <v>2243</v>
      </c>
      <c r="BZ9" s="145">
        <f>Operations!BZ48</f>
        <v>2291</v>
      </c>
      <c r="CA9" s="1135">
        <f>Operations!CA48</f>
        <v>2071</v>
      </c>
      <c r="CB9" s="145">
        <f>SUM(BX9:CA9)</f>
        <v>8491</v>
      </c>
      <c r="CC9" s="1134">
        <f>Operations!CC48</f>
        <v>2017.3162955205182</v>
      </c>
      <c r="CD9" s="145">
        <f>Operations!CD48</f>
        <v>2212.8618606891819</v>
      </c>
      <c r="CE9" s="145">
        <f>Operations!CE48</f>
        <v>2502.5212707441597</v>
      </c>
      <c r="CF9" s="1135">
        <f>Operations!CF48</f>
        <v>2467.4876416645893</v>
      </c>
      <c r="CG9" s="145">
        <f>SUM(CC9:CF9)</f>
        <v>9200.1870686184484</v>
      </c>
      <c r="CH9" s="1134">
        <f>Operations!CH48</f>
        <v>2497.4003483981678</v>
      </c>
      <c r="CI9" s="145">
        <f>Operations!CI48</f>
        <v>2589.6385542883681</v>
      </c>
      <c r="CJ9" s="145">
        <f>Operations!CJ48</f>
        <v>2563.0912805782336</v>
      </c>
      <c r="CK9" s="1135">
        <f>Operations!CK48</f>
        <v>2461.7269643876898</v>
      </c>
      <c r="CL9" s="145">
        <f>SUM(CH9:CK9)</f>
        <v>10111.857147652459</v>
      </c>
      <c r="CM9" s="1134">
        <f>Operations!CM48</f>
        <v>2347.463063247902</v>
      </c>
      <c r="CN9" s="145">
        <f>Operations!CN48</f>
        <v>2399.5527503075073</v>
      </c>
      <c r="CO9" s="145">
        <f>Operations!CO48</f>
        <v>2334.7371673744019</v>
      </c>
      <c r="CP9" s="1135">
        <f>Operations!CP48</f>
        <v>2249.4286769420796</v>
      </c>
      <c r="CQ9" s="1135">
        <f>SUM(CM9:CP9)</f>
        <v>9331.1816578718899</v>
      </c>
      <c r="CR9" s="75"/>
    </row>
    <row r="10" spans="1:96" ht="13.5" customHeight="1">
      <c r="A10" s="75"/>
      <c r="B10" s="81" t="s">
        <v>712</v>
      </c>
      <c r="C10" s="81"/>
      <c r="D10" s="75"/>
      <c r="E10" s="75"/>
      <c r="F10" s="627">
        <v>426</v>
      </c>
      <c r="G10" s="627">
        <v>467</v>
      </c>
      <c r="H10" s="627">
        <v>440</v>
      </c>
      <c r="I10" s="145">
        <f>J10-F10-G10-H10</f>
        <v>484</v>
      </c>
      <c r="J10" s="627">
        <v>1817</v>
      </c>
      <c r="K10" s="627">
        <v>514</v>
      </c>
      <c r="L10" s="627">
        <v>654</v>
      </c>
      <c r="M10" s="627">
        <v>780</v>
      </c>
      <c r="N10" s="145">
        <f>O10-K10-L10-M10</f>
        <v>885</v>
      </c>
      <c r="O10" s="627">
        <v>2833</v>
      </c>
      <c r="P10" s="627">
        <v>901</v>
      </c>
      <c r="Q10" s="627">
        <v>893</v>
      </c>
      <c r="R10" s="627">
        <v>725</v>
      </c>
      <c r="S10" s="145">
        <f>T10-P10-Q10-R10</f>
        <v>817</v>
      </c>
      <c r="T10" s="627">
        <v>3336</v>
      </c>
      <c r="U10" s="145">
        <f>Operations!U152</f>
        <v>854</v>
      </c>
      <c r="V10" s="145">
        <f>Operations!V152</f>
        <v>1003</v>
      </c>
      <c r="W10" s="145">
        <f>Operations!W152</f>
        <v>1036</v>
      </c>
      <c r="X10" s="145">
        <f>Operations!X152</f>
        <v>1075</v>
      </c>
      <c r="Y10" s="145">
        <f>SUM(U10:X10)</f>
        <v>3968</v>
      </c>
      <c r="Z10" s="145">
        <f>Operations!Z152</f>
        <v>1160</v>
      </c>
      <c r="AA10" s="145">
        <f>Operations!AA152</f>
        <v>1239</v>
      </c>
      <c r="AB10" s="145">
        <f>Operations!AB152</f>
        <v>1167</v>
      </c>
      <c r="AC10" s="145">
        <f>Operations!AC152</f>
        <v>1101</v>
      </c>
      <c r="AD10" s="145">
        <f>SUM(Z10:AC10)</f>
        <v>4667</v>
      </c>
      <c r="AE10" s="145">
        <f>Operations!AE152</f>
        <v>1356</v>
      </c>
      <c r="AF10" s="145">
        <f>Operations!AF152</f>
        <v>1760</v>
      </c>
      <c r="AG10" s="145">
        <f>Operations!AG152</f>
        <v>1598</v>
      </c>
      <c r="AH10" s="145">
        <f>Operations!AH152</f>
        <v>773</v>
      </c>
      <c r="AI10" s="145">
        <f>SUM(AE10:AH10)</f>
        <v>5487</v>
      </c>
      <c r="AJ10" s="1134">
        <f>Operations!AJ152</f>
        <v>622</v>
      </c>
      <c r="AK10" s="145">
        <f>Operations!AK152</f>
        <v>645</v>
      </c>
      <c r="AL10" s="145">
        <f>Operations!AL152</f>
        <v>822</v>
      </c>
      <c r="AM10" s="1135">
        <f>Operations!AM152</f>
        <v>855</v>
      </c>
      <c r="AN10" s="145">
        <f>SUM(AJ10:AM10)</f>
        <v>2944</v>
      </c>
      <c r="AO10" s="1134">
        <f>Operations!AO152</f>
        <v>964</v>
      </c>
      <c r="AP10" s="145">
        <f>Operations!AP152</f>
        <v>985</v>
      </c>
      <c r="AQ10" s="145">
        <f>Operations!AQ152</f>
        <v>1034</v>
      </c>
      <c r="AR10" s="1135">
        <f>Operations!AR152</f>
        <v>1006</v>
      </c>
      <c r="AS10" s="145">
        <f>SUM(AO10:AR10)</f>
        <v>3989</v>
      </c>
      <c r="AT10" s="1134">
        <f>Operations!AT152</f>
        <v>1223</v>
      </c>
      <c r="AU10" s="145">
        <f>Operations!AU152</f>
        <v>1096</v>
      </c>
      <c r="AV10" s="145">
        <f>Operations!AV152</f>
        <v>1072</v>
      </c>
      <c r="AW10" s="1135">
        <f>Operations!AW152</f>
        <v>915</v>
      </c>
      <c r="AX10" s="145">
        <f>SUM(AT10:AW10)</f>
        <v>4306</v>
      </c>
      <c r="AY10" s="1134">
        <f>Operations!AY152</f>
        <v>815</v>
      </c>
      <c r="AZ10" s="145">
        <f>Operations!AZ152</f>
        <v>763</v>
      </c>
      <c r="BA10" s="145">
        <f>Operations!BA152</f>
        <v>696</v>
      </c>
      <c r="BB10" s="1135">
        <f>Operations!BB152</f>
        <v>675</v>
      </c>
      <c r="BC10" s="145">
        <f>SUM(AY10:BB10)</f>
        <v>2949</v>
      </c>
      <c r="BD10" s="1134">
        <f>Operations!BD152</f>
        <v>783</v>
      </c>
      <c r="BE10" s="145">
        <f>Operations!BE152</f>
        <v>778</v>
      </c>
      <c r="BF10" s="145">
        <f>Operations!BF152</f>
        <v>643</v>
      </c>
      <c r="BG10" s="1135">
        <f>Operations!BG152</f>
        <v>737</v>
      </c>
      <c r="BH10" s="145">
        <f>SUM(BD10:BG10)</f>
        <v>2941</v>
      </c>
      <c r="BI10" s="1134">
        <f>Operations!BI152</f>
        <v>759</v>
      </c>
      <c r="BJ10" s="145">
        <f>Operations!BJ152</f>
        <v>757</v>
      </c>
      <c r="BK10" s="145">
        <f>Operations!BK152</f>
        <v>687</v>
      </c>
      <c r="BL10" s="1135">
        <f>Operations!BL152</f>
        <v>688</v>
      </c>
      <c r="BM10" s="145">
        <f>SUM(BI10:BL10)</f>
        <v>2891</v>
      </c>
      <c r="BN10" s="1134">
        <f>Operations!BN152</f>
        <v>691</v>
      </c>
      <c r="BO10" s="145">
        <f>Operations!BO152</f>
        <v>600</v>
      </c>
      <c r="BP10" s="145">
        <f>Operations!BP152</f>
        <v>546</v>
      </c>
      <c r="BQ10" s="1135">
        <f>Operations!BQ152</f>
        <v>486</v>
      </c>
      <c r="BR10" s="145">
        <f>SUM(BN10:BQ10)</f>
        <v>2323</v>
      </c>
      <c r="BS10" s="1134">
        <f>Operations!BS152</f>
        <v>477</v>
      </c>
      <c r="BT10" s="145">
        <f>Operations!BT152</f>
        <v>566</v>
      </c>
      <c r="BU10" s="145">
        <f>Operations!BU152</f>
        <v>576</v>
      </c>
      <c r="BV10" s="1135">
        <f>Operations!BV152</f>
        <v>628</v>
      </c>
      <c r="BW10" s="145">
        <f>SUM(BS10:BV10)</f>
        <v>2247</v>
      </c>
      <c r="BX10" s="1134">
        <f>Operations!BX152</f>
        <v>686</v>
      </c>
      <c r="BY10" s="145">
        <f>Operations!BY152</f>
        <v>752</v>
      </c>
      <c r="BZ10" s="145">
        <f>Operations!BZ152</f>
        <v>711</v>
      </c>
      <c r="CA10" s="1135">
        <f>Operations!CA152</f>
        <v>826</v>
      </c>
      <c r="CB10" s="145">
        <f>SUM(BX10:CA10)</f>
        <v>2975</v>
      </c>
      <c r="CC10" s="1134">
        <f>Operations!CC152</f>
        <v>835.58653181263867</v>
      </c>
      <c r="CD10" s="145">
        <f>Operations!CD152</f>
        <v>888.13264739613055</v>
      </c>
      <c r="CE10" s="145">
        <f>Operations!CE152</f>
        <v>798.18113722505518</v>
      </c>
      <c r="CF10" s="1135">
        <f>Operations!CF152</f>
        <v>893.2398580209699</v>
      </c>
      <c r="CG10" s="145">
        <f>SUM(CC10:CF10)</f>
        <v>3415.1401744547948</v>
      </c>
      <c r="CH10" s="1134">
        <f>Operations!CH152</f>
        <v>835.58653181263867</v>
      </c>
      <c r="CI10" s="145">
        <f>Operations!CI152</f>
        <v>888.13264739613055</v>
      </c>
      <c r="CJ10" s="145">
        <f>Operations!CJ152</f>
        <v>798.18113722505518</v>
      </c>
      <c r="CK10" s="1135">
        <f>Operations!CK152</f>
        <v>893.2398580209699</v>
      </c>
      <c r="CL10" s="145">
        <f>SUM(CH10:CK10)</f>
        <v>3415.1401744547948</v>
      </c>
      <c r="CM10" s="1134">
        <f>Operations!CM152</f>
        <v>835.58653181263867</v>
      </c>
      <c r="CN10" s="145">
        <f>Operations!CN152</f>
        <v>888.13264739613055</v>
      </c>
      <c r="CO10" s="145">
        <f>Operations!CO152</f>
        <v>798.18113722505518</v>
      </c>
      <c r="CP10" s="1135">
        <f>Operations!CP152</f>
        <v>893.2398580209699</v>
      </c>
      <c r="CQ10" s="1135">
        <f>SUM(CM10:CP10)</f>
        <v>3415.1401744547948</v>
      </c>
      <c r="CR10" s="75"/>
    </row>
    <row r="11" spans="1:96" ht="13.5" customHeight="1">
      <c r="A11" s="75"/>
      <c r="B11" s="81" t="s">
        <v>713</v>
      </c>
      <c r="C11" s="81"/>
      <c r="D11" s="75"/>
      <c r="E11" s="75"/>
      <c r="F11" s="627">
        <v>136</v>
      </c>
      <c r="G11" s="627">
        <v>140</v>
      </c>
      <c r="H11" s="627">
        <v>149</v>
      </c>
      <c r="I11" s="145">
        <f>J11-F11-G11-H11</f>
        <v>148</v>
      </c>
      <c r="J11" s="627">
        <v>573</v>
      </c>
      <c r="K11" s="627">
        <v>190</v>
      </c>
      <c r="L11" s="627">
        <v>198</v>
      </c>
      <c r="M11" s="627">
        <v>246</v>
      </c>
      <c r="N11" s="145">
        <f>O11-K11-L11-M11</f>
        <v>314</v>
      </c>
      <c r="O11" s="627">
        <v>948</v>
      </c>
      <c r="P11" s="627">
        <v>357</v>
      </c>
      <c r="Q11" s="627">
        <v>396</v>
      </c>
      <c r="R11" s="627">
        <v>368</v>
      </c>
      <c r="S11" s="145">
        <f>T11-P11-Q11-R11</f>
        <v>425</v>
      </c>
      <c r="T11" s="627">
        <v>1546</v>
      </c>
      <c r="U11" s="145">
        <f>Operations!U113</f>
        <v>485</v>
      </c>
      <c r="V11" s="145">
        <f>Operations!V113</f>
        <v>444</v>
      </c>
      <c r="W11" s="145">
        <f>Operations!W113</f>
        <v>455</v>
      </c>
      <c r="X11" s="145">
        <f>Operations!X113</f>
        <v>414</v>
      </c>
      <c r="Y11" s="145">
        <f>SUM(U11:X11)</f>
        <v>1798</v>
      </c>
      <c r="Z11" s="145">
        <f>Operations!Z113</f>
        <v>356</v>
      </c>
      <c r="AA11" s="145">
        <f>Operations!AA113</f>
        <v>405</v>
      </c>
      <c r="AB11" s="145">
        <f>Operations!AB113</f>
        <v>637</v>
      </c>
      <c r="AC11" s="145">
        <f>Operations!AC113</f>
        <v>587</v>
      </c>
      <c r="AD11" s="145">
        <f>SUM(Z11:AC11)</f>
        <v>1985</v>
      </c>
      <c r="AE11" s="145">
        <f>Operations!AE113</f>
        <v>621</v>
      </c>
      <c r="AF11" s="145">
        <f>Operations!AF113</f>
        <v>912</v>
      </c>
      <c r="AG11" s="145">
        <f>Operations!AG113</f>
        <v>1333</v>
      </c>
      <c r="AH11" s="145">
        <f>Operations!AH113</f>
        <v>1386</v>
      </c>
      <c r="AI11" s="145">
        <f>SUM(AE11:AH11)</f>
        <v>4252</v>
      </c>
      <c r="AJ11" s="1134">
        <f>Operations!AJ113</f>
        <v>515</v>
      </c>
      <c r="AK11" s="145">
        <f>Operations!AK113</f>
        <v>157</v>
      </c>
      <c r="AL11" s="145">
        <f>Operations!AL113</f>
        <v>234</v>
      </c>
      <c r="AM11" s="1135">
        <f>Operations!AM113</f>
        <v>310</v>
      </c>
      <c r="AN11" s="145">
        <f>SUM(AJ11:AM11)</f>
        <v>1216</v>
      </c>
      <c r="AO11" s="1134">
        <f>Operations!AO113</f>
        <v>445</v>
      </c>
      <c r="AP11" s="145">
        <f>Operations!AP113</f>
        <v>679</v>
      </c>
      <c r="AQ11" s="145">
        <f>Operations!AQ113</f>
        <v>680</v>
      </c>
      <c r="AR11" s="1135">
        <f>Operations!AR113</f>
        <v>599</v>
      </c>
      <c r="AS11" s="145">
        <f>SUM(AO11:AR11)</f>
        <v>2403</v>
      </c>
      <c r="AT11" s="1134">
        <f>Operations!AT113</f>
        <v>642</v>
      </c>
      <c r="AU11" s="145">
        <f>Operations!AU113</f>
        <v>695</v>
      </c>
      <c r="AV11" s="145">
        <f>Operations!AV113</f>
        <v>846</v>
      </c>
      <c r="AW11" s="1135">
        <f>Operations!AW113</f>
        <v>851</v>
      </c>
      <c r="AX11" s="145">
        <f>SUM(AT11:AW11)</f>
        <v>3034</v>
      </c>
      <c r="AY11" s="1134">
        <f>Operations!AY113</f>
        <v>946</v>
      </c>
      <c r="AZ11" s="145">
        <f>Operations!AZ113</f>
        <v>871</v>
      </c>
      <c r="BA11" s="145">
        <f>Operations!BA113</f>
        <v>787</v>
      </c>
      <c r="BB11" s="1135">
        <f>Operations!BB113</f>
        <v>679</v>
      </c>
      <c r="BC11" s="145">
        <f>SUM(AY11:BB11)</f>
        <v>3283</v>
      </c>
      <c r="BD11" s="1134">
        <f>Operations!BD113</f>
        <v>686</v>
      </c>
      <c r="BE11" s="145">
        <f>Operations!BE113</f>
        <v>709</v>
      </c>
      <c r="BF11" s="145">
        <f>Operations!BF113</f>
        <v>731</v>
      </c>
      <c r="BG11" s="1135">
        <f>Operations!BG113</f>
        <v>646</v>
      </c>
      <c r="BH11" s="145">
        <f>SUM(BD11:BG11)</f>
        <v>2772</v>
      </c>
      <c r="BI11" s="1134">
        <f>Operations!BI113</f>
        <v>643</v>
      </c>
      <c r="BJ11" s="145">
        <f>Operations!BJ113</f>
        <v>686</v>
      </c>
      <c r="BK11" s="145">
        <f>Operations!BK113</f>
        <v>700</v>
      </c>
      <c r="BL11" s="1135">
        <f>Operations!BL113</f>
        <v>743</v>
      </c>
      <c r="BM11" s="145">
        <f>SUM(BI11:BL11)</f>
        <v>2772</v>
      </c>
      <c r="BN11" s="1134">
        <f>Operations!BN113</f>
        <v>371</v>
      </c>
      <c r="BO11" s="145">
        <f>Operations!BO113</f>
        <v>160</v>
      </c>
      <c r="BP11" s="145">
        <f>Operations!BP113</f>
        <v>199</v>
      </c>
      <c r="BQ11" s="1135">
        <f>Operations!BQ113</f>
        <v>168</v>
      </c>
      <c r="BR11" s="145">
        <f>SUM(BN11:BQ11)</f>
        <v>898</v>
      </c>
      <c r="BS11" s="1134">
        <f>Operations!BS113</f>
        <v>108</v>
      </c>
      <c r="BT11" s="145">
        <f>Operations!BT113</f>
        <v>83</v>
      </c>
      <c r="BU11" s="145">
        <f>Operations!BU113</f>
        <v>114</v>
      </c>
      <c r="BV11" s="1135">
        <f>Operations!BV113</f>
        <v>145</v>
      </c>
      <c r="BW11" s="145">
        <f>SUM(BS11:BV11)</f>
        <v>450</v>
      </c>
      <c r="BX11" s="1134">
        <f>Operations!BX113</f>
        <v>171</v>
      </c>
      <c r="BY11" s="145">
        <f>Operations!BY113</f>
        <v>234</v>
      </c>
      <c r="BZ11" s="145">
        <f>Operations!BZ113</f>
        <v>276</v>
      </c>
      <c r="CA11" s="1135">
        <f>Operations!CA113</f>
        <v>264</v>
      </c>
      <c r="CB11" s="145">
        <f>SUM(BX11:CA11)</f>
        <v>945</v>
      </c>
      <c r="CC11" s="1134">
        <f>Operations!CC113</f>
        <v>232.61791356800001</v>
      </c>
      <c r="CD11" s="145">
        <f>Operations!CD113</f>
        <v>355.15913191999994</v>
      </c>
      <c r="CE11" s="145">
        <f>Operations!CE113</f>
        <v>376.23134382000006</v>
      </c>
      <c r="CF11" s="1135">
        <f>Operations!CF113</f>
        <v>317.06530914600006</v>
      </c>
      <c r="CG11" s="145">
        <f>SUM(CC11:CF11)</f>
        <v>1281.0736984540001</v>
      </c>
      <c r="CH11" s="1134">
        <f>Operations!CH113</f>
        <v>239.22145097504003</v>
      </c>
      <c r="CI11" s="145">
        <f>Operations!CI113</f>
        <v>365.43890587760001</v>
      </c>
      <c r="CJ11" s="145">
        <f>Operations!CJ113</f>
        <v>387.14328413460009</v>
      </c>
      <c r="CK11" s="1135">
        <f>Operations!CK113</f>
        <v>326.20226842038005</v>
      </c>
      <c r="CL11" s="145">
        <f>SUM(CH11:CK11)</f>
        <v>1318.00590940762</v>
      </c>
      <c r="CM11" s="1134">
        <f>Operations!CM113</f>
        <v>246.02309450429121</v>
      </c>
      <c r="CN11" s="145">
        <f>Operations!CN113</f>
        <v>376.02707305392801</v>
      </c>
      <c r="CO11" s="145">
        <f>Operations!CO113</f>
        <v>398.38258265863806</v>
      </c>
      <c r="CP11" s="1135">
        <f>Operations!CP113</f>
        <v>335.61333647299142</v>
      </c>
      <c r="CQ11" s="1135">
        <f>SUM(CM11:CP11)</f>
        <v>1356.0460866898486</v>
      </c>
      <c r="CR11" s="75"/>
    </row>
    <row r="12" spans="1:96" ht="13.5" customHeight="1">
      <c r="A12" s="75"/>
      <c r="B12" s="81" t="s">
        <v>714</v>
      </c>
      <c r="C12" s="81"/>
      <c r="D12" s="75"/>
      <c r="E12" s="75"/>
      <c r="F12" s="627">
        <f>25+27+229</f>
        <v>281</v>
      </c>
      <c r="G12" s="627">
        <f>35+24+248</f>
        <v>307</v>
      </c>
      <c r="H12" s="627">
        <f>36+19+42</f>
        <v>97</v>
      </c>
      <c r="I12" s="145">
        <f>J12-F12-G12-H12</f>
        <v>-148</v>
      </c>
      <c r="J12" s="627">
        <f>87+138+312</f>
        <v>537</v>
      </c>
      <c r="K12" s="627">
        <f>15+75</f>
        <v>90</v>
      </c>
      <c r="L12" s="627">
        <f>10+76</f>
        <v>86</v>
      </c>
      <c r="M12" s="627">
        <f>11+75</f>
        <v>86</v>
      </c>
      <c r="N12" s="145">
        <f>O12-K12-L12-M12</f>
        <v>106</v>
      </c>
      <c r="O12" s="627">
        <f>47+321</f>
        <v>368</v>
      </c>
      <c r="P12" s="627">
        <f>59</f>
        <v>59</v>
      </c>
      <c r="Q12" s="627">
        <f>86</f>
        <v>86</v>
      </c>
      <c r="R12" s="627">
        <f>102</f>
        <v>102</v>
      </c>
      <c r="S12" s="145">
        <f>T12-P12-Q12-R12</f>
        <v>97</v>
      </c>
      <c r="T12" s="627">
        <f>344</f>
        <v>344</v>
      </c>
      <c r="U12" s="627">
        <f>63</f>
        <v>63</v>
      </c>
      <c r="V12" s="627">
        <f>79</f>
        <v>79</v>
      </c>
      <c r="W12" s="627">
        <f>70</f>
        <v>70</v>
      </c>
      <c r="X12" s="145">
        <f>Y12-SUM(U12:W12)</f>
        <v>130</v>
      </c>
      <c r="Y12" s="627">
        <v>342</v>
      </c>
      <c r="Z12" s="627">
        <v>51</v>
      </c>
      <c r="AA12" s="627">
        <v>75</v>
      </c>
      <c r="AB12" s="627">
        <f>4354-AB9-AB10-AB11</f>
        <v>111</v>
      </c>
      <c r="AC12" s="627">
        <v>100</v>
      </c>
      <c r="AD12" s="145">
        <f>SUM(Z12:AC12)</f>
        <v>337</v>
      </c>
      <c r="AE12" s="627">
        <f>5196-AE9-AE10-AE11</f>
        <v>64</v>
      </c>
      <c r="AF12" s="627">
        <f>6744-AF11-AF10-AF9</f>
        <v>62</v>
      </c>
      <c r="AG12" s="627">
        <f>7312-AG11-AG10-AG9</f>
        <v>78</v>
      </c>
      <c r="AH12" s="627">
        <f>4565-AH11-AH10-AH9</f>
        <v>43</v>
      </c>
      <c r="AI12" s="145">
        <f>SUM(AE12:AH12)</f>
        <v>247</v>
      </c>
      <c r="AJ12" s="1134">
        <f>2750-AJ11-AJ10-AJ9</f>
        <v>21</v>
      </c>
      <c r="AK12" s="145">
        <f>2127-AK11-AK10-AK9</f>
        <v>15</v>
      </c>
      <c r="AL12" s="145">
        <f>AL14-AL9-AL10-AL11</f>
        <v>16</v>
      </c>
      <c r="AM12" s="1135">
        <f>AM14-AM9-AM10-AM11</f>
        <v>22</v>
      </c>
      <c r="AN12" s="145">
        <f>SUM(AJ12:AM12)</f>
        <v>74</v>
      </c>
      <c r="AO12" s="1134">
        <f>AO14-AO9-AO10-AO11</f>
        <v>32</v>
      </c>
      <c r="AP12" s="145">
        <f>AP14-AP9-AP10-AP11</f>
        <v>54</v>
      </c>
      <c r="AQ12" s="145">
        <f>AQ14-AQ9-AQ10-AQ11</f>
        <v>20</v>
      </c>
      <c r="AR12" s="1135">
        <f>AR14-AR9-AR10-AR11</f>
        <v>28</v>
      </c>
      <c r="AS12" s="145">
        <f>SUM(AO12:AR12)</f>
        <v>134</v>
      </c>
      <c r="AT12" s="1134">
        <f>AT14-AT9-AT10-AT11</f>
        <v>30</v>
      </c>
      <c r="AU12" s="145">
        <f>AU14-AU9-AU10-AU11</f>
        <v>25</v>
      </c>
      <c r="AV12" s="145">
        <f>AV14-AV9-AV10-AV11</f>
        <v>27</v>
      </c>
      <c r="AW12" s="1135">
        <f>AW14-AW9-AW10-AW11</f>
        <v>95</v>
      </c>
      <c r="AX12" s="145">
        <f>SUM(AT12:AW12)</f>
        <v>177</v>
      </c>
      <c r="AY12" s="1134">
        <f>AY14-AY9-AY10-AY11</f>
        <v>111</v>
      </c>
      <c r="AZ12" s="145">
        <f>AZ14-AZ9-AZ10-AZ11</f>
        <v>27</v>
      </c>
      <c r="BA12" s="145">
        <f>BA14-BA9-BA10-BA11</f>
        <v>27</v>
      </c>
      <c r="BB12" s="1135">
        <f>BB14-BB9-BB10-BB11</f>
        <v>23</v>
      </c>
      <c r="BC12" s="145">
        <f>SUM(AY12:BB12)</f>
        <v>188</v>
      </c>
      <c r="BD12" s="1134">
        <f>BD14-BD9-BD10-BD11</f>
        <v>23</v>
      </c>
      <c r="BE12" s="145">
        <f>BE14-BE9-BE10-BE11</f>
        <v>66</v>
      </c>
      <c r="BF12" s="145">
        <f>BF14-BF9-BF10-BF11</f>
        <v>26</v>
      </c>
      <c r="BG12" s="1135">
        <f>BG14-BG9-BG10-BG11</f>
        <v>24</v>
      </c>
      <c r="BH12" s="145">
        <f>SUM(BD12:BG12)</f>
        <v>139</v>
      </c>
      <c r="BI12" s="1134">
        <f>BI14-BI9-BI10-BI11</f>
        <v>21</v>
      </c>
      <c r="BJ12" s="145">
        <f>BJ14-BJ9-BJ10-BJ11</f>
        <v>19</v>
      </c>
      <c r="BK12" s="145">
        <f>BK14-BK9-BK10-BK11</f>
        <v>75</v>
      </c>
      <c r="BL12" s="1135">
        <f>BL14-BL9-BL10-BL11</f>
        <v>22</v>
      </c>
      <c r="BM12" s="145">
        <f>SUM(BI12:BL12)</f>
        <v>137</v>
      </c>
      <c r="BN12" s="1134">
        <f>BN14-BN9-BN10-BN11</f>
        <v>16</v>
      </c>
      <c r="BO12" s="145">
        <f>BO14-BO9-BO10-BO11</f>
        <v>15</v>
      </c>
      <c r="BP12" s="145">
        <f>BP14-BP9-BP10-BP11</f>
        <v>15</v>
      </c>
      <c r="BQ12" s="1135">
        <f>BQ14-BQ9-BQ10-BQ11</f>
        <v>14</v>
      </c>
      <c r="BR12" s="145">
        <f>SUM(BN12:BQ12)</f>
        <v>60</v>
      </c>
      <c r="BS12" s="1134">
        <f>BS14-BS9-BS10-BS11</f>
        <v>8</v>
      </c>
      <c r="BT12" s="145">
        <f>BT14-BT9-BT10-BT11</f>
        <v>9</v>
      </c>
      <c r="BU12" s="145">
        <f>BU14-BU9-BU10-BU11</f>
        <v>10</v>
      </c>
      <c r="BV12" s="1135">
        <f>BV14-BV9-BV10-BV11</f>
        <v>4</v>
      </c>
      <c r="BW12" s="145">
        <f>SUM(BS12:BV12)</f>
        <v>31</v>
      </c>
      <c r="BX12" s="1134">
        <f>BX14-BX9-BX10-BX11</f>
        <v>-18</v>
      </c>
      <c r="BY12" s="145">
        <f>BY14-BY9-BY10-BY11</f>
        <v>-85</v>
      </c>
      <c r="BZ12" s="145">
        <f>BZ14-BZ9-BZ10-BZ11</f>
        <v>-30</v>
      </c>
      <c r="CA12" s="1135">
        <f>CA14-CA9-CA10-CA11</f>
        <v>-28</v>
      </c>
      <c r="CB12" s="145">
        <f>SUM(BX12:CA12)</f>
        <v>-161</v>
      </c>
      <c r="CC12" s="1143">
        <v>50</v>
      </c>
      <c r="CD12" s="145">
        <f>CC12</f>
        <v>50</v>
      </c>
      <c r="CE12" s="145">
        <f>CD12</f>
        <v>50</v>
      </c>
      <c r="CF12" s="1135">
        <f>CE12</f>
        <v>50</v>
      </c>
      <c r="CG12" s="145">
        <f>SUM(CC12:CF12)</f>
        <v>200</v>
      </c>
      <c r="CH12" s="1143">
        <v>50</v>
      </c>
      <c r="CI12" s="145">
        <f>CH12</f>
        <v>50</v>
      </c>
      <c r="CJ12" s="145">
        <f>CI12</f>
        <v>50</v>
      </c>
      <c r="CK12" s="1135">
        <f>CJ12</f>
        <v>50</v>
      </c>
      <c r="CL12" s="145">
        <f>SUM(CH12:CK12)</f>
        <v>200</v>
      </c>
      <c r="CM12" s="1143">
        <v>50</v>
      </c>
      <c r="CN12" s="145">
        <f>CM12</f>
        <v>50</v>
      </c>
      <c r="CO12" s="145">
        <f>CN12</f>
        <v>50</v>
      </c>
      <c r="CP12" s="1135">
        <f>CO12</f>
        <v>50</v>
      </c>
      <c r="CQ12" s="1135">
        <f>SUM(CM12:CP12)</f>
        <v>200</v>
      </c>
      <c r="CR12" s="75"/>
    </row>
    <row r="13" spans="1:96" ht="6.2" customHeight="1">
      <c r="A13" s="75"/>
      <c r="B13" s="75"/>
      <c r="C13" s="81"/>
      <c r="D13" s="75"/>
      <c r="E13" s="75"/>
      <c r="F13" s="145"/>
      <c r="G13" s="145"/>
      <c r="H13" s="145"/>
      <c r="I13" s="145"/>
      <c r="J13" s="145"/>
      <c r="K13" s="147"/>
      <c r="L13" s="147"/>
      <c r="M13" s="147"/>
      <c r="N13" s="145">
        <f>O13-K13-L13-M13</f>
        <v>0</v>
      </c>
      <c r="O13" s="147"/>
      <c r="P13" s="147"/>
      <c r="Q13" s="147"/>
      <c r="R13" s="147"/>
      <c r="S13" s="147"/>
      <c r="T13" s="147"/>
      <c r="U13" s="147"/>
      <c r="V13" s="147"/>
      <c r="W13" s="147"/>
      <c r="X13" s="148"/>
      <c r="Y13" s="148"/>
      <c r="Z13" s="145"/>
      <c r="AA13" s="145"/>
      <c r="AB13" s="145"/>
      <c r="AC13" s="148"/>
      <c r="AD13" s="148"/>
      <c r="AE13" s="145"/>
      <c r="AF13" s="145"/>
      <c r="AG13" s="145"/>
      <c r="AH13" s="148"/>
      <c r="AI13" s="148"/>
      <c r="AJ13" s="1134"/>
      <c r="AK13" s="147"/>
      <c r="AL13" s="147"/>
      <c r="AM13" s="1136"/>
      <c r="AN13" s="148"/>
      <c r="AO13" s="1250"/>
      <c r="AP13" s="147"/>
      <c r="AQ13" s="147"/>
      <c r="AR13" s="1136"/>
      <c r="AS13" s="148"/>
      <c r="AT13" s="1134"/>
      <c r="AU13" s="145"/>
      <c r="AV13" s="145"/>
      <c r="AW13" s="1136"/>
      <c r="AX13" s="148"/>
      <c r="AY13" s="1250"/>
      <c r="AZ13" s="147"/>
      <c r="BA13" s="147"/>
      <c r="BB13" s="1136"/>
      <c r="BC13" s="148"/>
      <c r="BD13" s="1250"/>
      <c r="BE13" s="147"/>
      <c r="BF13" s="147"/>
      <c r="BG13" s="1136"/>
      <c r="BH13" s="148"/>
      <c r="BI13" s="1250"/>
      <c r="BJ13" s="147"/>
      <c r="BK13" s="147"/>
      <c r="BL13" s="1136"/>
      <c r="BM13" s="148"/>
      <c r="BN13" s="1250"/>
      <c r="BO13" s="147"/>
      <c r="BP13" s="147"/>
      <c r="BQ13" s="1136"/>
      <c r="BR13" s="148"/>
      <c r="BS13" s="1250"/>
      <c r="BT13" s="147"/>
      <c r="BU13" s="147"/>
      <c r="BV13" s="1154"/>
      <c r="BW13" s="148"/>
      <c r="BX13" s="1250"/>
      <c r="BY13" s="147"/>
      <c r="BZ13" s="147"/>
      <c r="CA13" s="1154"/>
      <c r="CB13" s="148"/>
      <c r="CC13" s="1250"/>
      <c r="CD13" s="147"/>
      <c r="CE13" s="147"/>
      <c r="CF13" s="1136"/>
      <c r="CG13" s="148"/>
      <c r="CH13" s="1250"/>
      <c r="CI13" s="147"/>
      <c r="CJ13" s="147"/>
      <c r="CK13" s="1136"/>
      <c r="CL13" s="148"/>
      <c r="CM13" s="1250"/>
      <c r="CN13" s="147"/>
      <c r="CO13" s="147"/>
      <c r="CP13" s="1136"/>
      <c r="CQ13" s="1136"/>
      <c r="CR13" s="75"/>
    </row>
    <row r="14" spans="1:96" ht="13.5" customHeight="1">
      <c r="A14" s="75"/>
      <c r="B14" s="75"/>
      <c r="C14" s="93" t="s">
        <v>715</v>
      </c>
      <c r="D14" s="75"/>
      <c r="E14" s="75"/>
      <c r="F14" s="149">
        <f t="shared" ref="F14:R14" si="0">SUM(F9:F12)</f>
        <v>1898</v>
      </c>
      <c r="G14" s="149">
        <f t="shared" si="0"/>
        <v>2311</v>
      </c>
      <c r="H14" s="149">
        <f t="shared" si="0"/>
        <v>2506</v>
      </c>
      <c r="I14" s="149">
        <f t="shared" si="0"/>
        <v>2613</v>
      </c>
      <c r="J14" s="149">
        <f t="shared" si="0"/>
        <v>9328</v>
      </c>
      <c r="K14" s="149">
        <f t="shared" si="0"/>
        <v>2906</v>
      </c>
      <c r="L14" s="149">
        <f t="shared" si="0"/>
        <v>3448</v>
      </c>
      <c r="M14" s="149">
        <f t="shared" si="0"/>
        <v>3707</v>
      </c>
      <c r="N14" s="149">
        <f t="shared" si="0"/>
        <v>3908</v>
      </c>
      <c r="O14" s="149">
        <f t="shared" si="0"/>
        <v>13969</v>
      </c>
      <c r="P14" s="149">
        <f t="shared" si="0"/>
        <v>3761</v>
      </c>
      <c r="Q14" s="149">
        <f t="shared" si="0"/>
        <v>3582</v>
      </c>
      <c r="R14" s="149">
        <f t="shared" si="0"/>
        <v>3200</v>
      </c>
      <c r="S14" s="149">
        <f>T14-P14-Q14-R14</f>
        <v>3496</v>
      </c>
      <c r="T14" s="149">
        <f>SUM(T9:T12)</f>
        <v>14039</v>
      </c>
      <c r="U14" s="149">
        <f>SUM(U9:U12)</f>
        <v>3726</v>
      </c>
      <c r="V14" s="149">
        <f>SUM(V9:V13)</f>
        <v>4107</v>
      </c>
      <c r="W14" s="149">
        <f>SUM(W9:W12)</f>
        <v>4106</v>
      </c>
      <c r="X14" s="149">
        <f>SUM(X9:X12)</f>
        <v>3776</v>
      </c>
      <c r="Y14" s="149">
        <f>SUM(Y9:Y12)</f>
        <v>15715</v>
      </c>
      <c r="Z14" s="628">
        <f>3756</f>
        <v>3756</v>
      </c>
      <c r="AA14" s="628">
        <v>4228</v>
      </c>
      <c r="AB14" s="149">
        <f>SUM(AB9:AB12)</f>
        <v>4354</v>
      </c>
      <c r="AC14" s="149">
        <f>SUM(AC9:AC12)</f>
        <v>4535</v>
      </c>
      <c r="AD14" s="149">
        <f>SUM(AD9:AD12)</f>
        <v>16873</v>
      </c>
      <c r="AE14" s="149">
        <f>SUM(AE9:AE13)</f>
        <v>5196</v>
      </c>
      <c r="AF14" s="149">
        <f>SUM(AF9:AF13)</f>
        <v>6744</v>
      </c>
      <c r="AG14" s="149">
        <f>SUM(AG9:AG12)</f>
        <v>7312</v>
      </c>
      <c r="AH14" s="149">
        <f>SUM(AH9:AH12)</f>
        <v>4565</v>
      </c>
      <c r="AI14" s="149">
        <f>SUM(AI9:AI12)</f>
        <v>23817</v>
      </c>
      <c r="AJ14" s="1137">
        <f>SUM(AJ9:AJ12)</f>
        <v>2750</v>
      </c>
      <c r="AK14" s="149">
        <f>SUM(AK9:AK13)</f>
        <v>2127</v>
      </c>
      <c r="AL14" s="628">
        <v>2817</v>
      </c>
      <c r="AM14" s="1138">
        <v>3354</v>
      </c>
      <c r="AN14" s="149">
        <f>SUM(AN9:AN12)</f>
        <v>11048</v>
      </c>
      <c r="AO14" s="1251">
        <v>3896</v>
      </c>
      <c r="AP14" s="628">
        <v>4681</v>
      </c>
      <c r="AQ14" s="628">
        <v>4497</v>
      </c>
      <c r="AR14" s="1138">
        <v>4300</v>
      </c>
      <c r="AS14" s="149">
        <f>SUM(AS9:AS12)</f>
        <v>17374</v>
      </c>
      <c r="AT14" s="1251">
        <v>4864</v>
      </c>
      <c r="AU14" s="628">
        <v>5120</v>
      </c>
      <c r="AV14" s="629">
        <v>5081</v>
      </c>
      <c r="AW14" s="1138">
        <v>4819</v>
      </c>
      <c r="AX14" s="149">
        <f>SUM(AX9:AX12)</f>
        <v>19884</v>
      </c>
      <c r="AY14" s="1251">
        <v>5172</v>
      </c>
      <c r="AZ14" s="628">
        <v>5017</v>
      </c>
      <c r="BA14" s="628">
        <v>4652</v>
      </c>
      <c r="BB14" s="1138">
        <v>4487</v>
      </c>
      <c r="BC14" s="149">
        <f>SUM(BC9:BC12)</f>
        <v>19328</v>
      </c>
      <c r="BD14" s="1251">
        <v>4595</v>
      </c>
      <c r="BE14" s="628">
        <v>4429</v>
      </c>
      <c r="BF14" s="628">
        <v>4131</v>
      </c>
      <c r="BG14" s="1138">
        <v>4269</v>
      </c>
      <c r="BH14" s="149">
        <f>SUM(BH9:BH12)</f>
        <v>17424</v>
      </c>
      <c r="BI14" s="1251">
        <v>4448</v>
      </c>
      <c r="BJ14" s="628">
        <v>4400</v>
      </c>
      <c r="BK14" s="628">
        <v>4587</v>
      </c>
      <c r="BL14" s="1138">
        <v>4072</v>
      </c>
      <c r="BM14" s="149">
        <f>SUM(BM9:BM12)</f>
        <v>17507</v>
      </c>
      <c r="BN14" s="1251">
        <v>3272</v>
      </c>
      <c r="BO14" s="628">
        <v>2900</v>
      </c>
      <c r="BP14" s="628">
        <v>2830</v>
      </c>
      <c r="BQ14" s="1138">
        <f>11574-SUM(BN14:BP14)</f>
        <v>2572</v>
      </c>
      <c r="BR14" s="149">
        <f>SUM(BR9:BR12)</f>
        <v>11574</v>
      </c>
      <c r="BS14" s="1251">
        <v>2341</v>
      </c>
      <c r="BT14" s="628">
        <v>2584</v>
      </c>
      <c r="BU14" s="628">
        <v>2686</v>
      </c>
      <c r="BV14" s="1138">
        <v>2650</v>
      </c>
      <c r="BW14" s="149">
        <f>SUM(BW9:BW12)</f>
        <v>10261</v>
      </c>
      <c r="BX14" s="1251">
        <v>2725</v>
      </c>
      <c r="BY14" s="628">
        <v>3144</v>
      </c>
      <c r="BZ14" s="628">
        <v>3248</v>
      </c>
      <c r="CA14" s="1138">
        <v>3133</v>
      </c>
      <c r="CB14" s="149">
        <f>SUM(CB9:CB12)</f>
        <v>12250</v>
      </c>
      <c r="CC14" s="1137">
        <f>SUM(CC9:CC13)</f>
        <v>3135.5207409011568</v>
      </c>
      <c r="CD14" s="149">
        <f>SUM(CD9:CD13)</f>
        <v>3506.1536400053119</v>
      </c>
      <c r="CE14" s="149">
        <f>SUM(CE9:CE12)</f>
        <v>3726.9337517892145</v>
      </c>
      <c r="CF14" s="1142">
        <f>SUM(CF9:CF12)</f>
        <v>3727.7928088315593</v>
      </c>
      <c r="CG14" s="149">
        <f>SUM(CG9:CG12)</f>
        <v>14096.400941527243</v>
      </c>
      <c r="CH14" s="1137">
        <f>SUM(CH9:CH13)</f>
        <v>3622.2083311858469</v>
      </c>
      <c r="CI14" s="149">
        <f>SUM(CI9:CI13)</f>
        <v>3893.210107562099</v>
      </c>
      <c r="CJ14" s="149">
        <f>SUM(CJ9:CJ12)</f>
        <v>3798.4157019378886</v>
      </c>
      <c r="CK14" s="1142">
        <f>SUM(CK9:CK12)</f>
        <v>3731.1690908290402</v>
      </c>
      <c r="CL14" s="149">
        <f>SUM(CL9:CL12)</f>
        <v>15045.003231514875</v>
      </c>
      <c r="CM14" s="1137">
        <f>SUM(CM9:CM13)</f>
        <v>3479.0726895648322</v>
      </c>
      <c r="CN14" s="149">
        <f>SUM(CN9:CN13)</f>
        <v>3713.7124707575658</v>
      </c>
      <c r="CO14" s="149">
        <f>SUM(CO9:CO12)</f>
        <v>3581.3008872580949</v>
      </c>
      <c r="CP14" s="1142">
        <f>SUM(CP9:CP12)</f>
        <v>3528.281871436041</v>
      </c>
      <c r="CQ14" s="1142">
        <f>SUM(CQ9:CQ12)</f>
        <v>14302.367919016533</v>
      </c>
      <c r="CR14" s="75"/>
    </row>
    <row r="15" spans="1:96" ht="13.5" customHeight="1">
      <c r="A15" s="75"/>
      <c r="B15" s="75"/>
      <c r="C15" s="115" t="s">
        <v>716</v>
      </c>
      <c r="D15" s="75"/>
      <c r="E15" s="75"/>
      <c r="F15" s="151"/>
      <c r="G15" s="151"/>
      <c r="H15" s="151"/>
      <c r="I15" s="151"/>
      <c r="J15" s="151"/>
      <c r="K15" s="151">
        <f t="shared" ref="K15:AP15" si="1">K14/F14-1</f>
        <v>0.53108535300316118</v>
      </c>
      <c r="L15" s="151">
        <f t="shared" si="1"/>
        <v>0.49199480744266544</v>
      </c>
      <c r="M15" s="151">
        <f t="shared" si="1"/>
        <v>0.4792498004788508</v>
      </c>
      <c r="N15" s="151">
        <f t="shared" si="1"/>
        <v>0.49559892843474929</v>
      </c>
      <c r="O15" s="151">
        <f t="shared" si="1"/>
        <v>0.49753430531732423</v>
      </c>
      <c r="P15" s="151">
        <f t="shared" si="1"/>
        <v>0.29421885753613219</v>
      </c>
      <c r="Q15" s="151">
        <f t="shared" si="1"/>
        <v>3.8863109048723921E-2</v>
      </c>
      <c r="R15" s="151">
        <f t="shared" si="1"/>
        <v>-0.13676827623415155</v>
      </c>
      <c r="S15" s="151">
        <f t="shared" si="1"/>
        <v>-0.10542476970317294</v>
      </c>
      <c r="T15" s="151">
        <f t="shared" si="1"/>
        <v>5.011095998281867E-3</v>
      </c>
      <c r="U15" s="151">
        <f t="shared" si="1"/>
        <v>-9.3060356288221513E-3</v>
      </c>
      <c r="V15" s="151">
        <f t="shared" si="1"/>
        <v>0.14656616415410384</v>
      </c>
      <c r="W15" s="151">
        <f t="shared" si="1"/>
        <v>0.28312500000000007</v>
      </c>
      <c r="X15" s="151">
        <f t="shared" si="1"/>
        <v>8.0091533180778107E-2</v>
      </c>
      <c r="Y15" s="151">
        <f t="shared" si="1"/>
        <v>0.1193817223448963</v>
      </c>
      <c r="Z15" s="151">
        <f t="shared" si="1"/>
        <v>8.0515297906602612E-3</v>
      </c>
      <c r="AA15" s="151">
        <f t="shared" si="1"/>
        <v>2.9461894326759275E-2</v>
      </c>
      <c r="AB15" s="151">
        <f t="shared" si="1"/>
        <v>6.0399415489527541E-2</v>
      </c>
      <c r="AC15" s="151">
        <f t="shared" si="1"/>
        <v>0.20100635593220328</v>
      </c>
      <c r="AD15" s="151">
        <f t="shared" si="1"/>
        <v>7.3687559656379298E-2</v>
      </c>
      <c r="AE15" s="151">
        <f t="shared" si="1"/>
        <v>0.38338658146964866</v>
      </c>
      <c r="AF15" s="151">
        <f t="shared" si="1"/>
        <v>0.59508041627246921</v>
      </c>
      <c r="AG15" s="151">
        <f t="shared" si="1"/>
        <v>0.67937528709232886</v>
      </c>
      <c r="AH15" s="151">
        <f t="shared" si="1"/>
        <v>6.6152149944873617E-3</v>
      </c>
      <c r="AI15" s="151">
        <f t="shared" si="1"/>
        <v>0.4115450720085343</v>
      </c>
      <c r="AJ15" s="1139">
        <f t="shared" si="1"/>
        <v>-0.47074672825250197</v>
      </c>
      <c r="AK15" s="151">
        <f t="shared" si="1"/>
        <v>-0.68460854092526691</v>
      </c>
      <c r="AL15" s="151">
        <f t="shared" si="1"/>
        <v>-0.61474288840262581</v>
      </c>
      <c r="AM15" s="1140">
        <f t="shared" si="1"/>
        <v>-0.26527929901423875</v>
      </c>
      <c r="AN15" s="151">
        <f t="shared" si="1"/>
        <v>-0.53612965528823953</v>
      </c>
      <c r="AO15" s="1139">
        <f t="shared" si="1"/>
        <v>0.41672727272727283</v>
      </c>
      <c r="AP15" s="151">
        <f t="shared" si="1"/>
        <v>1.2007522331922895</v>
      </c>
      <c r="AQ15" s="151">
        <f t="shared" ref="AQ15:BV15" si="2">AQ14/AL14-1</f>
        <v>0.59637912673056448</v>
      </c>
      <c r="AR15" s="1140">
        <f t="shared" si="2"/>
        <v>0.28205128205128216</v>
      </c>
      <c r="AS15" s="151">
        <f t="shared" si="2"/>
        <v>0.57259232440260677</v>
      </c>
      <c r="AT15" s="1139">
        <f t="shared" si="2"/>
        <v>0.24845995893223827</v>
      </c>
      <c r="AU15" s="151">
        <f t="shared" si="2"/>
        <v>9.3783379619739371E-2</v>
      </c>
      <c r="AV15" s="151">
        <f t="shared" si="2"/>
        <v>0.12986435401378693</v>
      </c>
      <c r="AW15" s="1140">
        <f t="shared" si="2"/>
        <v>0.12069767441860457</v>
      </c>
      <c r="AX15" s="151">
        <f t="shared" si="2"/>
        <v>0.1444687464026706</v>
      </c>
      <c r="AY15" s="1139">
        <f t="shared" si="2"/>
        <v>6.3322368421052655E-2</v>
      </c>
      <c r="AZ15" s="151">
        <f t="shared" si="2"/>
        <v>-2.0117187500000022E-2</v>
      </c>
      <c r="BA15" s="151">
        <f t="shared" si="2"/>
        <v>-8.4432198386144464E-2</v>
      </c>
      <c r="BB15" s="1140">
        <f t="shared" si="2"/>
        <v>-6.8893961402780701E-2</v>
      </c>
      <c r="BC15" s="151">
        <f t="shared" si="2"/>
        <v>-2.7962180647757018E-2</v>
      </c>
      <c r="BD15" s="1139">
        <f t="shared" si="2"/>
        <v>-0.11156225831399846</v>
      </c>
      <c r="BE15" s="151">
        <f t="shared" si="2"/>
        <v>-0.11720151484951169</v>
      </c>
      <c r="BF15" s="151">
        <f t="shared" si="2"/>
        <v>-0.11199484092863288</v>
      </c>
      <c r="BG15" s="1140">
        <f t="shared" si="2"/>
        <v>-4.8584800534878569E-2</v>
      </c>
      <c r="BH15" s="151">
        <f t="shared" si="2"/>
        <v>-9.8509933774834413E-2</v>
      </c>
      <c r="BI15" s="1139">
        <f t="shared" si="2"/>
        <v>-3.1991294885745369E-2</v>
      </c>
      <c r="BJ15" s="151">
        <f t="shared" si="2"/>
        <v>-6.5477534432151208E-3</v>
      </c>
      <c r="BK15" s="151">
        <f t="shared" si="2"/>
        <v>0.11038489469862012</v>
      </c>
      <c r="BL15" s="1140">
        <f t="shared" si="2"/>
        <v>-4.6146638557039155E-2</v>
      </c>
      <c r="BM15" s="151">
        <f t="shared" si="2"/>
        <v>4.7635445362717022E-3</v>
      </c>
      <c r="BN15" s="1139">
        <f t="shared" si="2"/>
        <v>-0.26438848920863312</v>
      </c>
      <c r="BO15" s="151">
        <f t="shared" si="2"/>
        <v>-0.34090909090909094</v>
      </c>
      <c r="BP15" s="151">
        <f t="shared" si="2"/>
        <v>-0.38303902332679307</v>
      </c>
      <c r="BQ15" s="1140">
        <f t="shared" si="2"/>
        <v>-0.36836935166994111</v>
      </c>
      <c r="BR15" s="151">
        <f t="shared" si="2"/>
        <v>-0.33889301422288232</v>
      </c>
      <c r="BS15" s="1339">
        <f t="shared" si="2"/>
        <v>-0.28453545232273836</v>
      </c>
      <c r="BT15" s="151">
        <f t="shared" si="2"/>
        <v>-0.10896551724137926</v>
      </c>
      <c r="BU15" s="151">
        <f t="shared" si="2"/>
        <v>-5.0883392226148461E-2</v>
      </c>
      <c r="BV15" s="1140">
        <f t="shared" si="2"/>
        <v>3.0326594090202219E-2</v>
      </c>
      <c r="BW15" s="151">
        <f t="shared" ref="BW15:CQ15" si="3">BW14/BR14-1</f>
        <v>-0.11344392604112663</v>
      </c>
      <c r="BX15" s="1139">
        <f t="shared" si="3"/>
        <v>0.16403246475865019</v>
      </c>
      <c r="BY15" s="151">
        <f t="shared" si="3"/>
        <v>0.21671826625387003</v>
      </c>
      <c r="BZ15" s="151">
        <f t="shared" si="3"/>
        <v>0.20923306031273259</v>
      </c>
      <c r="CA15" s="1140">
        <f t="shared" si="3"/>
        <v>0.18226415094339621</v>
      </c>
      <c r="CB15" s="151">
        <f t="shared" si="3"/>
        <v>0.19384075626157293</v>
      </c>
      <c r="CC15" s="1139">
        <f t="shared" si="3"/>
        <v>0.15064981317473647</v>
      </c>
      <c r="CD15" s="151">
        <f t="shared" si="3"/>
        <v>0.11518881679558257</v>
      </c>
      <c r="CE15" s="151">
        <f t="shared" si="3"/>
        <v>0.14745497284150688</v>
      </c>
      <c r="CF15" s="1140">
        <f t="shared" si="3"/>
        <v>0.18984768874291702</v>
      </c>
      <c r="CG15" s="151">
        <f t="shared" si="3"/>
        <v>0.1507266074716116</v>
      </c>
      <c r="CH15" s="1139">
        <f t="shared" si="3"/>
        <v>0.15521746800654701</v>
      </c>
      <c r="CI15" s="151">
        <f t="shared" si="3"/>
        <v>0.11039347025197688</v>
      </c>
      <c r="CJ15" s="151">
        <f t="shared" si="3"/>
        <v>1.9179828488863571E-2</v>
      </c>
      <c r="CK15" s="1140">
        <f t="shared" si="3"/>
        <v>9.0570537865786171E-4</v>
      </c>
      <c r="CL15" s="151">
        <f t="shared" si="3"/>
        <v>6.729393509183601E-2</v>
      </c>
      <c r="CM15" s="1139">
        <f t="shared" si="3"/>
        <v>-3.9516126222964854E-2</v>
      </c>
      <c r="CN15" s="151">
        <f t="shared" si="3"/>
        <v>-4.6105304323514451E-2</v>
      </c>
      <c r="CO15" s="151">
        <f t="shared" si="3"/>
        <v>-5.7159308437205847E-2</v>
      </c>
      <c r="CP15" s="1140">
        <f t="shared" si="3"/>
        <v>-5.4376313282526456E-2</v>
      </c>
      <c r="CQ15" s="1140">
        <f t="shared" si="3"/>
        <v>-4.9360927416933875E-2</v>
      </c>
      <c r="CR15" s="75"/>
    </row>
    <row r="16" spans="1:96" ht="13.5" customHeight="1">
      <c r="A16" s="75"/>
      <c r="B16" s="75"/>
      <c r="C16" s="115" t="s">
        <v>717</v>
      </c>
      <c r="D16" s="75"/>
      <c r="E16" s="75"/>
      <c r="F16" s="151"/>
      <c r="G16" s="151">
        <f>G14/F14-1</f>
        <v>0.21759747102212845</v>
      </c>
      <c r="H16" s="151">
        <f>H14/G14-1</f>
        <v>8.4379056685417675E-2</v>
      </c>
      <c r="I16" s="151">
        <f>I14/H14-1</f>
        <v>4.2697525937749337E-2</v>
      </c>
      <c r="J16" s="153"/>
      <c r="K16" s="151">
        <f>K14/I14-1</f>
        <v>0.11213164944508236</v>
      </c>
      <c r="L16" s="151">
        <f>L14/K14-1</f>
        <v>0.18651066758430823</v>
      </c>
      <c r="M16" s="151">
        <f>M14/L14-1</f>
        <v>7.5116009280742357E-2</v>
      </c>
      <c r="N16" s="151">
        <f>N14/M14-1</f>
        <v>5.4221742649042337E-2</v>
      </c>
      <c r="O16" s="152"/>
      <c r="P16" s="151">
        <f>P14/N14-1</f>
        <v>-3.7615148413510768E-2</v>
      </c>
      <c r="Q16" s="151">
        <f>Q14/P14-1</f>
        <v>-4.7593725073118875E-2</v>
      </c>
      <c r="R16" s="151">
        <f>R14/Q14-1</f>
        <v>-0.10664433277498608</v>
      </c>
      <c r="S16" s="151">
        <f>S14/R14-1</f>
        <v>9.2500000000000027E-2</v>
      </c>
      <c r="T16" s="152"/>
      <c r="U16" s="151">
        <f>U14/S14-1</f>
        <v>6.578947368421062E-2</v>
      </c>
      <c r="V16" s="151">
        <f>V14/U14-1</f>
        <v>0.10225442834138487</v>
      </c>
      <c r="W16" s="151">
        <f>W14/V14-1</f>
        <v>-2.4348672997320797E-4</v>
      </c>
      <c r="X16" s="151">
        <f>X14/W14-1</f>
        <v>-8.0370189965903505E-2</v>
      </c>
      <c r="Y16" s="142"/>
      <c r="Z16" s="151">
        <f>Z14/X14-1</f>
        <v>-5.2966101694915668E-3</v>
      </c>
      <c r="AA16" s="151">
        <f>AA14/Z14-1</f>
        <v>0.12566560170394037</v>
      </c>
      <c r="AB16" s="151">
        <f>AB14/AA14-1</f>
        <v>2.9801324503311299E-2</v>
      </c>
      <c r="AC16" s="151">
        <f>AC14/AB14-1</f>
        <v>4.1570969223702292E-2</v>
      </c>
      <c r="AD16" s="142"/>
      <c r="AE16" s="151">
        <f>AE14/AC14-1</f>
        <v>0.14575523704520399</v>
      </c>
      <c r="AF16" s="151">
        <f>AF14/AE14-1</f>
        <v>0.2979214780600461</v>
      </c>
      <c r="AG16" s="151">
        <f>AG14/AF14-1</f>
        <v>8.4223013048635886E-2</v>
      </c>
      <c r="AH16" s="151">
        <f>AH14/AG14-1</f>
        <v>-0.37568380743982499</v>
      </c>
      <c r="AI16" s="142"/>
      <c r="AJ16" s="1139">
        <f>AJ14/AH14-1</f>
        <v>-0.39759036144578308</v>
      </c>
      <c r="AK16" s="151">
        <f>AK14/AJ14-1</f>
        <v>-0.22654545454545449</v>
      </c>
      <c r="AL16" s="151">
        <f>AL14/AK14-1</f>
        <v>0.32440056417489416</v>
      </c>
      <c r="AM16" s="1140">
        <f>AM14/AL14-1</f>
        <v>0.1906283280085197</v>
      </c>
      <c r="AN16" s="142"/>
      <c r="AO16" s="1139">
        <f>AO14/AM14-1</f>
        <v>0.16159809183064988</v>
      </c>
      <c r="AP16" s="151">
        <f>AP14/AO14-1</f>
        <v>0.20148870636550309</v>
      </c>
      <c r="AQ16" s="151">
        <f>AQ14/AP14-1</f>
        <v>-3.9307840205084377E-2</v>
      </c>
      <c r="AR16" s="1140">
        <f>AR14/AQ14-1</f>
        <v>-4.3806982432732955E-2</v>
      </c>
      <c r="AS16" s="142"/>
      <c r="AT16" s="1139">
        <f>AT14/AR14-1</f>
        <v>0.13116279069767445</v>
      </c>
      <c r="AU16" s="151">
        <f>AU14/AT14-1</f>
        <v>5.2631578947368363E-2</v>
      </c>
      <c r="AV16" s="151">
        <f>AV14/AU14-1</f>
        <v>-7.6171874999999556E-3</v>
      </c>
      <c r="AW16" s="1140">
        <f>AW14/AV14-1</f>
        <v>-5.1564652627435592E-2</v>
      </c>
      <c r="AX16" s="142"/>
      <c r="AY16" s="1139">
        <f>AY14/AW14-1</f>
        <v>7.3251711973438383E-2</v>
      </c>
      <c r="AZ16" s="151">
        <f>AZ14/AY14-1</f>
        <v>-2.9969064191802008E-2</v>
      </c>
      <c r="BA16" s="151">
        <f>BA14/AZ14-1</f>
        <v>-7.2752641020530251E-2</v>
      </c>
      <c r="BB16" s="1140">
        <f>BB14/BA14-1</f>
        <v>-3.5468615649183133E-2</v>
      </c>
      <c r="BC16" s="142"/>
      <c r="BD16" s="1139">
        <f>BD14/BB14-1</f>
        <v>2.4069534209939736E-2</v>
      </c>
      <c r="BE16" s="151">
        <f>BE14/BD14-1</f>
        <v>-3.6126224156692088E-2</v>
      </c>
      <c r="BF16" s="151">
        <f>BF14/BE14-1</f>
        <v>-6.7283811244073122E-2</v>
      </c>
      <c r="BG16" s="1140">
        <f>BG14/BF14-1</f>
        <v>3.340595497458243E-2</v>
      </c>
      <c r="BH16" s="142"/>
      <c r="BI16" s="1139">
        <f>BI14/BG14-1</f>
        <v>4.1930194424923961E-2</v>
      </c>
      <c r="BJ16" s="151">
        <f>BJ14/BI14-1</f>
        <v>-1.0791366906474864E-2</v>
      </c>
      <c r="BK16" s="151">
        <f>BK14/BJ14-1</f>
        <v>4.2499999999999982E-2</v>
      </c>
      <c r="BL16" s="1140">
        <f>BL14/BK14-1</f>
        <v>-0.11227381730978858</v>
      </c>
      <c r="BM16" s="142"/>
      <c r="BN16" s="1139">
        <f>BN14/BL14-1</f>
        <v>-0.19646365422396861</v>
      </c>
      <c r="BO16" s="151">
        <f>BO14/BN14-1</f>
        <v>-0.11369193154034229</v>
      </c>
      <c r="BP16" s="151">
        <f>BP14/BO14-1</f>
        <v>-2.4137931034482807E-2</v>
      </c>
      <c r="BQ16" s="1140">
        <f>BQ14/BP14-1</f>
        <v>-9.1166077738515927E-2</v>
      </c>
      <c r="BR16" s="142"/>
      <c r="BS16" s="1339">
        <f>BS14/BQ14-1</f>
        <v>-8.9813374805598811E-2</v>
      </c>
      <c r="BT16" s="151">
        <f>BT14/BS14-1</f>
        <v>0.10380179410508328</v>
      </c>
      <c r="BU16" s="151">
        <f>BU14/BT14-1</f>
        <v>3.9473684210526327E-2</v>
      </c>
      <c r="BV16" s="1140">
        <f>BV14/BU14-1</f>
        <v>-1.3402829486224843E-2</v>
      </c>
      <c r="BW16" s="142"/>
      <c r="BX16" s="1139">
        <f>BX14/BV14-1</f>
        <v>2.8301886792452935E-2</v>
      </c>
      <c r="BY16" s="151">
        <f>BY14/BX14-1</f>
        <v>0.15376146788990819</v>
      </c>
      <c r="BZ16" s="151">
        <f>BZ14/BY14-1</f>
        <v>3.30788804071247E-2</v>
      </c>
      <c r="CA16" s="1140">
        <f>CA14/BZ14-1</f>
        <v>-3.5406403940886677E-2</v>
      </c>
      <c r="CB16" s="142"/>
      <c r="CC16" s="1139">
        <f>CC14/CA14-1</f>
        <v>8.0457737030226184E-4</v>
      </c>
      <c r="CD16" s="151">
        <f>CD14/CC14-1</f>
        <v>0.11820457580441146</v>
      </c>
      <c r="CE16" s="151">
        <f>CE14/CD14-1</f>
        <v>6.2969320358581937E-2</v>
      </c>
      <c r="CF16" s="1140">
        <f>CF14/CE14-1</f>
        <v>2.3049968138888488E-4</v>
      </c>
      <c r="CG16" s="142"/>
      <c r="CH16" s="1139">
        <f>CH14/CF14-1</f>
        <v>-2.8323590676920363E-2</v>
      </c>
      <c r="CI16" s="151">
        <f>CI14/CH14-1</f>
        <v>7.4816728249181397E-2</v>
      </c>
      <c r="CJ16" s="151">
        <f>CJ14/CI14-1</f>
        <v>-2.4348648802715145E-2</v>
      </c>
      <c r="CK16" s="1140">
        <f>CK14/CJ14-1</f>
        <v>-1.7703857709555182E-2</v>
      </c>
      <c r="CL16" s="142"/>
      <c r="CM16" s="1139">
        <f>CM14/CK14-1</f>
        <v>-6.7564989719668289E-2</v>
      </c>
      <c r="CN16" s="151">
        <f>CN14/CM14-1</f>
        <v>6.7443195969004721E-2</v>
      </c>
      <c r="CO16" s="151">
        <f>CO14/CN14-1</f>
        <v>-3.5654775253093351E-2</v>
      </c>
      <c r="CP16" s="1140">
        <f>CP14/CO14-1</f>
        <v>-1.4804401386850796E-2</v>
      </c>
      <c r="CQ16" s="1133"/>
      <c r="CR16" s="75"/>
    </row>
    <row r="17" spans="1:96" ht="6.2" customHeight="1">
      <c r="A17" s="75"/>
      <c r="B17" s="75"/>
      <c r="C17" s="115"/>
      <c r="D17" s="75"/>
      <c r="E17" s="75"/>
      <c r="F17" s="145"/>
      <c r="G17" s="145"/>
      <c r="H17" s="145"/>
      <c r="I17" s="145"/>
      <c r="J17" s="145"/>
      <c r="K17" s="152"/>
      <c r="L17" s="152"/>
      <c r="M17" s="152"/>
      <c r="N17" s="152"/>
      <c r="O17" s="152"/>
      <c r="P17" s="152"/>
      <c r="Q17" s="152"/>
      <c r="R17" s="152"/>
      <c r="S17" s="152"/>
      <c r="T17" s="152"/>
      <c r="U17" s="152"/>
      <c r="V17" s="152"/>
      <c r="W17" s="152"/>
      <c r="X17" s="142"/>
      <c r="Y17" s="142"/>
      <c r="Z17" s="151"/>
      <c r="AA17" s="151"/>
      <c r="AB17" s="151"/>
      <c r="AC17" s="142"/>
      <c r="AD17" s="142"/>
      <c r="AE17" s="151"/>
      <c r="AF17" s="152"/>
      <c r="AG17" s="151"/>
      <c r="AH17" s="142"/>
      <c r="AI17" s="142"/>
      <c r="AJ17" s="1139"/>
      <c r="AK17" s="152"/>
      <c r="AL17" s="152"/>
      <c r="AM17" s="1133"/>
      <c r="AN17" s="142"/>
      <c r="AO17" s="1202"/>
      <c r="AP17" s="152"/>
      <c r="AQ17" s="152"/>
      <c r="AR17" s="1133"/>
      <c r="AS17" s="142"/>
      <c r="AT17" s="1139"/>
      <c r="AU17" s="151"/>
      <c r="AV17" s="151"/>
      <c r="AW17" s="1133"/>
      <c r="AX17" s="142"/>
      <c r="AY17" s="1202"/>
      <c r="AZ17" s="152"/>
      <c r="BA17" s="152"/>
      <c r="BB17" s="1133"/>
      <c r="BC17" s="142"/>
      <c r="BD17" s="1202"/>
      <c r="BE17" s="152"/>
      <c r="BF17" s="152"/>
      <c r="BG17" s="1241"/>
      <c r="BH17" s="142"/>
      <c r="BI17" s="1202"/>
      <c r="BJ17" s="152"/>
      <c r="BK17" s="152"/>
      <c r="BL17" s="1133"/>
      <c r="BM17" s="142"/>
      <c r="BN17" s="1202"/>
      <c r="BO17" s="152"/>
      <c r="BP17" s="152"/>
      <c r="BQ17" s="1133"/>
      <c r="BR17" s="142"/>
      <c r="BS17" s="1340"/>
      <c r="BT17" s="152"/>
      <c r="BU17" s="152"/>
      <c r="BV17" s="1133"/>
      <c r="BW17" s="142"/>
      <c r="BX17" s="1202"/>
      <c r="BY17" s="152"/>
      <c r="BZ17" s="152"/>
      <c r="CA17" s="1133"/>
      <c r="CB17" s="142"/>
      <c r="CC17" s="1202"/>
      <c r="CD17" s="152"/>
      <c r="CE17" s="152"/>
      <c r="CF17" s="1133"/>
      <c r="CG17" s="142"/>
      <c r="CH17" s="1202"/>
      <c r="CI17" s="152"/>
      <c r="CJ17" s="152"/>
      <c r="CK17" s="1133"/>
      <c r="CL17" s="142"/>
      <c r="CM17" s="1202"/>
      <c r="CN17" s="152"/>
      <c r="CO17" s="152"/>
      <c r="CP17" s="1133"/>
      <c r="CQ17" s="1133"/>
      <c r="CR17" s="75"/>
    </row>
    <row r="18" spans="1:96" ht="13.5" customHeight="1">
      <c r="A18" s="75"/>
      <c r="B18" s="75"/>
      <c r="C18" s="75" t="s">
        <v>718</v>
      </c>
      <c r="D18" s="75"/>
      <c r="E18" s="75"/>
      <c r="F18" s="145">
        <f>F14-F23-F25+F26-F28</f>
        <v>1707</v>
      </c>
      <c r="G18" s="145">
        <f>G14-G23-G25+G26-G28</f>
        <v>2127</v>
      </c>
      <c r="H18" s="145">
        <f>H14-H23-H25+H26-H28</f>
        <v>2079</v>
      </c>
      <c r="I18" s="145">
        <f>I14-I23-I25+I26-I28</f>
        <v>2547</v>
      </c>
      <c r="J18" s="145">
        <f>SUM(F18:I18)</f>
        <v>8460</v>
      </c>
      <c r="K18" s="145">
        <f>K14-K23-K25+K26-K28</f>
        <v>2554</v>
      </c>
      <c r="L18" s="145">
        <f>L14-L23-L25+L26-L28</f>
        <v>2787</v>
      </c>
      <c r="M18" s="145">
        <f>M14-M23-M25+M26-M28</f>
        <v>2960</v>
      </c>
      <c r="N18" s="145">
        <f>N14-N23-N25+N26-N28</f>
        <v>3087</v>
      </c>
      <c r="O18" s="145">
        <f>SUM(K18:N18)</f>
        <v>11388</v>
      </c>
      <c r="P18" s="145">
        <f>P14-P23-P25+P26-P28</f>
        <v>2935</v>
      </c>
      <c r="Q18" s="145">
        <f>Q14-Q23-Q25+Q26-Q28</f>
        <v>2911</v>
      </c>
      <c r="R18" s="145">
        <f>R14-R23-R25+R26-R28</f>
        <v>2816</v>
      </c>
      <c r="S18" s="145">
        <f>S14-S23-S25+S26-S28</f>
        <v>2969</v>
      </c>
      <c r="T18" s="145">
        <f>SUM(P18:S18)</f>
        <v>11631</v>
      </c>
      <c r="U18" s="145">
        <f>U14-U23-U25+U26-U28</f>
        <v>3091</v>
      </c>
      <c r="V18" s="145">
        <f>V14-V23-V25+V26-V28</f>
        <v>3339</v>
      </c>
      <c r="W18" s="145">
        <f>W14-W23-W25+W26-W28</f>
        <v>3287</v>
      </c>
      <c r="X18" s="145">
        <f>X14-X23-X25+X26-X28</f>
        <v>3230</v>
      </c>
      <c r="Y18" s="145">
        <f>SUM(U18:X18)</f>
        <v>12947</v>
      </c>
      <c r="Z18" s="145">
        <f>Z14-Z23-Z25+Z26-Z28</f>
        <v>3179</v>
      </c>
      <c r="AA18" s="145">
        <f>AA14-AA23-AA25+AA26-AA28</f>
        <v>3595</v>
      </c>
      <c r="AB18" s="145">
        <f>AB14-AB23-AB25+AB26-AB28</f>
        <v>3706</v>
      </c>
      <c r="AC18" s="145">
        <f>AC14-AC23-AC25+AC26-AC28</f>
        <v>3984</v>
      </c>
      <c r="AD18" s="145">
        <f>SUM(Z18:AC18)</f>
        <v>14464</v>
      </c>
      <c r="AE18" s="145">
        <f>AE14-AE23-AE25+AE26-AE28</f>
        <v>4581</v>
      </c>
      <c r="AF18" s="145">
        <f>AF14-AF23-AF25+AF26-AF28</f>
        <v>5491</v>
      </c>
      <c r="AG18" s="145">
        <f>AG14-AG23-AG25+AG26-AG28</f>
        <v>5624</v>
      </c>
      <c r="AH18" s="145">
        <f>AH14-AH23-AH25+AH26-AH28</f>
        <v>3979</v>
      </c>
      <c r="AI18" s="145">
        <f>SUM(AE18:AH18)</f>
        <v>19675</v>
      </c>
      <c r="AJ18" s="1134">
        <f>AJ14-AJ23-AJ25+AJ26-AJ28</f>
        <v>2921</v>
      </c>
      <c r="AK18" s="145">
        <f>AK14-AK23-AK25+AK26-AK28</f>
        <v>2419</v>
      </c>
      <c r="AL18" s="145">
        <f>AL14-AL23-AL25+AL26-AL28</f>
        <v>2902</v>
      </c>
      <c r="AM18" s="1135">
        <f>AM14-AM23-AM25+AM26-AM28</f>
        <v>3299</v>
      </c>
      <c r="AN18" s="145">
        <f>SUM(AJ18:AM18)</f>
        <v>11541</v>
      </c>
      <c r="AO18" s="1134">
        <f>AO14-AO23-AO25+AO26-AO28</f>
        <v>3639</v>
      </c>
      <c r="AP18" s="145">
        <f>AP14-AP23-AP25+AP26-AP28</f>
        <v>4154</v>
      </c>
      <c r="AQ18" s="145">
        <f>AQ14-AQ23-AQ25+AQ26-AQ28</f>
        <v>4321</v>
      </c>
      <c r="AR18" s="1135">
        <f>AR14-AR23-AR25+AR26-AR28</f>
        <v>4115</v>
      </c>
      <c r="AS18" s="145">
        <f>SUM(AO18:AR18)</f>
        <v>16229</v>
      </c>
      <c r="AT18" s="1134">
        <f>AT14-AT23-AT25+AT26-AT28</f>
        <v>4621</v>
      </c>
      <c r="AU18" s="145">
        <f>AU14-AU23-AU25+AU26-AU28</f>
        <v>4498</v>
      </c>
      <c r="AV18" s="145">
        <f>AV14-AV23-AV25+AV26-AV28</f>
        <v>4560</v>
      </c>
      <c r="AW18" s="1135">
        <f>AW14-AW23-AW25+AW26-AW28</f>
        <v>4629</v>
      </c>
      <c r="AX18" s="145">
        <f>SUM(AT18:AW18)</f>
        <v>18308</v>
      </c>
      <c r="AY18" s="1134">
        <f>AY14-AY23-AY25+AY26-AY28</f>
        <v>4592</v>
      </c>
      <c r="AZ18" s="145">
        <f>AZ14-AZ23-AZ25+AZ26-AZ28</f>
        <v>4377</v>
      </c>
      <c r="BA18" s="145">
        <f>BA14-BA23-BA25+BA26-BA28</f>
        <v>4176</v>
      </c>
      <c r="BB18" s="1135">
        <f>BB14-BB23-BB25+BB26-BB28</f>
        <v>4137</v>
      </c>
      <c r="BC18" s="145">
        <f>SUM(AY18:BB18)</f>
        <v>17282</v>
      </c>
      <c r="BD18" s="1134">
        <f>BD14-BD23-BD25+BD26-BD28</f>
        <v>4240</v>
      </c>
      <c r="BE18" s="145">
        <f>BE14-BE23-BE25+BE26-BE28</f>
        <v>4114</v>
      </c>
      <c r="BF18" s="156">
        <f>BF14-BF23-BF25+BF26-BF28</f>
        <v>3772</v>
      </c>
      <c r="BG18" s="1135">
        <f>BG14-BG23-BG25+BG26-BG28</f>
        <v>3863</v>
      </c>
      <c r="BH18" s="145">
        <f>SUM(BD18:BG18)</f>
        <v>15989</v>
      </c>
      <c r="BI18" s="1134">
        <f>BI14-BI23-BI25+BI26-BI28</f>
        <v>4038</v>
      </c>
      <c r="BJ18" s="145">
        <f>BJ14-BJ23-BJ25+BJ26-BJ28</f>
        <v>4050</v>
      </c>
      <c r="BK18" s="145">
        <f>BK14-BK23-BK25+BK26-BK28</f>
        <v>3901</v>
      </c>
      <c r="BL18" s="1135">
        <f>BL14-BL23-BL25+BL26-BL28</f>
        <v>3472</v>
      </c>
      <c r="BM18" s="145">
        <f>SUM(BI18:BL18)</f>
        <v>15461</v>
      </c>
      <c r="BN18" s="1134">
        <f>BN14-BN23-BN25+BN26-BN28</f>
        <v>3054</v>
      </c>
      <c r="BO18" s="145">
        <f>BO14-BO23-BO25+BO26-BO28</f>
        <v>2754</v>
      </c>
      <c r="BP18" s="145">
        <f>BP14-BP23-BP25+BP26-BP28</f>
        <v>2638</v>
      </c>
      <c r="BQ18" s="1135">
        <f>BQ14-BQ23-BQ25+BQ26-BQ28</f>
        <v>2470</v>
      </c>
      <c r="BR18" s="145">
        <f>SUM(BN18:BQ18)</f>
        <v>10916</v>
      </c>
      <c r="BS18" s="1134">
        <f>BS14-BS23-BS25+BS26-BS28</f>
        <v>2334</v>
      </c>
      <c r="BT18" s="145">
        <f>BT14-BT23-BT25+BT26-BT28</f>
        <v>2358</v>
      </c>
      <c r="BU18" s="145">
        <f>BU14-BU23-BU25+BU26-BU28</f>
        <v>2323</v>
      </c>
      <c r="BV18" s="1135">
        <f>BV14-BV23-BV25+BV26-BV28</f>
        <v>2383</v>
      </c>
      <c r="BW18" s="145">
        <f>SUM(BS18:BV18)</f>
        <v>9398</v>
      </c>
      <c r="BX18" s="1134">
        <f>BX14-BX23-BX25+BX26-BX28</f>
        <v>2550</v>
      </c>
      <c r="BY18" s="145">
        <f>BY14-BY23-BY25+BY26-BY28</f>
        <v>2687</v>
      </c>
      <c r="BZ18" s="145">
        <f>BZ14-BZ23-BZ25+BZ26-BZ28</f>
        <v>2808</v>
      </c>
      <c r="CA18" s="1135">
        <f>CA14-CA23-CA25+CA26-CA28</f>
        <v>2699</v>
      </c>
      <c r="CB18" s="145">
        <f>SUM(BX18:CA18)</f>
        <v>10744</v>
      </c>
      <c r="CC18" s="1134">
        <f>CC14-CC23-CC25+CC26-CC28</f>
        <v>2771.6686470690274</v>
      </c>
      <c r="CD18" s="145">
        <f>CD14-CD23-CD25+CD26-CD28</f>
        <v>2930.7248382856537</v>
      </c>
      <c r="CE18" s="145">
        <f>CE14-CE23-CE25+CE26-CE28</f>
        <v>3062.9425853949542</v>
      </c>
      <c r="CF18" s="1135">
        <f>CF14-CF23-CF25+CF26-CF28</f>
        <v>3129.631553364261</v>
      </c>
      <c r="CG18" s="145">
        <f>SUM(CC18:CF18)</f>
        <v>11894.967624113897</v>
      </c>
      <c r="CH18" s="1134">
        <f>CH14-CH23-CH25+CH26-CH28</f>
        <v>3169.5814993744716</v>
      </c>
      <c r="CI18" s="145">
        <f>CI14-CI23-CI25+CI26-CI28</f>
        <v>3207.1599085532239</v>
      </c>
      <c r="CJ18" s="145">
        <f>CJ14-CJ23-CJ25+CJ26-CJ28</f>
        <v>3147.6353236822138</v>
      </c>
      <c r="CK18" s="1135">
        <f>CK14-CK23-CK25+CK26-CK28</f>
        <v>3098.9086023822829</v>
      </c>
      <c r="CL18" s="145">
        <f>SUM(CH18:CK18)</f>
        <v>12623.285333992193</v>
      </c>
      <c r="CM18" s="1134">
        <f>CM14-CM23-CM25+CM26-CM28</f>
        <v>3010.7698667552099</v>
      </c>
      <c r="CN18" s="145">
        <f>CN14-CN23-CN25+CN26-CN28</f>
        <v>3114.8518665537872</v>
      </c>
      <c r="CO18" s="145">
        <f>CO14-CO23-CO25+CO26-CO28</f>
        <v>3051.2084788832949</v>
      </c>
      <c r="CP18" s="1135">
        <f>CP14-CP23-CP25+CP26-CP28</f>
        <v>3009.6421953527761</v>
      </c>
      <c r="CQ18" s="1135">
        <f>SUM(CM18:CP18)</f>
        <v>12186.472407545069</v>
      </c>
      <c r="CR18" s="75"/>
    </row>
    <row r="19" spans="1:96" ht="6.2" customHeight="1">
      <c r="A19" s="75"/>
      <c r="B19" s="75"/>
      <c r="C19" s="75"/>
      <c r="D19" s="75"/>
      <c r="E19" s="75"/>
      <c r="F19" s="154"/>
      <c r="G19" s="151"/>
      <c r="H19" s="151"/>
      <c r="I19" s="151"/>
      <c r="J19" s="153"/>
      <c r="K19" s="152"/>
      <c r="L19" s="152"/>
      <c r="M19" s="152"/>
      <c r="N19" s="152"/>
      <c r="O19" s="152"/>
      <c r="P19" s="152"/>
      <c r="Q19" s="152"/>
      <c r="R19" s="152"/>
      <c r="S19" s="152"/>
      <c r="T19" s="152"/>
      <c r="U19" s="152"/>
      <c r="V19" s="152"/>
      <c r="W19" s="152"/>
      <c r="X19" s="155"/>
      <c r="Y19" s="155"/>
      <c r="Z19" s="151"/>
      <c r="AA19" s="151"/>
      <c r="AB19" s="151"/>
      <c r="AC19" s="151"/>
      <c r="AD19" s="155"/>
      <c r="AE19" s="151"/>
      <c r="AF19" s="152"/>
      <c r="AG19" s="151"/>
      <c r="AH19" s="151"/>
      <c r="AI19" s="153"/>
      <c r="AJ19" s="1139"/>
      <c r="AK19" s="152"/>
      <c r="AL19" s="152"/>
      <c r="AM19" s="1141"/>
      <c r="AN19" s="155"/>
      <c r="AO19" s="1139"/>
      <c r="AP19" s="152"/>
      <c r="AQ19" s="152"/>
      <c r="AR19" s="1140"/>
      <c r="AS19" s="155"/>
      <c r="AT19" s="1139"/>
      <c r="AU19" s="151"/>
      <c r="AV19" s="151"/>
      <c r="AW19" s="1140"/>
      <c r="AX19" s="153"/>
      <c r="AY19" s="1202"/>
      <c r="AZ19" s="152"/>
      <c r="BA19" s="152"/>
      <c r="BB19" s="1141"/>
      <c r="BC19" s="153"/>
      <c r="BD19" s="1202"/>
      <c r="BE19" s="152"/>
      <c r="BF19" s="152"/>
      <c r="BG19" s="1141"/>
      <c r="BH19" s="155"/>
      <c r="BI19" s="1202"/>
      <c r="BJ19" s="152"/>
      <c r="BK19" s="152"/>
      <c r="BL19" s="1141"/>
      <c r="BM19" s="155"/>
      <c r="BN19" s="1202"/>
      <c r="BO19" s="152"/>
      <c r="BP19" s="152"/>
      <c r="BQ19" s="1141"/>
      <c r="BR19" s="155"/>
      <c r="BS19" s="1340"/>
      <c r="BT19" s="152"/>
      <c r="BU19" s="152"/>
      <c r="BV19" s="1141"/>
      <c r="BW19" s="155"/>
      <c r="BX19" s="1202"/>
      <c r="BY19" s="152"/>
      <c r="BZ19" s="152"/>
      <c r="CA19" s="1141"/>
      <c r="CB19" s="155"/>
      <c r="CC19" s="1202"/>
      <c r="CD19" s="152"/>
      <c r="CE19" s="152"/>
      <c r="CF19" s="1141"/>
      <c r="CG19" s="155"/>
      <c r="CH19" s="1202"/>
      <c r="CI19" s="152"/>
      <c r="CJ19" s="152"/>
      <c r="CK19" s="1141"/>
      <c r="CL19" s="155"/>
      <c r="CM19" s="1202"/>
      <c r="CN19" s="152"/>
      <c r="CO19" s="152"/>
      <c r="CP19" s="1141"/>
      <c r="CQ19" s="1380"/>
      <c r="CR19" s="75"/>
    </row>
    <row r="20" spans="1:96" ht="13.5" customHeight="1">
      <c r="A20" s="75"/>
      <c r="B20" s="75"/>
      <c r="C20" s="93" t="s">
        <v>719</v>
      </c>
      <c r="D20" s="75"/>
      <c r="E20" s="75"/>
      <c r="F20" s="149">
        <f t="shared" ref="F20:R20" si="4">F14-F18</f>
        <v>191</v>
      </c>
      <c r="G20" s="149">
        <f t="shared" si="4"/>
        <v>184</v>
      </c>
      <c r="H20" s="149">
        <f t="shared" si="4"/>
        <v>427</v>
      </c>
      <c r="I20" s="149">
        <f t="shared" si="4"/>
        <v>66</v>
      </c>
      <c r="J20" s="149">
        <f t="shared" si="4"/>
        <v>868</v>
      </c>
      <c r="K20" s="149">
        <f t="shared" si="4"/>
        <v>352</v>
      </c>
      <c r="L20" s="149">
        <f t="shared" si="4"/>
        <v>661</v>
      </c>
      <c r="M20" s="149">
        <f t="shared" si="4"/>
        <v>747</v>
      </c>
      <c r="N20" s="149">
        <f t="shared" si="4"/>
        <v>821</v>
      </c>
      <c r="O20" s="149">
        <f t="shared" si="4"/>
        <v>2581</v>
      </c>
      <c r="P20" s="149">
        <f t="shared" si="4"/>
        <v>826</v>
      </c>
      <c r="Q20" s="149">
        <f t="shared" si="4"/>
        <v>671</v>
      </c>
      <c r="R20" s="149">
        <f t="shared" si="4"/>
        <v>384</v>
      </c>
      <c r="S20" s="149">
        <f>T20-P20-Q20-R20</f>
        <v>527</v>
      </c>
      <c r="T20" s="149">
        <f t="shared" ref="T20:AG20" si="5">T14-T18</f>
        <v>2408</v>
      </c>
      <c r="U20" s="149">
        <f t="shared" si="5"/>
        <v>635</v>
      </c>
      <c r="V20" s="149">
        <f t="shared" si="5"/>
        <v>768</v>
      </c>
      <c r="W20" s="149">
        <f t="shared" si="5"/>
        <v>819</v>
      </c>
      <c r="X20" s="149">
        <f t="shared" si="5"/>
        <v>546</v>
      </c>
      <c r="Y20" s="149">
        <f t="shared" si="5"/>
        <v>2768</v>
      </c>
      <c r="Z20" s="149">
        <f t="shared" si="5"/>
        <v>577</v>
      </c>
      <c r="AA20" s="149">
        <f t="shared" si="5"/>
        <v>633</v>
      </c>
      <c r="AB20" s="149">
        <f t="shared" si="5"/>
        <v>648</v>
      </c>
      <c r="AC20" s="149">
        <f t="shared" si="5"/>
        <v>551</v>
      </c>
      <c r="AD20" s="149">
        <f t="shared" si="5"/>
        <v>2409</v>
      </c>
      <c r="AE20" s="149">
        <f t="shared" si="5"/>
        <v>615</v>
      </c>
      <c r="AF20" s="149">
        <f t="shared" si="5"/>
        <v>1253</v>
      </c>
      <c r="AG20" s="149">
        <f t="shared" si="5"/>
        <v>1688</v>
      </c>
      <c r="AH20" s="149">
        <f>AH28+AH25+AH23</f>
        <v>723</v>
      </c>
      <c r="AI20" s="149">
        <f>AI14-AI18</f>
        <v>4142</v>
      </c>
      <c r="AJ20" s="1137">
        <f>AJ14-AJ18</f>
        <v>-171</v>
      </c>
      <c r="AK20" s="149">
        <f>AK14-AK18</f>
        <v>-292</v>
      </c>
      <c r="AL20" s="149">
        <f>AL14-AL18</f>
        <v>-85</v>
      </c>
      <c r="AM20" s="1142">
        <f>AM28+AM25+AM23</f>
        <v>55</v>
      </c>
      <c r="AN20" s="149">
        <f>AN14-AN18</f>
        <v>-493</v>
      </c>
      <c r="AO20" s="1137">
        <f>AO14-AO18</f>
        <v>257</v>
      </c>
      <c r="AP20" s="149">
        <f>AP14-AP18</f>
        <v>527</v>
      </c>
      <c r="AQ20" s="149">
        <f>AQ14-AQ18</f>
        <v>176</v>
      </c>
      <c r="AR20" s="1142">
        <f>AR28+AR25+AR23</f>
        <v>195</v>
      </c>
      <c r="AS20" s="149">
        <f>AS14-AS18</f>
        <v>1145</v>
      </c>
      <c r="AT20" s="1137">
        <f>AT14-AT18</f>
        <v>243</v>
      </c>
      <c r="AU20" s="149">
        <f>AU14-AU18</f>
        <v>622</v>
      </c>
      <c r="AV20" s="149">
        <f>AV14-AV18</f>
        <v>521</v>
      </c>
      <c r="AW20" s="1142">
        <f>AW28+AW25+AW23</f>
        <v>227</v>
      </c>
      <c r="AX20" s="149">
        <f t="shared" ref="AX20:CQ20" si="6">AX14-AX18</f>
        <v>1576</v>
      </c>
      <c r="AY20" s="1137">
        <f t="shared" si="6"/>
        <v>580</v>
      </c>
      <c r="AZ20" s="149">
        <f t="shared" si="6"/>
        <v>640</v>
      </c>
      <c r="BA20" s="149">
        <f t="shared" si="6"/>
        <v>476</v>
      </c>
      <c r="BB20" s="1142">
        <f t="shared" si="6"/>
        <v>350</v>
      </c>
      <c r="BC20" s="149">
        <f t="shared" si="6"/>
        <v>2046</v>
      </c>
      <c r="BD20" s="1137">
        <f t="shared" si="6"/>
        <v>355</v>
      </c>
      <c r="BE20" s="149">
        <f t="shared" si="6"/>
        <v>315</v>
      </c>
      <c r="BF20" s="149">
        <f t="shared" si="6"/>
        <v>359</v>
      </c>
      <c r="BG20" s="1142">
        <f t="shared" si="6"/>
        <v>406</v>
      </c>
      <c r="BH20" s="149">
        <f t="shared" si="6"/>
        <v>1435</v>
      </c>
      <c r="BI20" s="1137">
        <f t="shared" si="6"/>
        <v>410</v>
      </c>
      <c r="BJ20" s="149">
        <f t="shared" si="6"/>
        <v>350</v>
      </c>
      <c r="BK20" s="149">
        <f t="shared" si="6"/>
        <v>686</v>
      </c>
      <c r="BL20" s="1142">
        <f t="shared" si="6"/>
        <v>600</v>
      </c>
      <c r="BM20" s="149">
        <f t="shared" si="6"/>
        <v>2046</v>
      </c>
      <c r="BN20" s="1137">
        <f t="shared" si="6"/>
        <v>218</v>
      </c>
      <c r="BO20" s="149">
        <f t="shared" si="6"/>
        <v>146</v>
      </c>
      <c r="BP20" s="149">
        <f t="shared" si="6"/>
        <v>192</v>
      </c>
      <c r="BQ20" s="1142">
        <f t="shared" si="6"/>
        <v>102</v>
      </c>
      <c r="BR20" s="149">
        <f t="shared" si="6"/>
        <v>658</v>
      </c>
      <c r="BS20" s="1137">
        <f t="shared" si="6"/>
        <v>7</v>
      </c>
      <c r="BT20" s="149">
        <f t="shared" si="6"/>
        <v>226</v>
      </c>
      <c r="BU20" s="149">
        <f t="shared" si="6"/>
        <v>363</v>
      </c>
      <c r="BV20" s="1142">
        <f t="shared" si="6"/>
        <v>267</v>
      </c>
      <c r="BW20" s="149">
        <f t="shared" si="6"/>
        <v>863</v>
      </c>
      <c r="BX20" s="1137">
        <f t="shared" si="6"/>
        <v>175</v>
      </c>
      <c r="BY20" s="149">
        <f t="shared" si="6"/>
        <v>457</v>
      </c>
      <c r="BZ20" s="149">
        <f t="shared" si="6"/>
        <v>440</v>
      </c>
      <c r="CA20" s="1142">
        <f t="shared" si="6"/>
        <v>434</v>
      </c>
      <c r="CB20" s="149">
        <f t="shared" si="6"/>
        <v>1506</v>
      </c>
      <c r="CC20" s="1137">
        <f t="shared" si="6"/>
        <v>363.85209383212941</v>
      </c>
      <c r="CD20" s="149">
        <f t="shared" si="6"/>
        <v>575.42880171965817</v>
      </c>
      <c r="CE20" s="149">
        <f t="shared" si="6"/>
        <v>663.99116639426029</v>
      </c>
      <c r="CF20" s="1142">
        <f t="shared" si="6"/>
        <v>598.16125546729836</v>
      </c>
      <c r="CG20" s="149">
        <f t="shared" si="6"/>
        <v>2201.4333174133462</v>
      </c>
      <c r="CH20" s="1137">
        <f t="shared" si="6"/>
        <v>452.62683181137527</v>
      </c>
      <c r="CI20" s="149">
        <f t="shared" si="6"/>
        <v>686.0501990088751</v>
      </c>
      <c r="CJ20" s="149">
        <f t="shared" si="6"/>
        <v>650.7803782556748</v>
      </c>
      <c r="CK20" s="1142">
        <f t="shared" si="6"/>
        <v>632.26048844675734</v>
      </c>
      <c r="CL20" s="149">
        <f t="shared" si="6"/>
        <v>2421.7178975226816</v>
      </c>
      <c r="CM20" s="1137">
        <f t="shared" si="6"/>
        <v>468.30282280962228</v>
      </c>
      <c r="CN20" s="149">
        <f t="shared" si="6"/>
        <v>598.86060420377862</v>
      </c>
      <c r="CO20" s="149">
        <f t="shared" si="6"/>
        <v>530.09240837480002</v>
      </c>
      <c r="CP20" s="1142">
        <f t="shared" si="6"/>
        <v>518.63967608326493</v>
      </c>
      <c r="CQ20" s="1142">
        <f t="shared" si="6"/>
        <v>2115.8955114714645</v>
      </c>
      <c r="CR20" s="75"/>
    </row>
    <row r="21" spans="1:96" ht="13.5" customHeight="1">
      <c r="A21" s="75"/>
      <c r="B21" s="75"/>
      <c r="C21" s="115" t="s">
        <v>720</v>
      </c>
      <c r="D21" s="75"/>
      <c r="E21" s="75"/>
      <c r="F21" s="151">
        <f t="shared" ref="F21:T21" si="7">F20/F14</f>
        <v>0.10063224446786091</v>
      </c>
      <c r="G21" s="151">
        <f t="shared" si="7"/>
        <v>7.9619212462137601E-2</v>
      </c>
      <c r="H21" s="151">
        <f t="shared" si="7"/>
        <v>0.17039106145251395</v>
      </c>
      <c r="I21" s="151">
        <f t="shared" si="7"/>
        <v>2.5258323765786451E-2</v>
      </c>
      <c r="J21" s="151">
        <f t="shared" si="7"/>
        <v>9.3053173241852485E-2</v>
      </c>
      <c r="K21" s="151">
        <f t="shared" si="7"/>
        <v>0.12112869924294563</v>
      </c>
      <c r="L21" s="151">
        <f t="shared" si="7"/>
        <v>0.19170533642691415</v>
      </c>
      <c r="M21" s="151">
        <f t="shared" si="7"/>
        <v>0.20151065551659023</v>
      </c>
      <c r="N21" s="151">
        <f t="shared" si="7"/>
        <v>0.21008188331627431</v>
      </c>
      <c r="O21" s="151">
        <f t="shared" si="7"/>
        <v>0.18476626816522299</v>
      </c>
      <c r="P21" s="151">
        <f t="shared" si="7"/>
        <v>0.21962244084020208</v>
      </c>
      <c r="Q21" s="151">
        <f t="shared" si="7"/>
        <v>0.18732551647124512</v>
      </c>
      <c r="R21" s="151">
        <f t="shared" si="7"/>
        <v>0.12</v>
      </c>
      <c r="S21" s="151">
        <f t="shared" si="7"/>
        <v>0.15074370709382151</v>
      </c>
      <c r="T21" s="151">
        <f t="shared" si="7"/>
        <v>0.17152218819004203</v>
      </c>
      <c r="U21" s="151">
        <f>U20/$U$14</f>
        <v>0.17042404723564145</v>
      </c>
      <c r="V21" s="151">
        <f>V20/V14</f>
        <v>0.18699780861943024</v>
      </c>
      <c r="W21" s="151">
        <f>W20/W14</f>
        <v>0.19946419873356064</v>
      </c>
      <c r="X21" s="151">
        <f>X20/X14</f>
        <v>0.14459745762711865</v>
      </c>
      <c r="Y21" s="151">
        <f>Y20/Y14</f>
        <v>0.17613744829780464</v>
      </c>
      <c r="Z21" s="151">
        <f>Z20/$U$14</f>
        <v>0.15485775630703166</v>
      </c>
      <c r="AA21" s="151">
        <f>AA20/AA14</f>
        <v>0.14971617786187322</v>
      </c>
      <c r="AB21" s="151">
        <f>AB20/AB14</f>
        <v>0.14882866329811667</v>
      </c>
      <c r="AC21" s="151">
        <f>AC20/AC14</f>
        <v>0.12149944873208379</v>
      </c>
      <c r="AD21" s="151">
        <f>AD20/AD14</f>
        <v>0.14277247673798377</v>
      </c>
      <c r="AE21" s="151">
        <f>AE20/$U$14</f>
        <v>0.16505636070853463</v>
      </c>
      <c r="AF21" s="151">
        <f>AF20/AF14</f>
        <v>0.18579478054567022</v>
      </c>
      <c r="AG21" s="151">
        <f>AG20/AG14</f>
        <v>0.23085339168490154</v>
      </c>
      <c r="AH21" s="151">
        <f>AH20/AH14</f>
        <v>0.1583789704271632</v>
      </c>
      <c r="AI21" s="151">
        <f>AI20/AI14</f>
        <v>0.17390939245077044</v>
      </c>
      <c r="AJ21" s="1139">
        <f>AJ20/$U$14</f>
        <v>-4.5893719806763288E-2</v>
      </c>
      <c r="AK21" s="151">
        <f>AK20/AK14</f>
        <v>-0.13728255759285379</v>
      </c>
      <c r="AL21" s="151">
        <f>AL20/AL14</f>
        <v>-3.017394391196308E-2</v>
      </c>
      <c r="AM21" s="1140">
        <f>AM20/AM14</f>
        <v>1.6398330351818723E-2</v>
      </c>
      <c r="AN21" s="151">
        <f>AN20/AN14</f>
        <v>-4.4623461259956552E-2</v>
      </c>
      <c r="AO21" s="1139">
        <f>AO20/$U$14</f>
        <v>6.8974771873322599E-2</v>
      </c>
      <c r="AP21" s="151">
        <f>AP20/AP14</f>
        <v>0.11258278145695365</v>
      </c>
      <c r="AQ21" s="151">
        <f>AQ20/AQ14</f>
        <v>3.9137202579497446E-2</v>
      </c>
      <c r="AR21" s="1140">
        <f>AR20/AR14</f>
        <v>4.5348837209302328E-2</v>
      </c>
      <c r="AS21" s="151">
        <f>AS20/AS14</f>
        <v>6.5903073558190403E-2</v>
      </c>
      <c r="AT21" s="1139">
        <f>AT20/$U$14</f>
        <v>6.5217391304347824E-2</v>
      </c>
      <c r="AU21" s="151">
        <f>AU20/AU14</f>
        <v>0.12148437500000001</v>
      </c>
      <c r="AV21" s="151">
        <f>AV20/AV14</f>
        <v>0.10253887030112183</v>
      </c>
      <c r="AW21" s="1140">
        <f>AW20/AW14</f>
        <v>4.7105208549491594E-2</v>
      </c>
      <c r="AX21" s="151">
        <f>AX20/AX14</f>
        <v>7.9259706296519822E-2</v>
      </c>
      <c r="AY21" s="1139">
        <f>AY20/$U$14</f>
        <v>0.15566290928609769</v>
      </c>
      <c r="AZ21" s="151">
        <f>AZ20/AZ14</f>
        <v>0.12756627466613515</v>
      </c>
      <c r="BA21" s="151">
        <f>BA20/BA14</f>
        <v>0.10232158211521926</v>
      </c>
      <c r="BB21" s="1140">
        <f>BB20/BB14</f>
        <v>7.8003120124804995E-2</v>
      </c>
      <c r="BC21" s="151">
        <f>BC20/BC14</f>
        <v>0.1058567880794702</v>
      </c>
      <c r="BD21" s="1139">
        <f>BD20/$U$14</f>
        <v>9.5276435856146008E-2</v>
      </c>
      <c r="BE21" s="151">
        <f>BE20/BE14</f>
        <v>7.112214946940619E-2</v>
      </c>
      <c r="BF21" s="151">
        <f>BF20/BF14</f>
        <v>8.6903897361413698E-2</v>
      </c>
      <c r="BG21" s="1140">
        <f>BG20/BG14</f>
        <v>9.5104239868821744E-2</v>
      </c>
      <c r="BH21" s="151">
        <f>BH20/BH14</f>
        <v>8.2357667584940314E-2</v>
      </c>
      <c r="BI21" s="1139">
        <f>BI20/$U$14</f>
        <v>0.11003757380568975</v>
      </c>
      <c r="BJ21" s="151">
        <f>BJ20/BJ14</f>
        <v>7.9545454545454544E-2</v>
      </c>
      <c r="BK21" s="151">
        <f>BK20/BK14</f>
        <v>0.14955308480488336</v>
      </c>
      <c r="BL21" s="1140">
        <f>BL20/BL14</f>
        <v>0.14734774066797643</v>
      </c>
      <c r="BM21" s="151">
        <f>BM20/BM14</f>
        <v>0.11686753869880619</v>
      </c>
      <c r="BN21" s="1139">
        <f>BN20/$U$14</f>
        <v>5.8507783145464308E-2</v>
      </c>
      <c r="BO21" s="151">
        <f>BO20/BO14</f>
        <v>5.0344827586206897E-2</v>
      </c>
      <c r="BP21" s="151">
        <f>BP20/BP14</f>
        <v>6.7844522968197873E-2</v>
      </c>
      <c r="BQ21" s="1140">
        <f>BQ20/BQ14</f>
        <v>3.9657853810264383E-2</v>
      </c>
      <c r="BR21" s="151">
        <f>BR20/BR14</f>
        <v>5.6851563850008641E-2</v>
      </c>
      <c r="BS21" s="1339">
        <f>BS20/$U$14</f>
        <v>1.878690284487386E-3</v>
      </c>
      <c r="BT21" s="151">
        <f>BT20/BT14</f>
        <v>8.746130030959752E-2</v>
      </c>
      <c r="BU21" s="151">
        <f>BU20/BU14</f>
        <v>0.13514519731943411</v>
      </c>
      <c r="BV21" s="1140">
        <f>BV20/BV14</f>
        <v>0.10075471698113207</v>
      </c>
      <c r="BW21" s="151">
        <f>BW20/BW14</f>
        <v>8.4104863073774488E-2</v>
      </c>
      <c r="BX21" s="1139">
        <f>BX20/$U$14</f>
        <v>4.6967257112184649E-2</v>
      </c>
      <c r="BY21" s="151">
        <f>BY20/BY14</f>
        <v>0.1453562340966921</v>
      </c>
      <c r="BZ21" s="151">
        <f>BZ20/BZ14</f>
        <v>0.1354679802955665</v>
      </c>
      <c r="CA21" s="1140">
        <f>CA20/CA14</f>
        <v>0.13852537503989787</v>
      </c>
      <c r="CB21" s="151">
        <f>CB20/CB14</f>
        <v>0.12293877551020409</v>
      </c>
      <c r="CC21" s="1139">
        <f>CC20/$U$14</f>
        <v>9.7652199096116318E-2</v>
      </c>
      <c r="CD21" s="151">
        <f>CD20/CD14</f>
        <v>0.1641196766604861</v>
      </c>
      <c r="CE21" s="151">
        <f>CE20/CE14</f>
        <v>0.17816017418487612</v>
      </c>
      <c r="CF21" s="1140">
        <f>CF20/CF14</f>
        <v>0.16045989842841782</v>
      </c>
      <c r="CG21" s="151">
        <f>CG20/CG14</f>
        <v>0.15616988524553393</v>
      </c>
      <c r="CH21" s="1139">
        <f>CH20/$U$14</f>
        <v>0.12147794734604811</v>
      </c>
      <c r="CI21" s="151">
        <f>CI20/CI14</f>
        <v>0.1762171010694501</v>
      </c>
      <c r="CJ21" s="151">
        <f>CJ20/CJ14</f>
        <v>0.17132942503466839</v>
      </c>
      <c r="CK21" s="1140">
        <f>CK20/CK14</f>
        <v>0.16945372162328709</v>
      </c>
      <c r="CL21" s="151">
        <f>CL20/CL14</f>
        <v>0.16096493036637519</v>
      </c>
      <c r="CM21" s="1139">
        <f>CM20/$U$14</f>
        <v>0.12568513763006503</v>
      </c>
      <c r="CN21" s="151">
        <f>CN20/CN14</f>
        <v>0.16125658863450357</v>
      </c>
      <c r="CO21" s="151">
        <f>CO20/CO14</f>
        <v>0.14801671936050248</v>
      </c>
      <c r="CP21" s="1140">
        <f>CP20/CP14</f>
        <v>0.14699496666692735</v>
      </c>
      <c r="CQ21" s="1140">
        <f>CQ20/CQ14</f>
        <v>0.14794022384630132</v>
      </c>
      <c r="CR21" s="75"/>
    </row>
    <row r="22" spans="1:96" ht="6.2" customHeight="1">
      <c r="A22" s="75"/>
      <c r="B22" s="75"/>
      <c r="C22" s="75"/>
      <c r="D22" s="75"/>
      <c r="E22" s="75"/>
      <c r="F22" s="153"/>
      <c r="G22" s="153"/>
      <c r="H22" s="153"/>
      <c r="I22" s="153"/>
      <c r="J22" s="153"/>
      <c r="K22" s="155"/>
      <c r="L22" s="155"/>
      <c r="M22" s="155"/>
      <c r="N22" s="155"/>
      <c r="O22" s="155"/>
      <c r="P22" s="155"/>
      <c r="Q22" s="155"/>
      <c r="R22" s="155"/>
      <c r="S22" s="155"/>
      <c r="T22" s="155"/>
      <c r="U22" s="155"/>
      <c r="V22" s="155"/>
      <c r="W22" s="155"/>
      <c r="X22" s="155"/>
      <c r="Y22" s="155"/>
      <c r="Z22" s="153"/>
      <c r="AA22" s="153"/>
      <c r="AB22" s="153"/>
      <c r="AC22" s="151"/>
      <c r="AD22" s="155"/>
      <c r="AE22" s="153"/>
      <c r="AF22" s="155"/>
      <c r="AG22" s="153"/>
      <c r="AH22" s="151"/>
      <c r="AI22" s="153"/>
      <c r="AJ22" s="914"/>
      <c r="AK22" s="155"/>
      <c r="AL22" s="155"/>
      <c r="AM22" s="1141"/>
      <c r="AN22" s="155"/>
      <c r="AO22" s="914"/>
      <c r="AP22" s="155"/>
      <c r="AQ22" s="155"/>
      <c r="AR22" s="1140"/>
      <c r="AS22" s="155"/>
      <c r="AT22" s="914"/>
      <c r="AU22" s="153"/>
      <c r="AV22" s="153"/>
      <c r="AW22" s="1140"/>
      <c r="AX22" s="153"/>
      <c r="AY22" s="1275"/>
      <c r="AZ22" s="155"/>
      <c r="BA22" s="155"/>
      <c r="BB22" s="1141"/>
      <c r="BC22" s="153"/>
      <c r="BD22" s="1275"/>
      <c r="BE22" s="155"/>
      <c r="BF22" s="155"/>
      <c r="BG22" s="1141"/>
      <c r="BH22" s="155"/>
      <c r="BI22" s="1275"/>
      <c r="BJ22" s="155"/>
      <c r="BK22" s="155"/>
      <c r="BL22" s="1141"/>
      <c r="BM22" s="155"/>
      <c r="BN22" s="1275"/>
      <c r="BO22" s="155"/>
      <c r="BP22" s="155"/>
      <c r="BQ22" s="1141"/>
      <c r="BR22" s="155"/>
      <c r="BS22" s="1275"/>
      <c r="BT22" s="155"/>
      <c r="BU22" s="155"/>
      <c r="BV22" s="1141"/>
      <c r="BW22" s="155"/>
      <c r="BX22" s="1275"/>
      <c r="BY22" s="155"/>
      <c r="BZ22" s="155"/>
      <c r="CA22" s="1141"/>
      <c r="CB22" s="155"/>
      <c r="CC22" s="1275"/>
      <c r="CD22" s="155"/>
      <c r="CE22" s="155"/>
      <c r="CF22" s="1141"/>
      <c r="CG22" s="155"/>
      <c r="CH22" s="1275"/>
      <c r="CI22" s="155"/>
      <c r="CJ22" s="155"/>
      <c r="CK22" s="1141"/>
      <c r="CL22" s="155"/>
      <c r="CM22" s="1275"/>
      <c r="CN22" s="155"/>
      <c r="CO22" s="155"/>
      <c r="CP22" s="1141"/>
      <c r="CQ22" s="1380"/>
      <c r="CR22" s="75"/>
    </row>
    <row r="23" spans="1:96" ht="13.5" customHeight="1">
      <c r="A23" s="75"/>
      <c r="B23" s="75" t="s">
        <v>721</v>
      </c>
      <c r="C23" s="75"/>
      <c r="D23" s="75"/>
      <c r="E23" s="75"/>
      <c r="F23" s="627">
        <v>129</v>
      </c>
      <c r="G23" s="627">
        <v>142</v>
      </c>
      <c r="H23" s="627">
        <v>319</v>
      </c>
      <c r="I23" s="145">
        <f>J23-F23-G23-H23</f>
        <v>83</v>
      </c>
      <c r="J23" s="627">
        <v>673</v>
      </c>
      <c r="K23" s="627">
        <f>190</f>
        <v>190</v>
      </c>
      <c r="L23" s="627">
        <f>169</f>
        <v>169</v>
      </c>
      <c r="M23" s="627">
        <f>172</f>
        <v>172</v>
      </c>
      <c r="N23" s="145">
        <f>O23-K23-L23-M23</f>
        <v>208</v>
      </c>
      <c r="O23" s="627">
        <f>739</f>
        <v>739</v>
      </c>
      <c r="P23" s="627">
        <f>169</f>
        <v>169</v>
      </c>
      <c r="Q23" s="627">
        <f>176</f>
        <v>176</v>
      </c>
      <c r="R23" s="627">
        <f>161</f>
        <v>161</v>
      </c>
      <c r="S23" s="145">
        <f>T23-P23-Q23-R23</f>
        <v>192</v>
      </c>
      <c r="T23" s="627">
        <f>698</f>
        <v>698</v>
      </c>
      <c r="U23" s="627">
        <f>158</f>
        <v>158</v>
      </c>
      <c r="V23" s="627">
        <f>156</f>
        <v>156</v>
      </c>
      <c r="W23" s="627">
        <f>144</f>
        <v>144</v>
      </c>
      <c r="X23" s="627">
        <f>146</f>
        <v>146</v>
      </c>
      <c r="Y23" s="145">
        <f>SUM(U23:X23)</f>
        <v>604</v>
      </c>
      <c r="Z23" s="627">
        <f>139</f>
        <v>139</v>
      </c>
      <c r="AA23" s="627">
        <v>138</v>
      </c>
      <c r="AB23" s="627">
        <v>134</v>
      </c>
      <c r="AC23" s="627">
        <v>178</v>
      </c>
      <c r="AD23" s="145">
        <f>SUM(Z23:AC23)</f>
        <v>589</v>
      </c>
      <c r="AE23" s="627">
        <v>142</v>
      </c>
      <c r="AF23" s="627">
        <v>171</v>
      </c>
      <c r="AG23" s="627">
        <v>151</v>
      </c>
      <c r="AH23" s="627">
        <v>155</v>
      </c>
      <c r="AI23" s="145">
        <f>SUM(AE23:AH23)</f>
        <v>619</v>
      </c>
      <c r="AJ23" s="1143">
        <v>143</v>
      </c>
      <c r="AK23" s="627">
        <v>154</v>
      </c>
      <c r="AL23" s="627">
        <v>163</v>
      </c>
      <c r="AM23" s="1144">
        <v>158</v>
      </c>
      <c r="AN23" s="145">
        <f>SUM(AJ23:AM23)</f>
        <v>618</v>
      </c>
      <c r="AO23" s="1143">
        <v>148</v>
      </c>
      <c r="AP23" s="627">
        <v>152</v>
      </c>
      <c r="AQ23" s="627">
        <v>148</v>
      </c>
      <c r="AR23" s="1144">
        <v>162</v>
      </c>
      <c r="AS23" s="145">
        <f>SUM(AO23:AR23)</f>
        <v>610</v>
      </c>
      <c r="AT23" s="1143">
        <v>180</v>
      </c>
      <c r="AU23" s="627">
        <v>189</v>
      </c>
      <c r="AV23" s="630">
        <v>181</v>
      </c>
      <c r="AW23" s="1144">
        <v>183</v>
      </c>
      <c r="AX23" s="145">
        <f>SUM(AT23:AW23)</f>
        <v>733</v>
      </c>
      <c r="AY23" s="1143">
        <v>173</v>
      </c>
      <c r="AZ23" s="627">
        <v>173</v>
      </c>
      <c r="BA23" s="627">
        <v>166</v>
      </c>
      <c r="BB23" s="1144">
        <v>142</v>
      </c>
      <c r="BC23" s="145">
        <f>SUM(AY23:BB23)</f>
        <v>654</v>
      </c>
      <c r="BD23" s="1143">
        <v>145</v>
      </c>
      <c r="BE23" s="627">
        <v>151</v>
      </c>
      <c r="BF23" s="627">
        <v>153</v>
      </c>
      <c r="BG23" s="1144">
        <v>161</v>
      </c>
      <c r="BH23" s="145">
        <f>SUM(BD23:BG23)</f>
        <v>610</v>
      </c>
      <c r="BI23" s="1143">
        <v>138</v>
      </c>
      <c r="BJ23" s="627">
        <v>143</v>
      </c>
      <c r="BK23" s="627">
        <v>125</v>
      </c>
      <c r="BL23" s="1144">
        <v>117</v>
      </c>
      <c r="BM23" s="145">
        <f>SUM(BI23:BL23)</f>
        <v>523</v>
      </c>
      <c r="BN23" s="1143">
        <v>102</v>
      </c>
      <c r="BO23" s="627">
        <v>107</v>
      </c>
      <c r="BP23" s="627">
        <v>99</v>
      </c>
      <c r="BQ23" s="1144">
        <f>415-SUM(BN23:BP23)</f>
        <v>107</v>
      </c>
      <c r="BR23" s="145">
        <f>SUM(BN23:BQ23)</f>
        <v>415</v>
      </c>
      <c r="BS23" s="1143">
        <v>69</v>
      </c>
      <c r="BT23" s="627">
        <v>64</v>
      </c>
      <c r="BU23" s="627">
        <v>73</v>
      </c>
      <c r="BV23" s="1144">
        <v>49</v>
      </c>
      <c r="BW23" s="145">
        <f>SUM(BS23:BV23)</f>
        <v>255</v>
      </c>
      <c r="BX23" s="1143">
        <v>97</v>
      </c>
      <c r="BY23" s="627">
        <v>79</v>
      </c>
      <c r="BZ23" s="627">
        <v>89</v>
      </c>
      <c r="CA23" s="1144">
        <v>110</v>
      </c>
      <c r="CB23" s="145">
        <f>SUM(BX23:CA23)</f>
        <v>375</v>
      </c>
      <c r="CC23" s="1134">
        <f>CC24*CC14</f>
        <v>94.065622227034709</v>
      </c>
      <c r="CD23" s="145">
        <f>CD24*CD14</f>
        <v>105.18460920015936</v>
      </c>
      <c r="CE23" s="145">
        <f>CE24*CE14</f>
        <v>111.80801255367643</v>
      </c>
      <c r="CF23" s="1135">
        <f>CF24*CF14</f>
        <v>111.83378426494677</v>
      </c>
      <c r="CG23" s="145">
        <f>SUM(CC23:CF23)</f>
        <v>422.8920282458173</v>
      </c>
      <c r="CH23" s="1134">
        <f>CH24*CH14</f>
        <v>108.66624993557541</v>
      </c>
      <c r="CI23" s="145">
        <f>CI24*CI14</f>
        <v>116.79630322686296</v>
      </c>
      <c r="CJ23" s="145">
        <f>CJ24*CJ14</f>
        <v>113.95247105813665</v>
      </c>
      <c r="CK23" s="1135">
        <f>CK24*CK14</f>
        <v>111.9350727248712</v>
      </c>
      <c r="CL23" s="145">
        <f>SUM(CH23:CK23)</f>
        <v>451.35009694544624</v>
      </c>
      <c r="CM23" s="1134">
        <f>CM24*CM14</f>
        <v>104.37218068694496</v>
      </c>
      <c r="CN23" s="145">
        <f>CN24*CN14</f>
        <v>111.41137412272697</v>
      </c>
      <c r="CO23" s="145">
        <f>CO24*CO14</f>
        <v>107.43902661774284</v>
      </c>
      <c r="CP23" s="1135">
        <f>CP24*CP14</f>
        <v>105.84845614308122</v>
      </c>
      <c r="CQ23" s="1135">
        <f>SUM(CM23:CP23)</f>
        <v>429.07103757049595</v>
      </c>
      <c r="CR23" s="75"/>
    </row>
    <row r="24" spans="1:96" ht="13.5" customHeight="1">
      <c r="A24" s="115"/>
      <c r="B24" s="115" t="s">
        <v>720</v>
      </c>
      <c r="C24" s="115"/>
      <c r="D24" s="115"/>
      <c r="E24" s="115"/>
      <c r="F24" s="157">
        <f t="shared" ref="F24:R24" si="8">F23/F14</f>
        <v>6.7966280295047421E-2</v>
      </c>
      <c r="G24" s="158">
        <f t="shared" si="8"/>
        <v>6.1445261791432282E-2</v>
      </c>
      <c r="H24" s="157">
        <f t="shared" si="8"/>
        <v>0.12729449321628092</v>
      </c>
      <c r="I24" s="157">
        <f t="shared" si="8"/>
        <v>3.1764255644852663E-2</v>
      </c>
      <c r="J24" s="157">
        <f t="shared" si="8"/>
        <v>7.2148370497427103E-2</v>
      </c>
      <c r="K24" s="157">
        <f t="shared" si="8"/>
        <v>6.5381968341362701E-2</v>
      </c>
      <c r="L24" s="158">
        <f t="shared" si="8"/>
        <v>4.9013921113689095E-2</v>
      </c>
      <c r="M24" s="158">
        <f t="shared" si="8"/>
        <v>4.639870515241435E-2</v>
      </c>
      <c r="N24" s="158">
        <f t="shared" si="8"/>
        <v>5.3224155578300923E-2</v>
      </c>
      <c r="O24" s="158">
        <f t="shared" si="8"/>
        <v>5.2902856324719021E-2</v>
      </c>
      <c r="P24" s="158">
        <f t="shared" si="8"/>
        <v>4.4934857750598245E-2</v>
      </c>
      <c r="Q24" s="158">
        <f t="shared" si="8"/>
        <v>4.9134561697375768E-2</v>
      </c>
      <c r="R24" s="158">
        <f t="shared" si="8"/>
        <v>5.0312500000000003E-2</v>
      </c>
      <c r="S24" s="158">
        <f>S23/$U$14</f>
        <v>5.1529790660225443E-2</v>
      </c>
      <c r="T24" s="158">
        <f t="shared" ref="T24:AY24" si="9">T23/T14</f>
        <v>4.9718640928841089E-2</v>
      </c>
      <c r="U24" s="158">
        <f t="shared" si="9"/>
        <v>4.2404723564143855E-2</v>
      </c>
      <c r="V24" s="158">
        <f t="shared" si="9"/>
        <v>3.7983929875821769E-2</v>
      </c>
      <c r="W24" s="158">
        <f t="shared" si="9"/>
        <v>3.5070628348757918E-2</v>
      </c>
      <c r="X24" s="158">
        <f t="shared" si="9"/>
        <v>3.8665254237288137E-2</v>
      </c>
      <c r="Y24" s="151">
        <f t="shared" si="9"/>
        <v>3.8434616608335984E-2</v>
      </c>
      <c r="Z24" s="158">
        <f t="shared" si="9"/>
        <v>3.7007454739084129E-2</v>
      </c>
      <c r="AA24" s="158">
        <f t="shared" si="9"/>
        <v>3.2639545884578999E-2</v>
      </c>
      <c r="AB24" s="158">
        <f t="shared" si="9"/>
        <v>3.0776297657326597E-2</v>
      </c>
      <c r="AC24" s="158">
        <f t="shared" si="9"/>
        <v>3.9250275633958102E-2</v>
      </c>
      <c r="AD24" s="151">
        <f t="shared" si="9"/>
        <v>3.4907840929295324E-2</v>
      </c>
      <c r="AE24" s="158">
        <f t="shared" si="9"/>
        <v>2.7328714395688992E-2</v>
      </c>
      <c r="AF24" s="158">
        <f t="shared" si="9"/>
        <v>2.5355871886120998E-2</v>
      </c>
      <c r="AG24" s="158">
        <f t="shared" si="9"/>
        <v>2.0650984682713348E-2</v>
      </c>
      <c r="AH24" s="158">
        <f t="shared" si="9"/>
        <v>3.3953997809419496E-2</v>
      </c>
      <c r="AI24" s="151">
        <f t="shared" si="9"/>
        <v>2.5989839190494184E-2</v>
      </c>
      <c r="AJ24" s="1145">
        <f t="shared" si="9"/>
        <v>5.1999999999999998E-2</v>
      </c>
      <c r="AK24" s="158">
        <f t="shared" si="9"/>
        <v>7.240244475787494E-2</v>
      </c>
      <c r="AL24" s="158">
        <f t="shared" si="9"/>
        <v>5.7862974795882142E-2</v>
      </c>
      <c r="AM24" s="1146">
        <f t="shared" si="9"/>
        <v>4.7107930828861062E-2</v>
      </c>
      <c r="AN24" s="151">
        <f t="shared" si="9"/>
        <v>5.5937726285300506E-2</v>
      </c>
      <c r="AO24" s="1145">
        <f t="shared" si="9"/>
        <v>3.7987679671457907E-2</v>
      </c>
      <c r="AP24" s="158">
        <f t="shared" si="9"/>
        <v>3.2471694082461013E-2</v>
      </c>
      <c r="AQ24" s="158">
        <f t="shared" si="9"/>
        <v>3.2910829441850122E-2</v>
      </c>
      <c r="AR24" s="1146">
        <f t="shared" si="9"/>
        <v>3.7674418604651164E-2</v>
      </c>
      <c r="AS24" s="151">
        <f t="shared" si="9"/>
        <v>3.5109934384712792E-2</v>
      </c>
      <c r="AT24" s="1145">
        <f t="shared" si="9"/>
        <v>3.7006578947368418E-2</v>
      </c>
      <c r="AU24" s="158">
        <f t="shared" si="9"/>
        <v>3.6914062499999997E-2</v>
      </c>
      <c r="AV24" s="158">
        <f t="shared" si="9"/>
        <v>3.5622908876205471E-2</v>
      </c>
      <c r="AW24" s="1146">
        <f t="shared" si="9"/>
        <v>3.7974683544303799E-2</v>
      </c>
      <c r="AX24" s="151">
        <f t="shared" si="9"/>
        <v>3.6863810098571717E-2</v>
      </c>
      <c r="AY24" s="1145">
        <f t="shared" si="9"/>
        <v>3.344934261407579E-2</v>
      </c>
      <c r="AZ24" s="158">
        <f t="shared" ref="AZ24:CA24" si="10">AZ23/AZ14</f>
        <v>3.4482758620689655E-2</v>
      </c>
      <c r="BA24" s="158">
        <f t="shared" si="10"/>
        <v>3.5683576956147892E-2</v>
      </c>
      <c r="BB24" s="1146">
        <f t="shared" si="10"/>
        <v>3.1646980164920881E-2</v>
      </c>
      <c r="BC24" s="151">
        <f t="shared" si="10"/>
        <v>3.3836920529801327E-2</v>
      </c>
      <c r="BD24" s="1145">
        <f t="shared" si="10"/>
        <v>3.1556039173014146E-2</v>
      </c>
      <c r="BE24" s="158">
        <f t="shared" si="10"/>
        <v>3.4093474825016935E-2</v>
      </c>
      <c r="BF24" s="158">
        <f t="shared" si="10"/>
        <v>3.7037037037037035E-2</v>
      </c>
      <c r="BG24" s="1146">
        <f t="shared" si="10"/>
        <v>3.7713750292808622E-2</v>
      </c>
      <c r="BH24" s="151">
        <f t="shared" si="10"/>
        <v>3.5009182736455466E-2</v>
      </c>
      <c r="BI24" s="1145">
        <f t="shared" si="10"/>
        <v>3.1025179856115109E-2</v>
      </c>
      <c r="BJ24" s="158">
        <f t="shared" si="10"/>
        <v>3.2500000000000001E-2</v>
      </c>
      <c r="BK24" s="158">
        <f t="shared" si="10"/>
        <v>2.725092653150207E-2</v>
      </c>
      <c r="BL24" s="1146">
        <f t="shared" si="10"/>
        <v>2.8732809430255402E-2</v>
      </c>
      <c r="BM24" s="151">
        <f t="shared" si="10"/>
        <v>2.9873764779802366E-2</v>
      </c>
      <c r="BN24" s="1145">
        <f t="shared" si="10"/>
        <v>3.1173594132029341E-2</v>
      </c>
      <c r="BO24" s="158">
        <f t="shared" si="10"/>
        <v>3.689655172413793E-2</v>
      </c>
      <c r="BP24" s="158">
        <f t="shared" si="10"/>
        <v>3.4982332155477032E-2</v>
      </c>
      <c r="BQ24" s="1146">
        <f t="shared" si="10"/>
        <v>4.1601866251944015E-2</v>
      </c>
      <c r="BR24" s="151">
        <f t="shared" si="10"/>
        <v>3.5856229479868669E-2</v>
      </c>
      <c r="BS24" s="1145">
        <f t="shared" si="10"/>
        <v>2.947458351131995E-2</v>
      </c>
      <c r="BT24" s="158">
        <f t="shared" si="10"/>
        <v>2.4767801857585141E-2</v>
      </c>
      <c r="BU24" s="158">
        <f t="shared" si="10"/>
        <v>2.7177959791511542E-2</v>
      </c>
      <c r="BV24" s="1146">
        <f t="shared" si="10"/>
        <v>1.8490566037735849E-2</v>
      </c>
      <c r="BW24" s="151">
        <f t="shared" si="10"/>
        <v>2.4851379007893967E-2</v>
      </c>
      <c r="BX24" s="1145">
        <f t="shared" si="10"/>
        <v>3.5596330275229356E-2</v>
      </c>
      <c r="BY24" s="158">
        <f t="shared" si="10"/>
        <v>2.5127226463104325E-2</v>
      </c>
      <c r="BZ24" s="158">
        <f t="shared" si="10"/>
        <v>2.7401477832512317E-2</v>
      </c>
      <c r="CA24" s="1146">
        <f t="shared" si="10"/>
        <v>3.5110118097669965E-2</v>
      </c>
      <c r="CB24" s="151">
        <f>CB23/CB14</f>
        <v>3.0612244897959183E-2</v>
      </c>
      <c r="CC24" s="1368">
        <v>0.03</v>
      </c>
      <c r="CD24" s="158">
        <f>CC24</f>
        <v>0.03</v>
      </c>
      <c r="CE24" s="158">
        <f>CD24</f>
        <v>0.03</v>
      </c>
      <c r="CF24" s="1146">
        <f>CE24</f>
        <v>0.03</v>
      </c>
      <c r="CG24" s="151">
        <f>CG23/CG14</f>
        <v>3.0000000000000002E-2</v>
      </c>
      <c r="CH24" s="1368">
        <v>0.03</v>
      </c>
      <c r="CI24" s="158">
        <f>CH24</f>
        <v>0.03</v>
      </c>
      <c r="CJ24" s="158">
        <f>CI24</f>
        <v>0.03</v>
      </c>
      <c r="CK24" s="1146">
        <f>CJ24</f>
        <v>0.03</v>
      </c>
      <c r="CL24" s="151">
        <f>CL23/CL14</f>
        <v>0.03</v>
      </c>
      <c r="CM24" s="1368">
        <v>0.03</v>
      </c>
      <c r="CN24" s="158">
        <f>CM24</f>
        <v>0.03</v>
      </c>
      <c r="CO24" s="158">
        <f>CN24</f>
        <v>0.03</v>
      </c>
      <c r="CP24" s="1146">
        <f>CO24</f>
        <v>0.03</v>
      </c>
      <c r="CQ24" s="1140">
        <f>CQ23/CQ14</f>
        <v>2.9999999999999995E-2</v>
      </c>
      <c r="CR24" s="115"/>
    </row>
    <row r="25" spans="1:96" ht="13.5" customHeight="1">
      <c r="A25" s="75"/>
      <c r="B25" s="75" t="s">
        <v>722</v>
      </c>
      <c r="C25" s="75"/>
      <c r="D25" s="75"/>
      <c r="E25" s="75"/>
      <c r="F25" s="145">
        <f>F218</f>
        <v>90</v>
      </c>
      <c r="G25" s="145">
        <f>G218</f>
        <v>87</v>
      </c>
      <c r="H25" s="627">
        <v>140</v>
      </c>
      <c r="I25" s="145">
        <f>J25-F25-G25-H25</f>
        <v>46</v>
      </c>
      <c r="J25" s="627">
        <v>363</v>
      </c>
      <c r="K25" s="627">
        <v>98</v>
      </c>
      <c r="L25" s="627">
        <v>93</v>
      </c>
      <c r="M25" s="627">
        <v>96</v>
      </c>
      <c r="N25" s="145">
        <f>O25-K25-L25-M25</f>
        <v>95</v>
      </c>
      <c r="O25" s="145">
        <f>O218</f>
        <v>382</v>
      </c>
      <c r="P25" s="627">
        <v>98</v>
      </c>
      <c r="Q25" s="627">
        <v>88</v>
      </c>
      <c r="R25" s="627">
        <v>88</v>
      </c>
      <c r="S25" s="145">
        <f>T25-P25-Q25-R25</f>
        <v>92</v>
      </c>
      <c r="T25" s="627">
        <v>366</v>
      </c>
      <c r="U25" s="627">
        <v>112</v>
      </c>
      <c r="V25" s="627">
        <v>114</v>
      </c>
      <c r="W25" s="627">
        <v>113</v>
      </c>
      <c r="X25" s="627">
        <v>102</v>
      </c>
      <c r="Y25" s="145">
        <f>SUM(U25:X25)</f>
        <v>441</v>
      </c>
      <c r="Z25" s="627">
        <v>111</v>
      </c>
      <c r="AA25" s="627">
        <v>118</v>
      </c>
      <c r="AB25" s="627">
        <v>124</v>
      </c>
      <c r="AC25" s="627">
        <v>153</v>
      </c>
      <c r="AD25" s="145">
        <f>SUM(Z25:AC25)</f>
        <v>506</v>
      </c>
      <c r="AE25" s="627">
        <v>156</v>
      </c>
      <c r="AF25" s="627">
        <v>159</v>
      </c>
      <c r="AG25" s="627">
        <v>149</v>
      </c>
      <c r="AH25" s="627">
        <v>141</v>
      </c>
      <c r="AI25" s="145">
        <f>SUM(AE25:AH25)</f>
        <v>605</v>
      </c>
      <c r="AJ25" s="1143">
        <v>158</v>
      </c>
      <c r="AK25" s="627">
        <v>159</v>
      </c>
      <c r="AL25" s="627">
        <v>167</v>
      </c>
      <c r="AM25" s="1144">
        <v>177</v>
      </c>
      <c r="AN25" s="145">
        <f>SUM(AJ25:AM25)</f>
        <v>661</v>
      </c>
      <c r="AO25" s="1143">
        <v>165</v>
      </c>
      <c r="AP25" s="627">
        <v>162</v>
      </c>
      <c r="AQ25" s="627">
        <v>163</v>
      </c>
      <c r="AR25" s="1144">
        <v>168</v>
      </c>
      <c r="AS25" s="145">
        <f>SUM(AO25:AR25)</f>
        <v>658</v>
      </c>
      <c r="AT25" s="1143">
        <v>169</v>
      </c>
      <c r="AU25" s="627">
        <v>171</v>
      </c>
      <c r="AV25" s="630">
        <v>172</v>
      </c>
      <c r="AW25" s="1144">
        <v>169</v>
      </c>
      <c r="AX25" s="145">
        <f>SUM(AT25:AW25)</f>
        <v>681</v>
      </c>
      <c r="AY25" s="1143">
        <v>163</v>
      </c>
      <c r="AZ25" s="627">
        <v>164</v>
      </c>
      <c r="BA25" s="627">
        <v>163</v>
      </c>
      <c r="BB25" s="1144">
        <v>171</v>
      </c>
      <c r="BC25" s="145">
        <f>SUM(AY25:BB25)</f>
        <v>661</v>
      </c>
      <c r="BD25" s="1143">
        <v>171</v>
      </c>
      <c r="BE25" s="627">
        <v>170</v>
      </c>
      <c r="BF25" s="627">
        <v>173</v>
      </c>
      <c r="BG25" s="1144">
        <v>170</v>
      </c>
      <c r="BH25" s="145">
        <f>SUM(BD25:BG25)</f>
        <v>684</v>
      </c>
      <c r="BI25" s="1143">
        <v>166</v>
      </c>
      <c r="BJ25" s="627">
        <v>165</v>
      </c>
      <c r="BK25" s="627">
        <v>158</v>
      </c>
      <c r="BL25" s="1144">
        <v>138</v>
      </c>
      <c r="BM25" s="145">
        <f>SUM(BI25:BL25)</f>
        <v>627</v>
      </c>
      <c r="BN25" s="1143">
        <v>144</v>
      </c>
      <c r="BO25" s="627">
        <v>138</v>
      </c>
      <c r="BP25" s="627">
        <v>136</v>
      </c>
      <c r="BQ25" s="1144">
        <v>129</v>
      </c>
      <c r="BR25" s="145">
        <f>SUM(BN25:BQ25)</f>
        <v>547</v>
      </c>
      <c r="BS25" s="1143">
        <v>129</v>
      </c>
      <c r="BT25" s="627">
        <v>129</v>
      </c>
      <c r="BU25" s="627">
        <v>126</v>
      </c>
      <c r="BV25" s="1144">
        <v>123</v>
      </c>
      <c r="BW25" s="145">
        <f>SUM(BS25:BV25)</f>
        <v>507</v>
      </c>
      <c r="BX25" s="1143">
        <v>137</v>
      </c>
      <c r="BY25" s="627">
        <v>121</v>
      </c>
      <c r="BZ25" s="627">
        <v>118</v>
      </c>
      <c r="CA25" s="1144">
        <v>125</v>
      </c>
      <c r="CB25" s="145">
        <f>SUM(BX25:CA25)</f>
        <v>501</v>
      </c>
      <c r="CC25" s="1134">
        <f>Operations!CC215</f>
        <v>132</v>
      </c>
      <c r="CD25" s="145">
        <f>Operations!CD215</f>
        <v>124</v>
      </c>
      <c r="CE25" s="145">
        <f>Operations!CE215</f>
        <v>124</v>
      </c>
      <c r="CF25" s="1135">
        <f>Operations!CF215</f>
        <v>115</v>
      </c>
      <c r="CG25" s="145">
        <f>SUM(CC25:CF25)</f>
        <v>495</v>
      </c>
      <c r="CH25" s="1134">
        <f>Operations!CH215</f>
        <v>132</v>
      </c>
      <c r="CI25" s="145">
        <f>Operations!CI215</f>
        <v>124</v>
      </c>
      <c r="CJ25" s="145">
        <f>Operations!CJ215</f>
        <v>124</v>
      </c>
      <c r="CK25" s="1135">
        <f>Operations!CK215</f>
        <v>115</v>
      </c>
      <c r="CL25" s="145">
        <f>SUM(CH25:CK25)</f>
        <v>495</v>
      </c>
      <c r="CM25" s="1134">
        <f>Operations!CM215</f>
        <v>132</v>
      </c>
      <c r="CN25" s="145">
        <f>Operations!CN215</f>
        <v>124</v>
      </c>
      <c r="CO25" s="145">
        <f>Operations!CO215</f>
        <v>124</v>
      </c>
      <c r="CP25" s="1135">
        <f>Operations!CP215</f>
        <v>115</v>
      </c>
      <c r="CQ25" s="1135">
        <f>SUM(CM25:CP25)</f>
        <v>495</v>
      </c>
      <c r="CR25" s="75"/>
    </row>
    <row r="26" spans="1:96" ht="13.5" customHeight="1">
      <c r="A26" s="75"/>
      <c r="B26" s="75" t="s">
        <v>723</v>
      </c>
      <c r="C26" s="75"/>
      <c r="D26" s="75"/>
      <c r="E26" s="75"/>
      <c r="F26" s="627">
        <v>9</v>
      </c>
      <c r="G26" s="627">
        <f>-9+60</f>
        <v>51</v>
      </c>
      <c r="H26" s="627">
        <f>4-2</f>
        <v>2</v>
      </c>
      <c r="I26" s="145">
        <f>J26-F26-G26-H26</f>
        <v>68</v>
      </c>
      <c r="J26" s="627">
        <f>-11+141</f>
        <v>130</v>
      </c>
      <c r="K26" s="627">
        <f>6+51</f>
        <v>57</v>
      </c>
      <c r="L26" s="627">
        <f>13+5</f>
        <v>18</v>
      </c>
      <c r="M26" s="627">
        <f>18+4</f>
        <v>22</v>
      </c>
      <c r="N26" s="145">
        <f>O26-K26-L26-M26</f>
        <v>42</v>
      </c>
      <c r="O26" s="627">
        <f>57+82</f>
        <v>139</v>
      </c>
      <c r="P26" s="627">
        <f>13+4+2</f>
        <v>19</v>
      </c>
      <c r="Q26" s="627">
        <f>13+6+1</f>
        <v>20</v>
      </c>
      <c r="R26" s="627">
        <f>2+7+7</f>
        <v>16</v>
      </c>
      <c r="S26" s="145">
        <f>T26-P26-Q26-R26</f>
        <v>10</v>
      </c>
      <c r="T26" s="627">
        <f>30+21+14</f>
        <v>65</v>
      </c>
      <c r="U26" s="627">
        <f>7+1+1</f>
        <v>9</v>
      </c>
      <c r="V26" s="627">
        <f>13+1+2</f>
        <v>16</v>
      </c>
      <c r="W26" s="627">
        <f>19+1</f>
        <v>20</v>
      </c>
      <c r="X26" s="627">
        <f>18+11+9</f>
        <v>38</v>
      </c>
      <c r="Y26" s="145">
        <f>SUM(U26:X26)</f>
        <v>83</v>
      </c>
      <c r="Z26" s="627">
        <f>2+10+7</f>
        <v>19</v>
      </c>
      <c r="AA26" s="627">
        <v>14</v>
      </c>
      <c r="AB26" s="627">
        <v>13</v>
      </c>
      <c r="AC26" s="627">
        <v>22</v>
      </c>
      <c r="AD26" s="145">
        <f>SUM(Z26:AC26)</f>
        <v>68</v>
      </c>
      <c r="AE26" s="627">
        <f>11</f>
        <v>11</v>
      </c>
      <c r="AF26" s="627">
        <f>34+1+2</f>
        <v>37</v>
      </c>
      <c r="AG26" s="627">
        <f>51+6+10</f>
        <v>67</v>
      </c>
      <c r="AH26" s="627">
        <f>-15+9+143</f>
        <v>137</v>
      </c>
      <c r="AI26" s="145">
        <f>SUM(AE26:AH26)</f>
        <v>252</v>
      </c>
      <c r="AJ26" s="1143">
        <f>-21+4</f>
        <v>-17</v>
      </c>
      <c r="AK26" s="627">
        <f>-10+36+35</f>
        <v>61</v>
      </c>
      <c r="AL26" s="627">
        <f>-1+1+3</f>
        <v>3</v>
      </c>
      <c r="AM26" s="1144">
        <f>-3+10-7</f>
        <v>0</v>
      </c>
      <c r="AN26" s="145">
        <f>SUM(AJ26:AM26)</f>
        <v>47</v>
      </c>
      <c r="AO26" s="1143">
        <f>-5+3+1</f>
        <v>-1</v>
      </c>
      <c r="AP26" s="627">
        <f>-9-2-4</f>
        <v>-15</v>
      </c>
      <c r="AQ26" s="627">
        <f>9-14+2</f>
        <v>-3</v>
      </c>
      <c r="AR26" s="1144">
        <f>7+16+8-21</f>
        <v>10</v>
      </c>
      <c r="AS26" s="145">
        <f>SUM(AO26:AR26)</f>
        <v>-9</v>
      </c>
      <c r="AT26" s="1143">
        <f>8+6+1</f>
        <v>15</v>
      </c>
      <c r="AU26" s="627">
        <f>31+4+3</f>
        <v>38</v>
      </c>
      <c r="AV26" s="630">
        <f>27+4</f>
        <v>31</v>
      </c>
      <c r="AW26" s="1144">
        <f>19+15+3</f>
        <v>37</v>
      </c>
      <c r="AX26" s="145">
        <f>SUM(AT26:AW26)</f>
        <v>121</v>
      </c>
      <c r="AY26" s="1143">
        <f>-24-2</f>
        <v>-26</v>
      </c>
      <c r="AZ26" s="627">
        <f>-44-6</f>
        <v>-50</v>
      </c>
      <c r="BA26" s="627">
        <f>-48-1-1</f>
        <v>-50</v>
      </c>
      <c r="BB26" s="1144">
        <f>-28-12-7</f>
        <v>-47</v>
      </c>
      <c r="BC26" s="145">
        <f>SUM(AY26:BB26)</f>
        <v>-173</v>
      </c>
      <c r="BD26" s="1143">
        <f>-8+1+6</f>
        <v>-1</v>
      </c>
      <c r="BE26" s="627">
        <f>-3+1+1</f>
        <v>-1</v>
      </c>
      <c r="BF26" s="627">
        <f>26-1</f>
        <v>25</v>
      </c>
      <c r="BG26" s="1300">
        <f>9+6</f>
        <v>15</v>
      </c>
      <c r="BH26" s="145">
        <f>SUM(BD26:BG26)</f>
        <v>38</v>
      </c>
      <c r="BI26" s="1322">
        <f>-4</f>
        <v>-4</v>
      </c>
      <c r="BJ26" s="630">
        <f>57+1-18+18</f>
        <v>58</v>
      </c>
      <c r="BK26" s="630">
        <f>50</f>
        <v>50</v>
      </c>
      <c r="BL26" s="1300">
        <f>39+12</f>
        <v>51</v>
      </c>
      <c r="BM26" s="145">
        <f>SUM(BI26:BL26)</f>
        <v>155</v>
      </c>
      <c r="BN26" s="1143">
        <f>-6</f>
        <v>-6</v>
      </c>
      <c r="BO26" s="630">
        <f>-17-1-1</f>
        <v>-19</v>
      </c>
      <c r="BP26" s="630">
        <f>-6-1-1</f>
        <v>-8</v>
      </c>
      <c r="BQ26" s="1144">
        <f>-38-2-1-SUM(BN26:BP26)</f>
        <v>-8</v>
      </c>
      <c r="BR26" s="145">
        <f>SUM(BN26:BQ26)</f>
        <v>-41</v>
      </c>
      <c r="BS26" s="1143">
        <v>-45</v>
      </c>
      <c r="BT26" s="627">
        <v>-28</v>
      </c>
      <c r="BU26" s="627">
        <v>-18</v>
      </c>
      <c r="BV26" s="1144">
        <v>-7</v>
      </c>
      <c r="BW26" s="145">
        <f>SUM(BS26:BV26)</f>
        <v>-98</v>
      </c>
      <c r="BX26" s="1143">
        <v>-4</v>
      </c>
      <c r="BY26" s="627">
        <v>-16</v>
      </c>
      <c r="BZ26" s="627">
        <v>-9</v>
      </c>
      <c r="CA26" s="1144">
        <v>-15</v>
      </c>
      <c r="CB26" s="145">
        <f>SUM(BX26:CA26)</f>
        <v>-44</v>
      </c>
      <c r="CC26" s="1143">
        <v>-10</v>
      </c>
      <c r="CD26" s="627">
        <v>-10</v>
      </c>
      <c r="CE26" s="627">
        <v>-10</v>
      </c>
      <c r="CF26" s="1144">
        <v>-10</v>
      </c>
      <c r="CG26" s="145">
        <f>SUM(CC26:CF26)</f>
        <v>-40</v>
      </c>
      <c r="CH26" s="1143">
        <v>-10</v>
      </c>
      <c r="CI26" s="627">
        <v>-10</v>
      </c>
      <c r="CJ26" s="627">
        <v>-10</v>
      </c>
      <c r="CK26" s="1144">
        <v>-10</v>
      </c>
      <c r="CL26" s="145">
        <f>SUM(CH26:CK26)</f>
        <v>-40</v>
      </c>
      <c r="CM26" s="1143">
        <v>-10</v>
      </c>
      <c r="CN26" s="627">
        <v>-10</v>
      </c>
      <c r="CO26" s="627">
        <v>-10</v>
      </c>
      <c r="CP26" s="1144">
        <v>-10</v>
      </c>
      <c r="CQ26" s="1135">
        <f>SUM(CM26:CP26)</f>
        <v>-40</v>
      </c>
      <c r="CR26" s="75"/>
    </row>
    <row r="27" spans="1:96" ht="6.2" customHeight="1">
      <c r="A27" s="75"/>
      <c r="B27" s="75"/>
      <c r="C27" s="75"/>
      <c r="D27" s="75"/>
      <c r="E27" s="75"/>
      <c r="F27" s="145"/>
      <c r="G27" s="151"/>
      <c r="H27" s="151"/>
      <c r="I27" s="151"/>
      <c r="J27" s="153"/>
      <c r="K27" s="153"/>
      <c r="L27" s="152"/>
      <c r="M27" s="152"/>
      <c r="N27" s="152"/>
      <c r="O27" s="152"/>
      <c r="P27" s="152"/>
      <c r="Q27" s="152"/>
      <c r="R27" s="152"/>
      <c r="S27" s="152"/>
      <c r="T27" s="152"/>
      <c r="U27" s="152"/>
      <c r="V27" s="152"/>
      <c r="W27" s="152"/>
      <c r="X27" s="142"/>
      <c r="Y27" s="142"/>
      <c r="Z27" s="151"/>
      <c r="AA27" s="151"/>
      <c r="AB27" s="151"/>
      <c r="AC27" s="142"/>
      <c r="AD27" s="142"/>
      <c r="AE27" s="151"/>
      <c r="AF27" s="151"/>
      <c r="AG27" s="151"/>
      <c r="AH27" s="142"/>
      <c r="AI27" s="142"/>
      <c r="AJ27" s="1139"/>
      <c r="AK27" s="152"/>
      <c r="AL27" s="152"/>
      <c r="AM27" s="1133"/>
      <c r="AN27" s="142"/>
      <c r="AO27" s="1139"/>
      <c r="AP27" s="151"/>
      <c r="AQ27" s="151"/>
      <c r="AR27" s="1133"/>
      <c r="AS27" s="142"/>
      <c r="AT27" s="1139"/>
      <c r="AU27" s="151"/>
      <c r="AV27" s="151"/>
      <c r="AW27" s="1133"/>
      <c r="AX27" s="142"/>
      <c r="AY27" s="1202"/>
      <c r="AZ27" s="152"/>
      <c r="BA27" s="152"/>
      <c r="BB27" s="1133"/>
      <c r="BC27" s="142"/>
      <c r="BD27" s="1202"/>
      <c r="BE27" s="145"/>
      <c r="BF27" s="152"/>
      <c r="BG27" s="1133"/>
      <c r="BH27" s="142"/>
      <c r="BI27" s="1202"/>
      <c r="BJ27" s="152"/>
      <c r="BK27" s="152"/>
      <c r="BL27" s="1133"/>
      <c r="BM27" s="194"/>
      <c r="BN27" s="1139"/>
      <c r="BO27" s="152"/>
      <c r="BP27" s="152"/>
      <c r="BQ27" s="1133"/>
      <c r="BR27" s="142"/>
      <c r="BS27" s="1340"/>
      <c r="BT27" s="152"/>
      <c r="BU27" s="152"/>
      <c r="BV27" s="1133"/>
      <c r="BW27" s="142"/>
      <c r="BX27" s="1202"/>
      <c r="BY27" s="152"/>
      <c r="BZ27" s="152"/>
      <c r="CA27" s="1133"/>
      <c r="CB27" s="142"/>
      <c r="CC27" s="1202"/>
      <c r="CD27" s="152"/>
      <c r="CE27" s="152"/>
      <c r="CF27" s="1133"/>
      <c r="CG27" s="142"/>
      <c r="CH27" s="1202"/>
      <c r="CI27" s="152"/>
      <c r="CJ27" s="152"/>
      <c r="CK27" s="1133"/>
      <c r="CL27" s="142"/>
      <c r="CM27" s="1202"/>
      <c r="CN27" s="152"/>
      <c r="CO27" s="152"/>
      <c r="CP27" s="1133"/>
      <c r="CQ27" s="1133"/>
      <c r="CR27" s="75"/>
    </row>
    <row r="28" spans="1:96" ht="13.5" customHeight="1">
      <c r="A28" s="75"/>
      <c r="B28" s="75"/>
      <c r="C28" s="93" t="s">
        <v>705</v>
      </c>
      <c r="D28" s="75"/>
      <c r="E28" s="75"/>
      <c r="F28" s="160">
        <f t="shared" ref="F28:R28" si="11">F39</f>
        <v>-19</v>
      </c>
      <c r="G28" s="160">
        <f t="shared" si="11"/>
        <v>6</v>
      </c>
      <c r="H28" s="160">
        <f t="shared" si="11"/>
        <v>-30</v>
      </c>
      <c r="I28" s="160">
        <f t="shared" si="11"/>
        <v>5</v>
      </c>
      <c r="J28" s="160">
        <f t="shared" si="11"/>
        <v>-38</v>
      </c>
      <c r="K28" s="160">
        <f t="shared" si="11"/>
        <v>121</v>
      </c>
      <c r="L28" s="160">
        <f t="shared" si="11"/>
        <v>417</v>
      </c>
      <c r="M28" s="160">
        <f t="shared" si="11"/>
        <v>501</v>
      </c>
      <c r="N28" s="160">
        <f t="shared" si="11"/>
        <v>560</v>
      </c>
      <c r="O28" s="160">
        <f t="shared" si="11"/>
        <v>1599</v>
      </c>
      <c r="P28" s="160">
        <f t="shared" si="11"/>
        <v>578</v>
      </c>
      <c r="Q28" s="160">
        <f t="shared" si="11"/>
        <v>427</v>
      </c>
      <c r="R28" s="160">
        <f t="shared" si="11"/>
        <v>151</v>
      </c>
      <c r="S28" s="160">
        <f>T28-P28-Q28-R28</f>
        <v>253</v>
      </c>
      <c r="T28" s="160">
        <f>T39</f>
        <v>1409</v>
      </c>
      <c r="U28" s="160">
        <f>U39</f>
        <v>374</v>
      </c>
      <c r="V28" s="160">
        <f>V39</f>
        <v>514</v>
      </c>
      <c r="W28" s="160">
        <f>W39</f>
        <v>582</v>
      </c>
      <c r="X28" s="160">
        <f>X39</f>
        <v>336</v>
      </c>
      <c r="Y28" s="149">
        <f>SUM(U28:X28)</f>
        <v>1806</v>
      </c>
      <c r="Z28" s="160">
        <f t="shared" ref="Z28:BE28" si="12">Z39</f>
        <v>346</v>
      </c>
      <c r="AA28" s="160">
        <f t="shared" si="12"/>
        <v>391</v>
      </c>
      <c r="AB28" s="160">
        <f t="shared" si="12"/>
        <v>403</v>
      </c>
      <c r="AC28" s="160">
        <f t="shared" si="12"/>
        <v>242</v>
      </c>
      <c r="AD28" s="160">
        <f t="shared" si="12"/>
        <v>1382</v>
      </c>
      <c r="AE28" s="160">
        <f t="shared" si="12"/>
        <v>328</v>
      </c>
      <c r="AF28" s="160">
        <f t="shared" si="12"/>
        <v>960</v>
      </c>
      <c r="AG28" s="160">
        <f t="shared" si="12"/>
        <v>1455</v>
      </c>
      <c r="AH28" s="160">
        <f t="shared" si="12"/>
        <v>427</v>
      </c>
      <c r="AI28" s="160">
        <f t="shared" si="12"/>
        <v>3170</v>
      </c>
      <c r="AJ28" s="1147">
        <f t="shared" si="12"/>
        <v>-489</v>
      </c>
      <c r="AK28" s="160">
        <f t="shared" si="12"/>
        <v>-544</v>
      </c>
      <c r="AL28" s="160">
        <f t="shared" si="12"/>
        <v>-412</v>
      </c>
      <c r="AM28" s="1148">
        <f t="shared" si="12"/>
        <v>-280</v>
      </c>
      <c r="AN28" s="160">
        <f t="shared" si="12"/>
        <v>-1725</v>
      </c>
      <c r="AO28" s="1147">
        <f t="shared" si="12"/>
        <v>-57</v>
      </c>
      <c r="AP28" s="160">
        <f t="shared" si="12"/>
        <v>198</v>
      </c>
      <c r="AQ28" s="160">
        <f t="shared" si="12"/>
        <v>-138</v>
      </c>
      <c r="AR28" s="1148">
        <f t="shared" si="12"/>
        <v>-135</v>
      </c>
      <c r="AS28" s="160">
        <f t="shared" si="12"/>
        <v>-132</v>
      </c>
      <c r="AT28" s="1147">
        <f t="shared" si="12"/>
        <v>-91</v>
      </c>
      <c r="AU28" s="160">
        <f t="shared" si="12"/>
        <v>300</v>
      </c>
      <c r="AV28" s="160">
        <f t="shared" si="12"/>
        <v>199</v>
      </c>
      <c r="AW28" s="1148">
        <f t="shared" si="12"/>
        <v>-125</v>
      </c>
      <c r="AX28" s="160">
        <f t="shared" si="12"/>
        <v>283</v>
      </c>
      <c r="AY28" s="1147">
        <f t="shared" si="12"/>
        <v>218</v>
      </c>
      <c r="AZ28" s="160">
        <f t="shared" si="12"/>
        <v>253</v>
      </c>
      <c r="BA28" s="160">
        <f t="shared" si="12"/>
        <v>97</v>
      </c>
      <c r="BB28" s="1148">
        <f t="shared" si="12"/>
        <v>-10</v>
      </c>
      <c r="BC28" s="160">
        <f t="shared" si="12"/>
        <v>558</v>
      </c>
      <c r="BD28" s="1147">
        <f t="shared" si="12"/>
        <v>38</v>
      </c>
      <c r="BE28" s="160">
        <f t="shared" si="12"/>
        <v>-7</v>
      </c>
      <c r="BF28" s="160">
        <f t="shared" ref="BF28:CK28" si="13">BF39</f>
        <v>58</v>
      </c>
      <c r="BG28" s="1148">
        <f t="shared" si="13"/>
        <v>90</v>
      </c>
      <c r="BH28" s="160">
        <f t="shared" si="13"/>
        <v>179</v>
      </c>
      <c r="BI28" s="1147">
        <f t="shared" si="13"/>
        <v>102</v>
      </c>
      <c r="BJ28" s="160">
        <f t="shared" si="13"/>
        <v>100</v>
      </c>
      <c r="BK28" s="160">
        <f t="shared" si="13"/>
        <v>453</v>
      </c>
      <c r="BL28" s="1148">
        <f t="shared" si="13"/>
        <v>396</v>
      </c>
      <c r="BM28" s="160">
        <f t="shared" si="13"/>
        <v>1051</v>
      </c>
      <c r="BN28" s="1147">
        <f t="shared" si="13"/>
        <v>-34</v>
      </c>
      <c r="BO28" s="160">
        <f t="shared" si="13"/>
        <v>-118</v>
      </c>
      <c r="BP28" s="681">
        <f t="shared" si="13"/>
        <v>-51</v>
      </c>
      <c r="BQ28" s="1148">
        <f t="shared" si="13"/>
        <v>-142</v>
      </c>
      <c r="BR28" s="160">
        <f t="shared" si="13"/>
        <v>-345</v>
      </c>
      <c r="BS28" s="1341">
        <f t="shared" si="13"/>
        <v>-236</v>
      </c>
      <c r="BT28" s="160">
        <f t="shared" si="13"/>
        <v>5</v>
      </c>
      <c r="BU28" s="160">
        <f t="shared" si="13"/>
        <v>146</v>
      </c>
      <c r="BV28" s="1148">
        <f t="shared" si="13"/>
        <v>88</v>
      </c>
      <c r="BW28" s="160">
        <f t="shared" si="13"/>
        <v>3</v>
      </c>
      <c r="BX28" s="1147">
        <f t="shared" si="13"/>
        <v>-63</v>
      </c>
      <c r="BY28" s="160">
        <f t="shared" si="13"/>
        <v>241</v>
      </c>
      <c r="BZ28" s="160">
        <f t="shared" si="13"/>
        <v>224</v>
      </c>
      <c r="CA28" s="1148">
        <f t="shared" si="13"/>
        <v>184</v>
      </c>
      <c r="CB28" s="160">
        <f t="shared" si="13"/>
        <v>586</v>
      </c>
      <c r="CC28" s="1147">
        <f t="shared" si="13"/>
        <v>127.7864716050947</v>
      </c>
      <c r="CD28" s="160">
        <f t="shared" si="13"/>
        <v>336.24419251949911</v>
      </c>
      <c r="CE28" s="160">
        <f t="shared" si="13"/>
        <v>418.18315384058388</v>
      </c>
      <c r="CF28" s="1148">
        <f t="shared" si="13"/>
        <v>361.32747120235166</v>
      </c>
      <c r="CG28" s="160">
        <f t="shared" si="13"/>
        <v>1243.5412891675294</v>
      </c>
      <c r="CH28" s="1147">
        <f t="shared" si="13"/>
        <v>201.96058187579982</v>
      </c>
      <c r="CI28" s="160">
        <f t="shared" si="13"/>
        <v>435.25389578201191</v>
      </c>
      <c r="CJ28" s="160">
        <f t="shared" si="13"/>
        <v>402.8279071975382</v>
      </c>
      <c r="CK28" s="1148">
        <f t="shared" si="13"/>
        <v>395.32541572188603</v>
      </c>
      <c r="CL28" s="160">
        <f t="shared" ref="CL28:CQ28" si="14">CL39</f>
        <v>1435.367800577236</v>
      </c>
      <c r="CM28" s="1147">
        <f t="shared" si="14"/>
        <v>221.93064212267743</v>
      </c>
      <c r="CN28" s="160">
        <f t="shared" si="14"/>
        <v>353.44923008105172</v>
      </c>
      <c r="CO28" s="160">
        <f t="shared" si="14"/>
        <v>288.65338175705728</v>
      </c>
      <c r="CP28" s="1148">
        <f t="shared" si="14"/>
        <v>287.79121994018334</v>
      </c>
      <c r="CQ28" s="1148">
        <f t="shared" si="14"/>
        <v>1151.8244739009697</v>
      </c>
      <c r="CR28" s="75"/>
    </row>
    <row r="29" spans="1:96" ht="13.5" customHeight="1">
      <c r="A29" s="75"/>
      <c r="B29" s="75"/>
      <c r="C29" s="115" t="s">
        <v>720</v>
      </c>
      <c r="D29" s="75"/>
      <c r="E29" s="75"/>
      <c r="F29" s="151">
        <f t="shared" ref="F29:AK29" si="15">F28/F14</f>
        <v>-1.0010537407797681E-2</v>
      </c>
      <c r="G29" s="151">
        <f t="shared" si="15"/>
        <v>2.5962786672436176E-3</v>
      </c>
      <c r="H29" s="151">
        <f t="shared" si="15"/>
        <v>-1.1971268954509178E-2</v>
      </c>
      <c r="I29" s="151">
        <f t="shared" si="15"/>
        <v>1.9135093761959434E-3</v>
      </c>
      <c r="J29" s="151">
        <f t="shared" si="15"/>
        <v>-4.0737564322469982E-3</v>
      </c>
      <c r="K29" s="151">
        <f t="shared" si="15"/>
        <v>4.163799036476256E-2</v>
      </c>
      <c r="L29" s="151">
        <f t="shared" si="15"/>
        <v>0.12093967517401392</v>
      </c>
      <c r="M29" s="151">
        <f t="shared" si="15"/>
        <v>0.13514971675209064</v>
      </c>
      <c r="N29" s="151">
        <f t="shared" si="15"/>
        <v>0.14329580348004095</v>
      </c>
      <c r="O29" s="151">
        <f t="shared" si="15"/>
        <v>0.11446775001789677</v>
      </c>
      <c r="P29" s="151">
        <f t="shared" si="15"/>
        <v>0.15368253124169104</v>
      </c>
      <c r="Q29" s="151">
        <f t="shared" si="15"/>
        <v>0.1192071468453378</v>
      </c>
      <c r="R29" s="151">
        <f t="shared" si="15"/>
        <v>4.71875E-2</v>
      </c>
      <c r="S29" s="151">
        <f t="shared" si="15"/>
        <v>7.2368421052631582E-2</v>
      </c>
      <c r="T29" s="151">
        <f t="shared" si="15"/>
        <v>0.10036327373744569</v>
      </c>
      <c r="U29" s="151">
        <f t="shared" si="15"/>
        <v>0.10037573805689748</v>
      </c>
      <c r="V29" s="151">
        <f t="shared" si="15"/>
        <v>0.12515217920623325</v>
      </c>
      <c r="W29" s="151">
        <f t="shared" si="15"/>
        <v>0.14174378957622991</v>
      </c>
      <c r="X29" s="151">
        <f t="shared" si="15"/>
        <v>8.8983050847457626E-2</v>
      </c>
      <c r="Y29" s="151">
        <f t="shared" si="15"/>
        <v>0.11492204899777284</v>
      </c>
      <c r="Z29" s="151">
        <f t="shared" si="15"/>
        <v>9.2119275825346111E-2</v>
      </c>
      <c r="AA29" s="151">
        <f t="shared" si="15"/>
        <v>9.2478713339640486E-2</v>
      </c>
      <c r="AB29" s="151">
        <f t="shared" si="15"/>
        <v>9.2558566835094169E-2</v>
      </c>
      <c r="AC29" s="151">
        <f t="shared" si="15"/>
        <v>5.3362734288864386E-2</v>
      </c>
      <c r="AD29" s="151">
        <f t="shared" si="15"/>
        <v>8.1906003674509578E-2</v>
      </c>
      <c r="AE29" s="151">
        <f t="shared" si="15"/>
        <v>6.3125481139337955E-2</v>
      </c>
      <c r="AF29" s="151">
        <f t="shared" si="15"/>
        <v>0.14234875444839859</v>
      </c>
      <c r="AG29" s="151">
        <f t="shared" si="15"/>
        <v>0.19898796498905907</v>
      </c>
      <c r="AH29" s="151">
        <f t="shared" si="15"/>
        <v>9.3537787513691129E-2</v>
      </c>
      <c r="AI29" s="151">
        <f t="shared" si="15"/>
        <v>0.13309820716295084</v>
      </c>
      <c r="AJ29" s="1139">
        <f t="shared" si="15"/>
        <v>-0.17781818181818182</v>
      </c>
      <c r="AK29" s="151">
        <f t="shared" si="15"/>
        <v>-0.25575928537846732</v>
      </c>
      <c r="AL29" s="151">
        <f t="shared" ref="AL29:BQ29" si="16">AL28/AL14</f>
        <v>-0.14625488107916224</v>
      </c>
      <c r="AM29" s="1140">
        <f t="shared" si="16"/>
        <v>-8.3482409063804414E-2</v>
      </c>
      <c r="AN29" s="151">
        <f t="shared" si="16"/>
        <v>-0.15613685734974656</v>
      </c>
      <c r="AO29" s="1139">
        <f t="shared" si="16"/>
        <v>-1.4630390143737166E-2</v>
      </c>
      <c r="AP29" s="151">
        <f t="shared" si="16"/>
        <v>4.2298654133732107E-2</v>
      </c>
      <c r="AQ29" s="151">
        <f t="shared" si="16"/>
        <v>-3.0687124749833223E-2</v>
      </c>
      <c r="AR29" s="1140">
        <f t="shared" si="16"/>
        <v>-3.1395348837209305E-2</v>
      </c>
      <c r="AS29" s="151">
        <f t="shared" si="16"/>
        <v>-7.5975595717739149E-3</v>
      </c>
      <c r="AT29" s="1139">
        <f t="shared" si="16"/>
        <v>-1.8708881578947369E-2</v>
      </c>
      <c r="AU29" s="151">
        <f t="shared" si="16"/>
        <v>5.859375E-2</v>
      </c>
      <c r="AV29" s="151">
        <f t="shared" si="16"/>
        <v>3.9165518598701043E-2</v>
      </c>
      <c r="AW29" s="1140">
        <f t="shared" si="16"/>
        <v>-2.5938991492010791E-2</v>
      </c>
      <c r="AX29" s="151">
        <f t="shared" si="16"/>
        <v>1.4232548782941059E-2</v>
      </c>
      <c r="AY29" s="1139">
        <f t="shared" si="16"/>
        <v>4.2150038669760248E-2</v>
      </c>
      <c r="AZ29" s="151">
        <f t="shared" si="16"/>
        <v>5.0428542953956546E-2</v>
      </c>
      <c r="BA29" s="151">
        <f t="shared" si="16"/>
        <v>2.0851246775580395E-2</v>
      </c>
      <c r="BB29" s="1140">
        <f t="shared" si="16"/>
        <v>-2.2286605749944283E-3</v>
      </c>
      <c r="BC29" s="151">
        <f t="shared" si="16"/>
        <v>2.8870033112582783E-2</v>
      </c>
      <c r="BD29" s="1139">
        <f t="shared" si="16"/>
        <v>8.2698585418933615E-3</v>
      </c>
      <c r="BE29" s="151">
        <f t="shared" si="16"/>
        <v>-1.5804922104312486E-3</v>
      </c>
      <c r="BF29" s="151">
        <f t="shared" si="16"/>
        <v>1.4040183974824498E-2</v>
      </c>
      <c r="BG29" s="1140">
        <f t="shared" si="16"/>
        <v>2.1082220660576249E-2</v>
      </c>
      <c r="BH29" s="151">
        <f t="shared" si="16"/>
        <v>1.0273186409550047E-2</v>
      </c>
      <c r="BI29" s="1139">
        <f t="shared" si="16"/>
        <v>2.2931654676258992E-2</v>
      </c>
      <c r="BJ29" s="151">
        <f t="shared" si="16"/>
        <v>2.2727272727272728E-2</v>
      </c>
      <c r="BK29" s="151">
        <f t="shared" si="16"/>
        <v>9.8757357750163505E-2</v>
      </c>
      <c r="BL29" s="1140">
        <f t="shared" si="16"/>
        <v>9.7249508840864446E-2</v>
      </c>
      <c r="BM29" s="151">
        <f t="shared" si="16"/>
        <v>6.0033129605300738E-2</v>
      </c>
      <c r="BN29" s="1139">
        <f t="shared" si="16"/>
        <v>-1.0391198044009779E-2</v>
      </c>
      <c r="BO29" s="151">
        <f t="shared" si="16"/>
        <v>-4.068965517241379E-2</v>
      </c>
      <c r="BP29" s="151">
        <f t="shared" si="16"/>
        <v>-1.802120141342756E-2</v>
      </c>
      <c r="BQ29" s="1140">
        <f t="shared" si="16"/>
        <v>-5.52099533437014E-2</v>
      </c>
      <c r="BR29" s="151">
        <f t="shared" ref="BR29:CQ29" si="17">BR28/BR14</f>
        <v>-2.9808190772420945E-2</v>
      </c>
      <c r="BS29" s="1339">
        <f t="shared" si="17"/>
        <v>-0.10081161896625374</v>
      </c>
      <c r="BT29" s="151">
        <f t="shared" si="17"/>
        <v>1.934984520123839E-3</v>
      </c>
      <c r="BU29" s="151">
        <f t="shared" si="17"/>
        <v>5.4355919583023084E-2</v>
      </c>
      <c r="BV29" s="1140">
        <f t="shared" si="17"/>
        <v>3.3207547169811322E-2</v>
      </c>
      <c r="BW29" s="151">
        <f t="shared" si="17"/>
        <v>2.9236916479875256E-4</v>
      </c>
      <c r="BX29" s="1139">
        <f t="shared" si="17"/>
        <v>-2.311926605504587E-2</v>
      </c>
      <c r="BY29" s="151">
        <f t="shared" si="17"/>
        <v>7.6653944020356232E-2</v>
      </c>
      <c r="BZ29" s="151">
        <f t="shared" si="17"/>
        <v>6.8965517241379309E-2</v>
      </c>
      <c r="CA29" s="1140">
        <f t="shared" si="17"/>
        <v>5.8729652090647941E-2</v>
      </c>
      <c r="CB29" s="151">
        <f t="shared" si="17"/>
        <v>4.7836734693877551E-2</v>
      </c>
      <c r="CC29" s="1139">
        <f t="shared" si="17"/>
        <v>4.0754465418834554E-2</v>
      </c>
      <c r="CD29" s="151">
        <f t="shared" si="17"/>
        <v>9.5901157520008079E-2</v>
      </c>
      <c r="CE29" s="151">
        <f t="shared" si="17"/>
        <v>0.11220568480451895</v>
      </c>
      <c r="CF29" s="1140">
        <f t="shared" si="17"/>
        <v>9.6927991906182759E-2</v>
      </c>
      <c r="CG29" s="151">
        <f t="shared" si="17"/>
        <v>8.8216935253602441E-2</v>
      </c>
      <c r="CH29" s="1139">
        <f t="shared" si="17"/>
        <v>5.5756202683593714E-2</v>
      </c>
      <c r="CI29" s="151">
        <f t="shared" si="17"/>
        <v>0.1117982034765046</v>
      </c>
      <c r="CJ29" s="151">
        <f t="shared" si="17"/>
        <v>0.10605155907291088</v>
      </c>
      <c r="CK29" s="1140">
        <f t="shared" si="17"/>
        <v>0.10595215764773808</v>
      </c>
      <c r="CL29" s="151">
        <f t="shared" si="17"/>
        <v>9.5404951297754517E-2</v>
      </c>
      <c r="CM29" s="1139">
        <f t="shared" si="17"/>
        <v>6.3790171095975817E-2</v>
      </c>
      <c r="CN29" s="151">
        <f t="shared" si="17"/>
        <v>9.5174096773558536E-2</v>
      </c>
      <c r="CO29" s="151">
        <f t="shared" si="17"/>
        <v>8.060014805906332E-2</v>
      </c>
      <c r="CP29" s="1140">
        <f t="shared" si="17"/>
        <v>8.1566958204234929E-2</v>
      </c>
      <c r="CQ29" s="1140">
        <f t="shared" si="17"/>
        <v>8.0533830511344592E-2</v>
      </c>
      <c r="CR29" s="75"/>
    </row>
    <row r="30" spans="1:96" ht="6.2" customHeight="1">
      <c r="A30" s="75"/>
      <c r="B30" s="75"/>
      <c r="C30" s="75"/>
      <c r="D30" s="75"/>
      <c r="E30" s="75"/>
      <c r="F30" s="160"/>
      <c r="G30" s="160"/>
      <c r="H30" s="160"/>
      <c r="I30" s="160"/>
      <c r="J30" s="160"/>
      <c r="K30" s="161"/>
      <c r="L30" s="161"/>
      <c r="M30" s="161"/>
      <c r="N30" s="161"/>
      <c r="O30" s="161"/>
      <c r="P30" s="161"/>
      <c r="Q30" s="161"/>
      <c r="R30" s="161"/>
      <c r="S30" s="161"/>
      <c r="T30" s="161"/>
      <c r="U30" s="161"/>
      <c r="V30" s="161"/>
      <c r="W30" s="161"/>
      <c r="X30" s="161"/>
      <c r="Y30" s="161"/>
      <c r="Z30" s="160"/>
      <c r="AA30" s="160"/>
      <c r="AB30" s="160"/>
      <c r="AC30" s="160"/>
      <c r="AD30" s="161"/>
      <c r="AE30" s="160"/>
      <c r="AF30" s="160"/>
      <c r="AG30" s="160"/>
      <c r="AH30" s="160"/>
      <c r="AI30" s="160"/>
      <c r="AJ30" s="1147"/>
      <c r="AK30" s="161"/>
      <c r="AL30" s="161"/>
      <c r="AM30" s="1149"/>
      <c r="AN30" s="161"/>
      <c r="AO30" s="1252"/>
      <c r="AP30" s="161"/>
      <c r="AQ30" s="161"/>
      <c r="AR30" s="1148"/>
      <c r="AS30" s="161"/>
      <c r="AT30" s="1147"/>
      <c r="AU30" s="160"/>
      <c r="AV30" s="160"/>
      <c r="AW30" s="1148"/>
      <c r="AX30" s="160"/>
      <c r="AY30" s="1252"/>
      <c r="AZ30" s="161"/>
      <c r="BA30" s="161"/>
      <c r="BB30" s="1149"/>
      <c r="BC30" s="161"/>
      <c r="BD30" s="1252"/>
      <c r="BE30" s="161"/>
      <c r="BF30" s="161"/>
      <c r="BG30" s="1149"/>
      <c r="BH30" s="161"/>
      <c r="BI30" s="1252"/>
      <c r="BJ30" s="161"/>
      <c r="BK30" s="161"/>
      <c r="BL30" s="1149"/>
      <c r="BM30" s="161"/>
      <c r="BN30" s="1147"/>
      <c r="BO30" s="161"/>
      <c r="BP30" s="161"/>
      <c r="BQ30" s="1149"/>
      <c r="BR30" s="161"/>
      <c r="BS30" s="1342"/>
      <c r="BT30" s="161"/>
      <c r="BU30" s="161"/>
      <c r="BV30" s="1149"/>
      <c r="BW30" s="161"/>
      <c r="BX30" s="1252"/>
      <c r="BY30" s="161"/>
      <c r="BZ30" s="161"/>
      <c r="CA30" s="1149"/>
      <c r="CB30" s="161"/>
      <c r="CC30" s="1252"/>
      <c r="CD30" s="161"/>
      <c r="CE30" s="161"/>
      <c r="CF30" s="1149"/>
      <c r="CG30" s="161"/>
      <c r="CH30" s="1252"/>
      <c r="CI30" s="161"/>
      <c r="CJ30" s="161"/>
      <c r="CK30" s="1149"/>
      <c r="CL30" s="161"/>
      <c r="CM30" s="1252"/>
      <c r="CN30" s="161"/>
      <c r="CO30" s="161"/>
      <c r="CP30" s="1149"/>
      <c r="CQ30" s="1149"/>
      <c r="CR30" s="75"/>
    </row>
    <row r="31" spans="1:96" ht="13.5" customHeight="1">
      <c r="A31" s="162" t="s">
        <v>724</v>
      </c>
      <c r="B31" s="163"/>
      <c r="C31" s="164"/>
      <c r="D31" s="163"/>
      <c r="E31" s="163"/>
      <c r="F31" s="165"/>
      <c r="G31" s="165"/>
      <c r="H31" s="165"/>
      <c r="I31" s="165"/>
      <c r="J31" s="165"/>
      <c r="K31" s="166"/>
      <c r="L31" s="166"/>
      <c r="M31" s="166"/>
      <c r="N31" s="166"/>
      <c r="O31" s="166"/>
      <c r="P31" s="166"/>
      <c r="Q31" s="166"/>
      <c r="R31" s="166"/>
      <c r="S31" s="166"/>
      <c r="T31" s="166"/>
      <c r="U31" s="166"/>
      <c r="V31" s="166"/>
      <c r="W31" s="166"/>
      <c r="X31" s="166"/>
      <c r="Y31" s="166"/>
      <c r="Z31" s="167"/>
      <c r="AA31" s="167"/>
      <c r="AB31" s="167"/>
      <c r="AC31" s="167"/>
      <c r="AD31" s="166"/>
      <c r="AE31" s="167"/>
      <c r="AF31" s="167"/>
      <c r="AG31" s="167"/>
      <c r="AH31" s="167"/>
      <c r="AI31" s="167"/>
      <c r="AJ31" s="1150"/>
      <c r="AK31" s="166"/>
      <c r="AL31" s="166"/>
      <c r="AM31" s="1151"/>
      <c r="AN31" s="166"/>
      <c r="AO31" s="1253"/>
      <c r="AP31" s="166"/>
      <c r="AQ31" s="166"/>
      <c r="AR31" s="1254"/>
      <c r="AS31" s="166"/>
      <c r="AT31" s="1150"/>
      <c r="AU31" s="167"/>
      <c r="AV31" s="168"/>
      <c r="AW31" s="1254"/>
      <c r="AX31" s="167"/>
      <c r="AY31" s="1253"/>
      <c r="AZ31" s="166"/>
      <c r="BA31" s="166"/>
      <c r="BB31" s="1276"/>
      <c r="BC31" s="166"/>
      <c r="BD31" s="1301"/>
      <c r="BE31" s="387"/>
      <c r="BF31" s="166"/>
      <c r="BG31" s="1151"/>
      <c r="BH31" s="166"/>
      <c r="BI31" s="1253"/>
      <c r="BJ31" s="166"/>
      <c r="BK31" s="387"/>
      <c r="BL31" s="1151"/>
      <c r="BM31" s="166"/>
      <c r="BN31" s="1150"/>
      <c r="BO31" s="166"/>
      <c r="BP31" s="166"/>
      <c r="BQ31" s="1151"/>
      <c r="BR31" s="166"/>
      <c r="BS31" s="1343"/>
      <c r="BT31" s="166"/>
      <c r="BU31" s="166"/>
      <c r="BV31" s="1151"/>
      <c r="BW31" s="166"/>
      <c r="BX31" s="1253"/>
      <c r="BY31" s="166"/>
      <c r="BZ31" s="166"/>
      <c r="CA31" s="1151"/>
      <c r="CB31" s="166"/>
      <c r="CC31" s="1253"/>
      <c r="CD31" s="166"/>
      <c r="CE31" s="166"/>
      <c r="CF31" s="1151"/>
      <c r="CG31" s="865"/>
      <c r="CH31" s="1253"/>
      <c r="CI31" s="166"/>
      <c r="CJ31" s="166"/>
      <c r="CK31" s="1151"/>
      <c r="CL31" s="166"/>
      <c r="CM31" s="1253"/>
      <c r="CN31" s="166"/>
      <c r="CO31" s="166"/>
      <c r="CP31" s="1151"/>
      <c r="CQ31" s="1151"/>
      <c r="CR31" s="163"/>
    </row>
    <row r="32" spans="1:96" ht="13.5" customHeight="1">
      <c r="A32" s="83"/>
      <c r="B32" s="81" t="s">
        <v>692</v>
      </c>
      <c r="C32" s="159"/>
      <c r="D32" s="81"/>
      <c r="E32" s="81"/>
      <c r="F32" s="169">
        <f>-40-F36</f>
        <v>-19</v>
      </c>
      <c r="G32" s="169">
        <f>-68-G36</f>
        <v>-48</v>
      </c>
      <c r="H32" s="169">
        <f>-50-H36</f>
        <v>-31</v>
      </c>
      <c r="I32" s="153">
        <f>J32-H32-G32-F32</f>
        <v>44</v>
      </c>
      <c r="J32" s="627">
        <v>-54</v>
      </c>
      <c r="K32" s="632">
        <v>113</v>
      </c>
      <c r="L32" s="608">
        <v>335</v>
      </c>
      <c r="M32" s="608">
        <v>362</v>
      </c>
      <c r="N32" s="153">
        <f t="shared" ref="N32:N37" si="18">O32-K32-L32-M32</f>
        <v>375</v>
      </c>
      <c r="O32" s="608">
        <v>1185</v>
      </c>
      <c r="P32" s="608">
        <v>335</v>
      </c>
      <c r="Q32" s="608">
        <v>190</v>
      </c>
      <c r="R32" s="608">
        <v>41</v>
      </c>
      <c r="S32" s="153">
        <f t="shared" ref="S32:S37" si="19">T32-P32-Q32-R32</f>
        <v>36</v>
      </c>
      <c r="T32" s="608">
        <f>602</f>
        <v>602</v>
      </c>
      <c r="U32" s="153">
        <f>Operations!U84</f>
        <v>127</v>
      </c>
      <c r="V32" s="153">
        <f>Operations!V84</f>
        <v>212</v>
      </c>
      <c r="W32" s="153">
        <f>Operations!W84</f>
        <v>230</v>
      </c>
      <c r="X32" s="153">
        <f>Operations!X84</f>
        <v>31</v>
      </c>
      <c r="Y32" s="145">
        <f t="shared" ref="Y32:Y37" si="20">SUM(U32:X32)</f>
        <v>600</v>
      </c>
      <c r="Z32" s="153">
        <f>Operations!Z84</f>
        <v>75</v>
      </c>
      <c r="AA32" s="153">
        <f>Operations!AA84</f>
        <v>92</v>
      </c>
      <c r="AB32" s="153">
        <f>Operations!AB84</f>
        <v>170</v>
      </c>
      <c r="AC32" s="153">
        <f>Operations!AC84</f>
        <v>53</v>
      </c>
      <c r="AD32" s="145">
        <f t="shared" ref="AD32:AD37" si="21">SUM(Z32:AC32)</f>
        <v>390</v>
      </c>
      <c r="AE32" s="153">
        <f>Operations!AE84</f>
        <v>120</v>
      </c>
      <c r="AF32" s="153">
        <f>Operations!AF84</f>
        <v>478</v>
      </c>
      <c r="AG32" s="153">
        <f>Operations!AG84</f>
        <v>835</v>
      </c>
      <c r="AH32" s="153">
        <f>Operations!AH84</f>
        <v>-2</v>
      </c>
      <c r="AI32" s="145">
        <f t="shared" ref="AI32:AI37" si="22">SUM(AE32:AH32)</f>
        <v>1431</v>
      </c>
      <c r="AJ32" s="914">
        <f>Operations!AJ84</f>
        <v>-422</v>
      </c>
      <c r="AK32" s="153">
        <f>Operations!AK84</f>
        <v>-362</v>
      </c>
      <c r="AL32" s="153">
        <f>Operations!AL84</f>
        <v>-370</v>
      </c>
      <c r="AM32" s="915">
        <f>Operations!AM84</f>
        <v>-284</v>
      </c>
      <c r="AN32" s="145">
        <f t="shared" ref="AN32:AN37" si="23">SUM(AJ32:AM32)</f>
        <v>-1438</v>
      </c>
      <c r="AO32" s="914">
        <f>Operations!AO84</f>
        <v>-80</v>
      </c>
      <c r="AP32" s="153">
        <f>Operations!AP84</f>
        <v>98</v>
      </c>
      <c r="AQ32" s="153">
        <f>Operations!AQ84</f>
        <v>-174</v>
      </c>
      <c r="AR32" s="915">
        <f>Operations!AR84</f>
        <v>-156</v>
      </c>
      <c r="AS32" s="145">
        <f t="shared" ref="AS32:AS37" si="24">SUM(AO32:AR32)</f>
        <v>-312</v>
      </c>
      <c r="AT32" s="914">
        <f>Operations!AT84</f>
        <v>-36</v>
      </c>
      <c r="AU32" s="153">
        <f>Operations!AU84</f>
        <v>374</v>
      </c>
      <c r="AV32" s="153">
        <f>Operations!AV84</f>
        <v>203</v>
      </c>
      <c r="AW32" s="915">
        <f>Operations!AW84</f>
        <v>-72</v>
      </c>
      <c r="AX32" s="145">
        <f t="shared" ref="AX32:AX37" si="25">SUM(AT32:AW32)</f>
        <v>469</v>
      </c>
      <c r="AY32" s="914">
        <f>Operations!AY84</f>
        <v>183</v>
      </c>
      <c r="AZ32" s="153">
        <f>Operations!AZ84</f>
        <v>177</v>
      </c>
      <c r="BA32" s="170">
        <f>Operations!BA84</f>
        <v>29</v>
      </c>
      <c r="BB32" s="915">
        <f>Operations!BB84</f>
        <v>11</v>
      </c>
      <c r="BC32" s="145">
        <f t="shared" ref="BC32:BC37" si="26">SUM(AY32:BB32)</f>
        <v>400</v>
      </c>
      <c r="BD32" s="914">
        <f>Operations!BD84</f>
        <v>-13</v>
      </c>
      <c r="BE32" s="153">
        <f>Operations!BE84</f>
        <v>-51</v>
      </c>
      <c r="BF32" s="170">
        <f>Operations!BF84</f>
        <v>82</v>
      </c>
      <c r="BG32" s="915">
        <f>Operations!BG84</f>
        <v>87</v>
      </c>
      <c r="BH32" s="145">
        <f t="shared" ref="BH32:BH37" si="27">SUM(BD32:BG32)</f>
        <v>105</v>
      </c>
      <c r="BI32" s="914">
        <f>Operations!BI84</f>
        <v>85</v>
      </c>
      <c r="BJ32" s="153">
        <f>Operations!BJ84</f>
        <v>30</v>
      </c>
      <c r="BK32" s="153">
        <f>Operations!BK84</f>
        <v>347</v>
      </c>
      <c r="BL32" s="915">
        <f>Operations!BL84</f>
        <v>247</v>
      </c>
      <c r="BM32" s="145">
        <f t="shared" ref="BM32:BM37" si="28">SUM(BI32:BL32)</f>
        <v>709</v>
      </c>
      <c r="BN32" s="914">
        <f>Operations!BN84</f>
        <v>-67</v>
      </c>
      <c r="BO32" s="153">
        <f>Operations!BO84</f>
        <v>-64</v>
      </c>
      <c r="BP32" s="153">
        <f>Operations!BP84</f>
        <v>-18</v>
      </c>
      <c r="BQ32" s="915">
        <f>Operations!BQ84</f>
        <v>-88</v>
      </c>
      <c r="BR32" s="145">
        <f t="shared" ref="BR32:BR37" si="29">SUM(BN32:BQ32)</f>
        <v>-237</v>
      </c>
      <c r="BS32" s="914">
        <f>Operations!BS84</f>
        <v>-188</v>
      </c>
      <c r="BT32" s="153">
        <f>Operations!BT84</f>
        <v>6</v>
      </c>
      <c r="BU32" s="153">
        <f>Operations!BU84</f>
        <v>114</v>
      </c>
      <c r="BV32" s="915">
        <f>Operations!BV84</f>
        <v>65</v>
      </c>
      <c r="BW32" s="145">
        <f t="shared" ref="BW32:BW37" si="30">SUM(BS32:BV32)</f>
        <v>-3</v>
      </c>
      <c r="BX32" s="914">
        <f>Operations!BX84</f>
        <v>-90</v>
      </c>
      <c r="BY32" s="153">
        <f>Operations!BY84</f>
        <v>218</v>
      </c>
      <c r="BZ32" s="153">
        <f>Operations!BZ84</f>
        <v>160</v>
      </c>
      <c r="CA32" s="915">
        <f>Operations!CA84</f>
        <v>92</v>
      </c>
      <c r="CB32" s="145">
        <f t="shared" ref="CB32:CB37" si="31">SUM(BX32:CA32)</f>
        <v>380</v>
      </c>
      <c r="CC32" s="914">
        <f>Operations!CC84</f>
        <v>12.182773877665724</v>
      </c>
      <c r="CD32" s="153">
        <f>Operations!CD84</f>
        <v>238.49193922147333</v>
      </c>
      <c r="CE32" s="153">
        <f>Operations!CE84</f>
        <v>303.1320080755936</v>
      </c>
      <c r="CF32" s="915">
        <f>Operations!CF84</f>
        <v>208.56297442298262</v>
      </c>
      <c r="CG32" s="145">
        <f t="shared" ref="CG32:CG37" si="32">SUM(CC32:CF32)</f>
        <v>762.36969559771535</v>
      </c>
      <c r="CH32" s="914">
        <f>Operations!CH84</f>
        <v>107.96101278390674</v>
      </c>
      <c r="CI32" s="153">
        <f>Operations!CI84</f>
        <v>284.65964273098268</v>
      </c>
      <c r="CJ32" s="153">
        <f>Operations!CJ84</f>
        <v>285.67141799045856</v>
      </c>
      <c r="CK32" s="915">
        <f>Operations!CK84</f>
        <v>246.79272818215185</v>
      </c>
      <c r="CL32" s="145">
        <f t="shared" ref="CL32:CL37" si="33">SUM(CH32:CK32)</f>
        <v>925.08480168749998</v>
      </c>
      <c r="CM32" s="914">
        <f>Operations!CM84</f>
        <v>128.83760177827739</v>
      </c>
      <c r="CN32" s="153">
        <f>Operations!CN84</f>
        <v>207.17660767470176</v>
      </c>
      <c r="CO32" s="153">
        <f>Operations!CO84</f>
        <v>179.1237118427224</v>
      </c>
      <c r="CP32" s="915">
        <f>Operations!CP84</f>
        <v>145.62485128372748</v>
      </c>
      <c r="CQ32" s="1135">
        <f t="shared" ref="CQ32:CQ37" si="34">SUM(CM32:CP32)</f>
        <v>660.762772579429</v>
      </c>
      <c r="CR32" s="81"/>
    </row>
    <row r="33" spans="1:96" ht="13.5" customHeight="1">
      <c r="A33" s="83"/>
      <c r="B33" s="81" t="s">
        <v>712</v>
      </c>
      <c r="C33" s="159"/>
      <c r="D33" s="81"/>
      <c r="E33" s="81"/>
      <c r="F33" s="632">
        <v>64</v>
      </c>
      <c r="G33" s="632">
        <v>67</v>
      </c>
      <c r="H33" s="632">
        <v>35</v>
      </c>
      <c r="I33" s="153">
        <f>J33-H33-G33-F33</f>
        <v>37</v>
      </c>
      <c r="J33" s="627">
        <v>203</v>
      </c>
      <c r="K33" s="632">
        <v>40</v>
      </c>
      <c r="L33" s="627">
        <v>76</v>
      </c>
      <c r="M33" s="627">
        <v>146</v>
      </c>
      <c r="N33" s="145">
        <f t="shared" si="18"/>
        <v>132</v>
      </c>
      <c r="O33" s="627">
        <v>394</v>
      </c>
      <c r="P33" s="608">
        <v>212</v>
      </c>
      <c r="Q33" s="608">
        <v>141</v>
      </c>
      <c r="R33" s="608">
        <v>32</v>
      </c>
      <c r="S33" s="153">
        <f t="shared" si="19"/>
        <v>117</v>
      </c>
      <c r="T33" s="608">
        <v>502</v>
      </c>
      <c r="U33" s="153">
        <f>Operations!U173</f>
        <v>125</v>
      </c>
      <c r="V33" s="153">
        <f>Operations!V173</f>
        <v>188</v>
      </c>
      <c r="W33" s="153">
        <f>Operations!W173</f>
        <v>219</v>
      </c>
      <c r="X33" s="153">
        <f>Operations!X173</f>
        <v>182</v>
      </c>
      <c r="Y33" s="145">
        <f t="shared" si="20"/>
        <v>714</v>
      </c>
      <c r="Z33" s="153">
        <f>Operations!Z173</f>
        <v>206</v>
      </c>
      <c r="AA33" s="153">
        <f>Operations!AA173</f>
        <v>244</v>
      </c>
      <c r="AB33" s="153">
        <f>Operations!AB173</f>
        <v>152</v>
      </c>
      <c r="AC33" s="153">
        <f>Operations!AC173</f>
        <v>85</v>
      </c>
      <c r="AD33" s="145">
        <f t="shared" si="21"/>
        <v>687</v>
      </c>
      <c r="AE33" s="153">
        <f>Operations!AE173</f>
        <v>161</v>
      </c>
      <c r="AF33" s="153">
        <f>Operations!AF173</f>
        <v>298</v>
      </c>
      <c r="AG33" s="153">
        <f>Operations!AG173</f>
        <v>173</v>
      </c>
      <c r="AH33" s="153">
        <f>Operations!AH173</f>
        <v>-134</v>
      </c>
      <c r="AI33" s="145">
        <f t="shared" si="22"/>
        <v>498</v>
      </c>
      <c r="AJ33" s="914">
        <f>Operations!AJ173</f>
        <v>-159</v>
      </c>
      <c r="AK33" s="153">
        <f>Operations!AK173</f>
        <v>-53</v>
      </c>
      <c r="AL33" s="153">
        <f>Operations!AL173</f>
        <v>7</v>
      </c>
      <c r="AM33" s="915">
        <f>Operations!AM173</f>
        <v>-3</v>
      </c>
      <c r="AN33" s="145">
        <f t="shared" si="23"/>
        <v>-208</v>
      </c>
      <c r="AO33" s="914">
        <f>Operations!AO173</f>
        <v>12</v>
      </c>
      <c r="AP33" s="153">
        <f>Operations!AP173</f>
        <v>19</v>
      </c>
      <c r="AQ33" s="153">
        <f>Operations!AQ173</f>
        <v>-25</v>
      </c>
      <c r="AR33" s="915">
        <f>Operations!AR173</f>
        <v>-39</v>
      </c>
      <c r="AS33" s="145">
        <f t="shared" si="24"/>
        <v>-33</v>
      </c>
      <c r="AT33" s="914">
        <f>Operations!AT173</f>
        <v>-5</v>
      </c>
      <c r="AU33" s="153">
        <f>Operations!AU173</f>
        <v>-18</v>
      </c>
      <c r="AV33" s="153">
        <f>Operations!AV173</f>
        <v>-50</v>
      </c>
      <c r="AW33" s="915">
        <f>Operations!AW173</f>
        <v>-89</v>
      </c>
      <c r="AX33" s="145">
        <f t="shared" si="25"/>
        <v>-162</v>
      </c>
      <c r="AY33" s="914">
        <f>Operations!AY173</f>
        <v>-34</v>
      </c>
      <c r="AZ33" s="153">
        <f>Operations!AZ173</f>
        <v>34</v>
      </c>
      <c r="BA33" s="153">
        <f>Operations!BA173</f>
        <v>27</v>
      </c>
      <c r="BB33" s="915">
        <f>Operations!BB173</f>
        <v>7</v>
      </c>
      <c r="BC33" s="145">
        <f t="shared" si="26"/>
        <v>34</v>
      </c>
      <c r="BD33" s="914">
        <f>Operations!BD173</f>
        <v>38</v>
      </c>
      <c r="BE33" s="153">
        <f>Operations!BE173</f>
        <v>10</v>
      </c>
      <c r="BF33" s="153">
        <f>Operations!BF173</f>
        <v>-32</v>
      </c>
      <c r="BG33" s="915">
        <f>Operations!BG173</f>
        <v>12</v>
      </c>
      <c r="BH33" s="145">
        <f t="shared" si="27"/>
        <v>28</v>
      </c>
      <c r="BI33" s="914">
        <f>Operations!BI173</f>
        <v>15</v>
      </c>
      <c r="BJ33" s="153">
        <f>Operations!BJ173</f>
        <v>38</v>
      </c>
      <c r="BK33" s="153">
        <f>Operations!BK173</f>
        <v>29</v>
      </c>
      <c r="BL33" s="915">
        <f>Operations!BL173</f>
        <v>34</v>
      </c>
      <c r="BM33" s="145">
        <f t="shared" si="28"/>
        <v>116</v>
      </c>
      <c r="BN33" s="914">
        <f>Operations!BN173</f>
        <v>37</v>
      </c>
      <c r="BO33" s="153">
        <f>Operations!BO173</f>
        <v>20</v>
      </c>
      <c r="BP33" s="153">
        <f>Operations!BP173</f>
        <v>18</v>
      </c>
      <c r="BQ33" s="915">
        <f>Operations!BQ173</f>
        <v>6</v>
      </c>
      <c r="BR33" s="145">
        <f t="shared" si="29"/>
        <v>81</v>
      </c>
      <c r="BS33" s="914">
        <f>Operations!BS173</f>
        <v>-14</v>
      </c>
      <c r="BT33" s="153">
        <f>Operations!BT173</f>
        <v>55</v>
      </c>
      <c r="BU33" s="153">
        <f>Operations!BU173</f>
        <v>81</v>
      </c>
      <c r="BV33" s="915">
        <f>Operations!BV173</f>
        <v>63</v>
      </c>
      <c r="BW33" s="145">
        <f t="shared" si="30"/>
        <v>185</v>
      </c>
      <c r="BX33" s="914">
        <f>Operations!BX173</f>
        <v>87</v>
      </c>
      <c r="BY33" s="153">
        <f>Operations!BY173</f>
        <v>55</v>
      </c>
      <c r="BZ33" s="153">
        <f>Operations!BZ173</f>
        <v>73</v>
      </c>
      <c r="CA33" s="915">
        <f>Operations!CA173</f>
        <v>112</v>
      </c>
      <c r="CB33" s="145">
        <f t="shared" si="31"/>
        <v>327</v>
      </c>
      <c r="CC33" s="914">
        <f>Operations!CC173</f>
        <v>100.86178415942898</v>
      </c>
      <c r="CD33" s="153">
        <f>Operations!CD173</f>
        <v>70.953121378025813</v>
      </c>
      <c r="CE33" s="153">
        <f>Operations!CE173</f>
        <v>75.939801944990194</v>
      </c>
      <c r="CF33" s="915">
        <f>Operations!CF173</f>
        <v>123.10618763336902</v>
      </c>
      <c r="CG33" s="145">
        <f t="shared" si="32"/>
        <v>370.860895115814</v>
      </c>
      <c r="CH33" s="914">
        <f>Operations!CH173</f>
        <v>93.595318116853093</v>
      </c>
      <c r="CI33" s="153">
        <f>Operations!CI173</f>
        <v>120.75134717342928</v>
      </c>
      <c r="CJ33" s="153">
        <f>Operations!CJ173</f>
        <v>74.570205072479553</v>
      </c>
      <c r="CK33" s="915">
        <f>Operations!CK173</f>
        <v>116.03374411935411</v>
      </c>
      <c r="CL33" s="145">
        <f t="shared" si="33"/>
        <v>404.95061448211607</v>
      </c>
      <c r="CM33" s="914">
        <f>Operations!CM173</f>
        <v>92.661661840108835</v>
      </c>
      <c r="CN33" s="153">
        <f>Operations!CN173</f>
        <v>115.51942935242198</v>
      </c>
      <c r="CO33" s="153">
        <f>Operations!CO173</f>
        <v>65.65079725569683</v>
      </c>
      <c r="CP33" s="915">
        <f>Operations!CP173</f>
        <v>108.67745693346441</v>
      </c>
      <c r="CQ33" s="1135">
        <f t="shared" si="34"/>
        <v>382.50934538169201</v>
      </c>
      <c r="CR33" s="81"/>
    </row>
    <row r="34" spans="1:96" ht="13.5" customHeight="1">
      <c r="A34" s="81"/>
      <c r="B34" s="81" t="s">
        <v>713</v>
      </c>
      <c r="C34" s="81"/>
      <c r="D34" s="81"/>
      <c r="E34" s="81"/>
      <c r="F34" s="633">
        <v>-5</v>
      </c>
      <c r="G34" s="633">
        <v>-4</v>
      </c>
      <c r="H34" s="633">
        <v>-10</v>
      </c>
      <c r="I34" s="153">
        <f>J34-H34-G34-F34</f>
        <v>-6</v>
      </c>
      <c r="J34" s="627">
        <v>-25</v>
      </c>
      <c r="K34" s="633">
        <v>3</v>
      </c>
      <c r="L34" s="627">
        <v>25</v>
      </c>
      <c r="M34" s="627">
        <v>55</v>
      </c>
      <c r="N34" s="145">
        <f t="shared" si="18"/>
        <v>114</v>
      </c>
      <c r="O34" s="627">
        <v>197</v>
      </c>
      <c r="P34" s="608">
        <v>122</v>
      </c>
      <c r="Q34" s="608">
        <v>133</v>
      </c>
      <c r="R34" s="608">
        <v>124</v>
      </c>
      <c r="S34" s="153">
        <f t="shared" si="19"/>
        <v>149</v>
      </c>
      <c r="T34" s="608">
        <v>528</v>
      </c>
      <c r="U34" s="153">
        <f>Operations!U124</f>
        <v>177</v>
      </c>
      <c r="V34" s="153">
        <f>Operations!V124</f>
        <v>146</v>
      </c>
      <c r="W34" s="153">
        <f>Operations!W124</f>
        <v>164</v>
      </c>
      <c r="X34" s="153">
        <f>Operations!X124</f>
        <v>144</v>
      </c>
      <c r="Y34" s="145">
        <f t="shared" si="20"/>
        <v>631</v>
      </c>
      <c r="Z34" s="153">
        <f>Operations!Z124</f>
        <v>102</v>
      </c>
      <c r="AA34" s="153">
        <f>Operations!AA124</f>
        <v>97</v>
      </c>
      <c r="AB34" s="153">
        <f>Operations!AB124</f>
        <v>74</v>
      </c>
      <c r="AC34" s="153">
        <f>Operations!AC124</f>
        <v>83</v>
      </c>
      <c r="AD34" s="145">
        <f t="shared" si="21"/>
        <v>356</v>
      </c>
      <c r="AE34" s="153">
        <f>Operations!AE124</f>
        <v>51</v>
      </c>
      <c r="AF34" s="153">
        <f>Operations!AF124</f>
        <v>177</v>
      </c>
      <c r="AG34" s="153">
        <f>Operations!AG124</f>
        <v>420</v>
      </c>
      <c r="AH34" s="153">
        <f>Operations!AH124</f>
        <v>559</v>
      </c>
      <c r="AI34" s="145">
        <f t="shared" si="22"/>
        <v>1207</v>
      </c>
      <c r="AJ34" s="914">
        <f>Operations!AJ124</f>
        <v>127</v>
      </c>
      <c r="AK34" s="153">
        <f>Operations!AK124</f>
        <v>-88</v>
      </c>
      <c r="AL34" s="153">
        <f>Operations!AL124</f>
        <v>-21</v>
      </c>
      <c r="AM34" s="915">
        <f>Operations!AM124</f>
        <v>39</v>
      </c>
      <c r="AN34" s="145">
        <f t="shared" si="23"/>
        <v>57</v>
      </c>
      <c r="AO34" s="914">
        <f>Operations!AO124</f>
        <v>45</v>
      </c>
      <c r="AP34" s="153">
        <f>Operations!AP124</f>
        <v>96</v>
      </c>
      <c r="AQ34" s="153">
        <f>Operations!AQ124</f>
        <v>112</v>
      </c>
      <c r="AR34" s="915">
        <f>Operations!AR124</f>
        <v>96</v>
      </c>
      <c r="AS34" s="145">
        <f t="shared" si="24"/>
        <v>349</v>
      </c>
      <c r="AT34" s="914">
        <f>Operations!AT124</f>
        <v>32</v>
      </c>
      <c r="AU34" s="153">
        <f>Operations!AU124</f>
        <v>31</v>
      </c>
      <c r="AV34" s="153">
        <f>Operations!AV124</f>
        <v>134</v>
      </c>
      <c r="AW34" s="915">
        <f>Operations!AW124</f>
        <v>119</v>
      </c>
      <c r="AX34" s="145">
        <f t="shared" si="25"/>
        <v>316</v>
      </c>
      <c r="AY34" s="914">
        <f>Operations!AY124</f>
        <v>129</v>
      </c>
      <c r="AZ34" s="153">
        <f>Operations!AZ124</f>
        <v>103</v>
      </c>
      <c r="BA34" s="153">
        <f>Operations!BA124</f>
        <v>102</v>
      </c>
      <c r="BB34" s="915">
        <f>Operations!BB124</f>
        <v>32</v>
      </c>
      <c r="BC34" s="145">
        <f t="shared" si="26"/>
        <v>366</v>
      </c>
      <c r="BD34" s="914">
        <f>Operations!BD124</f>
        <v>64</v>
      </c>
      <c r="BE34" s="153">
        <f>Operations!BE124</f>
        <v>45</v>
      </c>
      <c r="BF34" s="153">
        <f>Operations!BF124</f>
        <v>49</v>
      </c>
      <c r="BG34" s="915">
        <f>Operations!BG124</f>
        <v>32</v>
      </c>
      <c r="BH34" s="145">
        <f t="shared" si="27"/>
        <v>190</v>
      </c>
      <c r="BI34" s="914">
        <f>Operations!BI124</f>
        <v>24</v>
      </c>
      <c r="BJ34" s="153">
        <f>Operations!BJ124</f>
        <v>47</v>
      </c>
      <c r="BK34" s="153">
        <f>Operations!BK124</f>
        <v>69</v>
      </c>
      <c r="BL34" s="915">
        <f>Operations!BL124</f>
        <v>121</v>
      </c>
      <c r="BM34" s="145">
        <f t="shared" si="28"/>
        <v>261</v>
      </c>
      <c r="BN34" s="914">
        <f>Operations!BN124</f>
        <v>1</v>
      </c>
      <c r="BO34" s="153">
        <f>Operations!BO124</f>
        <v>-66</v>
      </c>
      <c r="BP34" s="153">
        <f>Operations!BP124</f>
        <v>-50</v>
      </c>
      <c r="BQ34" s="915">
        <f>Operations!BQ124</f>
        <v>-64</v>
      </c>
      <c r="BR34" s="145">
        <f t="shared" si="29"/>
        <v>-179</v>
      </c>
      <c r="BS34" s="914">
        <f>Operations!BS124</f>
        <v>-64</v>
      </c>
      <c r="BT34" s="153">
        <f>Operations!BT124</f>
        <v>-78</v>
      </c>
      <c r="BU34" s="153">
        <f>Operations!BU124</f>
        <v>-75</v>
      </c>
      <c r="BV34" s="915">
        <f>Operations!BV124</f>
        <v>-87</v>
      </c>
      <c r="BW34" s="145">
        <f t="shared" si="30"/>
        <v>-304</v>
      </c>
      <c r="BX34" s="914">
        <f>Operations!BX124</f>
        <v>-57</v>
      </c>
      <c r="BY34" s="153">
        <f>Operations!BY124</f>
        <v>-29</v>
      </c>
      <c r="BZ34" s="153">
        <f>Operations!BZ124</f>
        <v>-7</v>
      </c>
      <c r="CA34" s="915">
        <f>Operations!CA124</f>
        <v>-6</v>
      </c>
      <c r="CB34" s="145">
        <f t="shared" si="31"/>
        <v>-99</v>
      </c>
      <c r="CC34" s="914">
        <f>Operations!CC124</f>
        <v>3.241913567999994</v>
      </c>
      <c r="CD34" s="153">
        <f>Operations!CD124</f>
        <v>15.299131919999972</v>
      </c>
      <c r="CE34" s="153">
        <f>Operations!CE124</f>
        <v>27.611343820000052</v>
      </c>
      <c r="CF34" s="915">
        <f>Operations!CF124</f>
        <v>18.15830914600004</v>
      </c>
      <c r="CG34" s="145">
        <f t="shared" si="32"/>
        <v>64.310698454000061</v>
      </c>
      <c r="CH34" s="914">
        <f>Operations!CH124</f>
        <v>-11.095749024960009</v>
      </c>
      <c r="CI34" s="153">
        <f>Operations!CI124</f>
        <v>18.342905877599971</v>
      </c>
      <c r="CJ34" s="153">
        <f>Operations!CJ124</f>
        <v>31.086284134600056</v>
      </c>
      <c r="CK34" s="915">
        <f>Operations!CK124</f>
        <v>20.998943420380044</v>
      </c>
      <c r="CL34" s="145">
        <f t="shared" si="33"/>
        <v>59.332384407620061</v>
      </c>
      <c r="CM34" s="914">
        <f>Operations!CM124</f>
        <v>-11.068621495708808</v>
      </c>
      <c r="CN34" s="153">
        <f>Operations!CN124</f>
        <v>19.253193053927976</v>
      </c>
      <c r="CO34" s="153">
        <f>Operations!CO124</f>
        <v>32.378872658638059</v>
      </c>
      <c r="CP34" s="915">
        <f>Operations!CP124</f>
        <v>21.988911722991439</v>
      </c>
      <c r="CQ34" s="1135">
        <f t="shared" si="34"/>
        <v>62.552355939848667</v>
      </c>
      <c r="CR34" s="81"/>
    </row>
    <row r="35" spans="1:96" ht="13.5" customHeight="1">
      <c r="A35" s="81"/>
      <c r="B35" s="81" t="s">
        <v>714</v>
      </c>
      <c r="C35" s="81"/>
      <c r="D35" s="81"/>
      <c r="E35" s="81"/>
      <c r="F35" s="627">
        <f>-15+13-36</f>
        <v>-38</v>
      </c>
      <c r="G35" s="627">
        <f>-18+17+12</f>
        <v>11</v>
      </c>
      <c r="H35" s="627">
        <f>-15+12-2</f>
        <v>-5</v>
      </c>
      <c r="I35" s="153">
        <f>J35-H35-G35-F35</f>
        <v>-23</v>
      </c>
      <c r="J35" s="627">
        <f>50-70-35</f>
        <v>-55</v>
      </c>
      <c r="K35" s="627">
        <f>14-8</f>
        <v>6</v>
      </c>
      <c r="L35" s="627">
        <f>3+15</f>
        <v>18</v>
      </c>
      <c r="M35" s="627">
        <f>5+2</f>
        <v>7</v>
      </c>
      <c r="N35" s="145">
        <f t="shared" si="18"/>
        <v>27</v>
      </c>
      <c r="O35" s="627">
        <f>30+28</f>
        <v>58</v>
      </c>
      <c r="P35" s="608">
        <v>-17</v>
      </c>
      <c r="Q35" s="608">
        <v>23</v>
      </c>
      <c r="R35" s="608">
        <v>21</v>
      </c>
      <c r="S35" s="153">
        <f t="shared" si="19"/>
        <v>16</v>
      </c>
      <c r="T35" s="608">
        <v>43</v>
      </c>
      <c r="U35" s="608">
        <v>0</v>
      </c>
      <c r="V35" s="608">
        <v>33</v>
      </c>
      <c r="W35" s="608">
        <v>39</v>
      </c>
      <c r="X35" s="608">
        <f>57-25</f>
        <v>32</v>
      </c>
      <c r="Y35" s="145">
        <f t="shared" si="20"/>
        <v>104</v>
      </c>
      <c r="Z35" s="608">
        <v>2</v>
      </c>
      <c r="AA35" s="608">
        <v>1</v>
      </c>
      <c r="AB35" s="608">
        <v>10</v>
      </c>
      <c r="AC35" s="608">
        <v>36</v>
      </c>
      <c r="AD35" s="145">
        <f t="shared" si="21"/>
        <v>49</v>
      </c>
      <c r="AE35" s="608">
        <v>-5</v>
      </c>
      <c r="AF35" s="608">
        <v>6</v>
      </c>
      <c r="AG35" s="608">
        <v>33</v>
      </c>
      <c r="AH35" s="608">
        <v>22</v>
      </c>
      <c r="AI35" s="145">
        <f t="shared" si="22"/>
        <v>56</v>
      </c>
      <c r="AJ35" s="954">
        <v>-3</v>
      </c>
      <c r="AK35" s="608">
        <v>-7</v>
      </c>
      <c r="AL35" s="608">
        <v>5</v>
      </c>
      <c r="AM35" s="960">
        <v>3</v>
      </c>
      <c r="AN35" s="145">
        <f t="shared" si="23"/>
        <v>-2</v>
      </c>
      <c r="AO35" s="954">
        <v>10</v>
      </c>
      <c r="AP35" s="608">
        <v>28</v>
      </c>
      <c r="AQ35" s="608">
        <v>7</v>
      </c>
      <c r="AR35" s="960">
        <v>7</v>
      </c>
      <c r="AS35" s="145">
        <f t="shared" si="24"/>
        <v>52</v>
      </c>
      <c r="AT35" s="954">
        <v>13</v>
      </c>
      <c r="AU35" s="608">
        <v>9</v>
      </c>
      <c r="AV35" s="608">
        <v>8</v>
      </c>
      <c r="AW35" s="960">
        <v>16</v>
      </c>
      <c r="AX35" s="145">
        <f t="shared" si="25"/>
        <v>46</v>
      </c>
      <c r="AY35" s="954">
        <v>17</v>
      </c>
      <c r="AZ35" s="608">
        <v>16</v>
      </c>
      <c r="BA35" s="608">
        <v>13</v>
      </c>
      <c r="BB35" s="960">
        <v>9</v>
      </c>
      <c r="BC35" s="145">
        <f t="shared" si="26"/>
        <v>55</v>
      </c>
      <c r="BD35" s="954">
        <v>5</v>
      </c>
      <c r="BE35" s="608">
        <v>43</v>
      </c>
      <c r="BF35" s="608">
        <v>14</v>
      </c>
      <c r="BG35" s="960">
        <v>15</v>
      </c>
      <c r="BH35" s="145">
        <f t="shared" si="27"/>
        <v>77</v>
      </c>
      <c r="BI35" s="914">
        <f>13-3</f>
        <v>10</v>
      </c>
      <c r="BJ35" s="608">
        <v>17</v>
      </c>
      <c r="BK35" s="608">
        <v>34</v>
      </c>
      <c r="BL35" s="960">
        <v>18</v>
      </c>
      <c r="BM35" s="145">
        <f t="shared" si="28"/>
        <v>79</v>
      </c>
      <c r="BN35" s="954">
        <v>8</v>
      </c>
      <c r="BO35" s="608">
        <v>6</v>
      </c>
      <c r="BP35" s="639">
        <v>10</v>
      </c>
      <c r="BQ35" s="960">
        <v>9</v>
      </c>
      <c r="BR35" s="145">
        <f t="shared" si="29"/>
        <v>33</v>
      </c>
      <c r="BS35" s="954">
        <v>14</v>
      </c>
      <c r="BT35" s="608">
        <v>10</v>
      </c>
      <c r="BU35" s="608">
        <v>18</v>
      </c>
      <c r="BV35" s="960">
        <v>21</v>
      </c>
      <c r="BW35" s="145">
        <f t="shared" si="30"/>
        <v>63</v>
      </c>
      <c r="BX35" s="954">
        <v>13</v>
      </c>
      <c r="BY35" s="608">
        <v>9</v>
      </c>
      <c r="BZ35" s="608">
        <v>12</v>
      </c>
      <c r="CA35" s="960">
        <v>10</v>
      </c>
      <c r="CB35" s="145">
        <f t="shared" si="31"/>
        <v>44</v>
      </c>
      <c r="CC35" s="1107">
        <v>12.5</v>
      </c>
      <c r="CD35" s="868">
        <v>12.5</v>
      </c>
      <c r="CE35" s="868">
        <v>12.5</v>
      </c>
      <c r="CF35" s="1088">
        <v>12.5</v>
      </c>
      <c r="CG35" s="145">
        <f t="shared" si="32"/>
        <v>50</v>
      </c>
      <c r="CH35" s="1107">
        <v>12.5</v>
      </c>
      <c r="CI35" s="868">
        <v>12.5</v>
      </c>
      <c r="CJ35" s="868">
        <v>12.5</v>
      </c>
      <c r="CK35" s="1088">
        <v>12.5</v>
      </c>
      <c r="CL35" s="145">
        <f t="shared" si="33"/>
        <v>50</v>
      </c>
      <c r="CM35" s="1107">
        <v>12.5</v>
      </c>
      <c r="CN35" s="868">
        <v>12.5</v>
      </c>
      <c r="CO35" s="868">
        <v>12.5</v>
      </c>
      <c r="CP35" s="1088">
        <v>12.5</v>
      </c>
      <c r="CQ35" s="1135">
        <f t="shared" si="34"/>
        <v>50</v>
      </c>
      <c r="CR35" s="81"/>
    </row>
    <row r="36" spans="1:96" ht="13.5" customHeight="1">
      <c r="A36" s="81"/>
      <c r="B36" s="81" t="s">
        <v>725</v>
      </c>
      <c r="C36" s="81"/>
      <c r="D36" s="81"/>
      <c r="E36" s="81"/>
      <c r="F36" s="608">
        <v>-21</v>
      </c>
      <c r="G36" s="608">
        <v>-20</v>
      </c>
      <c r="H36" s="608">
        <v>-19</v>
      </c>
      <c r="I36" s="153">
        <f>J36-H36-G36-F36</f>
        <v>-47</v>
      </c>
      <c r="J36" s="608">
        <v>-107</v>
      </c>
      <c r="K36" s="627">
        <f>-44+13</f>
        <v>-31</v>
      </c>
      <c r="L36" s="627">
        <f>-65+29</f>
        <v>-36</v>
      </c>
      <c r="M36" s="627">
        <f>-72+7</f>
        <v>-65</v>
      </c>
      <c r="N36" s="153">
        <f t="shared" si="18"/>
        <v>-80</v>
      </c>
      <c r="O36" s="627">
        <f>-257+45</f>
        <v>-212</v>
      </c>
      <c r="P36" s="608">
        <f>-83+8</f>
        <v>-75</v>
      </c>
      <c r="Q36" s="608">
        <f>-70+8</f>
        <v>-62</v>
      </c>
      <c r="R36" s="608">
        <f>-55-11</f>
        <v>-66</v>
      </c>
      <c r="S36" s="153">
        <f t="shared" si="19"/>
        <v>-64</v>
      </c>
      <c r="T36" s="608">
        <v>-267</v>
      </c>
      <c r="U36" s="608">
        <v>-55</v>
      </c>
      <c r="V36" s="608">
        <v>-65</v>
      </c>
      <c r="W36" s="608">
        <v>-70</v>
      </c>
      <c r="X36" s="627">
        <v>-53</v>
      </c>
      <c r="Y36" s="145">
        <f t="shared" si="20"/>
        <v>-243</v>
      </c>
      <c r="Z36" s="608">
        <f>-39</f>
        <v>-39</v>
      </c>
      <c r="AA36" s="608">
        <v>-43</v>
      </c>
      <c r="AB36" s="608">
        <f>-46+43</f>
        <v>-3</v>
      </c>
      <c r="AC36" s="627">
        <v>-15</v>
      </c>
      <c r="AD36" s="145">
        <f t="shared" si="21"/>
        <v>-100</v>
      </c>
      <c r="AE36" s="608">
        <v>1</v>
      </c>
      <c r="AF36" s="608">
        <v>1</v>
      </c>
      <c r="AG36" s="608">
        <v>-6</v>
      </c>
      <c r="AH36" s="608">
        <v>-18</v>
      </c>
      <c r="AI36" s="145">
        <f t="shared" si="22"/>
        <v>-22</v>
      </c>
      <c r="AJ36" s="954">
        <f>-32</f>
        <v>-32</v>
      </c>
      <c r="AK36" s="608">
        <v>-34</v>
      </c>
      <c r="AL36" s="608">
        <v>-33</v>
      </c>
      <c r="AM36" s="960">
        <v>-35</v>
      </c>
      <c r="AN36" s="153">
        <f t="shared" si="23"/>
        <v>-134</v>
      </c>
      <c r="AO36" s="954">
        <v>-44</v>
      </c>
      <c r="AP36" s="608">
        <v>-43</v>
      </c>
      <c r="AQ36" s="608">
        <f>-43-15</f>
        <v>-58</v>
      </c>
      <c r="AR36" s="960">
        <v>-43</v>
      </c>
      <c r="AS36" s="153">
        <f t="shared" si="24"/>
        <v>-188</v>
      </c>
      <c r="AT36" s="954">
        <v>-95</v>
      </c>
      <c r="AU36" s="608">
        <v>-96</v>
      </c>
      <c r="AV36" s="608">
        <v>-96</v>
      </c>
      <c r="AW36" s="960">
        <v>-99</v>
      </c>
      <c r="AX36" s="153">
        <f t="shared" si="25"/>
        <v>-386</v>
      </c>
      <c r="AY36" s="954">
        <v>-77</v>
      </c>
      <c r="AZ36" s="608">
        <v>-77</v>
      </c>
      <c r="BA36" s="608">
        <v>-74</v>
      </c>
      <c r="BB36" s="960">
        <v>-69</v>
      </c>
      <c r="BC36" s="153">
        <f t="shared" si="26"/>
        <v>-297</v>
      </c>
      <c r="BD36" s="954">
        <v>-56</v>
      </c>
      <c r="BE36" s="608">
        <v>-54</v>
      </c>
      <c r="BF36" s="608">
        <v>-55</v>
      </c>
      <c r="BG36" s="960">
        <v>-56</v>
      </c>
      <c r="BH36" s="153">
        <f t="shared" si="27"/>
        <v>-221</v>
      </c>
      <c r="BI36" s="954">
        <v>-32</v>
      </c>
      <c r="BJ36" s="608">
        <v>-32</v>
      </c>
      <c r="BK36" s="608">
        <v>-26</v>
      </c>
      <c r="BL36" s="960">
        <v>-24</v>
      </c>
      <c r="BM36" s="153">
        <f t="shared" si="28"/>
        <v>-114</v>
      </c>
      <c r="BN36" s="954">
        <v>-13</v>
      </c>
      <c r="BO36" s="608">
        <v>-14</v>
      </c>
      <c r="BP36" s="608">
        <v>-11</v>
      </c>
      <c r="BQ36" s="960">
        <v>-5</v>
      </c>
      <c r="BR36" s="153">
        <f t="shared" si="29"/>
        <v>-43</v>
      </c>
      <c r="BS36" s="954">
        <v>16</v>
      </c>
      <c r="BT36" s="608">
        <v>12</v>
      </c>
      <c r="BU36" s="608">
        <v>8</v>
      </c>
      <c r="BV36" s="960">
        <v>26</v>
      </c>
      <c r="BW36" s="153">
        <f t="shared" si="30"/>
        <v>62</v>
      </c>
      <c r="BX36" s="954">
        <v>-16</v>
      </c>
      <c r="BY36" s="608">
        <v>-12</v>
      </c>
      <c r="BZ36" s="608">
        <v>-14</v>
      </c>
      <c r="CA36" s="960">
        <v>-24</v>
      </c>
      <c r="CB36" s="153">
        <f t="shared" si="31"/>
        <v>-66</v>
      </c>
      <c r="CC36" s="1107">
        <v>-1</v>
      </c>
      <c r="CD36" s="868">
        <v>-1</v>
      </c>
      <c r="CE36" s="153">
        <f>CD36</f>
        <v>-1</v>
      </c>
      <c r="CF36" s="915">
        <f>CE36</f>
        <v>-1</v>
      </c>
      <c r="CG36" s="153">
        <f t="shared" si="32"/>
        <v>-4</v>
      </c>
      <c r="CH36" s="1107">
        <v>-1</v>
      </c>
      <c r="CI36" s="153">
        <f>CH36</f>
        <v>-1</v>
      </c>
      <c r="CJ36" s="153">
        <f>CI36</f>
        <v>-1</v>
      </c>
      <c r="CK36" s="915">
        <f>CJ36</f>
        <v>-1</v>
      </c>
      <c r="CL36" s="153">
        <f t="shared" si="33"/>
        <v>-4</v>
      </c>
      <c r="CM36" s="1107">
        <v>-1</v>
      </c>
      <c r="CN36" s="153">
        <f>CM36</f>
        <v>-1</v>
      </c>
      <c r="CO36" s="153">
        <f>CN36</f>
        <v>-1</v>
      </c>
      <c r="CP36" s="915">
        <f>CO36</f>
        <v>-1</v>
      </c>
      <c r="CQ36" s="915">
        <f t="shared" si="34"/>
        <v>-4</v>
      </c>
      <c r="CR36" s="81"/>
    </row>
    <row r="37" spans="1:96" ht="13.5" customHeight="1">
      <c r="A37" s="171"/>
      <c r="B37" s="171" t="s">
        <v>726</v>
      </c>
      <c r="C37" s="171"/>
      <c r="D37" s="171"/>
      <c r="E37" s="171"/>
      <c r="F37" s="172"/>
      <c r="G37" s="172"/>
      <c r="H37" s="172"/>
      <c r="I37" s="173"/>
      <c r="J37" s="172"/>
      <c r="K37" s="636">
        <v>-10</v>
      </c>
      <c r="L37" s="637">
        <v>-1</v>
      </c>
      <c r="M37" s="637">
        <v>-4</v>
      </c>
      <c r="N37" s="173">
        <f t="shared" si="18"/>
        <v>-8</v>
      </c>
      <c r="O37" s="637">
        <v>-23</v>
      </c>
      <c r="P37" s="634">
        <v>1</v>
      </c>
      <c r="Q37" s="634">
        <v>2</v>
      </c>
      <c r="R37" s="634">
        <v>-1</v>
      </c>
      <c r="S37" s="174">
        <f t="shared" si="19"/>
        <v>-1</v>
      </c>
      <c r="T37" s="634">
        <v>1</v>
      </c>
      <c r="U37" s="634">
        <v>0</v>
      </c>
      <c r="V37" s="634">
        <v>0</v>
      </c>
      <c r="W37" s="634">
        <v>0</v>
      </c>
      <c r="X37" s="634">
        <v>0</v>
      </c>
      <c r="Y37" s="174">
        <f t="shared" si="20"/>
        <v>0</v>
      </c>
      <c r="Z37" s="634">
        <v>0</v>
      </c>
      <c r="AA37" s="634">
        <v>0</v>
      </c>
      <c r="AB37" s="634">
        <v>0</v>
      </c>
      <c r="AC37" s="634">
        <v>0</v>
      </c>
      <c r="AD37" s="174">
        <f t="shared" si="21"/>
        <v>0</v>
      </c>
      <c r="AE37" s="634">
        <v>0</v>
      </c>
      <c r="AF37" s="634">
        <v>0</v>
      </c>
      <c r="AG37" s="634">
        <v>0</v>
      </c>
      <c r="AH37" s="634">
        <v>0</v>
      </c>
      <c r="AI37" s="174">
        <f t="shared" si="22"/>
        <v>0</v>
      </c>
      <c r="AJ37" s="1152">
        <v>0</v>
      </c>
      <c r="AK37" s="634">
        <v>0</v>
      </c>
      <c r="AL37" s="634">
        <v>0</v>
      </c>
      <c r="AM37" s="1153">
        <v>0</v>
      </c>
      <c r="AN37" s="174">
        <f t="shared" si="23"/>
        <v>0</v>
      </c>
      <c r="AO37" s="1152">
        <v>0</v>
      </c>
      <c r="AP37" s="634">
        <v>0</v>
      </c>
      <c r="AQ37" s="634">
        <v>0</v>
      </c>
      <c r="AR37" s="1153">
        <v>0</v>
      </c>
      <c r="AS37" s="174">
        <f t="shared" si="24"/>
        <v>0</v>
      </c>
      <c r="AT37" s="1152">
        <v>0</v>
      </c>
      <c r="AU37" s="634">
        <v>0</v>
      </c>
      <c r="AV37" s="634">
        <v>0</v>
      </c>
      <c r="AW37" s="1153">
        <v>0</v>
      </c>
      <c r="AX37" s="174">
        <f t="shared" si="25"/>
        <v>0</v>
      </c>
      <c r="AY37" s="1152">
        <v>0</v>
      </c>
      <c r="AZ37" s="634">
        <v>0</v>
      </c>
      <c r="BA37" s="634">
        <v>0</v>
      </c>
      <c r="BB37" s="1153">
        <v>0</v>
      </c>
      <c r="BC37" s="174">
        <f t="shared" si="26"/>
        <v>0</v>
      </c>
      <c r="BD37" s="1152">
        <v>0</v>
      </c>
      <c r="BE37" s="634">
        <v>0</v>
      </c>
      <c r="BF37" s="634">
        <v>0</v>
      </c>
      <c r="BG37" s="1153">
        <v>0</v>
      </c>
      <c r="BH37" s="174">
        <f t="shared" si="27"/>
        <v>0</v>
      </c>
      <c r="BI37" s="1152">
        <v>0</v>
      </c>
      <c r="BJ37" s="635">
        <v>0</v>
      </c>
      <c r="BK37" s="634">
        <v>0</v>
      </c>
      <c r="BL37" s="1153">
        <v>0</v>
      </c>
      <c r="BM37" s="174">
        <f t="shared" si="28"/>
        <v>0</v>
      </c>
      <c r="BN37" s="1152">
        <v>0</v>
      </c>
      <c r="BO37" s="634">
        <v>0</v>
      </c>
      <c r="BP37" s="634">
        <v>0</v>
      </c>
      <c r="BQ37" s="1153">
        <v>0</v>
      </c>
      <c r="BR37" s="174">
        <f t="shared" si="29"/>
        <v>0</v>
      </c>
      <c r="BS37" s="1152">
        <v>0</v>
      </c>
      <c r="BT37" s="634">
        <v>0</v>
      </c>
      <c r="BU37" s="634">
        <v>0</v>
      </c>
      <c r="BV37" s="1153">
        <v>0</v>
      </c>
      <c r="BW37" s="174">
        <f t="shared" si="30"/>
        <v>0</v>
      </c>
      <c r="BX37" s="1152">
        <v>0</v>
      </c>
      <c r="BY37" s="634">
        <v>0</v>
      </c>
      <c r="BZ37" s="634">
        <v>0</v>
      </c>
      <c r="CA37" s="1153">
        <v>0</v>
      </c>
      <c r="CB37" s="174">
        <f t="shared" si="31"/>
        <v>0</v>
      </c>
      <c r="CC37" s="1152">
        <v>0</v>
      </c>
      <c r="CD37" s="634">
        <v>0</v>
      </c>
      <c r="CE37" s="634">
        <v>0</v>
      </c>
      <c r="CF37" s="1153">
        <v>0</v>
      </c>
      <c r="CG37" s="174">
        <f t="shared" si="32"/>
        <v>0</v>
      </c>
      <c r="CH37" s="1152">
        <v>0</v>
      </c>
      <c r="CI37" s="634">
        <v>0</v>
      </c>
      <c r="CJ37" s="634">
        <v>0</v>
      </c>
      <c r="CK37" s="1153">
        <v>0</v>
      </c>
      <c r="CL37" s="174">
        <f t="shared" si="33"/>
        <v>0</v>
      </c>
      <c r="CM37" s="1152">
        <v>0</v>
      </c>
      <c r="CN37" s="634">
        <v>0</v>
      </c>
      <c r="CO37" s="634">
        <v>0</v>
      </c>
      <c r="CP37" s="1153">
        <v>0</v>
      </c>
      <c r="CQ37" s="1381">
        <f t="shared" si="34"/>
        <v>0</v>
      </c>
      <c r="CR37" s="171"/>
    </row>
    <row r="38" spans="1:96" ht="6.2" customHeight="1">
      <c r="A38" s="81"/>
      <c r="B38" s="81"/>
      <c r="C38" s="81"/>
      <c r="D38" s="81"/>
      <c r="E38" s="81"/>
      <c r="F38" s="175"/>
      <c r="G38" s="145"/>
      <c r="H38" s="145"/>
      <c r="I38" s="145"/>
      <c r="J38" s="145"/>
      <c r="K38" s="176"/>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134"/>
      <c r="AK38" s="145"/>
      <c r="AL38" s="145"/>
      <c r="AM38" s="1154"/>
      <c r="AN38" s="145"/>
      <c r="AO38" s="1134"/>
      <c r="AP38" s="145"/>
      <c r="AQ38" s="145"/>
      <c r="AR38" s="1135"/>
      <c r="AS38" s="145"/>
      <c r="AT38" s="1134"/>
      <c r="AU38" s="145"/>
      <c r="AV38" s="145"/>
      <c r="AW38" s="1135"/>
      <c r="AX38" s="145"/>
      <c r="AY38" s="1134"/>
      <c r="AZ38" s="145"/>
      <c r="BA38" s="145"/>
      <c r="BB38" s="1154"/>
      <c r="BC38" s="145"/>
      <c r="BD38" s="1134"/>
      <c r="BE38" s="145"/>
      <c r="BF38" s="145"/>
      <c r="BG38" s="1154"/>
      <c r="BH38" s="145"/>
      <c r="BI38" s="1134"/>
      <c r="BJ38" s="145"/>
      <c r="BK38" s="145"/>
      <c r="BL38" s="1154"/>
      <c r="BM38" s="145"/>
      <c r="BN38" s="1134"/>
      <c r="BO38" s="145"/>
      <c r="BP38" s="145"/>
      <c r="BQ38" s="1154"/>
      <c r="BR38" s="145"/>
      <c r="BS38" s="1134"/>
      <c r="BT38" s="145"/>
      <c r="BU38" s="145"/>
      <c r="BV38" s="1154"/>
      <c r="BW38" s="145"/>
      <c r="BX38" s="1134"/>
      <c r="BY38" s="145"/>
      <c r="BZ38" s="145"/>
      <c r="CA38" s="1154"/>
      <c r="CB38" s="145"/>
      <c r="CC38" s="1134"/>
      <c r="CD38" s="145"/>
      <c r="CE38" s="145"/>
      <c r="CF38" s="1154"/>
      <c r="CG38" s="145"/>
      <c r="CH38" s="1134"/>
      <c r="CI38" s="145"/>
      <c r="CJ38" s="145"/>
      <c r="CK38" s="1154"/>
      <c r="CL38" s="145"/>
      <c r="CM38" s="1134"/>
      <c r="CN38" s="145"/>
      <c r="CO38" s="145"/>
      <c r="CP38" s="1154"/>
      <c r="CQ38" s="1135"/>
      <c r="CR38" s="81"/>
    </row>
    <row r="39" spans="1:96" ht="13.5" customHeight="1">
      <c r="A39" s="75"/>
      <c r="B39" s="83" t="s">
        <v>727</v>
      </c>
      <c r="C39" s="75"/>
      <c r="D39" s="75"/>
      <c r="E39" s="75"/>
      <c r="F39" s="177">
        <f t="shared" ref="F39:AK39" si="35">SUM(F32:F37)</f>
        <v>-19</v>
      </c>
      <c r="G39" s="177">
        <f t="shared" si="35"/>
        <v>6</v>
      </c>
      <c r="H39" s="177">
        <f t="shared" si="35"/>
        <v>-30</v>
      </c>
      <c r="I39" s="177">
        <f t="shared" si="35"/>
        <v>5</v>
      </c>
      <c r="J39" s="177">
        <f t="shared" si="35"/>
        <v>-38</v>
      </c>
      <c r="K39" s="177">
        <f t="shared" si="35"/>
        <v>121</v>
      </c>
      <c r="L39" s="177">
        <f t="shared" si="35"/>
        <v>417</v>
      </c>
      <c r="M39" s="177">
        <f t="shared" si="35"/>
        <v>501</v>
      </c>
      <c r="N39" s="177">
        <f t="shared" si="35"/>
        <v>560</v>
      </c>
      <c r="O39" s="177">
        <f t="shared" si="35"/>
        <v>1599</v>
      </c>
      <c r="P39" s="177">
        <f t="shared" si="35"/>
        <v>578</v>
      </c>
      <c r="Q39" s="177">
        <f t="shared" si="35"/>
        <v>427</v>
      </c>
      <c r="R39" s="177">
        <f t="shared" si="35"/>
        <v>151</v>
      </c>
      <c r="S39" s="177">
        <f t="shared" si="35"/>
        <v>253</v>
      </c>
      <c r="T39" s="177">
        <f t="shared" si="35"/>
        <v>1409</v>
      </c>
      <c r="U39" s="177">
        <f t="shared" si="35"/>
        <v>374</v>
      </c>
      <c r="V39" s="177">
        <f t="shared" si="35"/>
        <v>514</v>
      </c>
      <c r="W39" s="177">
        <f t="shared" si="35"/>
        <v>582</v>
      </c>
      <c r="X39" s="177">
        <f t="shared" si="35"/>
        <v>336</v>
      </c>
      <c r="Y39" s="177">
        <f t="shared" si="35"/>
        <v>1806</v>
      </c>
      <c r="Z39" s="177">
        <f t="shared" si="35"/>
        <v>346</v>
      </c>
      <c r="AA39" s="177">
        <f t="shared" si="35"/>
        <v>391</v>
      </c>
      <c r="AB39" s="177">
        <f t="shared" si="35"/>
        <v>403</v>
      </c>
      <c r="AC39" s="177">
        <f t="shared" si="35"/>
        <v>242</v>
      </c>
      <c r="AD39" s="177">
        <f t="shared" si="35"/>
        <v>1382</v>
      </c>
      <c r="AE39" s="177">
        <f t="shared" si="35"/>
        <v>328</v>
      </c>
      <c r="AF39" s="177">
        <f t="shared" si="35"/>
        <v>960</v>
      </c>
      <c r="AG39" s="177">
        <f t="shared" si="35"/>
        <v>1455</v>
      </c>
      <c r="AH39" s="177">
        <f t="shared" si="35"/>
        <v>427</v>
      </c>
      <c r="AI39" s="177">
        <f t="shared" si="35"/>
        <v>3170</v>
      </c>
      <c r="AJ39" s="1155">
        <f t="shared" si="35"/>
        <v>-489</v>
      </c>
      <c r="AK39" s="177">
        <f t="shared" si="35"/>
        <v>-544</v>
      </c>
      <c r="AL39" s="177">
        <f t="shared" ref="AL39:BQ39" si="36">SUM(AL32:AL37)</f>
        <v>-412</v>
      </c>
      <c r="AM39" s="1156">
        <f t="shared" si="36"/>
        <v>-280</v>
      </c>
      <c r="AN39" s="177">
        <f t="shared" si="36"/>
        <v>-1725</v>
      </c>
      <c r="AO39" s="1155">
        <f t="shared" si="36"/>
        <v>-57</v>
      </c>
      <c r="AP39" s="177">
        <f t="shared" si="36"/>
        <v>198</v>
      </c>
      <c r="AQ39" s="177">
        <f t="shared" si="36"/>
        <v>-138</v>
      </c>
      <c r="AR39" s="1156">
        <f t="shared" si="36"/>
        <v>-135</v>
      </c>
      <c r="AS39" s="177">
        <f t="shared" si="36"/>
        <v>-132</v>
      </c>
      <c r="AT39" s="1155">
        <f t="shared" si="36"/>
        <v>-91</v>
      </c>
      <c r="AU39" s="177">
        <f t="shared" si="36"/>
        <v>300</v>
      </c>
      <c r="AV39" s="177">
        <f t="shared" si="36"/>
        <v>199</v>
      </c>
      <c r="AW39" s="1156">
        <f t="shared" si="36"/>
        <v>-125</v>
      </c>
      <c r="AX39" s="177">
        <f t="shared" si="36"/>
        <v>283</v>
      </c>
      <c r="AY39" s="1155">
        <f t="shared" si="36"/>
        <v>218</v>
      </c>
      <c r="AZ39" s="177">
        <f t="shared" si="36"/>
        <v>253</v>
      </c>
      <c r="BA39" s="178">
        <f t="shared" si="36"/>
        <v>97</v>
      </c>
      <c r="BB39" s="1277">
        <f t="shared" si="36"/>
        <v>-10</v>
      </c>
      <c r="BC39" s="177">
        <f t="shared" si="36"/>
        <v>558</v>
      </c>
      <c r="BD39" s="1155">
        <f t="shared" si="36"/>
        <v>38</v>
      </c>
      <c r="BE39" s="177">
        <f t="shared" si="36"/>
        <v>-7</v>
      </c>
      <c r="BF39" s="177">
        <f t="shared" si="36"/>
        <v>58</v>
      </c>
      <c r="BG39" s="1156">
        <f t="shared" si="36"/>
        <v>90</v>
      </c>
      <c r="BH39" s="177">
        <f t="shared" si="36"/>
        <v>179</v>
      </c>
      <c r="BI39" s="1155">
        <f t="shared" si="36"/>
        <v>102</v>
      </c>
      <c r="BJ39" s="177">
        <f t="shared" si="36"/>
        <v>100</v>
      </c>
      <c r="BK39" s="177">
        <f t="shared" si="36"/>
        <v>453</v>
      </c>
      <c r="BL39" s="1156">
        <f t="shared" si="36"/>
        <v>396</v>
      </c>
      <c r="BM39" s="177">
        <f t="shared" si="36"/>
        <v>1051</v>
      </c>
      <c r="BN39" s="1155">
        <f t="shared" si="36"/>
        <v>-34</v>
      </c>
      <c r="BO39" s="177">
        <f t="shared" si="36"/>
        <v>-118</v>
      </c>
      <c r="BP39" s="177">
        <f t="shared" si="36"/>
        <v>-51</v>
      </c>
      <c r="BQ39" s="1156">
        <f t="shared" si="36"/>
        <v>-142</v>
      </c>
      <c r="BR39" s="177">
        <f t="shared" ref="BR39:CQ39" si="37">SUM(BR32:BR37)</f>
        <v>-345</v>
      </c>
      <c r="BS39" s="1155">
        <f t="shared" si="37"/>
        <v>-236</v>
      </c>
      <c r="BT39" s="177">
        <f t="shared" si="37"/>
        <v>5</v>
      </c>
      <c r="BU39" s="177">
        <f t="shared" si="37"/>
        <v>146</v>
      </c>
      <c r="BV39" s="1156">
        <f t="shared" si="37"/>
        <v>88</v>
      </c>
      <c r="BW39" s="177">
        <f t="shared" si="37"/>
        <v>3</v>
      </c>
      <c r="BX39" s="1155">
        <f t="shared" si="37"/>
        <v>-63</v>
      </c>
      <c r="BY39" s="177">
        <f t="shared" si="37"/>
        <v>241</v>
      </c>
      <c r="BZ39" s="177">
        <f t="shared" si="37"/>
        <v>224</v>
      </c>
      <c r="CA39" s="1156">
        <f t="shared" si="37"/>
        <v>184</v>
      </c>
      <c r="CB39" s="177">
        <f t="shared" si="37"/>
        <v>586</v>
      </c>
      <c r="CC39" s="1155">
        <f t="shared" si="37"/>
        <v>127.7864716050947</v>
      </c>
      <c r="CD39" s="177">
        <f t="shared" si="37"/>
        <v>336.24419251949911</v>
      </c>
      <c r="CE39" s="177">
        <f t="shared" si="37"/>
        <v>418.18315384058388</v>
      </c>
      <c r="CF39" s="1156">
        <f t="shared" si="37"/>
        <v>361.32747120235166</v>
      </c>
      <c r="CG39" s="177">
        <f t="shared" si="37"/>
        <v>1243.5412891675294</v>
      </c>
      <c r="CH39" s="1155">
        <f t="shared" si="37"/>
        <v>201.96058187579982</v>
      </c>
      <c r="CI39" s="177">
        <f t="shared" si="37"/>
        <v>435.25389578201191</v>
      </c>
      <c r="CJ39" s="177">
        <f t="shared" si="37"/>
        <v>402.8279071975382</v>
      </c>
      <c r="CK39" s="1156">
        <f t="shared" si="37"/>
        <v>395.32541572188603</v>
      </c>
      <c r="CL39" s="177">
        <f t="shared" si="37"/>
        <v>1435.367800577236</v>
      </c>
      <c r="CM39" s="1155">
        <f t="shared" si="37"/>
        <v>221.93064212267743</v>
      </c>
      <c r="CN39" s="177">
        <f t="shared" si="37"/>
        <v>353.44923008105172</v>
      </c>
      <c r="CO39" s="177">
        <f t="shared" si="37"/>
        <v>288.65338175705728</v>
      </c>
      <c r="CP39" s="1156">
        <f t="shared" si="37"/>
        <v>287.79121994018334</v>
      </c>
      <c r="CQ39" s="1156">
        <f t="shared" si="37"/>
        <v>1151.8244739009697</v>
      </c>
      <c r="CR39" s="75"/>
    </row>
    <row r="40" spans="1:96" ht="13.5" customHeight="1">
      <c r="A40" s="75"/>
      <c r="B40" s="75"/>
      <c r="C40" s="75" t="s">
        <v>567</v>
      </c>
      <c r="D40" s="75"/>
      <c r="E40" s="75"/>
      <c r="F40" s="153"/>
      <c r="G40" s="153"/>
      <c r="H40" s="153"/>
      <c r="I40" s="153"/>
      <c r="J40" s="153"/>
      <c r="K40" s="179"/>
      <c r="L40" s="153"/>
      <c r="M40" s="153"/>
      <c r="N40" s="153"/>
      <c r="O40" s="153"/>
      <c r="P40" s="153"/>
      <c r="Q40" s="153"/>
      <c r="R40" s="153"/>
      <c r="S40" s="153"/>
      <c r="T40" s="153"/>
      <c r="U40" s="153"/>
      <c r="V40" s="153"/>
      <c r="W40" s="153"/>
      <c r="X40" s="179"/>
      <c r="Y40" s="179"/>
      <c r="Z40" s="153"/>
      <c r="AA40" s="153"/>
      <c r="AB40" s="153"/>
      <c r="AC40" s="153"/>
      <c r="AD40" s="179"/>
      <c r="AE40" s="153"/>
      <c r="AF40" s="153"/>
      <c r="AG40" s="153"/>
      <c r="AH40" s="153"/>
      <c r="AI40" s="153"/>
      <c r="AJ40" s="914"/>
      <c r="AK40" s="153"/>
      <c r="AL40" s="153"/>
      <c r="AM40" s="1157"/>
      <c r="AN40" s="179"/>
      <c r="AO40" s="914"/>
      <c r="AP40" s="153"/>
      <c r="AQ40" s="153"/>
      <c r="AR40" s="915"/>
      <c r="AS40" s="179"/>
      <c r="AT40" s="914"/>
      <c r="AU40" s="153"/>
      <c r="AV40" s="153"/>
      <c r="AW40" s="915"/>
      <c r="AX40" s="153"/>
      <c r="AY40" s="914">
        <f t="shared" ref="AY40:CQ40" si="38">SUM(AY32:AY35)</f>
        <v>295</v>
      </c>
      <c r="AZ40" s="153">
        <f t="shared" si="38"/>
        <v>330</v>
      </c>
      <c r="BA40" s="153">
        <f t="shared" si="38"/>
        <v>171</v>
      </c>
      <c r="BB40" s="915">
        <f t="shared" si="38"/>
        <v>59</v>
      </c>
      <c r="BC40" s="153">
        <f t="shared" si="38"/>
        <v>855</v>
      </c>
      <c r="BD40" s="914">
        <f t="shared" si="38"/>
        <v>94</v>
      </c>
      <c r="BE40" s="153">
        <f t="shared" si="38"/>
        <v>47</v>
      </c>
      <c r="BF40" s="153">
        <f t="shared" si="38"/>
        <v>113</v>
      </c>
      <c r="BG40" s="915">
        <f t="shared" si="38"/>
        <v>146</v>
      </c>
      <c r="BH40" s="153">
        <f t="shared" si="38"/>
        <v>400</v>
      </c>
      <c r="BI40" s="914">
        <f t="shared" si="38"/>
        <v>134</v>
      </c>
      <c r="BJ40" s="153">
        <f t="shared" si="38"/>
        <v>132</v>
      </c>
      <c r="BK40" s="153">
        <f t="shared" si="38"/>
        <v>479</v>
      </c>
      <c r="BL40" s="915">
        <f t="shared" si="38"/>
        <v>420</v>
      </c>
      <c r="BM40" s="153">
        <f t="shared" si="38"/>
        <v>1165</v>
      </c>
      <c r="BN40" s="914">
        <f t="shared" si="38"/>
        <v>-21</v>
      </c>
      <c r="BO40" s="153">
        <f t="shared" si="38"/>
        <v>-104</v>
      </c>
      <c r="BP40" s="153">
        <f t="shared" si="38"/>
        <v>-40</v>
      </c>
      <c r="BQ40" s="915">
        <f t="shared" si="38"/>
        <v>-137</v>
      </c>
      <c r="BR40" s="153">
        <f t="shared" si="38"/>
        <v>-302</v>
      </c>
      <c r="BS40" s="914">
        <f t="shared" si="38"/>
        <v>-252</v>
      </c>
      <c r="BT40" s="153">
        <f t="shared" si="38"/>
        <v>-7</v>
      </c>
      <c r="BU40" s="153">
        <f t="shared" si="38"/>
        <v>138</v>
      </c>
      <c r="BV40" s="915">
        <f t="shared" si="38"/>
        <v>62</v>
      </c>
      <c r="BW40" s="153">
        <f t="shared" si="38"/>
        <v>-59</v>
      </c>
      <c r="BX40" s="914">
        <f t="shared" si="38"/>
        <v>-47</v>
      </c>
      <c r="BY40" s="153">
        <f t="shared" si="38"/>
        <v>253</v>
      </c>
      <c r="BZ40" s="153">
        <f t="shared" si="38"/>
        <v>238</v>
      </c>
      <c r="CA40" s="915">
        <f t="shared" si="38"/>
        <v>208</v>
      </c>
      <c r="CB40" s="153">
        <f t="shared" si="38"/>
        <v>652</v>
      </c>
      <c r="CC40" s="914">
        <f t="shared" si="38"/>
        <v>128.7864716050947</v>
      </c>
      <c r="CD40" s="153">
        <f t="shared" si="38"/>
        <v>337.24419251949911</v>
      </c>
      <c r="CE40" s="153">
        <f t="shared" si="38"/>
        <v>419.18315384058388</v>
      </c>
      <c r="CF40" s="915">
        <f t="shared" si="38"/>
        <v>362.32747120235166</v>
      </c>
      <c r="CG40" s="153">
        <f t="shared" si="38"/>
        <v>1247.5412891675294</v>
      </c>
      <c r="CH40" s="914">
        <f t="shared" si="38"/>
        <v>202.96058187579982</v>
      </c>
      <c r="CI40" s="153">
        <f t="shared" si="38"/>
        <v>436.25389578201191</v>
      </c>
      <c r="CJ40" s="153">
        <f t="shared" si="38"/>
        <v>403.8279071975382</v>
      </c>
      <c r="CK40" s="915">
        <f t="shared" si="38"/>
        <v>396.32541572188603</v>
      </c>
      <c r="CL40" s="153">
        <f t="shared" si="38"/>
        <v>1439.367800577236</v>
      </c>
      <c r="CM40" s="914">
        <f t="shared" si="38"/>
        <v>222.93064212267743</v>
      </c>
      <c r="CN40" s="153">
        <f t="shared" si="38"/>
        <v>354.44923008105172</v>
      </c>
      <c r="CO40" s="153">
        <f t="shared" si="38"/>
        <v>289.65338175705728</v>
      </c>
      <c r="CP40" s="915">
        <f t="shared" si="38"/>
        <v>288.79121994018334</v>
      </c>
      <c r="CQ40" s="915">
        <f t="shared" si="38"/>
        <v>1155.8244739009697</v>
      </c>
      <c r="CR40" s="75"/>
    </row>
    <row r="41" spans="1:96" ht="6.2" customHeight="1">
      <c r="A41" s="81"/>
      <c r="B41" s="81"/>
      <c r="C41" s="81"/>
      <c r="D41" s="81"/>
      <c r="E41" s="81"/>
      <c r="F41" s="175"/>
      <c r="G41" s="145"/>
      <c r="H41" s="145"/>
      <c r="I41" s="145"/>
      <c r="J41" s="145"/>
      <c r="K41" s="176"/>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134"/>
      <c r="AK41" s="145"/>
      <c r="AL41" s="145"/>
      <c r="AM41" s="1154"/>
      <c r="AN41" s="145"/>
      <c r="AO41" s="1134"/>
      <c r="AP41" s="145"/>
      <c r="AQ41" s="145"/>
      <c r="AR41" s="1135"/>
      <c r="AS41" s="145"/>
      <c r="AT41" s="1134"/>
      <c r="AU41" s="145"/>
      <c r="AV41" s="145"/>
      <c r="AW41" s="1135"/>
      <c r="AX41" s="145"/>
      <c r="AY41" s="1134"/>
      <c r="AZ41" s="145"/>
      <c r="BA41" s="145"/>
      <c r="BB41" s="1154"/>
      <c r="BC41" s="145"/>
      <c r="BD41" s="1134"/>
      <c r="BE41" s="145"/>
      <c r="BF41" s="145"/>
      <c r="BG41" s="1154"/>
      <c r="BH41" s="145"/>
      <c r="BI41" s="1134"/>
      <c r="BJ41" s="145"/>
      <c r="BK41" s="145"/>
      <c r="BL41" s="1154"/>
      <c r="BM41" s="145"/>
      <c r="BN41" s="1134"/>
      <c r="BO41" s="145"/>
      <c r="BP41" s="145"/>
      <c r="BQ41" s="1154"/>
      <c r="BR41" s="145"/>
      <c r="BS41" s="1134"/>
      <c r="BT41" s="145"/>
      <c r="BU41" s="145"/>
      <c r="BV41" s="1154"/>
      <c r="BW41" s="145"/>
      <c r="BX41" s="1134"/>
      <c r="BY41" s="145"/>
      <c r="BZ41" s="145"/>
      <c r="CA41" s="1154"/>
      <c r="CB41" s="145"/>
      <c r="CC41" s="1134"/>
      <c r="CD41" s="145"/>
      <c r="CE41" s="145"/>
      <c r="CF41" s="1154"/>
      <c r="CG41" s="145"/>
      <c r="CH41" s="1134"/>
      <c r="CI41" s="145"/>
      <c r="CJ41" s="145"/>
      <c r="CK41" s="1154"/>
      <c r="CL41" s="145"/>
      <c r="CM41" s="1134"/>
      <c r="CN41" s="145"/>
      <c r="CO41" s="145"/>
      <c r="CP41" s="1154"/>
      <c r="CQ41" s="1135"/>
      <c r="CR41" s="81"/>
    </row>
    <row r="42" spans="1:96" ht="13.5" customHeight="1" outlineLevel="1">
      <c r="A42" s="75"/>
      <c r="B42" s="75" t="s">
        <v>728</v>
      </c>
      <c r="C42" s="75"/>
      <c r="D42" s="75"/>
      <c r="E42" s="75"/>
      <c r="F42" s="153">
        <f>$J$42/4</f>
        <v>1.5</v>
      </c>
      <c r="G42" s="153">
        <f>$J$42/4</f>
        <v>1.5</v>
      </c>
      <c r="H42" s="153">
        <f>$J$42/4</f>
        <v>1.5</v>
      </c>
      <c r="I42" s="153">
        <f>$J$42/4</f>
        <v>1.5</v>
      </c>
      <c r="J42" s="638">
        <v>6</v>
      </c>
      <c r="K42" s="153">
        <f>$J$42/4</f>
        <v>1.5</v>
      </c>
      <c r="L42" s="153">
        <f>$J$42/4</f>
        <v>1.5</v>
      </c>
      <c r="M42" s="153">
        <f>$J$42/4</f>
        <v>1.5</v>
      </c>
      <c r="N42" s="153">
        <f>$J$42/4</f>
        <v>1.5</v>
      </c>
      <c r="O42" s="608">
        <v>14</v>
      </c>
      <c r="P42" s="608">
        <v>7</v>
      </c>
      <c r="Q42" s="608">
        <v>9</v>
      </c>
      <c r="R42" s="608">
        <v>11</v>
      </c>
      <c r="S42" s="153">
        <f>T42-P42-Q42-R42</f>
        <v>13</v>
      </c>
      <c r="T42" s="608">
        <v>40</v>
      </c>
      <c r="U42" s="608">
        <v>15</v>
      </c>
      <c r="V42" s="608">
        <v>17</v>
      </c>
      <c r="W42" s="608">
        <v>17</v>
      </c>
      <c r="X42" s="153">
        <f>Y42-SUM(U42:W42)</f>
        <v>18</v>
      </c>
      <c r="Y42" s="627">
        <v>67</v>
      </c>
      <c r="Z42" s="608">
        <v>16</v>
      </c>
      <c r="AA42" s="608">
        <v>31</v>
      </c>
      <c r="AB42" s="608">
        <v>11</v>
      </c>
      <c r="AC42" s="153">
        <f>AD42-SUM(Z42:AB42)</f>
        <v>21</v>
      </c>
      <c r="AD42" s="638">
        <v>79</v>
      </c>
      <c r="AE42" s="608">
        <v>5</v>
      </c>
      <c r="AF42" s="608">
        <v>3</v>
      </c>
      <c r="AG42" s="608">
        <v>3</v>
      </c>
      <c r="AH42" s="153">
        <f>AI42-SUM(AE42:AG42)</f>
        <v>3</v>
      </c>
      <c r="AI42" s="638">
        <v>14</v>
      </c>
      <c r="AJ42" s="954">
        <v>2</v>
      </c>
      <c r="AK42" s="608">
        <v>1</v>
      </c>
      <c r="AL42" s="608">
        <v>2</v>
      </c>
      <c r="AM42" s="915">
        <f>'debt schedule'!AN188</f>
        <v>0.62981521782786842</v>
      </c>
      <c r="AN42" s="180">
        <f>SUM(AJ42:AM42)</f>
        <v>5.6298152178278684</v>
      </c>
      <c r="AO42" s="954">
        <v>3</v>
      </c>
      <c r="AP42" s="608">
        <v>1</v>
      </c>
      <c r="AQ42" s="608">
        <v>1</v>
      </c>
      <c r="AR42" s="915">
        <f>'debt schedule'!AS188</f>
        <v>0.267488</v>
      </c>
      <c r="AS42" s="180">
        <f>SUM(AO42:AR42)</f>
        <v>5.2674880000000002</v>
      </c>
      <c r="AT42" s="954">
        <v>2</v>
      </c>
      <c r="AU42" s="608">
        <v>1</v>
      </c>
      <c r="AV42" s="639">
        <v>1</v>
      </c>
      <c r="AW42" s="915">
        <f>AX42-SUM(AT42:AV42)</f>
        <v>2</v>
      </c>
      <c r="AX42" s="638">
        <v>6</v>
      </c>
      <c r="AY42" s="1033">
        <v>4</v>
      </c>
      <c r="AZ42" s="639">
        <v>1</v>
      </c>
      <c r="BA42" s="608">
        <v>1</v>
      </c>
      <c r="BB42" s="915">
        <f>BC42-SUM(AY42:BA42)</f>
        <v>1</v>
      </c>
      <c r="BC42" s="638">
        <v>7</v>
      </c>
      <c r="BD42" s="1033">
        <v>1</v>
      </c>
      <c r="BE42" s="639">
        <v>1</v>
      </c>
      <c r="BF42" s="608">
        <v>0</v>
      </c>
      <c r="BG42" s="1034">
        <v>1</v>
      </c>
      <c r="BH42" s="180">
        <f>SUM(BD42:BG42)</f>
        <v>3</v>
      </c>
      <c r="BI42" s="1033">
        <v>1</v>
      </c>
      <c r="BJ42" s="608">
        <v>1</v>
      </c>
      <c r="BK42" s="639">
        <v>2</v>
      </c>
      <c r="BL42" s="1034">
        <f>12-SUM(BI42:BK42)</f>
        <v>8</v>
      </c>
      <c r="BM42" s="180">
        <f>SUM(BI42:BL42)</f>
        <v>12</v>
      </c>
      <c r="BN42" s="954">
        <v>0</v>
      </c>
      <c r="BO42" s="608">
        <v>0</v>
      </c>
      <c r="BP42" s="608">
        <v>2</v>
      </c>
      <c r="BQ42" s="1302">
        <f>3-SUM(BN42:BP42)</f>
        <v>1</v>
      </c>
      <c r="BR42" s="180">
        <f>SUM(BN42:BQ42)</f>
        <v>3</v>
      </c>
      <c r="BS42" s="1033">
        <v>1</v>
      </c>
      <c r="BT42" s="639">
        <v>2</v>
      </c>
      <c r="BU42" s="639">
        <v>2</v>
      </c>
      <c r="BV42" s="1344">
        <f>'debt schedule'!BW188</f>
        <v>1.8062500000000001</v>
      </c>
      <c r="BW42" s="180">
        <f>SUM(BS42:BV42)</f>
        <v>6.8062500000000004</v>
      </c>
      <c r="BX42" s="1033">
        <v>4</v>
      </c>
      <c r="BY42" s="639">
        <v>4</v>
      </c>
      <c r="BZ42" s="639">
        <v>5</v>
      </c>
      <c r="CA42" s="1088">
        <v>0</v>
      </c>
      <c r="CB42" s="180">
        <f>SUM(BX42:CA42)</f>
        <v>13</v>
      </c>
      <c r="CC42" s="914">
        <f>'debt schedule'!CD188</f>
        <v>1.9412500000000001</v>
      </c>
      <c r="CD42" s="153">
        <f>'debt schedule'!CE188</f>
        <v>1.6051488180225451</v>
      </c>
      <c r="CE42" s="153">
        <f>'debt schedule'!CF188</f>
        <v>1.7982217040076922</v>
      </c>
      <c r="CF42" s="915">
        <f>'debt schedule'!CG188</f>
        <v>1.9755762830858965</v>
      </c>
      <c r="CG42" s="180">
        <f>SUM(CC42:CF42)</f>
        <v>7.3201968051161339</v>
      </c>
      <c r="CH42" s="914">
        <f>'debt schedule'!CI188</f>
        <v>2.2499191999099164</v>
      </c>
      <c r="CI42" s="153">
        <f>'debt schedule'!CJ188</f>
        <v>2.6594715887090068</v>
      </c>
      <c r="CJ42" s="153">
        <f>'debt schedule'!CK188</f>
        <v>2.1999531827636933</v>
      </c>
      <c r="CK42" s="915">
        <f>'debt schedule'!CL188</f>
        <v>3.2240663117307662</v>
      </c>
      <c r="CL42" s="180">
        <f>SUM(CH42:CK42)</f>
        <v>10.333410283113382</v>
      </c>
      <c r="CM42" s="914">
        <f>'debt schedule'!CN188</f>
        <v>2.678736886427628</v>
      </c>
      <c r="CN42" s="153">
        <f>'debt schedule'!CO188</f>
        <v>3.5244829414523391</v>
      </c>
      <c r="CO42" s="153">
        <f>'debt schedule'!CP188</f>
        <v>2.6109496585523777</v>
      </c>
      <c r="CP42" s="915">
        <f>'debt schedule'!CQ188</f>
        <v>3.891714849508344</v>
      </c>
      <c r="CQ42" s="1160">
        <f>SUM(CM42:CP42)</f>
        <v>12.705884335940688</v>
      </c>
      <c r="CR42" s="75"/>
    </row>
    <row r="43" spans="1:96" ht="13.5" customHeight="1" outlineLevel="1">
      <c r="A43" s="75"/>
      <c r="B43" s="75" t="s">
        <v>729</v>
      </c>
      <c r="C43" s="75"/>
      <c r="D43" s="75"/>
      <c r="E43" s="75"/>
      <c r="F43" s="180">
        <f>G43</f>
        <v>-36.5</v>
      </c>
      <c r="G43" s="180">
        <f>H43</f>
        <v>-36.5</v>
      </c>
      <c r="H43" s="180">
        <f>I43</f>
        <v>-36.5</v>
      </c>
      <c r="I43" s="153">
        <f>J43/4</f>
        <v>-36.5</v>
      </c>
      <c r="J43" s="627">
        <f>-154+8</f>
        <v>-146</v>
      </c>
      <c r="K43" s="180">
        <f>L43</f>
        <v>-36.5</v>
      </c>
      <c r="L43" s="180">
        <f>M43</f>
        <v>-36.5</v>
      </c>
      <c r="M43" s="180">
        <f>N43</f>
        <v>-36.5</v>
      </c>
      <c r="N43" s="153">
        <f>O43/4</f>
        <v>-36.5</v>
      </c>
      <c r="O43" s="627">
        <f>-154+8</f>
        <v>-146</v>
      </c>
      <c r="P43" s="180">
        <f>Q43</f>
        <v>-26.75</v>
      </c>
      <c r="Q43" s="180">
        <f>R43</f>
        <v>-26.75</v>
      </c>
      <c r="R43" s="180">
        <f>S43</f>
        <v>-26.75</v>
      </c>
      <c r="S43" s="153">
        <f>T43/4</f>
        <v>-26.75</v>
      </c>
      <c r="T43" s="608">
        <v>-107</v>
      </c>
      <c r="U43" s="180">
        <f>V43</f>
        <v>-29</v>
      </c>
      <c r="V43" s="180">
        <f>W43</f>
        <v>-29</v>
      </c>
      <c r="W43" s="180">
        <f>X43</f>
        <v>-29</v>
      </c>
      <c r="X43" s="153">
        <f>Y43/4</f>
        <v>-29</v>
      </c>
      <c r="Y43" s="627">
        <v>-116</v>
      </c>
      <c r="Z43" s="180">
        <f>AA43</f>
        <v>-38</v>
      </c>
      <c r="AA43" s="180">
        <f>AB43</f>
        <v>-38</v>
      </c>
      <c r="AB43" s="180">
        <f>AC43</f>
        <v>-38</v>
      </c>
      <c r="AC43" s="153">
        <f>AD43/4</f>
        <v>-38</v>
      </c>
      <c r="AD43" s="638">
        <f>-152</f>
        <v>-152</v>
      </c>
      <c r="AE43" s="638">
        <v>-46</v>
      </c>
      <c r="AF43" s="638">
        <v>-42</v>
      </c>
      <c r="AG43" s="638">
        <v>-40</v>
      </c>
      <c r="AH43" s="153">
        <f>AI43-SUM(AE43:AG43)</f>
        <v>-41</v>
      </c>
      <c r="AI43" s="638">
        <v>-169</v>
      </c>
      <c r="AJ43" s="1158">
        <v>-36</v>
      </c>
      <c r="AK43" s="1159">
        <v>-38</v>
      </c>
      <c r="AL43" s="1159">
        <v>-42</v>
      </c>
      <c r="AM43" s="1160">
        <f>-'debt schedule'!AN207</f>
        <v>-45.066081366053169</v>
      </c>
      <c r="AN43" s="180">
        <f>SUM(AJ43:AM43)</f>
        <v>-161.06608136605317</v>
      </c>
      <c r="AO43" s="1158">
        <v>-43</v>
      </c>
      <c r="AP43" s="1159">
        <v>-52</v>
      </c>
      <c r="AQ43" s="1159">
        <v>-50</v>
      </c>
      <c r="AR43" s="1160">
        <f>-'debt schedule'!AS207</f>
        <v>-55.08007321811548</v>
      </c>
      <c r="AS43" s="180">
        <f>SUM(AO43:AR43)</f>
        <v>-200.08007321811547</v>
      </c>
      <c r="AT43" s="1158">
        <v>-50</v>
      </c>
      <c r="AU43" s="1159">
        <v>-48</v>
      </c>
      <c r="AV43" s="1268">
        <v>-47</v>
      </c>
      <c r="AW43" s="1160">
        <f>AX43-SUM(AT43:AV43)</f>
        <v>-45</v>
      </c>
      <c r="AX43" s="638">
        <v>-190</v>
      </c>
      <c r="AY43" s="1278">
        <v>-49</v>
      </c>
      <c r="AZ43" s="1268">
        <v>-66</v>
      </c>
      <c r="BA43" s="1159">
        <v>-45</v>
      </c>
      <c r="BB43" s="1160">
        <f>BC43-SUM(AY43:BA43)</f>
        <v>-54</v>
      </c>
      <c r="BC43" s="640">
        <v>-214</v>
      </c>
      <c r="BD43" s="1278">
        <f>-85</f>
        <v>-85</v>
      </c>
      <c r="BE43" s="1268">
        <v>-58</v>
      </c>
      <c r="BF43" s="1268">
        <v>-61</v>
      </c>
      <c r="BG43" s="1302">
        <v>-62</v>
      </c>
      <c r="BH43" s="180">
        <f>SUM(BD43:BG43)</f>
        <v>-266</v>
      </c>
      <c r="BI43" s="1278">
        <v>-61</v>
      </c>
      <c r="BJ43" s="1159">
        <v>-60</v>
      </c>
      <c r="BK43" s="1268">
        <v>-57</v>
      </c>
      <c r="BL43" s="1302">
        <f>-234-SUM(BI43:BK43)</f>
        <v>-56</v>
      </c>
      <c r="BM43" s="180">
        <f>SUM(BI43:BL43)</f>
        <v>-234</v>
      </c>
      <c r="BN43" s="1158">
        <v>-51</v>
      </c>
      <c r="BO43" s="1159">
        <v>-53</v>
      </c>
      <c r="BP43" s="1268">
        <v>-56</v>
      </c>
      <c r="BQ43" s="1302">
        <f>-214-SUM(BN43:BP43)</f>
        <v>-54</v>
      </c>
      <c r="BR43" s="180">
        <f>SUM(BN43:BQ43)</f>
        <v>-214</v>
      </c>
      <c r="BS43" s="1278">
        <v>-53</v>
      </c>
      <c r="BT43" s="1268">
        <v>-60</v>
      </c>
      <c r="BU43" s="1268">
        <v>-58</v>
      </c>
      <c r="BV43" s="1302">
        <f>-43-BV42</f>
        <v>-44.806249999999999</v>
      </c>
      <c r="BW43" s="180">
        <f>SUM(BS43:BV43)</f>
        <v>-215.80625000000001</v>
      </c>
      <c r="BX43" s="1278">
        <v>-58</v>
      </c>
      <c r="BY43" s="1268">
        <v>-55</v>
      </c>
      <c r="BZ43" s="1268">
        <f>-98-BZ42</f>
        <v>-103</v>
      </c>
      <c r="CA43" s="1302">
        <v>-78</v>
      </c>
      <c r="CB43" s="180">
        <f>SUM(BX43:CA43)</f>
        <v>-294</v>
      </c>
      <c r="CC43" s="1161">
        <f>-'debt schedule'!CD207-'debt schedule'!CD208</f>
        <v>-69.646250000000009</v>
      </c>
      <c r="CD43" s="212">
        <f>-'debt schedule'!CE207-'debt schedule'!CE208</f>
        <v>-69.646250000000009</v>
      </c>
      <c r="CE43" s="212">
        <f>-'debt schedule'!CF207-'debt schedule'!CF208</f>
        <v>-69.646250000000009</v>
      </c>
      <c r="CF43" s="1160">
        <f>-'debt schedule'!CG207-'debt schedule'!CG208</f>
        <v>-69.646250000000009</v>
      </c>
      <c r="CG43" s="180">
        <f>SUM(CC43:CF43)</f>
        <v>-278.58500000000004</v>
      </c>
      <c r="CH43" s="1161">
        <f>-'debt schedule'!CI207-'debt schedule'!CI208</f>
        <v>-69.646250000000009</v>
      </c>
      <c r="CI43" s="212">
        <f>-'debt schedule'!CJ207-'debt schedule'!CJ208</f>
        <v>-69.646250000000009</v>
      </c>
      <c r="CJ43" s="212">
        <f>-'debt schedule'!CK207-'debt schedule'!CK208</f>
        <v>-69.646250000000009</v>
      </c>
      <c r="CK43" s="1160">
        <f>-'debt schedule'!CL207-'debt schedule'!CL208</f>
        <v>-69.646250000000009</v>
      </c>
      <c r="CL43" s="180">
        <f>SUM(CH43:CK43)</f>
        <v>-278.58500000000004</v>
      </c>
      <c r="CM43" s="1161">
        <f>-'debt schedule'!CN207-'debt schedule'!CN208</f>
        <v>-69.646250000000009</v>
      </c>
      <c r="CN43" s="212">
        <f>-'debt schedule'!CO207-'debt schedule'!CO208</f>
        <v>-69.646250000000009</v>
      </c>
      <c r="CO43" s="212">
        <f>-'debt schedule'!CP207-'debt schedule'!CP208</f>
        <v>-69.646250000000009</v>
      </c>
      <c r="CP43" s="1160">
        <f>-'debt schedule'!CQ207-'debt schedule'!CQ208</f>
        <v>-69.646250000000009</v>
      </c>
      <c r="CQ43" s="1160">
        <f>SUM(CM43:CP43)</f>
        <v>-278.58500000000004</v>
      </c>
      <c r="CR43" s="75"/>
    </row>
    <row r="44" spans="1:96" ht="13.5" customHeight="1">
      <c r="A44" s="75"/>
      <c r="B44" s="75"/>
      <c r="C44" s="75" t="s">
        <v>730</v>
      </c>
      <c r="D44" s="75"/>
      <c r="E44" s="75"/>
      <c r="F44" s="180">
        <f>SUM(F42:F43)</f>
        <v>-35</v>
      </c>
      <c r="G44" s="180">
        <f>SUM(G42:G43)</f>
        <v>-35</v>
      </c>
      <c r="H44" s="180">
        <f>SUM(H42:H43)</f>
        <v>-35</v>
      </c>
      <c r="I44" s="153">
        <f>J44-F44-G44-H44</f>
        <v>-35</v>
      </c>
      <c r="J44" s="145">
        <f>SUM(J42:J43)</f>
        <v>-140</v>
      </c>
      <c r="K44" s="180">
        <f>SUM(K42:K43)</f>
        <v>-35</v>
      </c>
      <c r="L44" s="180">
        <f>SUM(L42:L43)</f>
        <v>-35</v>
      </c>
      <c r="M44" s="180">
        <f>SUM(M42:M43)</f>
        <v>-35</v>
      </c>
      <c r="N44" s="153">
        <f>O44-K44-L44-M44</f>
        <v>-27</v>
      </c>
      <c r="O44" s="153">
        <f>SUM(O42:O43)</f>
        <v>-132</v>
      </c>
      <c r="P44" s="180">
        <f>SUM(P42:P43)</f>
        <v>-19.75</v>
      </c>
      <c r="Q44" s="180">
        <f>SUM(Q42:Q43)</f>
        <v>-17.75</v>
      </c>
      <c r="R44" s="180">
        <f>SUM(R42:R43)</f>
        <v>-15.75</v>
      </c>
      <c r="S44" s="153">
        <f>T44-P44-Q44-R44</f>
        <v>-13.75</v>
      </c>
      <c r="T44" s="153">
        <f>SUM(T42:T43)</f>
        <v>-67</v>
      </c>
      <c r="U44" s="180">
        <f>SUM(U42:U43)</f>
        <v>-14</v>
      </c>
      <c r="V44" s="180">
        <f>SUM(V42:V43)</f>
        <v>-12</v>
      </c>
      <c r="W44" s="180">
        <f>SUM(W42:W43)</f>
        <v>-12</v>
      </c>
      <c r="X44" s="180">
        <f>SUM(X42:X43)</f>
        <v>-11</v>
      </c>
      <c r="Y44" s="145">
        <f>SUM(U44:X44)</f>
        <v>-49</v>
      </c>
      <c r="Z44" s="180">
        <f>SUM(Z42:Z43)</f>
        <v>-22</v>
      </c>
      <c r="AA44" s="180">
        <f>AA42+AA43</f>
        <v>-7</v>
      </c>
      <c r="AB44" s="180">
        <f>AB42+AB43</f>
        <v>-27</v>
      </c>
      <c r="AC44" s="180">
        <f>AC42+AC43</f>
        <v>-17</v>
      </c>
      <c r="AD44" s="180">
        <f>SUM(Z44:AC44)</f>
        <v>-73</v>
      </c>
      <c r="AE44" s="180">
        <f>AE42+AE43</f>
        <v>-41</v>
      </c>
      <c r="AF44" s="180">
        <f>AF42+AF43</f>
        <v>-39</v>
      </c>
      <c r="AG44" s="180">
        <f>AG42+AG43</f>
        <v>-37</v>
      </c>
      <c r="AH44" s="180">
        <f>AH42+AH43</f>
        <v>-38</v>
      </c>
      <c r="AI44" s="180">
        <f>SUM(AE44:AH44)</f>
        <v>-155</v>
      </c>
      <c r="AJ44" s="1161">
        <f t="shared" ref="AJ44:AV44" si="39">AJ42+AJ43</f>
        <v>-34</v>
      </c>
      <c r="AK44" s="212">
        <f t="shared" si="39"/>
        <v>-37</v>
      </c>
      <c r="AL44" s="212">
        <f t="shared" si="39"/>
        <v>-40</v>
      </c>
      <c r="AM44" s="1160">
        <f t="shared" si="39"/>
        <v>-44.4362661482253</v>
      </c>
      <c r="AN44" s="180">
        <f t="shared" si="39"/>
        <v>-155.43626614822529</v>
      </c>
      <c r="AO44" s="1161">
        <f t="shared" si="39"/>
        <v>-40</v>
      </c>
      <c r="AP44" s="212">
        <f t="shared" si="39"/>
        <v>-51</v>
      </c>
      <c r="AQ44" s="212">
        <f t="shared" si="39"/>
        <v>-49</v>
      </c>
      <c r="AR44" s="1160">
        <f t="shared" si="39"/>
        <v>-54.81258521811548</v>
      </c>
      <c r="AS44" s="180">
        <f t="shared" si="39"/>
        <v>-194.81258521811549</v>
      </c>
      <c r="AT44" s="1161">
        <f t="shared" si="39"/>
        <v>-48</v>
      </c>
      <c r="AU44" s="212">
        <f t="shared" si="39"/>
        <v>-47</v>
      </c>
      <c r="AV44" s="212">
        <f t="shared" si="39"/>
        <v>-46</v>
      </c>
      <c r="AW44" s="1160">
        <f>AX44-SUM(AT44:AV44)</f>
        <v>-43</v>
      </c>
      <c r="AX44" s="180">
        <f t="shared" ref="AX44:CQ44" si="40">AX42+AX43</f>
        <v>-184</v>
      </c>
      <c r="AY44" s="1279">
        <f t="shared" si="40"/>
        <v>-45</v>
      </c>
      <c r="AZ44" s="212">
        <f t="shared" si="40"/>
        <v>-65</v>
      </c>
      <c r="BA44" s="212">
        <f t="shared" si="40"/>
        <v>-44</v>
      </c>
      <c r="BB44" s="1160">
        <f t="shared" si="40"/>
        <v>-53</v>
      </c>
      <c r="BC44" s="180">
        <f t="shared" si="40"/>
        <v>-207</v>
      </c>
      <c r="BD44" s="1161">
        <f t="shared" si="40"/>
        <v>-84</v>
      </c>
      <c r="BE44" s="212">
        <f t="shared" si="40"/>
        <v>-57</v>
      </c>
      <c r="BF44" s="212">
        <f t="shared" si="40"/>
        <v>-61</v>
      </c>
      <c r="BG44" s="1160">
        <f t="shared" si="40"/>
        <v>-61</v>
      </c>
      <c r="BH44" s="180">
        <f t="shared" si="40"/>
        <v>-263</v>
      </c>
      <c r="BI44" s="1279">
        <f t="shared" si="40"/>
        <v>-60</v>
      </c>
      <c r="BJ44" s="212">
        <f t="shared" si="40"/>
        <v>-59</v>
      </c>
      <c r="BK44" s="212">
        <f t="shared" si="40"/>
        <v>-55</v>
      </c>
      <c r="BL44" s="1160">
        <f t="shared" si="40"/>
        <v>-48</v>
      </c>
      <c r="BM44" s="180">
        <f t="shared" si="40"/>
        <v>-222</v>
      </c>
      <c r="BN44" s="1161">
        <f t="shared" si="40"/>
        <v>-51</v>
      </c>
      <c r="BO44" s="212">
        <f t="shared" si="40"/>
        <v>-53</v>
      </c>
      <c r="BP44" s="212">
        <f t="shared" si="40"/>
        <v>-54</v>
      </c>
      <c r="BQ44" s="1160">
        <f t="shared" si="40"/>
        <v>-53</v>
      </c>
      <c r="BR44" s="180">
        <f t="shared" si="40"/>
        <v>-211</v>
      </c>
      <c r="BS44" s="1161">
        <f t="shared" si="40"/>
        <v>-52</v>
      </c>
      <c r="BT44" s="212">
        <f t="shared" si="40"/>
        <v>-58</v>
      </c>
      <c r="BU44" s="212">
        <f t="shared" si="40"/>
        <v>-56</v>
      </c>
      <c r="BV44" s="1160">
        <f t="shared" si="40"/>
        <v>-43</v>
      </c>
      <c r="BW44" s="180">
        <f t="shared" si="40"/>
        <v>-209</v>
      </c>
      <c r="BX44" s="1161">
        <f t="shared" si="40"/>
        <v>-54</v>
      </c>
      <c r="BY44" s="212">
        <f t="shared" si="40"/>
        <v>-51</v>
      </c>
      <c r="BZ44" s="212">
        <f t="shared" si="40"/>
        <v>-98</v>
      </c>
      <c r="CA44" s="1160">
        <f t="shared" si="40"/>
        <v>-78</v>
      </c>
      <c r="CB44" s="180">
        <f t="shared" si="40"/>
        <v>-281</v>
      </c>
      <c r="CC44" s="1161">
        <f t="shared" si="40"/>
        <v>-67.705000000000013</v>
      </c>
      <c r="CD44" s="212">
        <f t="shared" si="40"/>
        <v>-68.041101181977467</v>
      </c>
      <c r="CE44" s="212">
        <f t="shared" si="40"/>
        <v>-67.848028295992322</v>
      </c>
      <c r="CF44" s="1160">
        <f t="shared" si="40"/>
        <v>-67.670673716914109</v>
      </c>
      <c r="CG44" s="180">
        <f t="shared" si="40"/>
        <v>-271.26480319488388</v>
      </c>
      <c r="CH44" s="1161">
        <f t="shared" si="40"/>
        <v>-67.396330800090098</v>
      </c>
      <c r="CI44" s="212">
        <f t="shared" si="40"/>
        <v>-66.986778411290999</v>
      </c>
      <c r="CJ44" s="212">
        <f t="shared" si="40"/>
        <v>-67.446296817236316</v>
      </c>
      <c r="CK44" s="1160">
        <f t="shared" si="40"/>
        <v>-66.422183688269243</v>
      </c>
      <c r="CL44" s="180">
        <f t="shared" si="40"/>
        <v>-268.25158971688666</v>
      </c>
      <c r="CM44" s="1161">
        <f t="shared" si="40"/>
        <v>-66.96751311357238</v>
      </c>
      <c r="CN44" s="212">
        <f t="shared" si="40"/>
        <v>-66.121767058547675</v>
      </c>
      <c r="CO44" s="212">
        <f t="shared" si="40"/>
        <v>-67.035300341447638</v>
      </c>
      <c r="CP44" s="1160">
        <f t="shared" si="40"/>
        <v>-65.754535150491662</v>
      </c>
      <c r="CQ44" s="1160">
        <f t="shared" si="40"/>
        <v>-265.87911566405933</v>
      </c>
      <c r="CR44" s="75"/>
    </row>
    <row r="45" spans="1:96" ht="6.2" customHeight="1">
      <c r="A45" s="75"/>
      <c r="B45" s="75"/>
      <c r="C45" s="75"/>
      <c r="D45" s="75"/>
      <c r="E45" s="75"/>
      <c r="F45" s="182"/>
      <c r="G45" s="182"/>
      <c r="H45" s="182"/>
      <c r="I45" s="182"/>
      <c r="J45" s="142"/>
      <c r="K45" s="182"/>
      <c r="L45" s="182"/>
      <c r="M45" s="182"/>
      <c r="N45" s="182"/>
      <c r="O45" s="142"/>
      <c r="P45" s="182"/>
      <c r="Q45" s="182"/>
      <c r="R45" s="182"/>
      <c r="S45" s="182"/>
      <c r="T45" s="142"/>
      <c r="U45" s="182"/>
      <c r="V45" s="182"/>
      <c r="W45" s="182"/>
      <c r="X45" s="182"/>
      <c r="Y45" s="142"/>
      <c r="Z45" s="182"/>
      <c r="AA45" s="182"/>
      <c r="AB45" s="182"/>
      <c r="AC45" s="182"/>
      <c r="AD45" s="142"/>
      <c r="AE45" s="142"/>
      <c r="AF45" s="142"/>
      <c r="AG45" s="142"/>
      <c r="AH45" s="142"/>
      <c r="AI45" s="142"/>
      <c r="AJ45" s="1132"/>
      <c r="AK45" s="85"/>
      <c r="AL45" s="85"/>
      <c r="AM45" s="1133"/>
      <c r="AN45" s="142"/>
      <c r="AO45" s="1132"/>
      <c r="AP45" s="85"/>
      <c r="AQ45" s="85"/>
      <c r="AR45" s="1133"/>
      <c r="AS45" s="142"/>
      <c r="AT45" s="1132"/>
      <c r="AU45" s="85"/>
      <c r="AV45" s="85"/>
      <c r="AW45" s="1160"/>
      <c r="AX45" s="142"/>
      <c r="AY45" s="1132"/>
      <c r="AZ45" s="85"/>
      <c r="BA45" s="85"/>
      <c r="BB45" s="1133"/>
      <c r="BC45" s="142"/>
      <c r="BD45" s="1132"/>
      <c r="BE45" s="85"/>
      <c r="BF45" s="85"/>
      <c r="BG45" s="1133"/>
      <c r="BH45" s="142"/>
      <c r="BI45" s="1323"/>
      <c r="BJ45" s="85"/>
      <c r="BK45" s="85"/>
      <c r="BL45" s="1133"/>
      <c r="BM45" s="142"/>
      <c r="BN45" s="1132"/>
      <c r="BO45" s="85"/>
      <c r="BP45" s="85"/>
      <c r="BQ45" s="1133"/>
      <c r="BR45" s="142"/>
      <c r="BS45" s="1132"/>
      <c r="BT45" s="85"/>
      <c r="BU45" s="85"/>
      <c r="BV45" s="1133"/>
      <c r="BW45" s="142"/>
      <c r="BX45" s="1132"/>
      <c r="BY45" s="85"/>
      <c r="BZ45" s="85"/>
      <c r="CA45" s="1133"/>
      <c r="CB45" s="142"/>
      <c r="CC45" s="1132"/>
      <c r="CD45" s="85"/>
      <c r="CE45" s="85"/>
      <c r="CF45" s="1133"/>
      <c r="CG45" s="142"/>
      <c r="CH45" s="1132"/>
      <c r="CI45" s="85"/>
      <c r="CJ45" s="85"/>
      <c r="CK45" s="1133"/>
      <c r="CL45" s="142"/>
      <c r="CM45" s="1132"/>
      <c r="CN45" s="85"/>
      <c r="CO45" s="85"/>
      <c r="CP45" s="1133"/>
      <c r="CQ45" s="1133"/>
      <c r="CR45" s="75"/>
    </row>
    <row r="46" spans="1:96" ht="13.5" customHeight="1">
      <c r="A46" s="81"/>
      <c r="B46" s="184" t="s">
        <v>731</v>
      </c>
      <c r="C46" s="75"/>
      <c r="D46" s="185"/>
      <c r="E46" s="185"/>
      <c r="F46" s="608">
        <f>-38-F44</f>
        <v>-3</v>
      </c>
      <c r="G46" s="608">
        <f>-42-G44</f>
        <v>-7</v>
      </c>
      <c r="H46" s="608">
        <f>-26-H44</f>
        <v>9</v>
      </c>
      <c r="I46" s="153">
        <f>J46-H46-G46-F46</f>
        <v>11</v>
      </c>
      <c r="J46" s="627">
        <f>20-2-1-7</f>
        <v>10</v>
      </c>
      <c r="K46" s="608">
        <f>-52-K44</f>
        <v>-17</v>
      </c>
      <c r="L46" s="608">
        <f>-86-L44+15</f>
        <v>-36</v>
      </c>
      <c r="M46" s="608">
        <f>-4-M44-1</f>
        <v>30</v>
      </c>
      <c r="N46" s="153">
        <f>O46-K46-L46-M46</f>
        <v>40</v>
      </c>
      <c r="O46" s="627">
        <f>32+26-27-2-4-12+4</f>
        <v>17</v>
      </c>
      <c r="P46" s="608">
        <f>-22-P44-3</f>
        <v>-5.25</v>
      </c>
      <c r="Q46" s="608">
        <f>-63-Q44-5</f>
        <v>-50.25</v>
      </c>
      <c r="R46" s="608">
        <f>-16-R44-4</f>
        <v>-4.25</v>
      </c>
      <c r="S46" s="153">
        <f>T46-P46-Q46-R46</f>
        <v>-0.25</v>
      </c>
      <c r="T46" s="608">
        <f>-80+28-1-2-5</f>
        <v>-60</v>
      </c>
      <c r="U46" s="608">
        <f>-16-U44</f>
        <v>-2</v>
      </c>
      <c r="V46" s="608">
        <f>-14-V44</f>
        <v>-2</v>
      </c>
      <c r="W46" s="608">
        <f>-7-W44</f>
        <v>5</v>
      </c>
      <c r="X46" s="638">
        <f>-25-X44+32</f>
        <v>18</v>
      </c>
      <c r="Y46" s="145">
        <f>SUM(U46:X46)</f>
        <v>19</v>
      </c>
      <c r="Z46" s="608">
        <f>-5+3-Z44</f>
        <v>20</v>
      </c>
      <c r="AA46" s="608">
        <f>-34-AA44+23</f>
        <v>-4</v>
      </c>
      <c r="AB46" s="608">
        <f>-22-AB44</f>
        <v>5</v>
      </c>
      <c r="AC46" s="608">
        <f>-44-AC44</f>
        <v>-27</v>
      </c>
      <c r="AD46" s="180">
        <f>SUM(Z46:AC46)</f>
        <v>-6</v>
      </c>
      <c r="AE46" s="608">
        <f>32-AE44-108</f>
        <v>-35</v>
      </c>
      <c r="AF46" s="608">
        <f>-25-AF44</f>
        <v>14</v>
      </c>
      <c r="AG46" s="608">
        <f>-46-AG44+49</f>
        <v>40</v>
      </c>
      <c r="AH46" s="608">
        <f>-23-AH44</f>
        <v>15</v>
      </c>
      <c r="AI46" s="180">
        <f>SUM(AE46:AH46)</f>
        <v>34</v>
      </c>
      <c r="AJ46" s="954">
        <f>-71-AJ44</f>
        <v>-37</v>
      </c>
      <c r="AK46" s="608">
        <f>-9-AK44</f>
        <v>28</v>
      </c>
      <c r="AL46" s="608">
        <f>-25-AL44</f>
        <v>15</v>
      </c>
      <c r="AM46" s="960">
        <f>-56-AM44</f>
        <v>-11.5637338517747</v>
      </c>
      <c r="AN46" s="180">
        <f>SUM(AJ46:AM46)</f>
        <v>-5.5637338517746997</v>
      </c>
      <c r="AO46" s="954">
        <f>-68+86</f>
        <v>18</v>
      </c>
      <c r="AP46" s="608">
        <f>-99+148</f>
        <v>49</v>
      </c>
      <c r="AQ46" s="608">
        <f>78-AQ44-137</f>
        <v>-10</v>
      </c>
      <c r="AR46" s="960">
        <f>-94-AR44+50</f>
        <v>10.81258521811548</v>
      </c>
      <c r="AS46" s="180">
        <f>SUM(AO46:AR46)</f>
        <v>67.812585218115487</v>
      </c>
      <c r="AT46" s="954">
        <f>21-AT44-81</f>
        <v>-12</v>
      </c>
      <c r="AU46" s="608">
        <f>-13-AU44-37</f>
        <v>-3</v>
      </c>
      <c r="AV46" s="608">
        <f>-144-AV44+96</f>
        <v>-2</v>
      </c>
      <c r="AW46" s="915">
        <f>AX46-SUM(AT46:AV46)</f>
        <v>-8</v>
      </c>
      <c r="AX46" s="638">
        <f>-54-81-37+96+51</f>
        <v>-25</v>
      </c>
      <c r="AY46" s="954">
        <v>-5</v>
      </c>
      <c r="AZ46" s="608">
        <f>17-17</f>
        <v>0</v>
      </c>
      <c r="BA46" s="608">
        <v>-1</v>
      </c>
      <c r="BB46" s="915">
        <f>BC46-SUM(AY46:BA46)</f>
        <v>-11</v>
      </c>
      <c r="BC46" s="640">
        <f>-34+17</f>
        <v>-17</v>
      </c>
      <c r="BD46" s="1278">
        <f>-20+34</f>
        <v>14</v>
      </c>
      <c r="BE46" s="1268">
        <v>-11</v>
      </c>
      <c r="BF46" s="1268">
        <f>-24+22</f>
        <v>-2</v>
      </c>
      <c r="BG46" s="1302">
        <v>-14</v>
      </c>
      <c r="BH46" s="180">
        <f>SUM(BD46:BG46)</f>
        <v>-13</v>
      </c>
      <c r="BI46" s="1278">
        <v>-9</v>
      </c>
      <c r="BJ46" s="1268">
        <v>-5</v>
      </c>
      <c r="BK46" s="1268">
        <v>-5</v>
      </c>
      <c r="BL46" s="1302">
        <f>-21-SUM(BI46:BK46)</f>
        <v>-2</v>
      </c>
      <c r="BM46" s="180">
        <f>SUM(BI46:BL46)</f>
        <v>-21</v>
      </c>
      <c r="BN46" s="1278">
        <v>-11</v>
      </c>
      <c r="BO46" s="639">
        <v>-2</v>
      </c>
      <c r="BP46" s="639">
        <v>1</v>
      </c>
      <c r="BQ46" s="1034">
        <f>-10-SUM(BN46:BP46)</f>
        <v>2</v>
      </c>
      <c r="BR46" s="180">
        <f>SUM(BN46:BQ46)</f>
        <v>-10</v>
      </c>
      <c r="BS46" s="1278">
        <v>-13</v>
      </c>
      <c r="BT46" s="1268">
        <v>1</v>
      </c>
      <c r="BU46" s="608">
        <v>-6</v>
      </c>
      <c r="BV46" s="960"/>
      <c r="BW46" s="180">
        <f>SUM(BS46:BV46)</f>
        <v>-18</v>
      </c>
      <c r="BX46" s="954">
        <v>-9</v>
      </c>
      <c r="BY46" s="608">
        <f>-16-1</f>
        <v>-17</v>
      </c>
      <c r="BZ46" s="639">
        <v>35</v>
      </c>
      <c r="CA46" s="1034">
        <v>22</v>
      </c>
      <c r="CB46" s="181">
        <f>SUM(BX46:CA46)</f>
        <v>31</v>
      </c>
      <c r="CC46" s="1033">
        <v>0</v>
      </c>
      <c r="CD46" s="639">
        <v>0</v>
      </c>
      <c r="CE46" s="639">
        <v>0</v>
      </c>
      <c r="CF46" s="1034">
        <v>0</v>
      </c>
      <c r="CG46" s="181">
        <f>SUM(CC46:CF46)</f>
        <v>0</v>
      </c>
      <c r="CH46" s="1033">
        <v>0</v>
      </c>
      <c r="CI46" s="639">
        <v>0</v>
      </c>
      <c r="CJ46" s="639">
        <v>0</v>
      </c>
      <c r="CK46" s="1034">
        <v>0</v>
      </c>
      <c r="CL46" s="180">
        <f>SUM(CH46:CK46)</f>
        <v>0</v>
      </c>
      <c r="CM46" s="1033">
        <v>0</v>
      </c>
      <c r="CN46" s="639">
        <v>0</v>
      </c>
      <c r="CO46" s="639">
        <v>0</v>
      </c>
      <c r="CP46" s="1034">
        <v>0</v>
      </c>
      <c r="CQ46" s="1160">
        <f>SUM(CM46:CP46)</f>
        <v>0</v>
      </c>
      <c r="CR46" s="185"/>
    </row>
    <row r="47" spans="1:96" ht="6.2" customHeight="1">
      <c r="A47" s="81"/>
      <c r="B47" s="186"/>
      <c r="C47" s="75"/>
      <c r="D47" s="185"/>
      <c r="E47" s="185"/>
      <c r="F47" s="153"/>
      <c r="G47" s="153"/>
      <c r="H47" s="153"/>
      <c r="I47" s="153"/>
      <c r="J47" s="187"/>
      <c r="K47" s="187"/>
      <c r="L47" s="153"/>
      <c r="M47" s="153"/>
      <c r="N47" s="153"/>
      <c r="O47" s="153"/>
      <c r="P47" s="153"/>
      <c r="Q47" s="153"/>
      <c r="R47" s="153"/>
      <c r="S47" s="153"/>
      <c r="T47" s="153"/>
      <c r="U47" s="153"/>
      <c r="V47" s="153"/>
      <c r="W47" s="153"/>
      <c r="X47" s="188"/>
      <c r="Y47" s="188"/>
      <c r="Z47" s="153"/>
      <c r="AA47" s="153"/>
      <c r="AB47" s="153"/>
      <c r="AC47" s="180"/>
      <c r="AD47" s="188"/>
      <c r="AE47" s="153"/>
      <c r="AF47" s="153"/>
      <c r="AG47" s="153"/>
      <c r="AH47" s="180"/>
      <c r="AI47" s="180"/>
      <c r="AJ47" s="914"/>
      <c r="AK47" s="153"/>
      <c r="AL47" s="153"/>
      <c r="AM47" s="1162"/>
      <c r="AN47" s="188"/>
      <c r="AO47" s="914"/>
      <c r="AP47" s="153"/>
      <c r="AQ47" s="153"/>
      <c r="AR47" s="1160"/>
      <c r="AS47" s="188"/>
      <c r="AT47" s="914"/>
      <c r="AU47" s="153"/>
      <c r="AV47" s="153"/>
      <c r="AW47" s="1160"/>
      <c r="AX47" s="180"/>
      <c r="AY47" s="914"/>
      <c r="AZ47" s="153"/>
      <c r="BA47" s="153"/>
      <c r="BB47" s="1162"/>
      <c r="BC47" s="188"/>
      <c r="BD47" s="914"/>
      <c r="BE47" s="153"/>
      <c r="BF47" s="153"/>
      <c r="BG47" s="1162"/>
      <c r="BH47" s="188"/>
      <c r="BI47" s="914"/>
      <c r="BJ47" s="153"/>
      <c r="BK47" s="153"/>
      <c r="BL47" s="1162"/>
      <c r="BM47" s="188"/>
      <c r="BN47" s="914"/>
      <c r="BO47" s="170"/>
      <c r="BP47" s="153"/>
      <c r="BQ47" s="1162"/>
      <c r="BR47" s="188"/>
      <c r="BS47" s="914"/>
      <c r="BT47" s="153"/>
      <c r="BU47" s="153"/>
      <c r="BV47" s="1162"/>
      <c r="BW47" s="188"/>
      <c r="BX47" s="914"/>
      <c r="BY47" s="153"/>
      <c r="BZ47" s="153"/>
      <c r="CA47" s="1162"/>
      <c r="CB47" s="188"/>
      <c r="CC47" s="914"/>
      <c r="CD47" s="153"/>
      <c r="CE47" s="153"/>
      <c r="CF47" s="1162"/>
      <c r="CG47" s="188"/>
      <c r="CH47" s="914"/>
      <c r="CI47" s="153"/>
      <c r="CJ47" s="153"/>
      <c r="CK47" s="1162"/>
      <c r="CL47" s="188"/>
      <c r="CM47" s="914"/>
      <c r="CN47" s="153"/>
      <c r="CO47" s="153"/>
      <c r="CP47" s="1162"/>
      <c r="CQ47" s="1382"/>
      <c r="CR47" s="185"/>
    </row>
    <row r="48" spans="1:96" ht="13.5" customHeight="1">
      <c r="A48" s="75"/>
      <c r="B48" s="75"/>
      <c r="C48" s="75" t="s">
        <v>732</v>
      </c>
      <c r="D48" s="75"/>
      <c r="E48" s="75"/>
      <c r="F48" s="189">
        <f>F39+SUM(F44:F46)</f>
        <v>-57</v>
      </c>
      <c r="G48" s="189">
        <f>G39+SUM(G44:G46)</f>
        <v>-36</v>
      </c>
      <c r="H48" s="189">
        <f>H39+SUM(H44:H46)</f>
        <v>-56</v>
      </c>
      <c r="I48" s="189">
        <f>J48-H48-G48-F48</f>
        <v>-19</v>
      </c>
      <c r="J48" s="189">
        <f>J39+J44+J46</f>
        <v>-168</v>
      </c>
      <c r="K48" s="189">
        <f t="shared" ref="K48:AP48" si="41">K39+SUM(K44:K46)</f>
        <v>69</v>
      </c>
      <c r="L48" s="189">
        <f t="shared" si="41"/>
        <v>346</v>
      </c>
      <c r="M48" s="189">
        <f t="shared" si="41"/>
        <v>496</v>
      </c>
      <c r="N48" s="189">
        <f t="shared" si="41"/>
        <v>573</v>
      </c>
      <c r="O48" s="189">
        <f t="shared" si="41"/>
        <v>1484</v>
      </c>
      <c r="P48" s="189">
        <f t="shared" si="41"/>
        <v>553</v>
      </c>
      <c r="Q48" s="189">
        <f t="shared" si="41"/>
        <v>359</v>
      </c>
      <c r="R48" s="189">
        <f t="shared" si="41"/>
        <v>131</v>
      </c>
      <c r="S48" s="189">
        <f t="shared" si="41"/>
        <v>239</v>
      </c>
      <c r="T48" s="189">
        <f t="shared" si="41"/>
        <v>1282</v>
      </c>
      <c r="U48" s="189">
        <f t="shared" si="41"/>
        <v>358</v>
      </c>
      <c r="V48" s="189">
        <f t="shared" si="41"/>
        <v>500</v>
      </c>
      <c r="W48" s="189">
        <f t="shared" si="41"/>
        <v>575</v>
      </c>
      <c r="X48" s="189">
        <f t="shared" si="41"/>
        <v>343</v>
      </c>
      <c r="Y48" s="189">
        <f t="shared" si="41"/>
        <v>1776</v>
      </c>
      <c r="Z48" s="189">
        <f t="shared" si="41"/>
        <v>344</v>
      </c>
      <c r="AA48" s="189">
        <f t="shared" si="41"/>
        <v>380</v>
      </c>
      <c r="AB48" s="189">
        <f t="shared" si="41"/>
        <v>381</v>
      </c>
      <c r="AC48" s="189">
        <f t="shared" si="41"/>
        <v>198</v>
      </c>
      <c r="AD48" s="189">
        <f t="shared" si="41"/>
        <v>1303</v>
      </c>
      <c r="AE48" s="189">
        <f t="shared" si="41"/>
        <v>252</v>
      </c>
      <c r="AF48" s="189">
        <f t="shared" si="41"/>
        <v>935</v>
      </c>
      <c r="AG48" s="189">
        <f t="shared" si="41"/>
        <v>1458</v>
      </c>
      <c r="AH48" s="189">
        <f t="shared" si="41"/>
        <v>404</v>
      </c>
      <c r="AI48" s="189">
        <f t="shared" si="41"/>
        <v>3049</v>
      </c>
      <c r="AJ48" s="1003">
        <f t="shared" si="41"/>
        <v>-560</v>
      </c>
      <c r="AK48" s="112">
        <f t="shared" si="41"/>
        <v>-553</v>
      </c>
      <c r="AL48" s="112">
        <f t="shared" si="41"/>
        <v>-437</v>
      </c>
      <c r="AM48" s="1004">
        <f t="shared" si="41"/>
        <v>-336</v>
      </c>
      <c r="AN48" s="189">
        <f t="shared" si="41"/>
        <v>-1886</v>
      </c>
      <c r="AO48" s="1003">
        <f t="shared" si="41"/>
        <v>-79</v>
      </c>
      <c r="AP48" s="112">
        <f t="shared" si="41"/>
        <v>196</v>
      </c>
      <c r="AQ48" s="112">
        <f t="shared" ref="AQ48:BV48" si="42">AQ39+SUM(AQ44:AQ46)</f>
        <v>-197</v>
      </c>
      <c r="AR48" s="1004">
        <f t="shared" si="42"/>
        <v>-179</v>
      </c>
      <c r="AS48" s="189">
        <f t="shared" si="42"/>
        <v>-259</v>
      </c>
      <c r="AT48" s="1003">
        <f t="shared" si="42"/>
        <v>-151</v>
      </c>
      <c r="AU48" s="112">
        <f t="shared" si="42"/>
        <v>250</v>
      </c>
      <c r="AV48" s="112">
        <f t="shared" si="42"/>
        <v>151</v>
      </c>
      <c r="AW48" s="1004">
        <f t="shared" si="42"/>
        <v>-176</v>
      </c>
      <c r="AX48" s="189">
        <f t="shared" si="42"/>
        <v>74</v>
      </c>
      <c r="AY48" s="1003">
        <f t="shared" si="42"/>
        <v>168</v>
      </c>
      <c r="AZ48" s="112">
        <f t="shared" si="42"/>
        <v>188</v>
      </c>
      <c r="BA48" s="112">
        <f t="shared" si="42"/>
        <v>52</v>
      </c>
      <c r="BB48" s="1004">
        <f t="shared" si="42"/>
        <v>-74</v>
      </c>
      <c r="BC48" s="189">
        <f t="shared" si="42"/>
        <v>334</v>
      </c>
      <c r="BD48" s="1003">
        <f t="shared" si="42"/>
        <v>-32</v>
      </c>
      <c r="BE48" s="112">
        <f t="shared" si="42"/>
        <v>-75</v>
      </c>
      <c r="BF48" s="112">
        <f t="shared" si="42"/>
        <v>-5</v>
      </c>
      <c r="BG48" s="1004">
        <f t="shared" si="42"/>
        <v>15</v>
      </c>
      <c r="BH48" s="189">
        <f t="shared" si="42"/>
        <v>-97</v>
      </c>
      <c r="BI48" s="1003">
        <f t="shared" si="42"/>
        <v>33</v>
      </c>
      <c r="BJ48" s="112">
        <f t="shared" si="42"/>
        <v>36</v>
      </c>
      <c r="BK48" s="112">
        <f t="shared" si="42"/>
        <v>393</v>
      </c>
      <c r="BL48" s="1004">
        <f t="shared" si="42"/>
        <v>346</v>
      </c>
      <c r="BM48" s="189">
        <f t="shared" si="42"/>
        <v>808</v>
      </c>
      <c r="BN48" s="1003">
        <f t="shared" si="42"/>
        <v>-96</v>
      </c>
      <c r="BO48" s="1330">
        <f t="shared" si="42"/>
        <v>-173</v>
      </c>
      <c r="BP48" s="112">
        <f t="shared" si="42"/>
        <v>-104</v>
      </c>
      <c r="BQ48" s="1004">
        <f t="shared" si="42"/>
        <v>-193</v>
      </c>
      <c r="BR48" s="189">
        <f t="shared" si="42"/>
        <v>-566</v>
      </c>
      <c r="BS48" s="1003">
        <f t="shared" si="42"/>
        <v>-301</v>
      </c>
      <c r="BT48" s="112">
        <f t="shared" si="42"/>
        <v>-52</v>
      </c>
      <c r="BU48" s="112">
        <f t="shared" si="42"/>
        <v>84</v>
      </c>
      <c r="BV48" s="1004">
        <f t="shared" si="42"/>
        <v>45</v>
      </c>
      <c r="BW48" s="189">
        <f t="shared" ref="BW48:CQ48" si="43">BW39+SUM(BW44:BW46)</f>
        <v>-224</v>
      </c>
      <c r="BX48" s="1003">
        <f t="shared" si="43"/>
        <v>-126</v>
      </c>
      <c r="BY48" s="112">
        <f t="shared" si="43"/>
        <v>173</v>
      </c>
      <c r="BZ48" s="112">
        <f t="shared" si="43"/>
        <v>161</v>
      </c>
      <c r="CA48" s="1004">
        <f t="shared" si="43"/>
        <v>128</v>
      </c>
      <c r="CB48" s="189">
        <f t="shared" si="43"/>
        <v>336</v>
      </c>
      <c r="CC48" s="1003">
        <f t="shared" si="43"/>
        <v>60.081471605094691</v>
      </c>
      <c r="CD48" s="112">
        <f t="shared" si="43"/>
        <v>268.20309133752164</v>
      </c>
      <c r="CE48" s="112">
        <f t="shared" si="43"/>
        <v>350.33512554459156</v>
      </c>
      <c r="CF48" s="1004">
        <f t="shared" si="43"/>
        <v>293.65679748543755</v>
      </c>
      <c r="CG48" s="189">
        <f t="shared" si="43"/>
        <v>972.27648597264556</v>
      </c>
      <c r="CH48" s="1003">
        <f t="shared" si="43"/>
        <v>134.56425107570971</v>
      </c>
      <c r="CI48" s="112">
        <f t="shared" si="43"/>
        <v>368.26711737072094</v>
      </c>
      <c r="CJ48" s="112">
        <f t="shared" si="43"/>
        <v>335.38161038030188</v>
      </c>
      <c r="CK48" s="1004">
        <f t="shared" si="43"/>
        <v>328.9032320336168</v>
      </c>
      <c r="CL48" s="189">
        <f t="shared" si="43"/>
        <v>1167.1162108603494</v>
      </c>
      <c r="CM48" s="1003">
        <f t="shared" si="43"/>
        <v>154.96312900910505</v>
      </c>
      <c r="CN48" s="112">
        <f t="shared" si="43"/>
        <v>287.32746302250405</v>
      </c>
      <c r="CO48" s="112">
        <f t="shared" si="43"/>
        <v>221.61808141560965</v>
      </c>
      <c r="CP48" s="1004">
        <f t="shared" si="43"/>
        <v>222.03668478969166</v>
      </c>
      <c r="CQ48" s="1004">
        <f t="shared" si="43"/>
        <v>885.94535823691035</v>
      </c>
      <c r="CR48" s="75"/>
    </row>
    <row r="49" spans="1:96" ht="13.5" customHeight="1">
      <c r="A49" s="75"/>
      <c r="B49" s="75"/>
      <c r="C49" s="75" t="s">
        <v>733</v>
      </c>
      <c r="D49" s="75"/>
      <c r="E49" s="75"/>
      <c r="F49" s="154">
        <f t="shared" ref="F49:AK49" si="44">F48/F14</f>
        <v>-3.0031612223393046E-2</v>
      </c>
      <c r="G49" s="154">
        <f t="shared" si="44"/>
        <v>-1.5577672003461706E-2</v>
      </c>
      <c r="H49" s="154">
        <f t="shared" si="44"/>
        <v>-2.23463687150838E-2</v>
      </c>
      <c r="I49" s="154">
        <f t="shared" si="44"/>
        <v>-7.2713356295445852E-3</v>
      </c>
      <c r="J49" s="154">
        <f t="shared" si="44"/>
        <v>-1.8010291595197257E-2</v>
      </c>
      <c r="K49" s="154">
        <f t="shared" si="44"/>
        <v>2.3743977976600137E-2</v>
      </c>
      <c r="L49" s="154">
        <f t="shared" si="44"/>
        <v>0.10034802784222738</v>
      </c>
      <c r="M49" s="154">
        <f t="shared" si="44"/>
        <v>0.13380091718370651</v>
      </c>
      <c r="N49" s="154">
        <f t="shared" si="44"/>
        <v>0.14662231320368474</v>
      </c>
      <c r="O49" s="154">
        <f t="shared" si="44"/>
        <v>0.1062352351635765</v>
      </c>
      <c r="P49" s="154">
        <f t="shared" si="44"/>
        <v>0.14703536293538952</v>
      </c>
      <c r="Q49" s="154">
        <f t="shared" si="44"/>
        <v>0.10022333891680625</v>
      </c>
      <c r="R49" s="154">
        <f t="shared" si="44"/>
        <v>4.0937500000000002E-2</v>
      </c>
      <c r="S49" s="154">
        <f t="shared" si="44"/>
        <v>6.8363844393592679E-2</v>
      </c>
      <c r="T49" s="154">
        <f t="shared" si="44"/>
        <v>9.1317045373602107E-2</v>
      </c>
      <c r="U49" s="154">
        <f t="shared" si="44"/>
        <v>9.608158883521202E-2</v>
      </c>
      <c r="V49" s="154">
        <f t="shared" si="44"/>
        <v>0.12174336498660823</v>
      </c>
      <c r="W49" s="154">
        <f t="shared" si="44"/>
        <v>0.14003896736483196</v>
      </c>
      <c r="X49" s="154">
        <f t="shared" si="44"/>
        <v>9.0836864406779655E-2</v>
      </c>
      <c r="Y49" s="154">
        <f t="shared" si="44"/>
        <v>0.1130130448615972</v>
      </c>
      <c r="Z49" s="154">
        <f t="shared" si="44"/>
        <v>9.1586794462193824E-2</v>
      </c>
      <c r="AA49" s="154">
        <f t="shared" si="44"/>
        <v>8.987701040681173E-2</v>
      </c>
      <c r="AB49" s="154">
        <f t="shared" si="44"/>
        <v>8.7505741846577861E-2</v>
      </c>
      <c r="AC49" s="154">
        <f t="shared" si="44"/>
        <v>4.3660418963616318E-2</v>
      </c>
      <c r="AD49" s="154">
        <f t="shared" si="44"/>
        <v>7.722396728501156E-2</v>
      </c>
      <c r="AE49" s="154">
        <f t="shared" si="44"/>
        <v>4.8498845265588918E-2</v>
      </c>
      <c r="AF49" s="154">
        <f t="shared" si="44"/>
        <v>0.13864175563463821</v>
      </c>
      <c r="AG49" s="154">
        <f t="shared" si="44"/>
        <v>0.19939824945295404</v>
      </c>
      <c r="AH49" s="154">
        <f t="shared" si="44"/>
        <v>8.8499452354874039E-2</v>
      </c>
      <c r="AI49" s="154">
        <f t="shared" si="44"/>
        <v>0.12801780241004324</v>
      </c>
      <c r="AJ49" s="1163">
        <f t="shared" si="44"/>
        <v>-0.20363636363636364</v>
      </c>
      <c r="AK49" s="154">
        <f t="shared" si="44"/>
        <v>-0.25999059708509636</v>
      </c>
      <c r="AL49" s="154">
        <f t="shared" ref="AL49:BQ49" si="45">AL48/AL14</f>
        <v>-0.15512957046503373</v>
      </c>
      <c r="AM49" s="1164">
        <f t="shared" si="45"/>
        <v>-0.1001788908765653</v>
      </c>
      <c r="AN49" s="154">
        <f t="shared" si="45"/>
        <v>-0.17070963070238956</v>
      </c>
      <c r="AO49" s="1163">
        <f t="shared" si="45"/>
        <v>-2.0277207392197124E-2</v>
      </c>
      <c r="AP49" s="154">
        <f t="shared" si="45"/>
        <v>4.1871395001068151E-2</v>
      </c>
      <c r="AQ49" s="154">
        <f t="shared" si="45"/>
        <v>-4.3806982432732934E-2</v>
      </c>
      <c r="AR49" s="1164">
        <f t="shared" si="45"/>
        <v>-4.1627906976744185E-2</v>
      </c>
      <c r="AS49" s="154">
        <f t="shared" si="45"/>
        <v>-1.4907332796132152E-2</v>
      </c>
      <c r="AT49" s="1163">
        <f t="shared" si="45"/>
        <v>-3.1044407894736843E-2</v>
      </c>
      <c r="AU49" s="154">
        <f t="shared" si="45"/>
        <v>4.8828125E-2</v>
      </c>
      <c r="AV49" s="154">
        <f t="shared" si="45"/>
        <v>2.9718559338712851E-2</v>
      </c>
      <c r="AW49" s="1164">
        <f t="shared" si="45"/>
        <v>-3.6522100020751194E-2</v>
      </c>
      <c r="AX49" s="154">
        <f t="shared" si="45"/>
        <v>3.7215851941259305E-3</v>
      </c>
      <c r="AY49" s="1163">
        <f t="shared" si="45"/>
        <v>3.248259860788863E-2</v>
      </c>
      <c r="AZ49" s="154">
        <f t="shared" si="45"/>
        <v>3.7472593183177194E-2</v>
      </c>
      <c r="BA49" s="154">
        <f t="shared" si="45"/>
        <v>1.117798796216681E-2</v>
      </c>
      <c r="BB49" s="1164">
        <f t="shared" si="45"/>
        <v>-1.6492088254958771E-2</v>
      </c>
      <c r="BC49" s="154">
        <f t="shared" si="45"/>
        <v>1.7280629139072849E-2</v>
      </c>
      <c r="BD49" s="1163">
        <f t="shared" si="45"/>
        <v>-6.9640914036996739E-3</v>
      </c>
      <c r="BE49" s="154">
        <f t="shared" si="45"/>
        <v>-1.6933845111763379E-2</v>
      </c>
      <c r="BF49" s="154">
        <f t="shared" si="45"/>
        <v>-1.2103606874848704E-3</v>
      </c>
      <c r="BG49" s="1164">
        <f t="shared" si="45"/>
        <v>3.5137034434293743E-3</v>
      </c>
      <c r="BH49" s="154">
        <f t="shared" si="45"/>
        <v>-5.5670339761248848E-3</v>
      </c>
      <c r="BI49" s="1163">
        <f t="shared" si="45"/>
        <v>7.4190647482014387E-3</v>
      </c>
      <c r="BJ49" s="154">
        <f t="shared" si="45"/>
        <v>8.1818181818181825E-3</v>
      </c>
      <c r="BK49" s="154">
        <f t="shared" si="45"/>
        <v>8.5676913015042516E-2</v>
      </c>
      <c r="BL49" s="1164">
        <f t="shared" si="45"/>
        <v>8.4970530451866408E-2</v>
      </c>
      <c r="BM49" s="154">
        <f t="shared" si="45"/>
        <v>4.6152967384474781E-2</v>
      </c>
      <c r="BN49" s="1163">
        <f t="shared" si="45"/>
        <v>-2.9339853300733496E-2</v>
      </c>
      <c r="BO49" s="206">
        <f t="shared" si="45"/>
        <v>-5.9655172413793103E-2</v>
      </c>
      <c r="BP49" s="154">
        <f t="shared" si="45"/>
        <v>-3.674911660777385E-2</v>
      </c>
      <c r="BQ49" s="1164">
        <f t="shared" si="45"/>
        <v>-7.5038880248833595E-2</v>
      </c>
      <c r="BR49" s="154">
        <f t="shared" ref="BR49:CQ49" si="46">BR48/BR14</f>
        <v>-4.8902712977363053E-2</v>
      </c>
      <c r="BS49" s="1345">
        <f t="shared" si="46"/>
        <v>-0.12857753096967109</v>
      </c>
      <c r="BT49" s="154">
        <f t="shared" si="46"/>
        <v>-2.0123839009287926E-2</v>
      </c>
      <c r="BU49" s="154">
        <f t="shared" si="46"/>
        <v>3.1273268801191363E-2</v>
      </c>
      <c r="BV49" s="1164">
        <f t="shared" si="46"/>
        <v>1.6981132075471698E-2</v>
      </c>
      <c r="BW49" s="154">
        <f t="shared" si="46"/>
        <v>-2.1830230971640191E-2</v>
      </c>
      <c r="BX49" s="1163">
        <f t="shared" si="46"/>
        <v>-4.623853211009174E-2</v>
      </c>
      <c r="BY49" s="154">
        <f t="shared" si="46"/>
        <v>5.5025445292620864E-2</v>
      </c>
      <c r="BZ49" s="154">
        <f t="shared" si="46"/>
        <v>4.9568965517241381E-2</v>
      </c>
      <c r="CA49" s="1164">
        <f t="shared" si="46"/>
        <v>4.085541015001596E-2</v>
      </c>
      <c r="CB49" s="154">
        <f t="shared" si="46"/>
        <v>2.7428571428571427E-2</v>
      </c>
      <c r="CC49" s="1163">
        <f t="shared" si="46"/>
        <v>1.9161560892060028E-2</v>
      </c>
      <c r="CD49" s="154">
        <f t="shared" si="46"/>
        <v>7.6494962535958722E-2</v>
      </c>
      <c r="CE49" s="154">
        <f t="shared" si="46"/>
        <v>9.4000899634023222E-2</v>
      </c>
      <c r="CF49" s="1164">
        <f t="shared" si="46"/>
        <v>7.8774978263204884E-2</v>
      </c>
      <c r="CG49" s="154">
        <f t="shared" si="46"/>
        <v>6.8973384767197637E-2</v>
      </c>
      <c r="CH49" s="1163">
        <f t="shared" si="46"/>
        <v>3.7149782335036415E-2</v>
      </c>
      <c r="CI49" s="154">
        <f t="shared" si="46"/>
        <v>9.4592150743522868E-2</v>
      </c>
      <c r="CJ49" s="154">
        <f t="shared" si="46"/>
        <v>8.8295130574885666E-2</v>
      </c>
      <c r="CK49" s="1164">
        <f t="shared" si="46"/>
        <v>8.8150181357912347E-2</v>
      </c>
      <c r="CL49" s="154">
        <f t="shared" si="46"/>
        <v>7.7575005661386823E-2</v>
      </c>
      <c r="CM49" s="1163">
        <f t="shared" si="46"/>
        <v>4.4541503681111094E-2</v>
      </c>
      <c r="CN49" s="154">
        <f t="shared" si="46"/>
        <v>7.7369334671160389E-2</v>
      </c>
      <c r="CO49" s="154">
        <f t="shared" si="46"/>
        <v>6.1882005559517297E-2</v>
      </c>
      <c r="CP49" s="1164">
        <f t="shared" si="46"/>
        <v>6.2930540382058767E-2</v>
      </c>
      <c r="CQ49" s="1164">
        <f t="shared" si="46"/>
        <v>6.1943963632689863E-2</v>
      </c>
      <c r="CR49" s="75"/>
    </row>
    <row r="50" spans="1:96" ht="6.2" customHeight="1">
      <c r="A50" s="75"/>
      <c r="B50" s="75"/>
      <c r="C50" s="75"/>
      <c r="D50" s="75"/>
      <c r="E50" s="75"/>
      <c r="F50" s="154"/>
      <c r="G50" s="154"/>
      <c r="H50" s="154"/>
      <c r="I50" s="154"/>
      <c r="J50" s="154"/>
      <c r="K50" s="154"/>
      <c r="L50" s="154"/>
      <c r="M50" s="154"/>
      <c r="N50" s="154"/>
      <c r="O50" s="154"/>
      <c r="P50" s="154"/>
      <c r="Q50" s="154"/>
      <c r="R50" s="154"/>
      <c r="S50" s="154"/>
      <c r="T50" s="154"/>
      <c r="U50" s="154"/>
      <c r="V50" s="154"/>
      <c r="W50" s="154"/>
      <c r="X50" s="190"/>
      <c r="Y50" s="190"/>
      <c r="Z50" s="154"/>
      <c r="AA50" s="154"/>
      <c r="AB50" s="154"/>
      <c r="AC50" s="154"/>
      <c r="AD50" s="190"/>
      <c r="AE50" s="154"/>
      <c r="AF50" s="154"/>
      <c r="AG50" s="154"/>
      <c r="AH50" s="154"/>
      <c r="AI50" s="154"/>
      <c r="AJ50" s="1163"/>
      <c r="AK50" s="154"/>
      <c r="AL50" s="154"/>
      <c r="AM50" s="1165"/>
      <c r="AN50" s="190"/>
      <c r="AO50" s="1163"/>
      <c r="AP50" s="154"/>
      <c r="AQ50" s="154"/>
      <c r="AR50" s="1164"/>
      <c r="AS50" s="190"/>
      <c r="AT50" s="1163"/>
      <c r="AU50" s="154"/>
      <c r="AV50" s="154"/>
      <c r="AW50" s="1164"/>
      <c r="AX50" s="154"/>
      <c r="AY50" s="1163"/>
      <c r="AZ50" s="154"/>
      <c r="BA50" s="154"/>
      <c r="BB50" s="1165"/>
      <c r="BC50" s="190"/>
      <c r="BD50" s="1163"/>
      <c r="BE50" s="154"/>
      <c r="BF50" s="154"/>
      <c r="BG50" s="1165"/>
      <c r="BH50" s="190"/>
      <c r="BI50" s="1163"/>
      <c r="BJ50" s="154"/>
      <c r="BK50" s="154"/>
      <c r="BL50" s="1165"/>
      <c r="BM50" s="190"/>
      <c r="BN50" s="1163"/>
      <c r="BO50" s="206"/>
      <c r="BP50" s="154"/>
      <c r="BQ50" s="1165"/>
      <c r="BR50" s="190"/>
      <c r="BS50" s="1345"/>
      <c r="BT50" s="154"/>
      <c r="BU50" s="154"/>
      <c r="BV50" s="1165"/>
      <c r="BW50" s="190"/>
      <c r="BX50" s="1163"/>
      <c r="BY50" s="154"/>
      <c r="BZ50" s="154"/>
      <c r="CA50" s="1165"/>
      <c r="CB50" s="190"/>
      <c r="CC50" s="1163"/>
      <c r="CD50" s="154"/>
      <c r="CE50" s="154"/>
      <c r="CF50" s="1165"/>
      <c r="CG50" s="190"/>
      <c r="CH50" s="1163"/>
      <c r="CI50" s="154"/>
      <c r="CJ50" s="154"/>
      <c r="CK50" s="1165"/>
      <c r="CL50" s="190"/>
      <c r="CM50" s="1163"/>
      <c r="CN50" s="154"/>
      <c r="CO50" s="154"/>
      <c r="CP50" s="1165"/>
      <c r="CQ50" s="1165"/>
      <c r="CR50" s="75"/>
    </row>
    <row r="51" spans="1:96" ht="13.5" customHeight="1">
      <c r="A51" s="81"/>
      <c r="B51" s="81" t="s">
        <v>734</v>
      </c>
      <c r="C51" s="81"/>
      <c r="D51" s="183"/>
      <c r="E51" s="183"/>
      <c r="F51" s="627">
        <f>-49+9</f>
        <v>-40</v>
      </c>
      <c r="G51" s="627">
        <f>-3-16+4</f>
        <v>-15</v>
      </c>
      <c r="H51" s="627">
        <f>-366+314+23</f>
        <v>-29</v>
      </c>
      <c r="I51" s="627">
        <f>-36+6-19+1+26</f>
        <v>-22</v>
      </c>
      <c r="J51" s="145">
        <f>SUM(F51:I51)</f>
        <v>-106</v>
      </c>
      <c r="K51" s="627">
        <f>51-15+1</f>
        <v>37</v>
      </c>
      <c r="L51" s="608">
        <v>86</v>
      </c>
      <c r="M51" s="627">
        <f>126+1</f>
        <v>127</v>
      </c>
      <c r="N51" s="153">
        <f>O51-K51-L51-M51</f>
        <v>97</v>
      </c>
      <c r="O51" s="627">
        <f>351+6-15+5</f>
        <v>347</v>
      </c>
      <c r="P51" s="608">
        <f>155-24+1</f>
        <v>132</v>
      </c>
      <c r="Q51" s="608">
        <f>93+2-1</f>
        <v>94</v>
      </c>
      <c r="R51" s="608">
        <f>28+1-1</f>
        <v>28</v>
      </c>
      <c r="S51" s="153">
        <f>T51-P51-Q51-R51</f>
        <v>101</v>
      </c>
      <c r="T51" s="608">
        <f>365-24+2+1+4+7</f>
        <v>355</v>
      </c>
      <c r="U51" s="608">
        <f>90+2</f>
        <v>92</v>
      </c>
      <c r="V51" s="608">
        <v>91</v>
      </c>
      <c r="W51" s="608">
        <f>136+7</f>
        <v>143</v>
      </c>
      <c r="X51" s="608">
        <f>7+7+11+58-9</f>
        <v>74</v>
      </c>
      <c r="Y51" s="145">
        <f>SUM(U51:X51)</f>
        <v>400</v>
      </c>
      <c r="Z51" s="608">
        <f>66+1</f>
        <v>67</v>
      </c>
      <c r="AA51" s="608">
        <f>53+9</f>
        <v>62</v>
      </c>
      <c r="AB51" s="608">
        <f>68+15</f>
        <v>83</v>
      </c>
      <c r="AC51" s="608">
        <f>31+9-20</f>
        <v>20</v>
      </c>
      <c r="AD51" s="153">
        <f>SUM(Z51:AC51)</f>
        <v>232</v>
      </c>
      <c r="AE51" s="608">
        <f>58+17-38</f>
        <v>37</v>
      </c>
      <c r="AF51" s="608">
        <f>255+2</f>
        <v>257</v>
      </c>
      <c r="AG51" s="608">
        <f>339+49+10</f>
        <v>398</v>
      </c>
      <c r="AH51" s="608">
        <f>210-46.4</f>
        <v>163.6</v>
      </c>
      <c r="AI51" s="153">
        <f>SUM(AE51:AH51)</f>
        <v>855.6</v>
      </c>
      <c r="AJ51" s="954">
        <f>-110-34+30</f>
        <v>-114</v>
      </c>
      <c r="AK51" s="608">
        <f>-82-30</f>
        <v>-112</v>
      </c>
      <c r="AL51" s="608">
        <v>-130</v>
      </c>
      <c r="AM51" s="960">
        <f>-117+18</f>
        <v>-99</v>
      </c>
      <c r="AN51" s="153">
        <f>SUM(AJ51:AM51)</f>
        <v>-455</v>
      </c>
      <c r="AO51" s="954">
        <f>-7+3+30</f>
        <v>26</v>
      </c>
      <c r="AP51" s="608">
        <f>72+52</f>
        <v>124</v>
      </c>
      <c r="AQ51" s="608">
        <v>-9</v>
      </c>
      <c r="AR51" s="960">
        <f>41-52-10+17</f>
        <v>-4</v>
      </c>
      <c r="AS51" s="153">
        <f>SUM(AO51:AR51)</f>
        <v>137</v>
      </c>
      <c r="AT51" s="954">
        <f>16</f>
        <v>16</v>
      </c>
      <c r="AU51" s="608">
        <v>65</v>
      </c>
      <c r="AV51" s="639">
        <v>33</v>
      </c>
      <c r="AW51" s="915">
        <f>AX51-SUM(AT51:AV51)</f>
        <v>-27</v>
      </c>
      <c r="AX51" s="608">
        <f>80+7</f>
        <v>87</v>
      </c>
      <c r="AY51" s="954">
        <f>96-31-7</f>
        <v>58</v>
      </c>
      <c r="AZ51" s="639">
        <f>70+6</f>
        <v>76</v>
      </c>
      <c r="BA51" s="608">
        <f>-27+46+13</f>
        <v>32</v>
      </c>
      <c r="BB51" s="1034">
        <f>-8-6</f>
        <v>-14</v>
      </c>
      <c r="BC51" s="170">
        <f>SUM(AY51:BB51)</f>
        <v>152</v>
      </c>
      <c r="BD51" s="954">
        <f>7+12</f>
        <v>19</v>
      </c>
      <c r="BE51" s="608">
        <v>3</v>
      </c>
      <c r="BF51" s="608">
        <f>4+12-8+7.7</f>
        <v>15.7</v>
      </c>
      <c r="BG51" s="1034">
        <f>-182+142+17</f>
        <v>-23</v>
      </c>
      <c r="BH51" s="153">
        <f>SUM(BD51:BG51)</f>
        <v>14.700000000000003</v>
      </c>
      <c r="BI51" s="954">
        <f>1-7</f>
        <v>-6</v>
      </c>
      <c r="BJ51" s="639">
        <f>-11+24+5-7</f>
        <v>11</v>
      </c>
      <c r="BK51" s="608">
        <f>6+29+43-10</f>
        <v>68</v>
      </c>
      <c r="BL51" s="960">
        <v>72</v>
      </c>
      <c r="BM51" s="153">
        <f>SUM(BI51:BL51)</f>
        <v>145</v>
      </c>
      <c r="BN51" s="954">
        <f>-174+88</f>
        <v>-86</v>
      </c>
      <c r="BO51" s="639">
        <f>-186+119+9</f>
        <v>-58</v>
      </c>
      <c r="BP51" s="639">
        <f>-50+6+5+38</f>
        <v>-1</v>
      </c>
      <c r="BQ51" s="1034">
        <f>183-SUM(BN51:BP51)</f>
        <v>328</v>
      </c>
      <c r="BR51" s="153">
        <f>SUM(BN51:BQ51)</f>
        <v>183</v>
      </c>
      <c r="BS51" s="1033">
        <v>14</v>
      </c>
      <c r="BT51" s="639">
        <v>-7</v>
      </c>
      <c r="BU51" s="639">
        <v>19</v>
      </c>
      <c r="BV51" s="1034">
        <v>-2</v>
      </c>
      <c r="BW51" s="153">
        <f>SUM(BS51:BV51)</f>
        <v>24</v>
      </c>
      <c r="BX51" s="1033">
        <v>19</v>
      </c>
      <c r="BY51" s="639">
        <v>-16</v>
      </c>
      <c r="BZ51" s="639">
        <v>0</v>
      </c>
      <c r="CA51" s="1034">
        <f>-89+81</f>
        <v>-8</v>
      </c>
      <c r="CB51" s="153">
        <f>SUM(BX51:CA51)</f>
        <v>-5</v>
      </c>
      <c r="CC51" s="914">
        <f>21%*Operations!CC173</f>
        <v>21.180974673480083</v>
      </c>
      <c r="CD51" s="153">
        <f>21%*Operations!CD173</f>
        <v>14.900155489385421</v>
      </c>
      <c r="CE51" s="153">
        <f>21%*Operations!CE173</f>
        <v>15.94735840844794</v>
      </c>
      <c r="CF51" s="915">
        <f>21%*Operations!CF173</f>
        <v>25.852299403007493</v>
      </c>
      <c r="CG51" s="153">
        <f>SUM(CC51:CF51)</f>
        <v>77.880787974320938</v>
      </c>
      <c r="CH51" s="914">
        <f>21%*Operations!CH173</f>
        <v>19.655016804539148</v>
      </c>
      <c r="CI51" s="153">
        <f>21%*Operations!CI173</f>
        <v>25.357782906420148</v>
      </c>
      <c r="CJ51" s="153">
        <f>21%*Operations!CJ173</f>
        <v>15.659743065220706</v>
      </c>
      <c r="CK51" s="915">
        <f>21%*Operations!CK173</f>
        <v>24.367086265064362</v>
      </c>
      <c r="CL51" s="153">
        <f>SUM(CH51:CK51)</f>
        <v>85.039629041244368</v>
      </c>
      <c r="CM51" s="914">
        <f>21%*Operations!CM173</f>
        <v>19.458948986422854</v>
      </c>
      <c r="CN51" s="153">
        <f>21%*Operations!CN173</f>
        <v>24.259080164008616</v>
      </c>
      <c r="CO51" s="153">
        <f>21%*Operations!CO173</f>
        <v>13.786667423696334</v>
      </c>
      <c r="CP51" s="915">
        <f>21%*Operations!CP173</f>
        <v>22.822265956027525</v>
      </c>
      <c r="CQ51" s="915">
        <f>SUM(CM51:CP51)</f>
        <v>80.326962530155328</v>
      </c>
      <c r="CR51" s="185"/>
    </row>
    <row r="52" spans="1:96" ht="13.5" customHeight="1">
      <c r="A52" s="81"/>
      <c r="B52" s="159" t="s">
        <v>735</v>
      </c>
      <c r="C52" s="159"/>
      <c r="D52" s="81"/>
      <c r="E52" s="81"/>
      <c r="F52" s="158">
        <f>F51/F48</f>
        <v>0.70175438596491224</v>
      </c>
      <c r="G52" s="158">
        <f>G51/G48</f>
        <v>0.41666666666666669</v>
      </c>
      <c r="H52" s="158">
        <f>H51/H48</f>
        <v>0.5178571428571429</v>
      </c>
      <c r="I52" s="631" t="s">
        <v>632</v>
      </c>
      <c r="J52" s="158">
        <f t="shared" ref="J52:W52" si="47">J51/J48</f>
        <v>0.63095238095238093</v>
      </c>
      <c r="K52" s="158">
        <f t="shared" si="47"/>
        <v>0.53623188405797106</v>
      </c>
      <c r="L52" s="158">
        <f t="shared" si="47"/>
        <v>0.24855491329479767</v>
      </c>
      <c r="M52" s="158">
        <f t="shared" si="47"/>
        <v>0.25604838709677419</v>
      </c>
      <c r="N52" s="158">
        <f t="shared" si="47"/>
        <v>0.16928446771378708</v>
      </c>
      <c r="O52" s="158">
        <f t="shared" si="47"/>
        <v>0.23382749326145552</v>
      </c>
      <c r="P52" s="158">
        <f t="shared" si="47"/>
        <v>0.23869801084990958</v>
      </c>
      <c r="Q52" s="158">
        <f t="shared" si="47"/>
        <v>0.2618384401114206</v>
      </c>
      <c r="R52" s="158">
        <f t="shared" si="47"/>
        <v>0.21374045801526717</v>
      </c>
      <c r="S52" s="158">
        <f t="shared" si="47"/>
        <v>0.42259414225941422</v>
      </c>
      <c r="T52" s="158">
        <f t="shared" si="47"/>
        <v>0.27691107644305774</v>
      </c>
      <c r="U52" s="158">
        <f t="shared" si="47"/>
        <v>0.25698324022346369</v>
      </c>
      <c r="V52" s="158">
        <f t="shared" si="47"/>
        <v>0.182</v>
      </c>
      <c r="W52" s="158">
        <f t="shared" si="47"/>
        <v>0.24869565217391304</v>
      </c>
      <c r="X52" s="641">
        <v>0.28000000000000003</v>
      </c>
      <c r="Y52" s="191">
        <f t="shared" ref="Y52:AQ52" si="48">Y51/Y48</f>
        <v>0.22522522522522523</v>
      </c>
      <c r="Z52" s="158">
        <f t="shared" si="48"/>
        <v>0.19476744186046513</v>
      </c>
      <c r="AA52" s="158">
        <f t="shared" si="48"/>
        <v>0.16315789473684211</v>
      </c>
      <c r="AB52" s="158">
        <f t="shared" si="48"/>
        <v>0.2178477690288714</v>
      </c>
      <c r="AC52" s="158">
        <f t="shared" si="48"/>
        <v>0.10101010101010101</v>
      </c>
      <c r="AD52" s="191">
        <f t="shared" si="48"/>
        <v>0.1780506523407521</v>
      </c>
      <c r="AE52" s="158">
        <f t="shared" si="48"/>
        <v>0.14682539682539683</v>
      </c>
      <c r="AF52" s="158">
        <f t="shared" si="48"/>
        <v>0.27486631016042778</v>
      </c>
      <c r="AG52" s="158">
        <f t="shared" si="48"/>
        <v>0.27297668038408779</v>
      </c>
      <c r="AH52" s="158">
        <f t="shared" si="48"/>
        <v>0.40495049504950492</v>
      </c>
      <c r="AI52" s="191">
        <f t="shared" si="48"/>
        <v>0.28061659560511643</v>
      </c>
      <c r="AJ52" s="1145">
        <f t="shared" si="48"/>
        <v>0.20357142857142857</v>
      </c>
      <c r="AK52" s="158">
        <f t="shared" si="48"/>
        <v>0.20253164556962025</v>
      </c>
      <c r="AL52" s="158">
        <f t="shared" si="48"/>
        <v>0.2974828375286041</v>
      </c>
      <c r="AM52" s="1146">
        <f t="shared" si="48"/>
        <v>0.29464285714285715</v>
      </c>
      <c r="AN52" s="191">
        <f t="shared" si="48"/>
        <v>0.24125132555673381</v>
      </c>
      <c r="AO52" s="1145">
        <f t="shared" si="48"/>
        <v>-0.32911392405063289</v>
      </c>
      <c r="AP52" s="158">
        <f t="shared" si="48"/>
        <v>0.63265306122448983</v>
      </c>
      <c r="AQ52" s="158">
        <f t="shared" si="48"/>
        <v>4.5685279187817257E-2</v>
      </c>
      <c r="AR52" s="1255">
        <v>0</v>
      </c>
      <c r="AS52" s="191">
        <f t="shared" ref="AS52:BW52" si="49">AS51/AS48</f>
        <v>-0.52895752895752901</v>
      </c>
      <c r="AT52" s="1145">
        <f t="shared" si="49"/>
        <v>-0.10596026490066225</v>
      </c>
      <c r="AU52" s="158">
        <f t="shared" si="49"/>
        <v>0.26</v>
      </c>
      <c r="AV52" s="158">
        <f t="shared" si="49"/>
        <v>0.2185430463576159</v>
      </c>
      <c r="AW52" s="1146">
        <f t="shared" si="49"/>
        <v>0.15340909090909091</v>
      </c>
      <c r="AX52" s="191">
        <f t="shared" si="49"/>
        <v>1.1756756756756757</v>
      </c>
      <c r="AY52" s="1145">
        <f t="shared" si="49"/>
        <v>0.34523809523809523</v>
      </c>
      <c r="AZ52" s="158">
        <f t="shared" si="49"/>
        <v>0.40425531914893614</v>
      </c>
      <c r="BA52" s="158">
        <f t="shared" si="49"/>
        <v>0.61538461538461542</v>
      </c>
      <c r="BB52" s="1146">
        <f t="shared" si="49"/>
        <v>0.1891891891891892</v>
      </c>
      <c r="BC52" s="191">
        <f t="shared" si="49"/>
        <v>0.45508982035928142</v>
      </c>
      <c r="BD52" s="1145">
        <f t="shared" si="49"/>
        <v>-0.59375</v>
      </c>
      <c r="BE52" s="158">
        <f t="shared" si="49"/>
        <v>-0.04</v>
      </c>
      <c r="BF52" s="158">
        <f t="shared" si="49"/>
        <v>-3.1399999999999997</v>
      </c>
      <c r="BG52" s="1146">
        <f t="shared" si="49"/>
        <v>-1.5333333333333334</v>
      </c>
      <c r="BH52" s="191">
        <f t="shared" si="49"/>
        <v>-0.15154639175257734</v>
      </c>
      <c r="BI52" s="1145">
        <f t="shared" si="49"/>
        <v>-0.18181818181818182</v>
      </c>
      <c r="BJ52" s="158">
        <f t="shared" si="49"/>
        <v>0.30555555555555558</v>
      </c>
      <c r="BK52" s="158">
        <f t="shared" si="49"/>
        <v>0.17302798982188294</v>
      </c>
      <c r="BL52" s="1146">
        <f t="shared" si="49"/>
        <v>0.20809248554913296</v>
      </c>
      <c r="BM52" s="191">
        <f t="shared" si="49"/>
        <v>0.17945544554455445</v>
      </c>
      <c r="BN52" s="1145">
        <f t="shared" si="49"/>
        <v>0.89583333333333337</v>
      </c>
      <c r="BO52" s="158">
        <f t="shared" si="49"/>
        <v>0.33526011560693642</v>
      </c>
      <c r="BP52" s="158">
        <f t="shared" si="49"/>
        <v>9.6153846153846159E-3</v>
      </c>
      <c r="BQ52" s="1146">
        <f t="shared" si="49"/>
        <v>-1.6994818652849741</v>
      </c>
      <c r="BR52" s="191">
        <f t="shared" si="49"/>
        <v>-0.32332155477031804</v>
      </c>
      <c r="BS52" s="1145">
        <f t="shared" si="49"/>
        <v>-4.6511627906976744E-2</v>
      </c>
      <c r="BT52" s="158">
        <f t="shared" si="49"/>
        <v>0.13461538461538461</v>
      </c>
      <c r="BU52" s="158">
        <f t="shared" si="49"/>
        <v>0.22619047619047619</v>
      </c>
      <c r="BV52" s="1146">
        <f t="shared" si="49"/>
        <v>-4.4444444444444446E-2</v>
      </c>
      <c r="BW52" s="191">
        <f t="shared" si="49"/>
        <v>-0.10714285714285714</v>
      </c>
      <c r="BX52" s="1145">
        <f>BX33/BX48*0.19+(BX39-BX33+BX44)/BX48*0.35-0.02</f>
        <v>0.41547619047619044</v>
      </c>
      <c r="BY52" s="866">
        <f>BY33/BY48*0.19+(BY39-BY33+BY44)/BY48*0.35-0.02</f>
        <v>0.3135260115606936</v>
      </c>
      <c r="BZ52" s="866">
        <f>BZ33/BZ48*0.19+(BZ39-BZ33+BZ44)/BZ48*0.35-0.02</f>
        <v>0.1813664596273292</v>
      </c>
      <c r="CA52" s="1356">
        <f>CA33/CA48*0.19+(CA39-CA33+CA44)/CA48*0.35-0.02</f>
        <v>0.12984375000000001</v>
      </c>
      <c r="CB52" s="867">
        <f>CB51/CB48</f>
        <v>-1.488095238095238E-2</v>
      </c>
      <c r="CC52" s="1369">
        <f>+CC51/CC48</f>
        <v>0.35253754789328451</v>
      </c>
      <c r="CD52" s="866">
        <f t="shared" ref="CD52:CG52" si="50">+CD51/CD48</f>
        <v>5.5555494961220413E-2</v>
      </c>
      <c r="CE52" s="866">
        <f t="shared" si="50"/>
        <v>4.5520295413307391E-2</v>
      </c>
      <c r="CF52" s="1356">
        <f t="shared" si="50"/>
        <v>8.8035760194822357E-2</v>
      </c>
      <c r="CG52" s="866">
        <f t="shared" si="50"/>
        <v>8.0101482549390868E-2</v>
      </c>
      <c r="CH52" s="1369">
        <f t="shared" ref="CH52" si="51">+CH51/CH48</f>
        <v>0.14606417861665705</v>
      </c>
      <c r="CI52" s="866">
        <f t="shared" ref="CI52" si="52">+CI51/CI48</f>
        <v>6.8857038031156614E-2</v>
      </c>
      <c r="CJ52" s="866">
        <f t="shared" ref="CJ52" si="53">+CJ51/CJ48</f>
        <v>4.6692312817818278E-2</v>
      </c>
      <c r="CK52" s="1356">
        <f t="shared" ref="CK52:CL52" si="54">+CK51/CK48</f>
        <v>7.4085882690790444E-2</v>
      </c>
      <c r="CL52" s="866">
        <f t="shared" si="54"/>
        <v>7.2863034760314652E-2</v>
      </c>
      <c r="CM52" s="1369">
        <f t="shared" ref="CM52" si="55">+CM51/CM48</f>
        <v>0.12557147697552959</v>
      </c>
      <c r="CN52" s="866">
        <f t="shared" ref="CN52" si="56">+CN51/CN48</f>
        <v>8.4430078172195458E-2</v>
      </c>
      <c r="CO52" s="866">
        <f t="shared" ref="CO52:CP52" si="57">+CO51/CO48</f>
        <v>6.2209127232004238E-2</v>
      </c>
      <c r="CP52" s="1528">
        <f t="shared" si="57"/>
        <v>0.10278601474186251</v>
      </c>
      <c r="CQ52" s="1356">
        <f>AVERAGE(CM52:CP52)</f>
        <v>9.3749174280397946E-2</v>
      </c>
      <c r="CR52" s="75"/>
    </row>
    <row r="53" spans="1:96" ht="6.2" customHeight="1">
      <c r="A53" s="75"/>
      <c r="B53" s="75"/>
      <c r="C53" s="75"/>
      <c r="D53" s="75"/>
      <c r="E53" s="75"/>
      <c r="F53" s="85"/>
      <c r="G53" s="85"/>
      <c r="H53" s="85"/>
      <c r="I53" s="85"/>
      <c r="J53" s="85"/>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3"/>
      <c r="AH53" s="193"/>
      <c r="AI53" s="85"/>
      <c r="AJ53" s="1132"/>
      <c r="AK53" s="85"/>
      <c r="AL53" s="85"/>
      <c r="AM53" s="1133"/>
      <c r="AN53" s="85"/>
      <c r="AO53" s="1132"/>
      <c r="AP53" s="85"/>
      <c r="AQ53" s="85"/>
      <c r="AR53" s="1133"/>
      <c r="AS53" s="85"/>
      <c r="AT53" s="1132"/>
      <c r="AU53" s="85"/>
      <c r="AV53" s="85"/>
      <c r="AW53" s="1133"/>
      <c r="AX53" s="85"/>
      <c r="AY53" s="1132"/>
      <c r="AZ53" s="85"/>
      <c r="BA53" s="85"/>
      <c r="BB53" s="1133"/>
      <c r="BC53" s="85"/>
      <c r="BD53" s="1132"/>
      <c r="BE53" s="85"/>
      <c r="BF53" s="85"/>
      <c r="BG53" s="1133"/>
      <c r="BH53" s="85"/>
      <c r="BI53" s="1132"/>
      <c r="BJ53" s="85"/>
      <c r="BK53" s="85"/>
      <c r="BL53" s="1133"/>
      <c r="BM53" s="85"/>
      <c r="BN53" s="1132"/>
      <c r="BO53" s="85"/>
      <c r="BP53" s="85"/>
      <c r="BQ53" s="1133"/>
      <c r="BR53" s="85"/>
      <c r="BS53" s="1132"/>
      <c r="BT53" s="85"/>
      <c r="BU53" s="85"/>
      <c r="BV53" s="1133"/>
      <c r="BW53" s="85"/>
      <c r="BX53" s="1132"/>
      <c r="BY53" s="85"/>
      <c r="BZ53" s="85"/>
      <c r="CA53" s="1133"/>
      <c r="CB53" s="85"/>
      <c r="CC53" s="1132"/>
      <c r="CD53" s="85"/>
      <c r="CE53" s="85"/>
      <c r="CF53" s="1133"/>
      <c r="CG53" s="85"/>
      <c r="CH53" s="1132"/>
      <c r="CI53" s="85"/>
      <c r="CJ53" s="85"/>
      <c r="CK53" s="1133"/>
      <c r="CL53" s="85"/>
      <c r="CM53" s="1132"/>
      <c r="CN53" s="85"/>
      <c r="CO53" s="85"/>
      <c r="CP53" s="1133"/>
      <c r="CQ53" s="1133"/>
      <c r="CR53" s="75"/>
    </row>
    <row r="54" spans="1:96" ht="13.5" customHeight="1">
      <c r="A54" s="75"/>
      <c r="B54" s="75" t="s">
        <v>736</v>
      </c>
      <c r="C54" s="115"/>
      <c r="D54" s="75"/>
      <c r="E54" s="75"/>
      <c r="F54" s="153">
        <f>SUM(F55:F57)</f>
        <v>2</v>
      </c>
      <c r="G54" s="153">
        <f>SUM(G55:G57)</f>
        <v>5</v>
      </c>
      <c r="H54" s="153">
        <f>SUM(H55:H57)</f>
        <v>4</v>
      </c>
      <c r="I54" s="153">
        <f>SUM(I55:I57)</f>
        <v>5</v>
      </c>
      <c r="J54" s="145">
        <f>SUM(F54:I54)</f>
        <v>16</v>
      </c>
      <c r="K54" s="145">
        <f t="shared" ref="K54:AP54" si="58">SUM(K55:K57)</f>
        <v>8</v>
      </c>
      <c r="L54" s="153">
        <f t="shared" si="58"/>
        <v>10</v>
      </c>
      <c r="M54" s="153">
        <f t="shared" si="58"/>
        <v>14</v>
      </c>
      <c r="N54" s="153">
        <f t="shared" si="58"/>
        <v>19</v>
      </c>
      <c r="O54" s="153">
        <f t="shared" si="58"/>
        <v>51</v>
      </c>
      <c r="P54" s="153">
        <f t="shared" si="58"/>
        <v>12</v>
      </c>
      <c r="Q54" s="153">
        <f t="shared" si="58"/>
        <v>17</v>
      </c>
      <c r="R54" s="153">
        <f t="shared" si="58"/>
        <v>12</v>
      </c>
      <c r="S54" s="153">
        <f t="shared" si="58"/>
        <v>14</v>
      </c>
      <c r="T54" s="153">
        <f t="shared" si="58"/>
        <v>55</v>
      </c>
      <c r="U54" s="153">
        <f t="shared" si="58"/>
        <v>11</v>
      </c>
      <c r="V54" s="153">
        <f t="shared" si="58"/>
        <v>9</v>
      </c>
      <c r="W54" s="153">
        <f t="shared" si="58"/>
        <v>1</v>
      </c>
      <c r="X54" s="153">
        <f t="shared" si="58"/>
        <v>12</v>
      </c>
      <c r="Y54" s="153">
        <f t="shared" si="58"/>
        <v>33</v>
      </c>
      <c r="Z54" s="153">
        <f t="shared" si="58"/>
        <v>2</v>
      </c>
      <c r="AA54" s="153">
        <f t="shared" si="58"/>
        <v>2</v>
      </c>
      <c r="AB54" s="153">
        <f t="shared" si="58"/>
        <v>1</v>
      </c>
      <c r="AC54" s="153">
        <f t="shared" si="58"/>
        <v>6</v>
      </c>
      <c r="AD54" s="153">
        <f t="shared" si="58"/>
        <v>11</v>
      </c>
      <c r="AE54" s="153">
        <f t="shared" si="58"/>
        <v>5</v>
      </c>
      <c r="AF54" s="153">
        <f t="shared" si="58"/>
        <v>6</v>
      </c>
      <c r="AG54" s="153">
        <f t="shared" si="58"/>
        <v>23</v>
      </c>
      <c r="AH54" s="153">
        <f t="shared" si="58"/>
        <v>8</v>
      </c>
      <c r="AI54" s="153">
        <f t="shared" si="58"/>
        <v>42</v>
      </c>
      <c r="AJ54" s="914">
        <f t="shared" si="58"/>
        <v>0</v>
      </c>
      <c r="AK54" s="153">
        <f t="shared" si="58"/>
        <v>0</v>
      </c>
      <c r="AL54" s="153">
        <f t="shared" si="58"/>
        <v>-4</v>
      </c>
      <c r="AM54" s="915">
        <f t="shared" si="58"/>
        <v>-1</v>
      </c>
      <c r="AN54" s="153">
        <f t="shared" si="58"/>
        <v>-5</v>
      </c>
      <c r="AO54" s="914">
        <f t="shared" si="58"/>
        <v>-1</v>
      </c>
      <c r="AP54" s="153">
        <f t="shared" si="58"/>
        <v>1</v>
      </c>
      <c r="AQ54" s="153">
        <f t="shared" ref="AQ54:BV54" si="59">SUM(AQ55:AQ57)</f>
        <v>0</v>
      </c>
      <c r="AR54" s="915">
        <f t="shared" si="59"/>
        <v>0</v>
      </c>
      <c r="AS54" s="153">
        <f t="shared" si="59"/>
        <v>0</v>
      </c>
      <c r="AT54" s="914">
        <f t="shared" si="59"/>
        <v>0</v>
      </c>
      <c r="AU54" s="153">
        <f t="shared" si="59"/>
        <v>0</v>
      </c>
      <c r="AV54" s="153">
        <f t="shared" si="59"/>
        <v>0</v>
      </c>
      <c r="AW54" s="915">
        <f t="shared" si="59"/>
        <v>0</v>
      </c>
      <c r="AX54" s="153">
        <f t="shared" si="59"/>
        <v>0</v>
      </c>
      <c r="AY54" s="914">
        <f t="shared" si="59"/>
        <v>0</v>
      </c>
      <c r="AZ54" s="153">
        <f t="shared" si="59"/>
        <v>0</v>
      </c>
      <c r="BA54" s="153">
        <f t="shared" si="59"/>
        <v>0</v>
      </c>
      <c r="BB54" s="915">
        <f t="shared" si="59"/>
        <v>-1</v>
      </c>
      <c r="BC54" s="153">
        <f t="shared" si="59"/>
        <v>-1</v>
      </c>
      <c r="BD54" s="914">
        <f t="shared" si="59"/>
        <v>0</v>
      </c>
      <c r="BE54" s="153">
        <f t="shared" si="59"/>
        <v>0</v>
      </c>
      <c r="BF54" s="153">
        <f t="shared" si="59"/>
        <v>0</v>
      </c>
      <c r="BG54" s="915">
        <f t="shared" si="59"/>
        <v>0</v>
      </c>
      <c r="BH54" s="153">
        <f t="shared" si="59"/>
        <v>0</v>
      </c>
      <c r="BI54" s="914">
        <f t="shared" si="59"/>
        <v>0</v>
      </c>
      <c r="BJ54" s="153">
        <f t="shared" si="59"/>
        <v>0</v>
      </c>
      <c r="BK54" s="153">
        <f t="shared" si="59"/>
        <v>0</v>
      </c>
      <c r="BL54" s="915">
        <f t="shared" si="59"/>
        <v>0</v>
      </c>
      <c r="BM54" s="153">
        <f t="shared" si="59"/>
        <v>0</v>
      </c>
      <c r="BN54" s="914">
        <f t="shared" si="59"/>
        <v>0</v>
      </c>
      <c r="BO54" s="153">
        <f t="shared" si="59"/>
        <v>0</v>
      </c>
      <c r="BP54" s="153">
        <f t="shared" si="59"/>
        <v>0</v>
      </c>
      <c r="BQ54" s="915">
        <f t="shared" si="59"/>
        <v>0</v>
      </c>
      <c r="BR54" s="153">
        <f t="shared" si="59"/>
        <v>0</v>
      </c>
      <c r="BS54" s="914">
        <f t="shared" si="59"/>
        <v>0</v>
      </c>
      <c r="BT54" s="153">
        <f t="shared" si="59"/>
        <v>0</v>
      </c>
      <c r="BU54" s="153">
        <f t="shared" si="59"/>
        <v>0</v>
      </c>
      <c r="BV54" s="915">
        <f t="shared" si="59"/>
        <v>0</v>
      </c>
      <c r="BW54" s="153">
        <f t="shared" ref="BW54:CQ54" si="60">SUM(BW55:BW57)</f>
        <v>0</v>
      </c>
      <c r="BX54" s="914">
        <f t="shared" si="60"/>
        <v>0</v>
      </c>
      <c r="BY54" s="153">
        <f t="shared" si="60"/>
        <v>0</v>
      </c>
      <c r="BZ54" s="153">
        <f t="shared" si="60"/>
        <v>0</v>
      </c>
      <c r="CA54" s="915">
        <f t="shared" si="60"/>
        <v>0</v>
      </c>
      <c r="CB54" s="153">
        <f t="shared" si="60"/>
        <v>0</v>
      </c>
      <c r="CC54" s="914">
        <f t="shared" si="60"/>
        <v>0</v>
      </c>
      <c r="CD54" s="153">
        <f t="shared" si="60"/>
        <v>0</v>
      </c>
      <c r="CE54" s="153">
        <f t="shared" si="60"/>
        <v>0</v>
      </c>
      <c r="CF54" s="915">
        <f t="shared" si="60"/>
        <v>0</v>
      </c>
      <c r="CG54" s="153">
        <f t="shared" si="60"/>
        <v>0</v>
      </c>
      <c r="CH54" s="914">
        <f t="shared" si="60"/>
        <v>0</v>
      </c>
      <c r="CI54" s="153">
        <f t="shared" si="60"/>
        <v>0</v>
      </c>
      <c r="CJ54" s="153">
        <f t="shared" si="60"/>
        <v>0</v>
      </c>
      <c r="CK54" s="915">
        <f t="shared" si="60"/>
        <v>0</v>
      </c>
      <c r="CL54" s="153">
        <f t="shared" si="60"/>
        <v>0</v>
      </c>
      <c r="CM54" s="914">
        <f t="shared" si="60"/>
        <v>0</v>
      </c>
      <c r="CN54" s="153">
        <f t="shared" si="60"/>
        <v>0</v>
      </c>
      <c r="CO54" s="153">
        <f t="shared" si="60"/>
        <v>0</v>
      </c>
      <c r="CP54" s="915">
        <f t="shared" si="60"/>
        <v>0</v>
      </c>
      <c r="CQ54" s="915">
        <f t="shared" si="60"/>
        <v>0</v>
      </c>
      <c r="CR54" s="75"/>
    </row>
    <row r="55" spans="1:96" ht="13.5" customHeight="1">
      <c r="A55" s="75"/>
      <c r="B55" s="75"/>
      <c r="C55" s="75" t="s">
        <v>737</v>
      </c>
      <c r="D55" s="75"/>
      <c r="E55" s="75"/>
      <c r="F55" s="608">
        <v>0</v>
      </c>
      <c r="G55" s="608">
        <v>0</v>
      </c>
      <c r="H55" s="608">
        <v>0</v>
      </c>
      <c r="I55" s="608">
        <v>0</v>
      </c>
      <c r="J55" s="153">
        <f>SUM(F55:I55)</f>
        <v>0</v>
      </c>
      <c r="K55" s="608">
        <v>4</v>
      </c>
      <c r="L55" s="608">
        <v>5</v>
      </c>
      <c r="M55" s="608">
        <v>10</v>
      </c>
      <c r="N55" s="153">
        <f>O55-K55-L55-M55</f>
        <v>14</v>
      </c>
      <c r="O55" s="608">
        <v>33</v>
      </c>
      <c r="P55" s="608">
        <v>8</v>
      </c>
      <c r="Q55" s="608">
        <v>12</v>
      </c>
      <c r="R55" s="608">
        <v>8</v>
      </c>
      <c r="S55" s="153">
        <f>T55-P55-Q55-R55</f>
        <v>9</v>
      </c>
      <c r="T55" s="608">
        <v>37</v>
      </c>
      <c r="U55" s="608">
        <v>7</v>
      </c>
      <c r="V55" s="608">
        <v>5</v>
      </c>
      <c r="W55" s="608">
        <v>1</v>
      </c>
      <c r="X55" s="608">
        <v>12</v>
      </c>
      <c r="Y55" s="153">
        <f>SUM(U55:X55)</f>
        <v>25</v>
      </c>
      <c r="Z55" s="608">
        <v>2</v>
      </c>
      <c r="AA55" s="608">
        <v>2</v>
      </c>
      <c r="AB55" s="608">
        <v>1</v>
      </c>
      <c r="AC55" s="608">
        <v>6</v>
      </c>
      <c r="AD55" s="153">
        <f>SUM(Z55:AC55)</f>
        <v>11</v>
      </c>
      <c r="AE55" s="608">
        <v>5</v>
      </c>
      <c r="AF55" s="608">
        <v>6</v>
      </c>
      <c r="AG55" s="608">
        <v>23</v>
      </c>
      <c r="AH55" s="608">
        <v>8</v>
      </c>
      <c r="AI55" s="153">
        <f>SUM(AE55:AH55)</f>
        <v>42</v>
      </c>
      <c r="AJ55" s="954">
        <v>0</v>
      </c>
      <c r="AK55" s="608">
        <v>0</v>
      </c>
      <c r="AL55" s="608">
        <v>-4</v>
      </c>
      <c r="AM55" s="960">
        <v>-1</v>
      </c>
      <c r="AN55" s="153">
        <f>SUM(AJ55:AM55)</f>
        <v>-5</v>
      </c>
      <c r="AO55" s="954">
        <v>-1</v>
      </c>
      <c r="AP55" s="608">
        <v>1</v>
      </c>
      <c r="AQ55" s="608">
        <v>0</v>
      </c>
      <c r="AR55" s="960">
        <v>0</v>
      </c>
      <c r="AS55" s="153">
        <f>SUM(AO55:AR55)</f>
        <v>0</v>
      </c>
      <c r="AT55" s="954">
        <v>0</v>
      </c>
      <c r="AU55" s="608">
        <v>0</v>
      </c>
      <c r="AV55" s="608">
        <v>0</v>
      </c>
      <c r="AW55" s="960">
        <v>0</v>
      </c>
      <c r="AX55" s="153">
        <f>SUM(AT55:AW55)</f>
        <v>0</v>
      </c>
      <c r="AY55" s="954">
        <v>0</v>
      </c>
      <c r="AZ55" s="608">
        <v>0</v>
      </c>
      <c r="BA55" s="608">
        <v>0</v>
      </c>
      <c r="BB55" s="960">
        <v>-1</v>
      </c>
      <c r="BC55" s="153">
        <f>SUM(AY55:BB55)</f>
        <v>-1</v>
      </c>
      <c r="BD55" s="954">
        <v>0</v>
      </c>
      <c r="BE55" s="608">
        <v>0</v>
      </c>
      <c r="BF55" s="608">
        <v>0</v>
      </c>
      <c r="BG55" s="960">
        <v>0</v>
      </c>
      <c r="BH55" s="153">
        <f>SUM(BD55:BG55)</f>
        <v>0</v>
      </c>
      <c r="BI55" s="954">
        <v>0</v>
      </c>
      <c r="BJ55" s="608">
        <v>0</v>
      </c>
      <c r="BK55" s="608">
        <v>0</v>
      </c>
      <c r="BL55" s="960">
        <v>0</v>
      </c>
      <c r="BM55" s="153">
        <f>SUM(BI55:BL55)</f>
        <v>0</v>
      </c>
      <c r="BN55" s="954">
        <v>0</v>
      </c>
      <c r="BO55" s="608">
        <v>0</v>
      </c>
      <c r="BP55" s="608">
        <v>0</v>
      </c>
      <c r="BQ55" s="960">
        <v>0</v>
      </c>
      <c r="BR55" s="153">
        <f>SUM(BN55:BQ55)</f>
        <v>0</v>
      </c>
      <c r="BS55" s="954">
        <v>0</v>
      </c>
      <c r="BT55" s="608">
        <v>0</v>
      </c>
      <c r="BU55" s="608">
        <v>0</v>
      </c>
      <c r="BV55" s="960">
        <v>0</v>
      </c>
      <c r="BW55" s="153">
        <f>SUM(BS55:BV55)</f>
        <v>0</v>
      </c>
      <c r="BX55" s="954">
        <v>0</v>
      </c>
      <c r="BY55" s="608">
        <v>0</v>
      </c>
      <c r="BZ55" s="608">
        <v>0</v>
      </c>
      <c r="CA55" s="960">
        <v>0</v>
      </c>
      <c r="CB55" s="153">
        <f>SUM(BX55:CA55)</f>
        <v>0</v>
      </c>
      <c r="CC55" s="954">
        <v>0</v>
      </c>
      <c r="CD55" s="608">
        <v>0</v>
      </c>
      <c r="CE55" s="608">
        <v>0</v>
      </c>
      <c r="CF55" s="960">
        <v>0</v>
      </c>
      <c r="CG55" s="153">
        <f>SUM(CC55:CF55)</f>
        <v>0</v>
      </c>
      <c r="CH55" s="954">
        <v>0</v>
      </c>
      <c r="CI55" s="608">
        <v>0</v>
      </c>
      <c r="CJ55" s="608">
        <v>0</v>
      </c>
      <c r="CK55" s="960">
        <v>0</v>
      </c>
      <c r="CL55" s="153">
        <f>SUM(CH55:CK55)</f>
        <v>0</v>
      </c>
      <c r="CM55" s="954">
        <v>0</v>
      </c>
      <c r="CN55" s="608">
        <v>0</v>
      </c>
      <c r="CO55" s="608">
        <v>0</v>
      </c>
      <c r="CP55" s="960">
        <v>0</v>
      </c>
      <c r="CQ55" s="915">
        <f>SUM(CM55:CP55)</f>
        <v>0</v>
      </c>
      <c r="CR55" s="75"/>
    </row>
    <row r="56" spans="1:96" ht="13.5" customHeight="1">
      <c r="A56" s="125"/>
      <c r="B56" s="142"/>
      <c r="C56" s="125" t="s">
        <v>738</v>
      </c>
      <c r="D56" s="142"/>
      <c r="E56" s="142"/>
      <c r="F56" s="608">
        <v>2</v>
      </c>
      <c r="G56" s="608">
        <v>5</v>
      </c>
      <c r="H56" s="608">
        <v>4</v>
      </c>
      <c r="I56" s="153">
        <f>J56-H56-G56-F56</f>
        <v>5</v>
      </c>
      <c r="J56" s="608">
        <v>16</v>
      </c>
      <c r="K56" s="608">
        <v>4</v>
      </c>
      <c r="L56" s="608">
        <v>5</v>
      </c>
      <c r="M56" s="608">
        <v>4</v>
      </c>
      <c r="N56" s="153">
        <f>O56-K56-L56-M56</f>
        <v>5</v>
      </c>
      <c r="O56" s="608">
        <v>18</v>
      </c>
      <c r="P56" s="608">
        <v>4</v>
      </c>
      <c r="Q56" s="608">
        <v>5</v>
      </c>
      <c r="R56" s="608">
        <v>4</v>
      </c>
      <c r="S56" s="153">
        <f>T56-P56-Q56-R56</f>
        <v>5</v>
      </c>
      <c r="T56" s="608">
        <v>18</v>
      </c>
      <c r="U56" s="608">
        <v>4</v>
      </c>
      <c r="V56" s="608">
        <v>4</v>
      </c>
      <c r="W56" s="608">
        <v>0</v>
      </c>
      <c r="X56" s="608">
        <v>0</v>
      </c>
      <c r="Y56" s="153">
        <f>SUM(U56:X56)</f>
        <v>8</v>
      </c>
      <c r="Z56" s="608">
        <v>0</v>
      </c>
      <c r="AA56" s="608">
        <v>0</v>
      </c>
      <c r="AB56" s="608">
        <v>0</v>
      </c>
      <c r="AC56" s="608">
        <v>0</v>
      </c>
      <c r="AD56" s="153">
        <f>SUM(Z56:AC56)</f>
        <v>0</v>
      </c>
      <c r="AE56" s="608">
        <v>0</v>
      </c>
      <c r="AF56" s="608">
        <v>0</v>
      </c>
      <c r="AG56" s="608">
        <v>0</v>
      </c>
      <c r="AH56" s="608">
        <v>0</v>
      </c>
      <c r="AI56" s="153">
        <f>SUM(AE56:AH56)</f>
        <v>0</v>
      </c>
      <c r="AJ56" s="954">
        <v>0</v>
      </c>
      <c r="AK56" s="608">
        <v>0</v>
      </c>
      <c r="AL56" s="608">
        <v>0</v>
      </c>
      <c r="AM56" s="960">
        <v>0</v>
      </c>
      <c r="AN56" s="153">
        <f>SUM(AJ56:AM56)</f>
        <v>0</v>
      </c>
      <c r="AO56" s="954">
        <v>0</v>
      </c>
      <c r="AP56" s="608">
        <v>0</v>
      </c>
      <c r="AQ56" s="608">
        <v>0</v>
      </c>
      <c r="AR56" s="960">
        <v>0</v>
      </c>
      <c r="AS56" s="153">
        <f>SUM(AO56:AR56)</f>
        <v>0</v>
      </c>
      <c r="AT56" s="954">
        <v>0</v>
      </c>
      <c r="AU56" s="608">
        <v>0</v>
      </c>
      <c r="AV56" s="608">
        <v>0</v>
      </c>
      <c r="AW56" s="960">
        <v>0</v>
      </c>
      <c r="AX56" s="153">
        <f>SUM(AT56:AW56)</f>
        <v>0</v>
      </c>
      <c r="AY56" s="954">
        <v>0</v>
      </c>
      <c r="AZ56" s="608">
        <v>0</v>
      </c>
      <c r="BA56" s="608">
        <v>0</v>
      </c>
      <c r="BB56" s="960">
        <v>0</v>
      </c>
      <c r="BC56" s="153">
        <f>SUM(AY56:BB56)</f>
        <v>0</v>
      </c>
      <c r="BD56" s="954">
        <v>0</v>
      </c>
      <c r="BE56" s="608">
        <v>0</v>
      </c>
      <c r="BF56" s="608">
        <v>0</v>
      </c>
      <c r="BG56" s="960">
        <v>0</v>
      </c>
      <c r="BH56" s="153">
        <f>SUM(BD56:BG56)</f>
        <v>0</v>
      </c>
      <c r="BI56" s="954">
        <v>0</v>
      </c>
      <c r="BJ56" s="608">
        <v>0</v>
      </c>
      <c r="BK56" s="608">
        <v>0</v>
      </c>
      <c r="BL56" s="960">
        <v>0</v>
      </c>
      <c r="BM56" s="153">
        <f>SUM(BI56:BL56)</f>
        <v>0</v>
      </c>
      <c r="BN56" s="954">
        <v>0</v>
      </c>
      <c r="BO56" s="608">
        <v>0</v>
      </c>
      <c r="BP56" s="608">
        <v>0</v>
      </c>
      <c r="BQ56" s="960">
        <v>0</v>
      </c>
      <c r="BR56" s="153">
        <f>SUM(BN56:BQ56)</f>
        <v>0</v>
      </c>
      <c r="BS56" s="954">
        <v>0</v>
      </c>
      <c r="BT56" s="608">
        <v>0</v>
      </c>
      <c r="BU56" s="608">
        <v>0</v>
      </c>
      <c r="BV56" s="960">
        <v>0</v>
      </c>
      <c r="BW56" s="153">
        <f>SUM(BS56:BV56)</f>
        <v>0</v>
      </c>
      <c r="BX56" s="954">
        <v>0</v>
      </c>
      <c r="BY56" s="608">
        <v>0</v>
      </c>
      <c r="BZ56" s="608">
        <v>0</v>
      </c>
      <c r="CA56" s="960">
        <v>0</v>
      </c>
      <c r="CB56" s="153">
        <f>SUM(BX56:CA56)</f>
        <v>0</v>
      </c>
      <c r="CC56" s="954">
        <v>0</v>
      </c>
      <c r="CD56" s="608">
        <v>0</v>
      </c>
      <c r="CE56" s="608">
        <v>0</v>
      </c>
      <c r="CF56" s="960">
        <v>0</v>
      </c>
      <c r="CG56" s="153">
        <f>SUM(CC56:CF56)</f>
        <v>0</v>
      </c>
      <c r="CH56" s="954">
        <v>0</v>
      </c>
      <c r="CI56" s="608">
        <v>0</v>
      </c>
      <c r="CJ56" s="608">
        <v>0</v>
      </c>
      <c r="CK56" s="960">
        <v>0</v>
      </c>
      <c r="CL56" s="153">
        <f>SUM(CH56:CK56)</f>
        <v>0</v>
      </c>
      <c r="CM56" s="954">
        <v>0</v>
      </c>
      <c r="CN56" s="608">
        <v>0</v>
      </c>
      <c r="CO56" s="608">
        <v>0</v>
      </c>
      <c r="CP56" s="960">
        <v>0</v>
      </c>
      <c r="CQ56" s="915">
        <f>SUM(CM56:CP56)</f>
        <v>0</v>
      </c>
      <c r="CR56" s="142"/>
    </row>
    <row r="57" spans="1:96" ht="13.5" customHeight="1">
      <c r="A57" s="125"/>
      <c r="B57" s="125"/>
      <c r="C57" s="125" t="s">
        <v>699</v>
      </c>
      <c r="D57" s="142"/>
      <c r="E57" s="142"/>
      <c r="F57" s="608">
        <v>0</v>
      </c>
      <c r="G57" s="608">
        <v>0</v>
      </c>
      <c r="H57" s="608">
        <v>0</v>
      </c>
      <c r="I57" s="608">
        <v>0</v>
      </c>
      <c r="J57" s="153">
        <f>SUM(F57:I57)</f>
        <v>0</v>
      </c>
      <c r="K57" s="153"/>
      <c r="L57" s="153"/>
      <c r="M57" s="153"/>
      <c r="N57" s="153"/>
      <c r="O57" s="153"/>
      <c r="P57" s="153"/>
      <c r="Q57" s="153"/>
      <c r="R57" s="153"/>
      <c r="S57" s="153"/>
      <c r="T57" s="153"/>
      <c r="U57" s="153"/>
      <c r="V57" s="153"/>
      <c r="W57" s="153"/>
      <c r="X57" s="180"/>
      <c r="Y57" s="180"/>
      <c r="Z57" s="153"/>
      <c r="AA57" s="153"/>
      <c r="AB57" s="153"/>
      <c r="AC57" s="180"/>
      <c r="AD57" s="180"/>
      <c r="AE57" s="153"/>
      <c r="AF57" s="153"/>
      <c r="AG57" s="153"/>
      <c r="AH57" s="180"/>
      <c r="AI57" s="180"/>
      <c r="AJ57" s="914"/>
      <c r="AK57" s="153"/>
      <c r="AL57" s="153"/>
      <c r="AM57" s="1162"/>
      <c r="AN57" s="180"/>
      <c r="AO57" s="914"/>
      <c r="AP57" s="153"/>
      <c r="AQ57" s="153"/>
      <c r="AR57" s="1160"/>
      <c r="AS57" s="180"/>
      <c r="AT57" s="914"/>
      <c r="AU57" s="153"/>
      <c r="AV57" s="153"/>
      <c r="AW57" s="1160"/>
      <c r="AX57" s="180"/>
      <c r="AY57" s="914"/>
      <c r="AZ57" s="153"/>
      <c r="BA57" s="153"/>
      <c r="BB57" s="1162"/>
      <c r="BC57" s="180"/>
      <c r="BD57" s="914"/>
      <c r="BE57" s="153"/>
      <c r="BF57" s="153"/>
      <c r="BG57" s="1162"/>
      <c r="BH57" s="180"/>
      <c r="BI57" s="914"/>
      <c r="BJ57" s="153"/>
      <c r="BK57" s="153"/>
      <c r="BL57" s="1162"/>
      <c r="BM57" s="180"/>
      <c r="BN57" s="914"/>
      <c r="BO57" s="153"/>
      <c r="BP57" s="153"/>
      <c r="BQ57" s="1162"/>
      <c r="BR57" s="180"/>
      <c r="BS57" s="914"/>
      <c r="BT57" s="153"/>
      <c r="BU57" s="153"/>
      <c r="BV57" s="1162"/>
      <c r="BW57" s="180"/>
      <c r="BX57" s="914"/>
      <c r="BY57" s="153"/>
      <c r="BZ57" s="153"/>
      <c r="CA57" s="1162"/>
      <c r="CB57" s="180"/>
      <c r="CC57" s="914"/>
      <c r="CD57" s="153"/>
      <c r="CE57" s="153"/>
      <c r="CF57" s="1162"/>
      <c r="CG57" s="180"/>
      <c r="CH57" s="1163"/>
      <c r="CI57" s="153"/>
      <c r="CJ57" s="153"/>
      <c r="CK57" s="1162"/>
      <c r="CL57" s="180"/>
      <c r="CM57" s="914"/>
      <c r="CN57" s="153"/>
      <c r="CO57" s="153"/>
      <c r="CP57" s="1162"/>
      <c r="CQ57" s="1160"/>
      <c r="CR57" s="142"/>
    </row>
    <row r="58" spans="1:96" ht="6.2" customHeight="1">
      <c r="A58" s="125"/>
      <c r="B58" s="125"/>
      <c r="C58" s="142"/>
      <c r="D58" s="142"/>
      <c r="E58" s="142"/>
      <c r="F58" s="142"/>
      <c r="G58" s="142"/>
      <c r="H58" s="194"/>
      <c r="I58" s="145"/>
      <c r="J58" s="195"/>
      <c r="K58" s="195"/>
      <c r="L58" s="145"/>
      <c r="M58" s="145"/>
      <c r="N58" s="145"/>
      <c r="O58" s="145"/>
      <c r="P58" s="145"/>
      <c r="Q58" s="145"/>
      <c r="R58" s="145"/>
      <c r="S58" s="145"/>
      <c r="T58" s="145"/>
      <c r="U58" s="145"/>
      <c r="V58" s="145"/>
      <c r="W58" s="145"/>
      <c r="X58" s="180"/>
      <c r="Y58" s="180"/>
      <c r="Z58" s="145"/>
      <c r="AA58" s="145"/>
      <c r="AB58" s="145"/>
      <c r="AC58" s="180"/>
      <c r="AD58" s="180"/>
      <c r="AE58" s="145"/>
      <c r="AF58" s="145"/>
      <c r="AG58" s="145"/>
      <c r="AH58" s="180"/>
      <c r="AI58" s="180"/>
      <c r="AJ58" s="1134"/>
      <c r="AK58" s="145"/>
      <c r="AL58" s="145"/>
      <c r="AM58" s="1162"/>
      <c r="AN58" s="180"/>
      <c r="AO58" s="1134"/>
      <c r="AP58" s="145"/>
      <c r="AQ58" s="145"/>
      <c r="AR58" s="1160"/>
      <c r="AS58" s="180"/>
      <c r="AT58" s="1134"/>
      <c r="AU58" s="145"/>
      <c r="AV58" s="145"/>
      <c r="AW58" s="1160"/>
      <c r="AX58" s="180"/>
      <c r="AY58" s="1134"/>
      <c r="AZ58" s="145"/>
      <c r="BA58" s="145"/>
      <c r="BB58" s="1162"/>
      <c r="BC58" s="180"/>
      <c r="BD58" s="1134"/>
      <c r="BE58" s="145"/>
      <c r="BF58" s="145"/>
      <c r="BG58" s="1162"/>
      <c r="BH58" s="180"/>
      <c r="BI58" s="1134"/>
      <c r="BJ58" s="145"/>
      <c r="BK58" s="145"/>
      <c r="BL58" s="1162"/>
      <c r="BM58" s="180"/>
      <c r="BN58" s="1134"/>
      <c r="BO58" s="145"/>
      <c r="BP58" s="145"/>
      <c r="BQ58" s="1162"/>
      <c r="BR58" s="180"/>
      <c r="BS58" s="1134"/>
      <c r="BT58" s="145"/>
      <c r="BU58" s="145"/>
      <c r="BV58" s="1162"/>
      <c r="BW58" s="180"/>
      <c r="BX58" s="1134"/>
      <c r="BY58" s="145"/>
      <c r="BZ58" s="145"/>
      <c r="CA58" s="1162"/>
      <c r="CB58" s="180"/>
      <c r="CC58" s="1134"/>
      <c r="CD58" s="145"/>
      <c r="CE58" s="145"/>
      <c r="CF58" s="1162"/>
      <c r="CG58" s="180"/>
      <c r="CH58" s="1134"/>
      <c r="CI58" s="145"/>
      <c r="CJ58" s="145"/>
      <c r="CK58" s="1162"/>
      <c r="CL58" s="180"/>
      <c r="CM58" s="1134"/>
      <c r="CN58" s="145"/>
      <c r="CO58" s="145"/>
      <c r="CP58" s="1162"/>
      <c r="CQ58" s="1160"/>
      <c r="CR58" s="142"/>
    </row>
    <row r="59" spans="1:96" ht="13.5" customHeight="1">
      <c r="A59" s="75"/>
      <c r="B59" s="75"/>
      <c r="C59" s="93" t="s">
        <v>629</v>
      </c>
      <c r="D59" s="185"/>
      <c r="E59" s="185"/>
      <c r="F59" s="196">
        <f t="shared" ref="F59:AK59" si="61">F48-F51-F54</f>
        <v>-19</v>
      </c>
      <c r="G59" s="196">
        <f t="shared" si="61"/>
        <v>-26</v>
      </c>
      <c r="H59" s="196">
        <f t="shared" si="61"/>
        <v>-31</v>
      </c>
      <c r="I59" s="196">
        <f t="shared" si="61"/>
        <v>-2</v>
      </c>
      <c r="J59" s="196">
        <f t="shared" si="61"/>
        <v>-78</v>
      </c>
      <c r="K59" s="196">
        <f t="shared" si="61"/>
        <v>24</v>
      </c>
      <c r="L59" s="196">
        <f t="shared" si="61"/>
        <v>250</v>
      </c>
      <c r="M59" s="196">
        <f t="shared" si="61"/>
        <v>355</v>
      </c>
      <c r="N59" s="196">
        <f t="shared" si="61"/>
        <v>457</v>
      </c>
      <c r="O59" s="196">
        <f t="shared" si="61"/>
        <v>1086</v>
      </c>
      <c r="P59" s="196">
        <f t="shared" si="61"/>
        <v>409</v>
      </c>
      <c r="Q59" s="196">
        <f t="shared" si="61"/>
        <v>248</v>
      </c>
      <c r="R59" s="196">
        <f t="shared" si="61"/>
        <v>91</v>
      </c>
      <c r="S59" s="196">
        <f t="shared" si="61"/>
        <v>124</v>
      </c>
      <c r="T59" s="196">
        <f t="shared" si="61"/>
        <v>872</v>
      </c>
      <c r="U59" s="196">
        <f t="shared" si="61"/>
        <v>255</v>
      </c>
      <c r="V59" s="196">
        <f t="shared" si="61"/>
        <v>400</v>
      </c>
      <c r="W59" s="196">
        <f t="shared" si="61"/>
        <v>431</v>
      </c>
      <c r="X59" s="196">
        <f t="shared" si="61"/>
        <v>257</v>
      </c>
      <c r="Y59" s="196">
        <f t="shared" si="61"/>
        <v>1343</v>
      </c>
      <c r="Z59" s="196">
        <f t="shared" si="61"/>
        <v>275</v>
      </c>
      <c r="AA59" s="196">
        <f t="shared" si="61"/>
        <v>316</v>
      </c>
      <c r="AB59" s="196">
        <f t="shared" si="61"/>
        <v>297</v>
      </c>
      <c r="AC59" s="196">
        <f t="shared" si="61"/>
        <v>172</v>
      </c>
      <c r="AD59" s="196">
        <f t="shared" si="61"/>
        <v>1060</v>
      </c>
      <c r="AE59" s="196">
        <f t="shared" si="61"/>
        <v>210</v>
      </c>
      <c r="AF59" s="196">
        <f t="shared" si="61"/>
        <v>672</v>
      </c>
      <c r="AG59" s="196">
        <f t="shared" si="61"/>
        <v>1037</v>
      </c>
      <c r="AH59" s="196">
        <f t="shared" si="61"/>
        <v>232.4</v>
      </c>
      <c r="AI59" s="196">
        <f t="shared" si="61"/>
        <v>2151.4</v>
      </c>
      <c r="AJ59" s="1166">
        <f t="shared" si="61"/>
        <v>-446</v>
      </c>
      <c r="AK59" s="1167">
        <f t="shared" si="61"/>
        <v>-441</v>
      </c>
      <c r="AL59" s="1167">
        <f t="shared" ref="AL59:BQ59" si="62">AL48-AL51-AL54</f>
        <v>-303</v>
      </c>
      <c r="AM59" s="1168">
        <f t="shared" si="62"/>
        <v>-236</v>
      </c>
      <c r="AN59" s="196">
        <f t="shared" si="62"/>
        <v>-1426</v>
      </c>
      <c r="AO59" s="1166">
        <f t="shared" si="62"/>
        <v>-104</v>
      </c>
      <c r="AP59" s="1167">
        <f t="shared" si="62"/>
        <v>71</v>
      </c>
      <c r="AQ59" s="1167">
        <f t="shared" si="62"/>
        <v>-188</v>
      </c>
      <c r="AR59" s="1168">
        <f t="shared" si="62"/>
        <v>-175</v>
      </c>
      <c r="AS59" s="196">
        <f t="shared" si="62"/>
        <v>-396</v>
      </c>
      <c r="AT59" s="1166">
        <f t="shared" si="62"/>
        <v>-167</v>
      </c>
      <c r="AU59" s="1167">
        <f t="shared" si="62"/>
        <v>185</v>
      </c>
      <c r="AV59" s="1167">
        <f t="shared" si="62"/>
        <v>118</v>
      </c>
      <c r="AW59" s="1168">
        <f t="shared" si="62"/>
        <v>-149</v>
      </c>
      <c r="AX59" s="196">
        <f t="shared" si="62"/>
        <v>-13</v>
      </c>
      <c r="AY59" s="1166">
        <f t="shared" si="62"/>
        <v>110</v>
      </c>
      <c r="AZ59" s="1167">
        <f t="shared" si="62"/>
        <v>112</v>
      </c>
      <c r="BA59" s="1167">
        <f t="shared" si="62"/>
        <v>20</v>
      </c>
      <c r="BB59" s="1168">
        <f t="shared" si="62"/>
        <v>-59</v>
      </c>
      <c r="BC59" s="196">
        <f t="shared" si="62"/>
        <v>183</v>
      </c>
      <c r="BD59" s="1166">
        <f t="shared" si="62"/>
        <v>-51</v>
      </c>
      <c r="BE59" s="1167">
        <f t="shared" si="62"/>
        <v>-78</v>
      </c>
      <c r="BF59" s="1167">
        <f t="shared" si="62"/>
        <v>-20.7</v>
      </c>
      <c r="BG59" s="1168">
        <f t="shared" si="62"/>
        <v>38</v>
      </c>
      <c r="BH59" s="196">
        <f t="shared" si="62"/>
        <v>-111.7</v>
      </c>
      <c r="BI59" s="1166">
        <f t="shared" si="62"/>
        <v>39</v>
      </c>
      <c r="BJ59" s="1167">
        <f t="shared" si="62"/>
        <v>25</v>
      </c>
      <c r="BK59" s="1167">
        <f t="shared" si="62"/>
        <v>325</v>
      </c>
      <c r="BL59" s="1168">
        <f t="shared" si="62"/>
        <v>274</v>
      </c>
      <c r="BM59" s="196">
        <f t="shared" si="62"/>
        <v>663</v>
      </c>
      <c r="BN59" s="1166">
        <f t="shared" si="62"/>
        <v>-10</v>
      </c>
      <c r="BO59" s="1167">
        <f t="shared" si="62"/>
        <v>-115</v>
      </c>
      <c r="BP59" s="1167">
        <f t="shared" si="62"/>
        <v>-103</v>
      </c>
      <c r="BQ59" s="1331">
        <f t="shared" si="62"/>
        <v>-521</v>
      </c>
      <c r="BR59" s="196">
        <f t="shared" ref="BR59:CQ59" si="63">BR48-BR51-BR54</f>
        <v>-749</v>
      </c>
      <c r="BS59" s="1166">
        <f t="shared" si="63"/>
        <v>-315</v>
      </c>
      <c r="BT59" s="1167">
        <f t="shared" si="63"/>
        <v>-45</v>
      </c>
      <c r="BU59" s="1167">
        <f t="shared" si="63"/>
        <v>65</v>
      </c>
      <c r="BV59" s="1168">
        <f t="shared" si="63"/>
        <v>47</v>
      </c>
      <c r="BW59" s="196">
        <f t="shared" si="63"/>
        <v>-248</v>
      </c>
      <c r="BX59" s="1166">
        <f t="shared" si="63"/>
        <v>-145</v>
      </c>
      <c r="BY59" s="1167">
        <f t="shared" si="63"/>
        <v>189</v>
      </c>
      <c r="BZ59" s="1167">
        <f t="shared" si="63"/>
        <v>161</v>
      </c>
      <c r="CA59" s="1168">
        <f t="shared" si="63"/>
        <v>136</v>
      </c>
      <c r="CB59" s="196">
        <f t="shared" si="63"/>
        <v>341</v>
      </c>
      <c r="CC59" s="1166">
        <f t="shared" si="63"/>
        <v>38.900496931614612</v>
      </c>
      <c r="CD59" s="1167">
        <f t="shared" si="63"/>
        <v>253.30293584813623</v>
      </c>
      <c r="CE59" s="1167">
        <f t="shared" si="63"/>
        <v>334.38776713614362</v>
      </c>
      <c r="CF59" s="1168">
        <f t="shared" si="63"/>
        <v>267.80449808243009</v>
      </c>
      <c r="CG59" s="196">
        <f t="shared" si="63"/>
        <v>894.39569799832464</v>
      </c>
      <c r="CH59" s="1166">
        <f t="shared" si="63"/>
        <v>114.90923427117056</v>
      </c>
      <c r="CI59" s="1167">
        <f t="shared" si="63"/>
        <v>342.9093344643008</v>
      </c>
      <c r="CJ59" s="1167">
        <f t="shared" si="63"/>
        <v>319.72186731508117</v>
      </c>
      <c r="CK59" s="1168">
        <f t="shared" si="63"/>
        <v>304.53614576855244</v>
      </c>
      <c r="CL59" s="196">
        <f t="shared" si="63"/>
        <v>1082.0765818191051</v>
      </c>
      <c r="CM59" s="1166">
        <f t="shared" si="63"/>
        <v>135.50418002268219</v>
      </c>
      <c r="CN59" s="1167">
        <f t="shared" si="63"/>
        <v>263.06838285849545</v>
      </c>
      <c r="CO59" s="1167">
        <f t="shared" si="63"/>
        <v>207.83141399191331</v>
      </c>
      <c r="CP59" s="1168">
        <f t="shared" si="63"/>
        <v>199.21441883366413</v>
      </c>
      <c r="CQ59" s="1168">
        <f t="shared" si="63"/>
        <v>805.618395706755</v>
      </c>
      <c r="CR59" s="185"/>
    </row>
    <row r="60" spans="1:96" ht="13.5" customHeight="1">
      <c r="A60" s="75"/>
      <c r="B60" s="93"/>
      <c r="C60" s="115" t="s">
        <v>739</v>
      </c>
      <c r="D60" s="185"/>
      <c r="E60" s="185"/>
      <c r="F60" s="197">
        <f t="shared" ref="F60:AK60" si="64">F59/F14</f>
        <v>-1.0010537407797681E-2</v>
      </c>
      <c r="G60" s="197">
        <f t="shared" si="64"/>
        <v>-1.1250540891389009E-2</v>
      </c>
      <c r="H60" s="197">
        <f t="shared" si="64"/>
        <v>-1.2370311252992818E-2</v>
      </c>
      <c r="I60" s="197">
        <f t="shared" si="64"/>
        <v>-7.6540375047837736E-4</v>
      </c>
      <c r="J60" s="197">
        <f t="shared" si="64"/>
        <v>-8.3619210977701544E-3</v>
      </c>
      <c r="K60" s="197">
        <f t="shared" si="64"/>
        <v>8.2587749483826571E-3</v>
      </c>
      <c r="L60" s="197">
        <f t="shared" si="64"/>
        <v>7.2505800464037123E-2</v>
      </c>
      <c r="M60" s="197">
        <f t="shared" si="64"/>
        <v>9.576476935527381E-2</v>
      </c>
      <c r="N60" s="197">
        <f t="shared" si="64"/>
        <v>0.1169396110542477</v>
      </c>
      <c r="O60" s="197">
        <f t="shared" si="64"/>
        <v>7.774357505905935E-2</v>
      </c>
      <c r="P60" s="197">
        <f t="shared" si="64"/>
        <v>0.10874767349109279</v>
      </c>
      <c r="Q60" s="197">
        <f t="shared" si="64"/>
        <v>6.9235064209938579E-2</v>
      </c>
      <c r="R60" s="197">
        <f t="shared" si="64"/>
        <v>2.8437500000000001E-2</v>
      </c>
      <c r="S60" s="197">
        <f t="shared" si="64"/>
        <v>3.5469107551487411E-2</v>
      </c>
      <c r="T60" s="197">
        <f t="shared" si="64"/>
        <v>6.2112686088752762E-2</v>
      </c>
      <c r="U60" s="197">
        <f t="shared" si="64"/>
        <v>6.8438003220611915E-2</v>
      </c>
      <c r="V60" s="197">
        <f t="shared" si="64"/>
        <v>9.7394691989286589E-2</v>
      </c>
      <c r="W60" s="197">
        <f t="shared" si="64"/>
        <v>0.10496833901607404</v>
      </c>
      <c r="X60" s="197">
        <f t="shared" si="64"/>
        <v>6.8061440677966101E-2</v>
      </c>
      <c r="Y60" s="197">
        <f t="shared" si="64"/>
        <v>8.5459751829462291E-2</v>
      </c>
      <c r="Z60" s="197">
        <f t="shared" si="64"/>
        <v>7.3216187433439828E-2</v>
      </c>
      <c r="AA60" s="197">
        <f t="shared" si="64"/>
        <v>7.4739829706717123E-2</v>
      </c>
      <c r="AB60" s="197">
        <f t="shared" si="64"/>
        <v>6.8213137344970143E-2</v>
      </c>
      <c r="AC60" s="197">
        <f t="shared" si="64"/>
        <v>3.7927232635060641E-2</v>
      </c>
      <c r="AD60" s="197">
        <f t="shared" si="64"/>
        <v>6.2822260416049311E-2</v>
      </c>
      <c r="AE60" s="197">
        <f t="shared" si="64"/>
        <v>4.0415704387990761E-2</v>
      </c>
      <c r="AF60" s="197">
        <f t="shared" si="64"/>
        <v>9.9644128113879002E-2</v>
      </c>
      <c r="AG60" s="197">
        <f t="shared" si="64"/>
        <v>0.14182166301969365</v>
      </c>
      <c r="AH60" s="197">
        <f t="shared" si="64"/>
        <v>5.0909090909090911E-2</v>
      </c>
      <c r="AI60" s="197">
        <f t="shared" si="64"/>
        <v>9.0330436243019702E-2</v>
      </c>
      <c r="AJ60" s="1169">
        <f t="shared" si="64"/>
        <v>-0.16218181818181818</v>
      </c>
      <c r="AK60" s="1170">
        <f t="shared" si="64"/>
        <v>-0.20733427362482371</v>
      </c>
      <c r="AL60" s="1170">
        <f t="shared" ref="AL60:BQ60" si="65">AL59/AL14</f>
        <v>-0.10756123535676251</v>
      </c>
      <c r="AM60" s="1171">
        <f t="shared" si="65"/>
        <v>-7.0363744782349427E-2</v>
      </c>
      <c r="AN60" s="197">
        <f t="shared" si="65"/>
        <v>-0.12907313540912382</v>
      </c>
      <c r="AO60" s="1169">
        <f t="shared" si="65"/>
        <v>-2.6694045174537988E-2</v>
      </c>
      <c r="AP60" s="1170">
        <f t="shared" si="65"/>
        <v>1.5167699209570605E-2</v>
      </c>
      <c r="AQ60" s="1170">
        <f t="shared" si="65"/>
        <v>-4.1805648209917723E-2</v>
      </c>
      <c r="AR60" s="1171">
        <f t="shared" si="65"/>
        <v>-4.0697674418604654E-2</v>
      </c>
      <c r="AS60" s="197">
        <f t="shared" si="65"/>
        <v>-2.2792678715321747E-2</v>
      </c>
      <c r="AT60" s="1169">
        <f t="shared" si="65"/>
        <v>-3.4333881578947366E-2</v>
      </c>
      <c r="AU60" s="1170">
        <f t="shared" si="65"/>
        <v>3.61328125E-2</v>
      </c>
      <c r="AV60" s="1170">
        <f t="shared" si="65"/>
        <v>2.3223774847470971E-2</v>
      </c>
      <c r="AW60" s="1171">
        <f t="shared" si="65"/>
        <v>-3.0919277858476861E-2</v>
      </c>
      <c r="AX60" s="197">
        <f t="shared" si="65"/>
        <v>-6.5379199356266349E-4</v>
      </c>
      <c r="AY60" s="1169">
        <f t="shared" si="65"/>
        <v>2.1268368136117557E-2</v>
      </c>
      <c r="AZ60" s="1170">
        <f t="shared" si="65"/>
        <v>2.232409806657365E-2</v>
      </c>
      <c r="BA60" s="1170">
        <f t="shared" si="65"/>
        <v>4.2992261392949269E-3</v>
      </c>
      <c r="BB60" s="1171">
        <f t="shared" si="65"/>
        <v>-1.3149097392467127E-2</v>
      </c>
      <c r="BC60" s="197">
        <f t="shared" si="65"/>
        <v>9.4681291390728475E-3</v>
      </c>
      <c r="BD60" s="1169">
        <f t="shared" si="65"/>
        <v>-1.1099020674646356E-2</v>
      </c>
      <c r="BE60" s="1170">
        <f t="shared" si="65"/>
        <v>-1.7611198916233913E-2</v>
      </c>
      <c r="BF60" s="1170">
        <f t="shared" si="65"/>
        <v>-5.0108932461873637E-3</v>
      </c>
      <c r="BG60" s="1171">
        <f t="shared" si="65"/>
        <v>8.9013820566877493E-3</v>
      </c>
      <c r="BH60" s="197">
        <f t="shared" si="65"/>
        <v>-6.4106978879706154E-3</v>
      </c>
      <c r="BI60" s="1169">
        <f t="shared" si="65"/>
        <v>8.7679856115107906E-3</v>
      </c>
      <c r="BJ60" s="1170">
        <f t="shared" si="65"/>
        <v>5.681818181818182E-3</v>
      </c>
      <c r="BK60" s="1170">
        <f t="shared" si="65"/>
        <v>7.0852408981905382E-2</v>
      </c>
      <c r="BL60" s="1171">
        <f t="shared" si="65"/>
        <v>6.7288801571709231E-2</v>
      </c>
      <c r="BM60" s="197">
        <f t="shared" si="65"/>
        <v>3.7870566059290567E-2</v>
      </c>
      <c r="BN60" s="1169">
        <f t="shared" si="65"/>
        <v>-3.0562347188264061E-3</v>
      </c>
      <c r="BO60" s="1170">
        <f t="shared" si="65"/>
        <v>-3.9655172413793106E-2</v>
      </c>
      <c r="BP60" s="1170">
        <f t="shared" si="65"/>
        <v>-3.6395759717314485E-2</v>
      </c>
      <c r="BQ60" s="1171">
        <f t="shared" si="65"/>
        <v>-0.20256609642301709</v>
      </c>
      <c r="BR60" s="197">
        <f t="shared" ref="BR60:CQ60" si="66">BR59/BR14</f>
        <v>-6.4714014169690692E-2</v>
      </c>
      <c r="BS60" s="1169">
        <f t="shared" si="66"/>
        <v>-0.1345578812473302</v>
      </c>
      <c r="BT60" s="1170">
        <f t="shared" si="66"/>
        <v>-1.7414860681114551E-2</v>
      </c>
      <c r="BU60" s="1170">
        <f t="shared" si="66"/>
        <v>2.4199553239017124E-2</v>
      </c>
      <c r="BV60" s="1171">
        <f t="shared" si="66"/>
        <v>1.7735849056603775E-2</v>
      </c>
      <c r="BW60" s="197">
        <f t="shared" si="66"/>
        <v>-2.4169184290030211E-2</v>
      </c>
      <c r="BX60" s="1169">
        <f t="shared" si="66"/>
        <v>-5.321100917431193E-2</v>
      </c>
      <c r="BY60" s="1170">
        <f t="shared" si="66"/>
        <v>6.0114503816793896E-2</v>
      </c>
      <c r="BZ60" s="1170">
        <f t="shared" si="66"/>
        <v>4.9568965517241381E-2</v>
      </c>
      <c r="CA60" s="1171">
        <f t="shared" si="66"/>
        <v>4.3408873284391955E-2</v>
      </c>
      <c r="CB60" s="197">
        <f t="shared" si="66"/>
        <v>2.7836734693877551E-2</v>
      </c>
      <c r="CC60" s="1169">
        <f t="shared" si="66"/>
        <v>1.240639120136533E-2</v>
      </c>
      <c r="CD60" s="1170">
        <f t="shared" si="66"/>
        <v>7.2245247030233523E-2</v>
      </c>
      <c r="CE60" s="1170">
        <f t="shared" si="66"/>
        <v>8.9721950913565829E-2</v>
      </c>
      <c r="CF60" s="1171">
        <f t="shared" si="66"/>
        <v>7.1839963167473042E-2</v>
      </c>
      <c r="CG60" s="197">
        <f t="shared" si="66"/>
        <v>6.3448514390895536E-2</v>
      </c>
      <c r="CH60" s="1169">
        <f t="shared" si="66"/>
        <v>3.1723529892481728E-2</v>
      </c>
      <c r="CI60" s="1170">
        <f t="shared" si="66"/>
        <v>8.807881542232722E-2</v>
      </c>
      <c r="CJ60" s="1170">
        <f t="shared" si="66"/>
        <v>8.4172426717793E-2</v>
      </c>
      <c r="CK60" s="1171">
        <f t="shared" si="66"/>
        <v>8.1619497362658153E-2</v>
      </c>
      <c r="CL60" s="197">
        <f t="shared" si="66"/>
        <v>7.1922655327349594E-2</v>
      </c>
      <c r="CM60" s="1169">
        <f t="shared" si="66"/>
        <v>3.8948361277162988E-2</v>
      </c>
      <c r="CN60" s="1170">
        <f t="shared" si="66"/>
        <v>7.0837035696743572E-2</v>
      </c>
      <c r="CO60" s="1170">
        <f t="shared" si="66"/>
        <v>5.8032380002293688E-2</v>
      </c>
      <c r="CP60" s="1171">
        <f t="shared" si="66"/>
        <v>5.6462160930635101E-2</v>
      </c>
      <c r="CQ60" s="1171">
        <f t="shared" si="66"/>
        <v>5.6327623528380839E-2</v>
      </c>
      <c r="CR60" s="185"/>
    </row>
    <row r="61" spans="1:96" ht="6.2" customHeight="1">
      <c r="A61" s="75"/>
      <c r="B61" s="93"/>
      <c r="C61" s="115"/>
      <c r="D61" s="185"/>
      <c r="E61" s="185"/>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c r="AE61" s="197"/>
      <c r="AF61" s="197"/>
      <c r="AG61" s="197"/>
      <c r="AH61" s="197"/>
      <c r="AI61" s="197"/>
      <c r="AJ61" s="1169"/>
      <c r="AK61" s="1170"/>
      <c r="AL61" s="1170"/>
      <c r="AM61" s="1171"/>
      <c r="AN61" s="197"/>
      <c r="AO61" s="1169"/>
      <c r="AP61" s="1170"/>
      <c r="AQ61" s="1170"/>
      <c r="AR61" s="1171"/>
      <c r="AS61" s="197"/>
      <c r="AT61" s="1169"/>
      <c r="AU61" s="1170"/>
      <c r="AV61" s="1170"/>
      <c r="AW61" s="1171"/>
      <c r="AX61" s="197"/>
      <c r="AY61" s="1169"/>
      <c r="AZ61" s="1170"/>
      <c r="BA61" s="1170"/>
      <c r="BB61" s="1171"/>
      <c r="BC61" s="197"/>
      <c r="BD61" s="1169"/>
      <c r="BE61" s="1170"/>
      <c r="BF61" s="1170"/>
      <c r="BG61" s="1171"/>
      <c r="BH61" s="197"/>
      <c r="BI61" s="1169"/>
      <c r="BJ61" s="1170"/>
      <c r="BK61" s="1170"/>
      <c r="BL61" s="1171"/>
      <c r="BM61" s="197"/>
      <c r="BN61" s="1169"/>
      <c r="BO61" s="1170"/>
      <c r="BP61" s="1170"/>
      <c r="BQ61" s="1171"/>
      <c r="BR61" s="197"/>
      <c r="BS61" s="1169"/>
      <c r="BT61" s="1170"/>
      <c r="BU61" s="1170"/>
      <c r="BV61" s="1171"/>
      <c r="BW61" s="197"/>
      <c r="BX61" s="1169"/>
      <c r="BY61" s="1170"/>
      <c r="BZ61" s="1170"/>
      <c r="CA61" s="1171"/>
      <c r="CB61" s="197"/>
      <c r="CC61" s="1169"/>
      <c r="CD61" s="1170"/>
      <c r="CE61" s="1170"/>
      <c r="CF61" s="1171"/>
      <c r="CG61" s="197"/>
      <c r="CH61" s="1169"/>
      <c r="CI61" s="1170"/>
      <c r="CJ61" s="1170"/>
      <c r="CK61" s="1171"/>
      <c r="CL61" s="197"/>
      <c r="CM61" s="1169"/>
      <c r="CN61" s="1170"/>
      <c r="CO61" s="1170"/>
      <c r="CP61" s="1171"/>
      <c r="CQ61" s="1171"/>
      <c r="CR61" s="185"/>
    </row>
    <row r="62" spans="1:96" ht="13.5" customHeight="1">
      <c r="A62" s="75"/>
      <c r="B62" s="75" t="s">
        <v>740</v>
      </c>
      <c r="C62" s="115"/>
      <c r="D62" s="185"/>
      <c r="E62" s="185"/>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c r="AE62" s="197"/>
      <c r="AF62" s="197"/>
      <c r="AG62" s="197"/>
      <c r="AH62" s="197"/>
      <c r="AI62" s="197"/>
      <c r="AJ62" s="1169"/>
      <c r="AK62" s="1170"/>
      <c r="AL62" s="1167"/>
      <c r="AM62" s="1171"/>
      <c r="AN62" s="198"/>
      <c r="AO62" s="1256">
        <f>IF((AO59+'debt schedule'!AP142*0.65)/(Financials!AO77+0.4+27)&gt;0.207,'debt schedule'!AP142*0.65,0)</f>
        <v>0</v>
      </c>
      <c r="AP62" s="1257">
        <f>IF((AP59+'debt schedule'!AQ142*0.65)/(Financials!AP77+0.4+27)&gt;0.207,'debt schedule'!AQ142*0.65,0)</f>
        <v>5.6062500000000002</v>
      </c>
      <c r="AQ62" s="1257">
        <f>IF((AQ59+'debt schedule'!AR142*0.65)/(Financials!AQ77+0.4+27)&gt;0.207,'debt schedule'!AR142*0.65,0)</f>
        <v>0</v>
      </c>
      <c r="AR62" s="1258">
        <f>IF((AR59+'debt schedule'!AS142*0.65)/(Financials!AR77+0.4+27)&gt;0.207,'debt schedule'!AS142*0.65,0)</f>
        <v>0</v>
      </c>
      <c r="AS62" s="199">
        <f>IF((AS59+'debt schedule'!AT142*0.65)/(Financials!AS77+0.4+27)&gt;0.207,'debt schedule'!AT142*0.65,0)</f>
        <v>0</v>
      </c>
      <c r="AT62" s="1256">
        <f>IF((AT59+'debt schedule'!AU142*0.65)/(Financials!AT77+0.4+27)&gt;0.207,'debt schedule'!AU142*0.65,0)</f>
        <v>0</v>
      </c>
      <c r="AU62" s="1257">
        <f>IF((AU59+'debt schedule'!AV142*0.65)/(Financials!AU77+0.4+27)&gt;0.207,'debt schedule'!AV142*0.65,0)</f>
        <v>5.6062500000000002</v>
      </c>
      <c r="AV62" s="1257">
        <f>IF((AV59+'debt schedule'!AW142*0.65)/(Financials!AV77+0.4+27)&gt;0.207,'debt schedule'!AW142*0.65,0)</f>
        <v>5.6062500000000002</v>
      </c>
      <c r="AW62" s="1258">
        <f>IF((AW59+'debt schedule'!AX142*0.65)/(Financials!AW77+0.4+27)&gt;0.207,'debt schedule'!AX142*0.65,0)</f>
        <v>0</v>
      </c>
      <c r="AX62" s="199">
        <f>IF((AX59+'debt schedule'!AY142*0.65)/(Financials!AX77+0.4+27)&gt;0.207,'debt schedule'!AY142*0.65,0)</f>
        <v>0</v>
      </c>
      <c r="AY62" s="1256">
        <f>IF((AY59+'debt schedule'!AZ142*0.65)/(Financials!AY77+0.4+27)&gt;0.207,'debt schedule'!AZ142*0.65,0)</f>
        <v>5.6062500000000002</v>
      </c>
      <c r="AZ62" s="1257">
        <f>IF((AZ59+'debt schedule'!BA142*0.65)/(Financials!AZ77+0.4+27)&gt;0.207,'debt schedule'!BA142*0.65,0)</f>
        <v>5.6062500000000002</v>
      </c>
      <c r="BA62" s="1257">
        <f>IF((BA59+'debt schedule'!BB142*0.65)/(Financials!BA77+0.4+27)&gt;0.207,'debt schedule'!BB142*0.65,0)</f>
        <v>0</v>
      </c>
      <c r="BB62" s="1258">
        <f>IF((BB59+'debt schedule'!BC142*0.65)/(Financials!BB77+0.4+27)&gt;0.207,'debt schedule'!BC142*0.65,0)</f>
        <v>0</v>
      </c>
      <c r="BC62" s="199">
        <f>IF((BC59+'debt schedule'!BD142*0.65)/(Financials!BC77+0.4+27)&gt;0.207,'debt schedule'!BD142*0.65,0)</f>
        <v>22.425000000000001</v>
      </c>
      <c r="BD62" s="1303">
        <f t="shared" ref="BD62:CQ62" si="67">BD108+BD111</f>
        <v>0</v>
      </c>
      <c r="BE62" s="1304">
        <f t="shared" si="67"/>
        <v>0</v>
      </c>
      <c r="BF62" s="1304">
        <f t="shared" si="67"/>
        <v>0</v>
      </c>
      <c r="BG62" s="1305">
        <f t="shared" si="67"/>
        <v>2.093</v>
      </c>
      <c r="BH62" s="391">
        <f t="shared" si="67"/>
        <v>0</v>
      </c>
      <c r="BI62" s="1303">
        <f t="shared" si="67"/>
        <v>2.093</v>
      </c>
      <c r="BJ62" s="1304">
        <f t="shared" si="67"/>
        <v>0</v>
      </c>
      <c r="BK62" s="1304">
        <f t="shared" si="67"/>
        <v>0</v>
      </c>
      <c r="BL62" s="1305">
        <f t="shared" si="67"/>
        <v>0</v>
      </c>
      <c r="BM62" s="391">
        <f t="shared" si="67"/>
        <v>0</v>
      </c>
      <c r="BN62" s="1303">
        <f t="shared" si="67"/>
        <v>0</v>
      </c>
      <c r="BO62" s="1304">
        <f t="shared" si="67"/>
        <v>0</v>
      </c>
      <c r="BP62" s="1304">
        <f t="shared" si="67"/>
        <v>0</v>
      </c>
      <c r="BQ62" s="1305">
        <f t="shared" si="67"/>
        <v>0</v>
      </c>
      <c r="BR62" s="391">
        <f t="shared" si="67"/>
        <v>0</v>
      </c>
      <c r="BS62" s="1303">
        <f t="shared" si="67"/>
        <v>0</v>
      </c>
      <c r="BT62" s="1304">
        <f t="shared" si="67"/>
        <v>0</v>
      </c>
      <c r="BU62" s="1304">
        <f t="shared" si="67"/>
        <v>0</v>
      </c>
      <c r="BV62" s="1305">
        <f t="shared" si="67"/>
        <v>0</v>
      </c>
      <c r="BW62" s="391">
        <f t="shared" si="67"/>
        <v>0</v>
      </c>
      <c r="BX62" s="1303">
        <f t="shared" si="67"/>
        <v>0</v>
      </c>
      <c r="BY62" s="1304">
        <f t="shared" si="67"/>
        <v>0</v>
      </c>
      <c r="BZ62" s="1304">
        <f t="shared" si="67"/>
        <v>0</v>
      </c>
      <c r="CA62" s="1305">
        <f t="shared" si="67"/>
        <v>0</v>
      </c>
      <c r="CB62" s="391">
        <f t="shared" si="67"/>
        <v>0</v>
      </c>
      <c r="CC62" s="1303">
        <f t="shared" si="67"/>
        <v>0</v>
      </c>
      <c r="CD62" s="1304">
        <f t="shared" si="67"/>
        <v>0</v>
      </c>
      <c r="CE62" s="1304">
        <f t="shared" si="67"/>
        <v>0</v>
      </c>
      <c r="CF62" s="1305">
        <f t="shared" si="67"/>
        <v>0</v>
      </c>
      <c r="CG62" s="391">
        <f t="shared" si="67"/>
        <v>0</v>
      </c>
      <c r="CH62" s="1303">
        <f t="shared" si="67"/>
        <v>0</v>
      </c>
      <c r="CI62" s="1304">
        <f t="shared" si="67"/>
        <v>0</v>
      </c>
      <c r="CJ62" s="1304">
        <f t="shared" si="67"/>
        <v>0</v>
      </c>
      <c r="CK62" s="1305">
        <f t="shared" si="67"/>
        <v>0</v>
      </c>
      <c r="CL62" s="391">
        <f t="shared" si="67"/>
        <v>0</v>
      </c>
      <c r="CM62" s="1303">
        <f t="shared" si="67"/>
        <v>0</v>
      </c>
      <c r="CN62" s="1304">
        <f t="shared" si="67"/>
        <v>0</v>
      </c>
      <c r="CO62" s="1304">
        <f t="shared" si="67"/>
        <v>0</v>
      </c>
      <c r="CP62" s="1305">
        <f t="shared" si="67"/>
        <v>0</v>
      </c>
      <c r="CQ62" s="1305">
        <f t="shared" si="67"/>
        <v>0</v>
      </c>
      <c r="CR62" s="185"/>
    </row>
    <row r="63" spans="1:96" ht="6.2" customHeight="1">
      <c r="A63" s="75"/>
      <c r="B63" s="75"/>
      <c r="C63" s="75"/>
      <c r="D63" s="185"/>
      <c r="E63" s="185"/>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80"/>
      <c r="AF63" s="180"/>
      <c r="AG63" s="180"/>
      <c r="AH63" s="180"/>
      <c r="AI63" s="180"/>
      <c r="AJ63" s="1161"/>
      <c r="AK63" s="212"/>
      <c r="AL63" s="212"/>
      <c r="AM63" s="1160"/>
      <c r="AN63" s="180"/>
      <c r="AO63" s="1161"/>
      <c r="AP63" s="212"/>
      <c r="AQ63" s="212"/>
      <c r="AR63" s="1160"/>
      <c r="AS63" s="180"/>
      <c r="AT63" s="1161"/>
      <c r="AU63" s="212"/>
      <c r="AV63" s="212"/>
      <c r="AW63" s="1160"/>
      <c r="AX63" s="180"/>
      <c r="AY63" s="1161"/>
      <c r="AZ63" s="212"/>
      <c r="BA63" s="1280"/>
      <c r="BB63" s="1160"/>
      <c r="BC63" s="180"/>
      <c r="BD63" s="1279"/>
      <c r="BE63" s="1280"/>
      <c r="BF63" s="1280"/>
      <c r="BG63" s="1306"/>
      <c r="BH63" s="181"/>
      <c r="BI63" s="1279"/>
      <c r="BJ63" s="1280"/>
      <c r="BK63" s="1280"/>
      <c r="BL63" s="1306"/>
      <c r="BM63" s="181"/>
      <c r="BN63" s="1279"/>
      <c r="BO63" s="1280"/>
      <c r="BP63" s="1280"/>
      <c r="BQ63" s="1306"/>
      <c r="BR63" s="181"/>
      <c r="BS63" s="1279"/>
      <c r="BT63" s="1280"/>
      <c r="BU63" s="1280"/>
      <c r="BV63" s="1306"/>
      <c r="BW63" s="181"/>
      <c r="BX63" s="1279"/>
      <c r="BY63" s="1280"/>
      <c r="BZ63" s="1280"/>
      <c r="CA63" s="1306"/>
      <c r="CB63" s="181"/>
      <c r="CC63" s="1279"/>
      <c r="CD63" s="1280"/>
      <c r="CE63" s="1280"/>
      <c r="CF63" s="1306"/>
      <c r="CG63" s="181"/>
      <c r="CH63" s="1279"/>
      <c r="CI63" s="1280"/>
      <c r="CJ63" s="1280"/>
      <c r="CK63" s="1306"/>
      <c r="CL63" s="181"/>
      <c r="CM63" s="1279"/>
      <c r="CN63" s="1280"/>
      <c r="CO63" s="1280"/>
      <c r="CP63" s="1306"/>
      <c r="CQ63" s="1306"/>
      <c r="CR63" s="185"/>
    </row>
    <row r="64" spans="1:96" ht="13.5" customHeight="1">
      <c r="A64" s="200"/>
      <c r="B64" s="201" t="s">
        <v>741</v>
      </c>
      <c r="C64" s="202"/>
      <c r="D64" s="200"/>
      <c r="E64" s="200"/>
      <c r="F64" s="203">
        <f>F59/F67</f>
        <v>-0.18494904167193935</v>
      </c>
      <c r="G64" s="204">
        <f>G59/G67</f>
        <v>-0.25186964776998488</v>
      </c>
      <c r="H64" s="204">
        <f>H59/H67</f>
        <v>-0.30003581072579633</v>
      </c>
      <c r="I64" s="204">
        <f>I59/I67</f>
        <v>-1.9338058265569554E-2</v>
      </c>
      <c r="J64" s="204">
        <f>J59/J67</f>
        <v>-0.75596778414212196</v>
      </c>
      <c r="K64" s="204">
        <f t="shared" ref="K64:AN64" si="68">(K59+K56)/K67</f>
        <v>0.22717315462378501</v>
      </c>
      <c r="L64" s="204">
        <f t="shared" si="68"/>
        <v>1.9634414894436147</v>
      </c>
      <c r="M64" s="204">
        <f t="shared" si="68"/>
        <v>2.7610924389137144</v>
      </c>
      <c r="N64" s="204">
        <f t="shared" si="68"/>
        <v>3.54506529979589</v>
      </c>
      <c r="O64" s="204">
        <f t="shared" si="68"/>
        <v>8.5818894148923768</v>
      </c>
      <c r="P64" s="204">
        <f t="shared" si="68"/>
        <v>3.1567683253076511</v>
      </c>
      <c r="Q64" s="204">
        <f t="shared" si="68"/>
        <v>1.9365307778271055</v>
      </c>
      <c r="R64" s="204">
        <f t="shared" si="68"/>
        <v>0.72886856581683146</v>
      </c>
      <c r="S64" s="204">
        <f t="shared" si="68"/>
        <v>0.99112977269322244</v>
      </c>
      <c r="T64" s="204">
        <f t="shared" si="68"/>
        <v>6.8477340924828809</v>
      </c>
      <c r="U64" s="204">
        <f t="shared" si="68"/>
        <v>2.0627752689970453</v>
      </c>
      <c r="V64" s="204">
        <f t="shared" si="68"/>
        <v>3.2257549384391817</v>
      </c>
      <c r="W64" s="204">
        <f t="shared" si="68"/>
        <v>3.5338296546521923</v>
      </c>
      <c r="X64" s="204">
        <f t="shared" si="68"/>
        <v>2.1594642512036701</v>
      </c>
      <c r="Y64" s="204">
        <f t="shared" si="68"/>
        <v>10.988742842269652</v>
      </c>
      <c r="Z64" s="204">
        <f t="shared" si="68"/>
        <v>2.3108272761648672</v>
      </c>
      <c r="AA64" s="204">
        <f t="shared" si="68"/>
        <v>2.6578967289365889</v>
      </c>
      <c r="AB64" s="204">
        <f t="shared" si="68"/>
        <v>2.5009473285335355</v>
      </c>
      <c r="AC64" s="204">
        <f t="shared" si="68"/>
        <v>1.4504853222691663</v>
      </c>
      <c r="AD64" s="204">
        <f t="shared" si="68"/>
        <v>8.9219581172984981</v>
      </c>
      <c r="AE64" s="204">
        <f t="shared" si="68"/>
        <v>1.7735737511084835</v>
      </c>
      <c r="AF64" s="204">
        <f t="shared" si="68"/>
        <v>5.6844616256545164</v>
      </c>
      <c r="AG64" s="204">
        <f t="shared" si="68"/>
        <v>8.8011135063568311</v>
      </c>
      <c r="AH64" s="204">
        <f t="shared" si="68"/>
        <v>1.9957920048091375</v>
      </c>
      <c r="AI64" s="204">
        <f t="shared" si="68"/>
        <v>18.27506461128112</v>
      </c>
      <c r="AJ64" s="203">
        <f t="shared" si="68"/>
        <v>-3.8414166731264481</v>
      </c>
      <c r="AK64" s="204">
        <f t="shared" si="68"/>
        <v>-3.2755470386380856</v>
      </c>
      <c r="AL64" s="204">
        <f t="shared" si="68"/>
        <v>-2.1135160397034101</v>
      </c>
      <c r="AM64" s="1172">
        <f t="shared" si="68"/>
        <v>-1.6463464725547905</v>
      </c>
      <c r="AN64" s="204">
        <f t="shared" si="68"/>
        <v>-10.613125468101353</v>
      </c>
      <c r="AO64" s="203">
        <f>IF((AO59+'debt schedule'!AP142*0.65)/(Financials!AO77+0.4+27)&gt;0.207,(AO59+'debt schedule'!AP142*0.65)/(Financials!AO77+0.4+27),IF(AO59/Financials!AO77&gt;0,AO59/(Financials!AO77+0.4),AO59/Financials!AO77))</f>
        <v>-0.72529465095194934</v>
      </c>
      <c r="AP64" s="204">
        <f>IF((AP59+'debt schedule'!AQ142*0.65)/(Financials!AP77+0.4+27)&gt;0.207,(AP59+'debt schedule'!AQ142*0.65)/(Financials!AP77+0.4+27),IF(AP59/Financials!AP77&gt;0,AP59/(Financials!AP77+0.4),AP59/Financials!AP77))</f>
        <v>0.44824141038243692</v>
      </c>
      <c r="AQ64" s="204">
        <f>IF((AQ59+'debt schedule'!AR142*0.65)/(Financials!AQ77+0.4+27)&gt;0.207,(AQ59+'debt schedule'!AR142*0.65)/(Financials!AQ77+0.4+27),IF(AQ59/Financials!AQ77&gt;0,AQ59/(Financials!AQ77+0.4),AQ59/Financials!AQ77))</f>
        <v>-1.3086454127801754</v>
      </c>
      <c r="AR64" s="1172">
        <f>IF((AR59+'debt schedule'!AS142*0.65)/(Financials!AR77+0.4+27)&gt;0.207,(AR59+'debt schedule'!AS142*0.65)/(Financials!AR77+0.4+27),IF(AR59/Financials!AR77&gt;0,AR59/(Financials!AR77+0.4),AR59/Financials!AR77))</f>
        <v>-1.2177132041861503</v>
      </c>
      <c r="AS64" s="204">
        <f>IF((AS59+'debt schedule'!AT142*0.65)/(Financials!AS77+0.4+27)&gt;0.207,(AS59+'debt schedule'!AT142*0.65)/(Financials!AS77+0.4+27),IF(AS59/Financials!AS77&gt;0,AS59/(Financials!AS77+0.4),AS59/Financials!AS77))</f>
        <v>-2.7583036432593957</v>
      </c>
      <c r="AT64" s="203">
        <f>IF((AT59+'debt schedule'!AU142*0.65)/(Financials!AT77+0.4+27)&gt;0.207,(AT59+'debt schedule'!AU142*0.65)/(Financials!AT77+0.4+27),IF(AT59/Financials!AT77&gt;0,AT59/(Financials!AT77+0.4),AT59/Financials!AT77))</f>
        <v>-1.161327111772519</v>
      </c>
      <c r="AU64" s="204">
        <f>IF((AU59+'debt schedule'!AV142*0.65)/(Financials!AU77+0.4+27)&gt;0.207,(AU59+'debt schedule'!AV142*0.65)/(Financials!AU77+0.4+27),IF(AU59/Financials!AU77&gt;0,AU59/(Financials!AU77+0.4),AU59/Financials!AU77))</f>
        <v>1.1125614340248187</v>
      </c>
      <c r="AV64" s="204">
        <f>IF((AV59+'debt schedule'!AW142*0.65)/(Financials!AV77+0.4+27)&gt;0.207,(AV59+'debt schedule'!AW142*0.65)/(Financials!AV77+0.4+27),IF(AV59/Financials!AV77&gt;0,AV59/(Financials!AV77+0.4),AV59/Financials!AV77))</f>
        <v>0.72087486221838604</v>
      </c>
      <c r="AW64" s="1172">
        <f>IF((AW59+'debt schedule'!AX142*0.65)/(Financials!AW77+0.4+27)&gt;0.207,(AW59+'debt schedule'!AX142*0.65)/(Financials!AW77+0.4+27),IF(AW59/Financials!AW77&gt;0,AW59/(Financials!AW77+0.4),AW59/Financials!AW77))</f>
        <v>-1.0342122981030186</v>
      </c>
      <c r="AX64" s="204">
        <f>IF((AX59+'debt schedule'!AY142*0.65)/(Financials!AX77+0.4+27)&gt;0.207,(AX59+'debt schedule'!AY142*0.65)/(Financials!AX77+0.4+27),IF(AX59/Financials!AX77&gt;0,AX59/(Financials!AX77+0.4),AX59/Financials!AX77))</f>
        <v>-9.029956881955889E-2</v>
      </c>
      <c r="AY64" s="203">
        <f>IF((AY59+'debt schedule'!AZ142*0.65)/(Financials!AY77+0.4+27)&gt;0.207,(AY59+'debt schedule'!AZ142*0.65)/(Financials!AY77+0.4+27),IF(AY59/Financials!AY77&gt;0,AY59/(Financials!AY77+0.4),AY59/Financials!AY77))</f>
        <v>0.67418719930018955</v>
      </c>
      <c r="AZ64" s="204">
        <f>IF((AZ59+'debt schedule'!BA142*0.65)/(Financials!AZ77+0.4+27)&gt;0.207,(AZ59+'debt schedule'!BA142*0.65)/(Financials!AZ77+0.4+27),IF(AZ59/Financials!AZ77&gt;0,AZ59/(Financials!AZ77+0.4),AZ59/Financials!AZ77))</f>
        <v>0.6854469739357486</v>
      </c>
      <c r="BA64" s="205">
        <f>IF((BA59+'debt schedule'!BB142*0.65)/(Financials!BA77+0.4+27)&gt;0.207,(BA59+'debt schedule'!BB142*0.65)/(Financials!BA77+0.4+27),IF(BA59/Financials!BA77&gt;0,BA59/(Financials!BA77+0.4),BA59/Financials!BA77))</f>
        <v>0.1381692573402418</v>
      </c>
      <c r="BB64" s="1281">
        <f>IF((BB59+'debt schedule'!BC142*0.65)/(Financials!BB77+0.4+27)&gt;0.207,(BB59+'debt schedule'!BC142*0.65)/(Financials!BB77+0.4+27),IF(BB59/Financials!BB77&gt;0,BB59/(Financials!BB77+0.4),BB59/Financials!BB77))</f>
        <v>-0.40872595271248552</v>
      </c>
      <c r="BC64" s="204">
        <f>IF((BC59+'debt schedule'!BD142*0.65)/(Financials!BC77+0.4+27)&gt;0.207,(BC59+'debt schedule'!BD142*0.65)/(Financials!BC77+0.4+27),IF(BC59/Financials!BC77&gt;0,BC59/(Financials!BC77+0.4),BC59/Financials!BC77))</f>
        <v>1.1968503478250738</v>
      </c>
      <c r="BD64" s="1307">
        <f>(BD59+BD62)/BD67</f>
        <v>-0.35330058952706211</v>
      </c>
      <c r="BE64" s="205">
        <f>(BE59+BE62)/BE67</f>
        <v>-0.52720004634725681</v>
      </c>
      <c r="BF64" s="205">
        <f>(BF59+BF62)/BF67</f>
        <v>-0.13968230710056548</v>
      </c>
      <c r="BG64" s="1281">
        <f>(BG59+BG62)/(BG67+BG112)</f>
        <v>0.23806736036186044</v>
      </c>
      <c r="BH64" s="205">
        <f t="shared" ref="BH64:CQ64" si="69">(BH59+BH62)/BH67</f>
        <v>-0.75451215202179867</v>
      </c>
      <c r="BI64" s="1307">
        <f t="shared" si="69"/>
        <v>0.26322431043980682</v>
      </c>
      <c r="BJ64" s="205">
        <f t="shared" si="69"/>
        <v>0.17255183457110518</v>
      </c>
      <c r="BK64" s="205">
        <f t="shared" si="69"/>
        <v>2.1839280177325353</v>
      </c>
      <c r="BL64" s="1281">
        <f t="shared" si="69"/>
        <v>1.8208278786026144</v>
      </c>
      <c r="BM64" s="205">
        <f t="shared" si="69"/>
        <v>4.4608261178918198</v>
      </c>
      <c r="BN64" s="1307">
        <f t="shared" si="69"/>
        <v>-6.8618638194506393E-2</v>
      </c>
      <c r="BO64" s="205">
        <f t="shared" si="69"/>
        <v>-0.78787629657034031</v>
      </c>
      <c r="BP64" s="205">
        <f t="shared" si="69"/>
        <v>-0.70391733413520674</v>
      </c>
      <c r="BQ64" s="1332">
        <f t="shared" si="69"/>
        <v>-3.5600319787901356</v>
      </c>
      <c r="BR64" s="205">
        <f t="shared" si="69"/>
        <v>-5.1268361465905512</v>
      </c>
      <c r="BS64" s="1307">
        <f t="shared" si="69"/>
        <v>-2.1516099506837341</v>
      </c>
      <c r="BT64" s="205">
        <f t="shared" si="69"/>
        <v>-0.3069954018910917</v>
      </c>
      <c r="BU64" s="205">
        <f t="shared" si="69"/>
        <v>0.40197897340754485</v>
      </c>
      <c r="BV64" s="1281">
        <f t="shared" si="69"/>
        <v>0.27171556583321288</v>
      </c>
      <c r="BW64" s="205">
        <f t="shared" si="69"/>
        <v>-1.5834706100192826</v>
      </c>
      <c r="BX64" s="1307">
        <f t="shared" si="69"/>
        <v>-0.83217593921098243</v>
      </c>
      <c r="BY64" s="205">
        <f t="shared" si="69"/>
        <v>1.0736928215965642</v>
      </c>
      <c r="BZ64" s="205">
        <f t="shared" si="69"/>
        <v>0.91226400126923679</v>
      </c>
      <c r="CA64" s="1281">
        <f t="shared" si="69"/>
        <v>0.76745104678065568</v>
      </c>
      <c r="CB64" s="205">
        <f t="shared" si="69"/>
        <v>1.9292631789372743</v>
      </c>
      <c r="CC64" s="1307">
        <f t="shared" si="69"/>
        <v>0.22229558605702299</v>
      </c>
      <c r="CD64" s="205">
        <f t="shared" si="69"/>
        <v>1.4474911380518656</v>
      </c>
      <c r="CE64" s="205">
        <f t="shared" si="69"/>
        <v>1.9108476890797164</v>
      </c>
      <c r="CF64" s="1281">
        <f t="shared" si="69"/>
        <v>1.5303598294539769</v>
      </c>
      <c r="CG64" s="205">
        <f t="shared" si="69"/>
        <v>5.1109942426425823</v>
      </c>
      <c r="CH64" s="1307">
        <f t="shared" si="69"/>
        <v>0.65664496832980135</v>
      </c>
      <c r="CI64" s="205">
        <f t="shared" si="69"/>
        <v>1.9595438999961783</v>
      </c>
      <c r="CJ64" s="205">
        <f t="shared" si="69"/>
        <v>1.827039896045404</v>
      </c>
      <c r="CK64" s="1281">
        <f t="shared" si="69"/>
        <v>1.7402615991815173</v>
      </c>
      <c r="CL64" s="205">
        <f t="shared" si="69"/>
        <v>6.1834903635529015</v>
      </c>
      <c r="CM64" s="1307">
        <f t="shared" si="69"/>
        <v>0.77433409563563216</v>
      </c>
      <c r="CN64" s="205">
        <f t="shared" si="69"/>
        <v>1.5032954577265683</v>
      </c>
      <c r="CO64" s="205">
        <f t="shared" si="69"/>
        <v>1.1876456502756185</v>
      </c>
      <c r="CP64" s="1281">
        <f t="shared" si="69"/>
        <v>1.1384041202221353</v>
      </c>
      <c r="CQ64" s="1281">
        <f t="shared" si="69"/>
        <v>4.6036793238599536</v>
      </c>
      <c r="CR64" s="81"/>
    </row>
    <row r="65" spans="1:96" ht="13.5" customHeight="1">
      <c r="A65" s="75"/>
      <c r="B65" s="125" t="s">
        <v>742</v>
      </c>
      <c r="C65" s="93"/>
      <c r="D65" s="75"/>
      <c r="E65" s="75"/>
      <c r="F65" s="154"/>
      <c r="G65" s="154"/>
      <c r="H65" s="154"/>
      <c r="I65" s="154"/>
      <c r="J65" s="154"/>
      <c r="K65" s="154"/>
      <c r="L65" s="154"/>
      <c r="M65" s="154"/>
      <c r="N65" s="154"/>
      <c r="O65" s="154"/>
      <c r="P65" s="154"/>
      <c r="Q65" s="154"/>
      <c r="R65" s="154"/>
      <c r="S65" s="154"/>
      <c r="T65" s="154"/>
      <c r="U65" s="154"/>
      <c r="V65" s="154"/>
      <c r="W65" s="154"/>
      <c r="X65" s="190"/>
      <c r="Y65" s="190"/>
      <c r="Z65" s="154"/>
      <c r="AA65" s="154"/>
      <c r="AB65" s="154"/>
      <c r="AC65" s="154"/>
      <c r="AD65" s="190"/>
      <c r="AE65" s="154"/>
      <c r="AF65" s="154"/>
      <c r="AG65" s="154"/>
      <c r="AH65" s="154"/>
      <c r="AI65" s="154">
        <f>AI64/AD64-1</f>
        <v>1.0483244116387618</v>
      </c>
      <c r="AJ65" s="1163"/>
      <c r="AK65" s="154"/>
      <c r="AL65" s="154"/>
      <c r="AM65" s="1165"/>
      <c r="AN65" s="154">
        <f>AN64/AI64-1</f>
        <v>-1.5807435264305394</v>
      </c>
      <c r="AO65" s="1163"/>
      <c r="AP65" s="154"/>
      <c r="AQ65" s="154"/>
      <c r="AR65" s="1164"/>
      <c r="AS65" s="154">
        <f>AS64/AN64-1</f>
        <v>-0.74010449122176958</v>
      </c>
      <c r="AT65" s="1163"/>
      <c r="AU65" s="154"/>
      <c r="AV65" s="154"/>
      <c r="AW65" s="1164"/>
      <c r="AX65" s="154">
        <f>AX64/AS64-1</f>
        <v>-0.96726264382087579</v>
      </c>
      <c r="AY65" s="1282"/>
      <c r="AZ65" s="154"/>
      <c r="BA65" s="206"/>
      <c r="BB65" s="1165"/>
      <c r="BC65" s="154">
        <f>BC64/AX64-1</f>
        <v>-14.254219964401823</v>
      </c>
      <c r="BD65" s="1292"/>
      <c r="BE65" s="206"/>
      <c r="BF65" s="206"/>
      <c r="BG65" s="1308"/>
      <c r="BH65" s="206">
        <f>BH64/BC64-1</f>
        <v>-1.6304147827611901</v>
      </c>
      <c r="BI65" s="1292"/>
      <c r="BJ65" s="206"/>
      <c r="BK65" s="206"/>
      <c r="BL65" s="1308"/>
      <c r="BM65" s="206">
        <f>BM64/BH64-1</f>
        <v>-6.9121991686131805</v>
      </c>
      <c r="BN65" s="1292"/>
      <c r="BO65" s="206"/>
      <c r="BP65" s="206"/>
      <c r="BQ65" s="1308"/>
      <c r="BR65" s="206">
        <f>BR64/BM64-1</f>
        <v>-2.1493019479121696</v>
      </c>
      <c r="BS65" s="1346"/>
      <c r="BT65" s="206"/>
      <c r="BU65" s="206"/>
      <c r="BV65" s="1347"/>
      <c r="BW65" s="206">
        <f>BW64/BR64-1</f>
        <v>-0.69114078064064477</v>
      </c>
      <c r="BX65" s="1292"/>
      <c r="BY65" s="206"/>
      <c r="BZ65" s="206"/>
      <c r="CA65" s="1308"/>
      <c r="CB65" s="206">
        <f>CB64/BW64-1</f>
        <v>-2.21837637322096</v>
      </c>
      <c r="CC65" s="1292"/>
      <c r="CD65" s="206"/>
      <c r="CE65" s="206"/>
      <c r="CF65" s="1308"/>
      <c r="CG65" s="206">
        <f>CG64/CB64-1</f>
        <v>1.6491949353731772</v>
      </c>
      <c r="CH65" s="1292"/>
      <c r="CI65" s="206"/>
      <c r="CJ65" s="206"/>
      <c r="CK65" s="1308"/>
      <c r="CL65" s="206">
        <f>CL64/CG64-1</f>
        <v>0.20984099570337156</v>
      </c>
      <c r="CM65" s="1292"/>
      <c r="CN65" s="206"/>
      <c r="CO65" s="206"/>
      <c r="CP65" s="1308"/>
      <c r="CQ65" s="1383">
        <f>CQ64/CL64-1</f>
        <v>-0.25548855853398988</v>
      </c>
      <c r="CR65" s="75"/>
    </row>
    <row r="66" spans="1:96" ht="6.2" customHeight="1">
      <c r="A66" s="75"/>
      <c r="B66" s="125"/>
      <c r="C66" s="93"/>
      <c r="D66" s="75"/>
      <c r="E66" s="75"/>
      <c r="F66" s="154"/>
      <c r="G66" s="154"/>
      <c r="H66" s="154"/>
      <c r="I66" s="154"/>
      <c r="J66" s="154"/>
      <c r="K66" s="154"/>
      <c r="L66" s="154"/>
      <c r="M66" s="154"/>
      <c r="N66" s="154"/>
      <c r="O66" s="154"/>
      <c r="P66" s="154"/>
      <c r="Q66" s="154"/>
      <c r="R66" s="154"/>
      <c r="S66" s="154"/>
      <c r="T66" s="154"/>
      <c r="U66" s="154"/>
      <c r="V66" s="154"/>
      <c r="W66" s="154"/>
      <c r="X66" s="142"/>
      <c r="Y66" s="142"/>
      <c r="Z66" s="154"/>
      <c r="AA66" s="154"/>
      <c r="AB66" s="154"/>
      <c r="AC66" s="142"/>
      <c r="AD66" s="142"/>
      <c r="AE66" s="154"/>
      <c r="AF66" s="154"/>
      <c r="AG66" s="154"/>
      <c r="AH66" s="142"/>
      <c r="AI66" s="142"/>
      <c r="AJ66" s="1163"/>
      <c r="AK66" s="154"/>
      <c r="AL66" s="154"/>
      <c r="AM66" s="1133"/>
      <c r="AN66" s="142"/>
      <c r="AO66" s="1163"/>
      <c r="AP66" s="154"/>
      <c r="AQ66" s="154"/>
      <c r="AR66" s="1133"/>
      <c r="AS66" s="142"/>
      <c r="AT66" s="1163"/>
      <c r="AU66" s="154"/>
      <c r="AV66" s="154"/>
      <c r="AW66" s="1133"/>
      <c r="AX66" s="142"/>
      <c r="AY66" s="1163"/>
      <c r="AZ66" s="154"/>
      <c r="BA66" s="154"/>
      <c r="BB66" s="1133"/>
      <c r="BC66" s="142"/>
      <c r="BD66" s="1292"/>
      <c r="BE66" s="206"/>
      <c r="BF66" s="206"/>
      <c r="BG66" s="1309"/>
      <c r="BH66" s="230"/>
      <c r="BI66" s="1292"/>
      <c r="BJ66" s="206"/>
      <c r="BK66" s="206"/>
      <c r="BL66" s="1309"/>
      <c r="BM66" s="230"/>
      <c r="BN66" s="1292"/>
      <c r="BO66" s="206"/>
      <c r="BP66" s="206"/>
      <c r="BQ66" s="1309"/>
      <c r="BR66" s="230"/>
      <c r="BS66" s="1346"/>
      <c r="BT66" s="206"/>
      <c r="BU66" s="206"/>
      <c r="BV66" s="1309"/>
      <c r="BW66" s="230"/>
      <c r="BX66" s="1292"/>
      <c r="BY66" s="206"/>
      <c r="BZ66" s="206"/>
      <c r="CA66" s="1309"/>
      <c r="CB66" s="230"/>
      <c r="CC66" s="1292"/>
      <c r="CD66" s="206"/>
      <c r="CE66" s="206"/>
      <c r="CF66" s="1309"/>
      <c r="CG66" s="230"/>
      <c r="CH66" s="1292"/>
      <c r="CI66" s="206"/>
      <c r="CJ66" s="206"/>
      <c r="CK66" s="1309"/>
      <c r="CL66" s="230"/>
      <c r="CM66" s="1292"/>
      <c r="CN66" s="206"/>
      <c r="CO66" s="206"/>
      <c r="CP66" s="1309"/>
      <c r="CQ66" s="1309"/>
      <c r="CR66" s="75"/>
    </row>
    <row r="67" spans="1:96" ht="13.5" customHeight="1">
      <c r="A67" s="75"/>
      <c r="B67" s="125" t="s">
        <v>743</v>
      </c>
      <c r="C67" s="93"/>
      <c r="D67" s="75"/>
      <c r="E67" s="75"/>
      <c r="F67" s="642">
        <v>102.73099999999999</v>
      </c>
      <c r="G67" s="642">
        <v>103.22799999999999</v>
      </c>
      <c r="H67" s="642">
        <v>103.321</v>
      </c>
      <c r="I67" s="642">
        <v>103.423</v>
      </c>
      <c r="J67" s="642">
        <v>103.179</v>
      </c>
      <c r="K67" s="642">
        <v>123.254</v>
      </c>
      <c r="L67" s="642">
        <v>129.874</v>
      </c>
      <c r="M67" s="642">
        <v>130.02099999999999</v>
      </c>
      <c r="N67" s="642">
        <v>130.322</v>
      </c>
      <c r="O67" s="642">
        <v>128.643</v>
      </c>
      <c r="P67" s="642">
        <v>130.83000000000001</v>
      </c>
      <c r="Q67" s="642">
        <v>130.64599999999999</v>
      </c>
      <c r="R67" s="642">
        <v>130.339</v>
      </c>
      <c r="S67" s="207">
        <f>(R67+T67)/2</f>
        <v>130.15449999999998</v>
      </c>
      <c r="T67" s="642">
        <v>129.97</v>
      </c>
      <c r="U67" s="642">
        <v>125.559</v>
      </c>
      <c r="V67" s="642">
        <v>125.242</v>
      </c>
      <c r="W67" s="642">
        <v>121.964</v>
      </c>
      <c r="X67" s="642">
        <v>119.011</v>
      </c>
      <c r="Y67" s="207">
        <f>AVERAGE(U67:X67)</f>
        <v>122.94399999999999</v>
      </c>
      <c r="Z67" s="642">
        <f>119.005</f>
        <v>119.005</v>
      </c>
      <c r="AA67" s="642">
        <v>118.89100000000001</v>
      </c>
      <c r="AB67" s="642">
        <v>118.755</v>
      </c>
      <c r="AC67" s="642">
        <v>118.581</v>
      </c>
      <c r="AD67" s="207">
        <f>AVERAGE(Z67:AC67)</f>
        <v>118.80800000000001</v>
      </c>
      <c r="AE67" s="642">
        <v>118.405</v>
      </c>
      <c r="AF67" s="642">
        <v>118.217</v>
      </c>
      <c r="AG67" s="642">
        <v>117.82599999999999</v>
      </c>
      <c r="AH67" s="642">
        <v>116.44499999999999</v>
      </c>
      <c r="AI67" s="207">
        <f>AVERAGE(AE67:AH67)</f>
        <v>117.72324999999999</v>
      </c>
      <c r="AJ67" s="1173">
        <v>116.10299999999999</v>
      </c>
      <c r="AK67" s="642">
        <v>134.63399999999999</v>
      </c>
      <c r="AL67" s="642">
        <v>143.363</v>
      </c>
      <c r="AM67" s="1174">
        <f>AL67+AM77-AL77</f>
        <v>143.347712</v>
      </c>
      <c r="AN67" s="207">
        <f>AVERAGE(AJ67:AM67)</f>
        <v>134.36192799999998</v>
      </c>
      <c r="AO67" s="1173">
        <f>143.39-0.02</f>
        <v>143.36999999999998</v>
      </c>
      <c r="AP67" s="642">
        <f>143.504+27</f>
        <v>170.50399999999999</v>
      </c>
      <c r="AQ67" s="642">
        <v>143.66</v>
      </c>
      <c r="AR67" s="1186">
        <v>143.71199999999999</v>
      </c>
      <c r="AS67" s="207">
        <f>AS77+AR67-AR77</f>
        <v>143.56650000000002</v>
      </c>
      <c r="AT67" s="1173">
        <v>143.80099999999999</v>
      </c>
      <c r="AU67" s="642">
        <v>171.59100000000001</v>
      </c>
      <c r="AV67" s="642">
        <f>144.452+27</f>
        <v>171.452</v>
      </c>
      <c r="AW67" s="1186">
        <v>144.071</v>
      </c>
      <c r="AX67" s="207">
        <f>IF((AX59+'debt schedule'!AY142*0.65)/(Financials!AX77+0.4+27)&gt;0.207,Financials!AX77+0.4+27,IF(AX59/Financials!AX77&gt;0,Financials!AX77+0.4,Financials!AX77))</f>
        <v>143.96525</v>
      </c>
      <c r="AY67" s="1283">
        <f>IF((AY59+'debt schedule'!AZ142*0.65)/(Financials!AY77+0.4+27)&gt;0.207,Financials!AY77+0.4+27,IF(AY59/Financials!AY77&gt;0,Financials!AY77+0.4,Financials!AY77))</f>
        <v>171.47499999999999</v>
      </c>
      <c r="AZ67" s="642">
        <v>171.416</v>
      </c>
      <c r="BA67" s="642">
        <v>171.673</v>
      </c>
      <c r="BB67" s="1186">
        <v>144.351</v>
      </c>
      <c r="BC67" s="207">
        <f>IF((BC59+'debt schedule'!BD142*0.65)/(Financials!BC77+0.4+27)&gt;0.207,Financials!BC77+0.4+27,IF(BC59/Financials!BC77&gt;0,Financials!BC77+0.4,Financials!BC77))</f>
        <v>171.63800000000001</v>
      </c>
      <c r="BD67" s="1310">
        <f>BD77+BD109+BD112</f>
        <v>144.35300000000001</v>
      </c>
      <c r="BE67" s="280">
        <f>BE77+BE109+BE112</f>
        <v>147.95142857142858</v>
      </c>
      <c r="BF67" s="280">
        <f>BF77+BF109+BF112</f>
        <v>148.19342857142857</v>
      </c>
      <c r="BG67" s="1311">
        <f>BG77+BG109+BG112</f>
        <v>158.30837357142858</v>
      </c>
      <c r="BH67" s="280">
        <f>BH77+BH109+BH112</f>
        <v>148.04267857142858</v>
      </c>
      <c r="BI67" s="1324">
        <v>156.114</v>
      </c>
      <c r="BJ67" s="643">
        <v>144.88399999999999</v>
      </c>
      <c r="BK67" s="643">
        <f>145.348+BK109</f>
        <v>148.81442857142858</v>
      </c>
      <c r="BL67" s="1285">
        <v>150.48099999999999</v>
      </c>
      <c r="BM67" s="280">
        <f>BM77+BM109+BM112</f>
        <v>148.62717857142857</v>
      </c>
      <c r="BN67" s="1324">
        <v>145.733</v>
      </c>
      <c r="BO67" s="643">
        <v>145.96199999999999</v>
      </c>
      <c r="BP67" s="643">
        <v>146.32400000000001</v>
      </c>
      <c r="BQ67" s="1285">
        <v>146.34700000000001</v>
      </c>
      <c r="BR67" s="643">
        <v>146.09399999999999</v>
      </c>
      <c r="BS67" s="1324">
        <v>146.40199999999999</v>
      </c>
      <c r="BT67" s="643">
        <v>146.58199999999999</v>
      </c>
      <c r="BU67" s="643">
        <v>161.69999999999999</v>
      </c>
      <c r="BV67" s="1285">
        <v>172.97499999999999</v>
      </c>
      <c r="BW67" s="280">
        <f>BW77+BW109+BW112</f>
        <v>156.61799999999999</v>
      </c>
      <c r="BX67" s="1357">
        <v>174.24199999999999</v>
      </c>
      <c r="BY67" s="862">
        <v>176.02799999999999</v>
      </c>
      <c r="BZ67" s="862">
        <v>176.48400000000001</v>
      </c>
      <c r="CA67" s="1522">
        <v>177.21</v>
      </c>
      <c r="CB67" s="280">
        <f t="shared" ref="CB67:CQ67" si="70">CB77+CB109+CB112</f>
        <v>176.75141666666664</v>
      </c>
      <c r="CC67" s="1310">
        <f t="shared" si="70"/>
        <v>174.99446399999999</v>
      </c>
      <c r="CD67" s="280">
        <f t="shared" si="70"/>
        <v>174.99446399999999</v>
      </c>
      <c r="CE67" s="280">
        <f t="shared" si="70"/>
        <v>174.99446399999999</v>
      </c>
      <c r="CF67" s="1311">
        <f t="shared" si="70"/>
        <v>174.99446399999999</v>
      </c>
      <c r="CG67" s="280">
        <f t="shared" si="70"/>
        <v>174.99446399999999</v>
      </c>
      <c r="CH67" s="1310">
        <f t="shared" si="70"/>
        <v>174.99446399999999</v>
      </c>
      <c r="CI67" s="280">
        <f t="shared" si="70"/>
        <v>174.99446399999999</v>
      </c>
      <c r="CJ67" s="280">
        <f t="shared" si="70"/>
        <v>174.99446399999999</v>
      </c>
      <c r="CK67" s="1311">
        <f t="shared" si="70"/>
        <v>174.99446399999999</v>
      </c>
      <c r="CL67" s="280">
        <f t="shared" si="70"/>
        <v>174.99446399999999</v>
      </c>
      <c r="CM67" s="1310">
        <f t="shared" si="70"/>
        <v>174.99446399999999</v>
      </c>
      <c r="CN67" s="280">
        <f t="shared" si="70"/>
        <v>174.99446399999999</v>
      </c>
      <c r="CO67" s="280">
        <f t="shared" si="70"/>
        <v>174.99446399999999</v>
      </c>
      <c r="CP67" s="1311">
        <f t="shared" si="70"/>
        <v>174.99446399999999</v>
      </c>
      <c r="CQ67" s="1311">
        <f t="shared" si="70"/>
        <v>174.99446399999999</v>
      </c>
      <c r="CR67" s="75"/>
    </row>
    <row r="68" spans="1:96" ht="6.2" customHeight="1">
      <c r="A68" s="75"/>
      <c r="B68" s="75"/>
      <c r="C68" s="93"/>
      <c r="D68" s="75"/>
      <c r="E68" s="75"/>
      <c r="F68" s="208"/>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8"/>
      <c r="AE68" s="208"/>
      <c r="AF68" s="208"/>
      <c r="AG68" s="208"/>
      <c r="AH68" s="208"/>
      <c r="AI68" s="208"/>
      <c r="AJ68" s="1175"/>
      <c r="AK68" s="1176"/>
      <c r="AL68" s="1176"/>
      <c r="AM68" s="1177"/>
      <c r="AN68" s="208"/>
      <c r="AO68" s="1175"/>
      <c r="AP68" s="1176"/>
      <c r="AQ68" s="1176"/>
      <c r="AR68" s="1177"/>
      <c r="AS68" s="208"/>
      <c r="AT68" s="1175"/>
      <c r="AU68" s="1176"/>
      <c r="AV68" s="1176"/>
      <c r="AW68" s="1177"/>
      <c r="AX68" s="208"/>
      <c r="AY68" s="1175"/>
      <c r="AZ68" s="1176"/>
      <c r="BA68" s="1176"/>
      <c r="BB68" s="1177"/>
      <c r="BC68" s="208"/>
      <c r="BD68" s="1175"/>
      <c r="BE68" s="1176"/>
      <c r="BF68" s="1176"/>
      <c r="BG68" s="1177"/>
      <c r="BH68" s="208"/>
      <c r="BI68" s="1175"/>
      <c r="BJ68" s="1176"/>
      <c r="BK68" s="1176"/>
      <c r="BL68" s="1177"/>
      <c r="BM68" s="208"/>
      <c r="BN68" s="1175"/>
      <c r="BO68" s="1176"/>
      <c r="BP68" s="1176"/>
      <c r="BQ68" s="1177"/>
      <c r="BR68" s="208"/>
      <c r="BS68" s="1175"/>
      <c r="BT68" s="1176"/>
      <c r="BU68" s="1176"/>
      <c r="BV68" s="1177"/>
      <c r="BW68" s="208"/>
      <c r="BX68" s="1175"/>
      <c r="BY68" s="1176"/>
      <c r="BZ68" s="1176"/>
      <c r="CA68" s="1177"/>
      <c r="CB68" s="208"/>
      <c r="CC68" s="1175"/>
      <c r="CD68" s="1176"/>
      <c r="CE68" s="1176"/>
      <c r="CF68" s="1177"/>
      <c r="CG68" s="208"/>
      <c r="CH68" s="1175"/>
      <c r="CI68" s="1176"/>
      <c r="CJ68" s="1176"/>
      <c r="CK68" s="1177"/>
      <c r="CL68" s="208"/>
      <c r="CM68" s="1175"/>
      <c r="CN68" s="1176"/>
      <c r="CO68" s="1176"/>
      <c r="CP68" s="1177"/>
      <c r="CQ68" s="1177"/>
      <c r="CR68" s="75"/>
    </row>
    <row r="69" spans="1:96" ht="13.5" customHeight="1">
      <c r="A69" s="75"/>
      <c r="B69" s="75"/>
      <c r="C69" s="75" t="s">
        <v>744</v>
      </c>
      <c r="D69" s="75"/>
      <c r="E69" s="75"/>
      <c r="F69" s="644">
        <v>0.05</v>
      </c>
      <c r="G69" s="644">
        <v>0.05</v>
      </c>
      <c r="H69" s="644">
        <v>0.05</v>
      </c>
      <c r="I69" s="644">
        <v>0.05</v>
      </c>
      <c r="J69" s="209">
        <f>SUM(F69:I69)</f>
        <v>0.2</v>
      </c>
      <c r="K69" s="644">
        <v>0.05</v>
      </c>
      <c r="L69" s="644">
        <v>0.05</v>
      </c>
      <c r="M69" s="644">
        <v>0.05</v>
      </c>
      <c r="N69" s="644">
        <v>0.05</v>
      </c>
      <c r="O69" s="209">
        <f>SUM(K69:N69)</f>
        <v>0.2</v>
      </c>
      <c r="P69" s="644">
        <v>0.08</v>
      </c>
      <c r="Q69" s="644">
        <v>0.1</v>
      </c>
      <c r="R69" s="644">
        <v>0.1</v>
      </c>
      <c r="S69" s="644">
        <v>0.1</v>
      </c>
      <c r="T69" s="209">
        <f>SUM(P69:S69)</f>
        <v>0.38</v>
      </c>
      <c r="U69" s="644">
        <v>0.1</v>
      </c>
      <c r="V69" s="644">
        <v>0.15</v>
      </c>
      <c r="W69" s="209">
        <f>V69</f>
        <v>0.15</v>
      </c>
      <c r="X69" s="644">
        <v>0.2</v>
      </c>
      <c r="Y69" s="209">
        <f>SUM(U69:X69)</f>
        <v>0.60000000000000009</v>
      </c>
      <c r="Z69" s="209">
        <f>X69</f>
        <v>0.2</v>
      </c>
      <c r="AA69" s="209">
        <f>Z69</f>
        <v>0.2</v>
      </c>
      <c r="AB69" s="209">
        <f>AA69</f>
        <v>0.2</v>
      </c>
      <c r="AC69" s="209">
        <f>AB69</f>
        <v>0.2</v>
      </c>
      <c r="AD69" s="209">
        <f>SUM(Z69:AC69)</f>
        <v>0.8</v>
      </c>
      <c r="AE69" s="644">
        <v>0.25</v>
      </c>
      <c r="AF69" s="644">
        <v>0.25</v>
      </c>
      <c r="AG69" s="644">
        <v>0.3</v>
      </c>
      <c r="AH69" s="209">
        <f>AG69</f>
        <v>0.3</v>
      </c>
      <c r="AI69" s="209">
        <f>SUM(AE69:AH69)</f>
        <v>1.1000000000000001</v>
      </c>
      <c r="AJ69" s="1178">
        <f>AH69</f>
        <v>0.3</v>
      </c>
      <c r="AK69" s="1179">
        <v>0.05</v>
      </c>
      <c r="AL69" s="211">
        <f>AK69</f>
        <v>0.05</v>
      </c>
      <c r="AM69" s="1180">
        <f>AL69</f>
        <v>0.05</v>
      </c>
      <c r="AN69" s="209">
        <f>SUM(AJ69:AM69)</f>
        <v>0.44999999999999996</v>
      </c>
      <c r="AO69" s="1178">
        <f>AM69</f>
        <v>0.05</v>
      </c>
      <c r="AP69" s="211">
        <f>AO69</f>
        <v>0.05</v>
      </c>
      <c r="AQ69" s="211">
        <f>AP69</f>
        <v>0.05</v>
      </c>
      <c r="AR69" s="1180">
        <f>AQ69</f>
        <v>0.05</v>
      </c>
      <c r="AS69" s="209">
        <f>SUM(AO69:AR69)</f>
        <v>0.2</v>
      </c>
      <c r="AT69" s="1178">
        <f>AR69</f>
        <v>0.05</v>
      </c>
      <c r="AU69" s="211">
        <f>AT69</f>
        <v>0.05</v>
      </c>
      <c r="AV69" s="211">
        <f>AU69</f>
        <v>0.05</v>
      </c>
      <c r="AW69" s="1180">
        <f>AV69</f>
        <v>0.05</v>
      </c>
      <c r="AX69" s="209">
        <f>SUM(AT69:AW69)</f>
        <v>0.2</v>
      </c>
      <c r="AY69" s="1178">
        <f>AW69</f>
        <v>0.05</v>
      </c>
      <c r="AZ69" s="211">
        <f>AW69</f>
        <v>0.05</v>
      </c>
      <c r="BA69" s="211">
        <f>AZ69</f>
        <v>0.05</v>
      </c>
      <c r="BB69" s="1180">
        <f>BA69</f>
        <v>0.05</v>
      </c>
      <c r="BC69" s="209">
        <f>SUM(AY69:BB69)</f>
        <v>0.2</v>
      </c>
      <c r="BD69" s="1178">
        <f>BB69</f>
        <v>0.05</v>
      </c>
      <c r="BE69" s="211">
        <f>BD69</f>
        <v>0.05</v>
      </c>
      <c r="BF69" s="211">
        <f>BE69</f>
        <v>0.05</v>
      </c>
      <c r="BG69" s="1180">
        <f>BF69</f>
        <v>0.05</v>
      </c>
      <c r="BH69" s="209">
        <f>SUM(BD69:BG69)</f>
        <v>0.2</v>
      </c>
      <c r="BI69" s="1178">
        <f>BG69</f>
        <v>0.05</v>
      </c>
      <c r="BJ69" s="211">
        <f>BI69</f>
        <v>0.05</v>
      </c>
      <c r="BK69" s="211">
        <f>BJ69</f>
        <v>0.05</v>
      </c>
      <c r="BL69" s="1180">
        <f>BK69</f>
        <v>0.05</v>
      </c>
      <c r="BM69" s="209">
        <f>SUM(BI69:BL69)</f>
        <v>0.2</v>
      </c>
      <c r="BN69" s="1333">
        <v>0.05</v>
      </c>
      <c r="BO69" s="1179">
        <v>0.05</v>
      </c>
      <c r="BP69" s="1179">
        <v>0.05</v>
      </c>
      <c r="BQ69" s="1334">
        <v>0.05</v>
      </c>
      <c r="BR69" s="209">
        <f>SUM(BN69:BQ69)</f>
        <v>0.2</v>
      </c>
      <c r="BS69" s="1333">
        <v>0.05</v>
      </c>
      <c r="BT69" s="1179">
        <v>0.05</v>
      </c>
      <c r="BU69" s="1179">
        <v>0.05</v>
      </c>
      <c r="BV69" s="1334">
        <v>0.05</v>
      </c>
      <c r="BW69" s="209">
        <f>SUM(BS69:BV69)</f>
        <v>0.2</v>
      </c>
      <c r="BX69" s="1333">
        <v>0.05</v>
      </c>
      <c r="BY69" s="1179">
        <v>0.05</v>
      </c>
      <c r="BZ69" s="1179">
        <v>0.05</v>
      </c>
      <c r="CA69" s="1334">
        <v>0.05</v>
      </c>
      <c r="CB69" s="209">
        <f>SUM(BX69:CA69)</f>
        <v>0.2</v>
      </c>
      <c r="CC69" s="1178">
        <f>CA69</f>
        <v>0.05</v>
      </c>
      <c r="CD69" s="211">
        <f>CC69</f>
        <v>0.05</v>
      </c>
      <c r="CE69" s="211">
        <f>CD69</f>
        <v>0.05</v>
      </c>
      <c r="CF69" s="1180">
        <f>CE69</f>
        <v>0.05</v>
      </c>
      <c r="CG69" s="209">
        <f>SUM(CC69:CF69)</f>
        <v>0.2</v>
      </c>
      <c r="CH69" s="1178">
        <f>CF69</f>
        <v>0.05</v>
      </c>
      <c r="CI69" s="211">
        <f>CH69</f>
        <v>0.05</v>
      </c>
      <c r="CJ69" s="211">
        <f>CI69</f>
        <v>0.05</v>
      </c>
      <c r="CK69" s="1180">
        <f>CJ69</f>
        <v>0.05</v>
      </c>
      <c r="CL69" s="209">
        <f>SUM(CH69:CK69)</f>
        <v>0.2</v>
      </c>
      <c r="CM69" s="1178">
        <f>CK69</f>
        <v>0.05</v>
      </c>
      <c r="CN69" s="211">
        <f>CM69</f>
        <v>0.05</v>
      </c>
      <c r="CO69" s="211">
        <f>CN69</f>
        <v>0.05</v>
      </c>
      <c r="CP69" s="1180">
        <f>CO69</f>
        <v>0.05</v>
      </c>
      <c r="CQ69" s="1180">
        <f>SUM(CM69:CP69)</f>
        <v>0.2</v>
      </c>
      <c r="CR69" s="75"/>
    </row>
    <row r="70" spans="1:96" ht="13.5" customHeight="1">
      <c r="A70" s="115"/>
      <c r="B70" s="115"/>
      <c r="C70" s="115" t="s">
        <v>745</v>
      </c>
      <c r="D70" s="115"/>
      <c r="E70" s="115"/>
      <c r="F70" s="210" t="str">
        <f t="shared" ref="F70:AK70" si="71">IF(F64&lt;0,"NM  ",F69/F64)</f>
        <v xml:space="preserve">NM  </v>
      </c>
      <c r="G70" s="210" t="str">
        <f t="shared" si="71"/>
        <v xml:space="preserve">NM  </v>
      </c>
      <c r="H70" s="210" t="str">
        <f t="shared" si="71"/>
        <v xml:space="preserve">NM  </v>
      </c>
      <c r="I70" s="210" t="str">
        <f t="shared" si="71"/>
        <v xml:space="preserve">NM  </v>
      </c>
      <c r="J70" s="210" t="str">
        <f t="shared" si="71"/>
        <v xml:space="preserve">NM  </v>
      </c>
      <c r="K70" s="210">
        <f t="shared" si="71"/>
        <v>0.22009642857142861</v>
      </c>
      <c r="L70" s="210">
        <f t="shared" si="71"/>
        <v>2.5465490196078432E-2</v>
      </c>
      <c r="M70" s="210">
        <f t="shared" si="71"/>
        <v>1.810877437325905E-2</v>
      </c>
      <c r="N70" s="210">
        <f t="shared" si="71"/>
        <v>1.4104112554112555E-2</v>
      </c>
      <c r="O70" s="210">
        <f t="shared" si="71"/>
        <v>2.3304891304347826E-2</v>
      </c>
      <c r="P70" s="210">
        <f t="shared" si="71"/>
        <v>2.5342372881355935E-2</v>
      </c>
      <c r="Q70" s="210">
        <f t="shared" si="71"/>
        <v>5.1638735177865609E-2</v>
      </c>
      <c r="R70" s="210">
        <f t="shared" si="71"/>
        <v>0.13719894736842106</v>
      </c>
      <c r="S70" s="210">
        <f t="shared" si="71"/>
        <v>0.10089496124031007</v>
      </c>
      <c r="T70" s="210">
        <f t="shared" si="71"/>
        <v>5.5492808988764041E-2</v>
      </c>
      <c r="U70" s="210">
        <f t="shared" si="71"/>
        <v>4.847837837837838E-2</v>
      </c>
      <c r="V70" s="210">
        <f t="shared" si="71"/>
        <v>4.6500742574257424E-2</v>
      </c>
      <c r="W70" s="210">
        <f t="shared" si="71"/>
        <v>4.2446867749419956E-2</v>
      </c>
      <c r="X70" s="210">
        <f t="shared" si="71"/>
        <v>9.2615564202334646E-2</v>
      </c>
      <c r="Y70" s="210">
        <f t="shared" si="71"/>
        <v>5.460133234641007E-2</v>
      </c>
      <c r="Z70" s="210">
        <f t="shared" si="71"/>
        <v>8.6549090909090909E-2</v>
      </c>
      <c r="AA70" s="210">
        <f t="shared" si="71"/>
        <v>7.5247468354430386E-2</v>
      </c>
      <c r="AB70" s="210">
        <f t="shared" si="71"/>
        <v>7.9969696969696968E-2</v>
      </c>
      <c r="AC70" s="210">
        <f t="shared" si="71"/>
        <v>0.13788488372093025</v>
      </c>
      <c r="AD70" s="210">
        <f t="shared" si="71"/>
        <v>8.9666415094339633E-2</v>
      </c>
      <c r="AE70" s="210">
        <f t="shared" si="71"/>
        <v>0.14095833333333335</v>
      </c>
      <c r="AF70" s="210">
        <f t="shared" si="71"/>
        <v>4.3979538690476196E-2</v>
      </c>
      <c r="AG70" s="210">
        <f t="shared" si="71"/>
        <v>3.4086595949855351E-2</v>
      </c>
      <c r="AH70" s="210">
        <f t="shared" si="71"/>
        <v>0.15031626506024096</v>
      </c>
      <c r="AI70" s="210">
        <f t="shared" si="71"/>
        <v>6.0191305661429766E-2</v>
      </c>
      <c r="AJ70" s="1181" t="str">
        <f t="shared" si="71"/>
        <v xml:space="preserve">NM  </v>
      </c>
      <c r="AK70" s="1182" t="str">
        <f t="shared" si="71"/>
        <v xml:space="preserve">NM  </v>
      </c>
      <c r="AL70" s="1182" t="str">
        <f t="shared" ref="AL70:BQ70" si="72">IF(AL64&lt;0,"NM  ",AL69/AL64)</f>
        <v xml:space="preserve">NM  </v>
      </c>
      <c r="AM70" s="1183" t="str">
        <f t="shared" si="72"/>
        <v xml:space="preserve">NM  </v>
      </c>
      <c r="AN70" s="210" t="str">
        <f t="shared" si="72"/>
        <v xml:space="preserve">NM  </v>
      </c>
      <c r="AO70" s="1181" t="str">
        <f t="shared" si="72"/>
        <v xml:space="preserve">NM  </v>
      </c>
      <c r="AP70" s="1182">
        <f t="shared" si="72"/>
        <v>0.11154703434771968</v>
      </c>
      <c r="AQ70" s="1182" t="str">
        <f t="shared" si="72"/>
        <v xml:space="preserve">NM  </v>
      </c>
      <c r="AR70" s="1183" t="str">
        <f t="shared" si="72"/>
        <v xml:space="preserve">NM  </v>
      </c>
      <c r="AS70" s="210" t="str">
        <f t="shared" si="72"/>
        <v xml:space="preserve">NM  </v>
      </c>
      <c r="AT70" s="1181" t="str">
        <f t="shared" si="72"/>
        <v xml:space="preserve">NM  </v>
      </c>
      <c r="AU70" s="1182">
        <f t="shared" si="72"/>
        <v>4.4941338492310724E-2</v>
      </c>
      <c r="AV70" s="1182">
        <f t="shared" si="72"/>
        <v>6.9360165849218794E-2</v>
      </c>
      <c r="AW70" s="1183" t="str">
        <f t="shared" si="72"/>
        <v xml:space="preserve">NM  </v>
      </c>
      <c r="AX70" s="210" t="str">
        <f t="shared" si="72"/>
        <v xml:space="preserve">NM  </v>
      </c>
      <c r="AY70" s="1181">
        <f t="shared" si="72"/>
        <v>7.4163377845055958E-2</v>
      </c>
      <c r="AZ70" s="1182">
        <f t="shared" si="72"/>
        <v>7.2945102832545045E-2</v>
      </c>
      <c r="BA70" s="1182">
        <f t="shared" si="72"/>
        <v>0.361875</v>
      </c>
      <c r="BB70" s="1183" t="str">
        <f t="shared" si="72"/>
        <v xml:space="preserve">NM  </v>
      </c>
      <c r="BC70" s="210">
        <f t="shared" si="72"/>
        <v>0.16710526956310087</v>
      </c>
      <c r="BD70" s="1181" t="str">
        <f t="shared" si="72"/>
        <v xml:space="preserve">NM  </v>
      </c>
      <c r="BE70" s="1182" t="str">
        <f t="shared" si="72"/>
        <v xml:space="preserve">NM  </v>
      </c>
      <c r="BF70" s="1182" t="str">
        <f t="shared" si="72"/>
        <v xml:space="preserve">NM  </v>
      </c>
      <c r="BG70" s="1183">
        <f t="shared" si="72"/>
        <v>0.21002459104011745</v>
      </c>
      <c r="BH70" s="210" t="str">
        <f t="shared" si="72"/>
        <v xml:space="preserve">NM  </v>
      </c>
      <c r="BI70" s="1181">
        <f t="shared" si="72"/>
        <v>0.18995205996155062</v>
      </c>
      <c r="BJ70" s="1182">
        <f t="shared" si="72"/>
        <v>0.28976799999999997</v>
      </c>
      <c r="BK70" s="1182">
        <f t="shared" si="72"/>
        <v>2.2894527472527477E-2</v>
      </c>
      <c r="BL70" s="1183">
        <f t="shared" si="72"/>
        <v>2.7460036496350364E-2</v>
      </c>
      <c r="BM70" s="210">
        <f t="shared" si="72"/>
        <v>4.4834744667097609E-2</v>
      </c>
      <c r="BN70" s="1181" t="str">
        <f t="shared" si="72"/>
        <v xml:space="preserve">NM  </v>
      </c>
      <c r="BO70" s="1182" t="str">
        <f t="shared" si="72"/>
        <v xml:space="preserve">NM  </v>
      </c>
      <c r="BP70" s="1182" t="str">
        <f t="shared" si="72"/>
        <v xml:space="preserve">NM  </v>
      </c>
      <c r="BQ70" s="1183" t="str">
        <f t="shared" si="72"/>
        <v xml:space="preserve">NM  </v>
      </c>
      <c r="BR70" s="210" t="str">
        <f t="shared" ref="BR70:CQ70" si="73">IF(BR64&lt;0,"NM  ",BR69/BR64)</f>
        <v xml:space="preserve">NM  </v>
      </c>
      <c r="BS70" s="1348" t="str">
        <f t="shared" si="73"/>
        <v xml:space="preserve">NM  </v>
      </c>
      <c r="BT70" s="1182" t="str">
        <f t="shared" si="73"/>
        <v xml:space="preserve">NM  </v>
      </c>
      <c r="BU70" s="1182">
        <f t="shared" si="73"/>
        <v>0.12438461538461539</v>
      </c>
      <c r="BV70" s="1183">
        <f t="shared" si="73"/>
        <v>0.18401595744680854</v>
      </c>
      <c r="BW70" s="210" t="str">
        <f t="shared" si="73"/>
        <v xml:space="preserve">NM  </v>
      </c>
      <c r="BX70" s="1181" t="str">
        <f t="shared" si="73"/>
        <v xml:space="preserve">NM  </v>
      </c>
      <c r="BY70" s="1182">
        <f t="shared" si="73"/>
        <v>4.6568253968253967E-2</v>
      </c>
      <c r="BZ70" s="1182">
        <f t="shared" si="73"/>
        <v>5.4808695652173924E-2</v>
      </c>
      <c r="CA70" s="1183">
        <f t="shared" si="73"/>
        <v>6.5150735294117648E-2</v>
      </c>
      <c r="CB70" s="210">
        <f t="shared" si="73"/>
        <v>0.10366652003910068</v>
      </c>
      <c r="CC70" s="1181">
        <f t="shared" si="73"/>
        <v>0.22492574363205783</v>
      </c>
      <c r="CD70" s="1182">
        <f t="shared" si="73"/>
        <v>3.454252581283053E-2</v>
      </c>
      <c r="CE70" s="1182">
        <f t="shared" si="73"/>
        <v>2.6166397398256536E-2</v>
      </c>
      <c r="CF70" s="1183">
        <f t="shared" si="73"/>
        <v>3.267205466170639E-2</v>
      </c>
      <c r="CG70" s="210">
        <f t="shared" si="73"/>
        <v>3.9131329542760794E-2</v>
      </c>
      <c r="CH70" s="1181">
        <f t="shared" si="73"/>
        <v>7.6144648038919252E-2</v>
      </c>
      <c r="CI70" s="1182">
        <f t="shared" si="73"/>
        <v>2.5516141792024927E-2</v>
      </c>
      <c r="CJ70" s="1182">
        <f t="shared" si="73"/>
        <v>2.7366671142882062E-2</v>
      </c>
      <c r="CK70" s="1183">
        <f t="shared" si="73"/>
        <v>2.8731312593184889E-2</v>
      </c>
      <c r="CL70" s="210">
        <f t="shared" si="73"/>
        <v>3.2344192072951541E-2</v>
      </c>
      <c r="CM70" s="1181">
        <f t="shared" si="73"/>
        <v>6.45716109904165E-2</v>
      </c>
      <c r="CN70" s="1182">
        <f t="shared" si="73"/>
        <v>3.326026147622034E-2</v>
      </c>
      <c r="CO70" s="1182">
        <f t="shared" si="73"/>
        <v>4.2100099460134793E-2</v>
      </c>
      <c r="CP70" s="1183">
        <f t="shared" si="73"/>
        <v>4.3921134078681624E-2</v>
      </c>
      <c r="CQ70" s="1183">
        <f t="shared" si="73"/>
        <v>4.3443512445239141E-2</v>
      </c>
      <c r="CR70" s="115"/>
    </row>
    <row r="71" spans="1:96" ht="6.2" customHeight="1">
      <c r="A71" s="81"/>
      <c r="B71" s="81"/>
      <c r="C71" s="81"/>
      <c r="D71" s="81"/>
      <c r="E71" s="81"/>
      <c r="F71" s="211"/>
      <c r="G71" s="211"/>
      <c r="H71" s="211"/>
      <c r="I71" s="211"/>
      <c r="J71" s="211"/>
      <c r="K71" s="211"/>
      <c r="L71" s="211"/>
      <c r="M71" s="211"/>
      <c r="N71" s="211"/>
      <c r="O71" s="211"/>
      <c r="P71" s="211"/>
      <c r="Q71" s="211"/>
      <c r="R71" s="211"/>
      <c r="S71" s="211"/>
      <c r="T71" s="211"/>
      <c r="U71" s="211"/>
      <c r="V71" s="211"/>
      <c r="W71" s="211"/>
      <c r="X71" s="85"/>
      <c r="Y71" s="85"/>
      <c r="Z71" s="211"/>
      <c r="AA71" s="211"/>
      <c r="AB71" s="211"/>
      <c r="AC71" s="85"/>
      <c r="AD71" s="85"/>
      <c r="AE71" s="211"/>
      <c r="AF71" s="211"/>
      <c r="AG71" s="211"/>
      <c r="AH71" s="85"/>
      <c r="AI71" s="85"/>
      <c r="AJ71" s="1178"/>
      <c r="AK71" s="211"/>
      <c r="AL71" s="211"/>
      <c r="AM71" s="1133"/>
      <c r="AN71" s="85"/>
      <c r="AO71" s="1178"/>
      <c r="AP71" s="211"/>
      <c r="AQ71" s="211"/>
      <c r="AR71" s="1133"/>
      <c r="AS71" s="85"/>
      <c r="AT71" s="1178"/>
      <c r="AU71" s="211"/>
      <c r="AV71" s="211"/>
      <c r="AW71" s="1133"/>
      <c r="AX71" s="85"/>
      <c r="AY71" s="1178"/>
      <c r="AZ71" s="211"/>
      <c r="BA71" s="211"/>
      <c r="BB71" s="1133"/>
      <c r="BC71" s="85"/>
      <c r="BD71" s="1178"/>
      <c r="BE71" s="211"/>
      <c r="BF71" s="211"/>
      <c r="BG71" s="1133"/>
      <c r="BH71" s="85"/>
      <c r="BI71" s="1178"/>
      <c r="BJ71" s="211"/>
      <c r="BK71" s="211"/>
      <c r="BL71" s="1133"/>
      <c r="BM71" s="85"/>
      <c r="BN71" s="1178"/>
      <c r="BO71" s="211"/>
      <c r="BP71" s="211"/>
      <c r="BQ71" s="1133"/>
      <c r="BR71" s="85"/>
      <c r="BS71" s="1178"/>
      <c r="BT71" s="211"/>
      <c r="BU71" s="211"/>
      <c r="BV71" s="1133"/>
      <c r="BW71" s="85"/>
      <c r="BX71" s="1178"/>
      <c r="BY71" s="211"/>
      <c r="BZ71" s="211"/>
      <c r="CA71" s="1133"/>
      <c r="CB71" s="85"/>
      <c r="CC71" s="1178"/>
      <c r="CD71" s="211"/>
      <c r="CE71" s="211"/>
      <c r="CF71" s="1133"/>
      <c r="CG71" s="85"/>
      <c r="CH71" s="1178"/>
      <c r="CI71" s="211"/>
      <c r="CJ71" s="211"/>
      <c r="CK71" s="1133"/>
      <c r="CL71" s="85"/>
      <c r="CM71" s="1178"/>
      <c r="CN71" s="211"/>
      <c r="CO71" s="211"/>
      <c r="CP71" s="1133"/>
      <c r="CQ71" s="1133"/>
      <c r="CR71" s="75"/>
    </row>
    <row r="72" spans="1:96" ht="13.5" customHeight="1" outlineLevel="1">
      <c r="A72" s="83" t="s">
        <v>746</v>
      </c>
      <c r="B72" s="81"/>
      <c r="C72" s="81"/>
      <c r="D72" s="81"/>
      <c r="E72" s="81"/>
      <c r="F72" s="211"/>
      <c r="G72" s="211"/>
      <c r="H72" s="211"/>
      <c r="I72" s="211"/>
      <c r="J72" s="211"/>
      <c r="K72" s="211"/>
      <c r="L72" s="211"/>
      <c r="M72" s="211"/>
      <c r="N72" s="211"/>
      <c r="O72" s="211"/>
      <c r="P72" s="211"/>
      <c r="Q72" s="211"/>
      <c r="R72" s="211"/>
      <c r="S72" s="211"/>
      <c r="T72" s="211"/>
      <c r="U72" s="211"/>
      <c r="V72" s="211"/>
      <c r="W72" s="211"/>
      <c r="X72" s="85"/>
      <c r="Y72" s="85"/>
      <c r="Z72" s="211"/>
      <c r="AA72" s="211"/>
      <c r="AB72" s="211"/>
      <c r="AC72" s="85"/>
      <c r="AD72" s="85"/>
      <c r="AE72" s="211"/>
      <c r="AF72" s="211"/>
      <c r="AG72" s="211"/>
      <c r="AH72" s="85"/>
      <c r="AI72" s="85"/>
      <c r="AJ72" s="1178"/>
      <c r="AK72" s="211"/>
      <c r="AL72" s="211"/>
      <c r="AM72" s="1133"/>
      <c r="AN72" s="85"/>
      <c r="AO72" s="1178"/>
      <c r="AP72" s="211"/>
      <c r="AQ72" s="211"/>
      <c r="AR72" s="1133"/>
      <c r="AS72" s="85"/>
      <c r="AT72" s="1178"/>
      <c r="AU72" s="211"/>
      <c r="AV72" s="211"/>
      <c r="AW72" s="1133"/>
      <c r="AX72" s="85"/>
      <c r="AY72" s="1178"/>
      <c r="AZ72" s="211"/>
      <c r="BA72" s="211"/>
      <c r="BB72" s="1133"/>
      <c r="BC72" s="85"/>
      <c r="BD72" s="1178"/>
      <c r="BE72" s="211"/>
      <c r="BF72" s="211"/>
      <c r="BG72" s="1133"/>
      <c r="BH72" s="85"/>
      <c r="BI72" s="1178"/>
      <c r="BJ72" s="211"/>
      <c r="BK72" s="211"/>
      <c r="BL72" s="1133"/>
      <c r="BM72" s="85"/>
      <c r="BN72" s="1178"/>
      <c r="BO72" s="211"/>
      <c r="BP72" s="211"/>
      <c r="BQ72" s="1133"/>
      <c r="BR72" s="85"/>
      <c r="BS72" s="1178"/>
      <c r="BT72" s="211"/>
      <c r="BU72" s="211"/>
      <c r="BV72" s="1133"/>
      <c r="BW72" s="85"/>
      <c r="BX72" s="1178"/>
      <c r="BY72" s="211"/>
      <c r="BZ72" s="211"/>
      <c r="CA72" s="1133"/>
      <c r="CB72" s="85"/>
      <c r="CC72" s="1178"/>
      <c r="CD72" s="211"/>
      <c r="CE72" s="211"/>
      <c r="CF72" s="1133"/>
      <c r="CG72" s="85"/>
      <c r="CH72" s="1178"/>
      <c r="CI72" s="211"/>
      <c r="CJ72" s="211"/>
      <c r="CK72" s="1133"/>
      <c r="CL72" s="85"/>
      <c r="CM72" s="1178"/>
      <c r="CN72" s="211"/>
      <c r="CO72" s="211"/>
      <c r="CP72" s="1133"/>
      <c r="CQ72" s="1133"/>
      <c r="CR72" s="75"/>
    </row>
    <row r="73" spans="1:96" ht="13.5" customHeight="1" outlineLevel="1">
      <c r="A73" s="81"/>
      <c r="B73" s="81" t="s">
        <v>747</v>
      </c>
      <c r="C73" s="81"/>
      <c r="D73" s="81"/>
      <c r="E73" s="81"/>
      <c r="F73" s="212">
        <f>F51</f>
        <v>-40</v>
      </c>
      <c r="G73" s="212">
        <f>G51</f>
        <v>-15</v>
      </c>
      <c r="H73" s="212">
        <f>H51</f>
        <v>-29</v>
      </c>
      <c r="I73" s="145">
        <f>J73-SUM(F73:H73)</f>
        <v>-22</v>
      </c>
      <c r="J73" s="212">
        <f t="shared" ref="J73:AX73" si="74">J51</f>
        <v>-106</v>
      </c>
      <c r="K73" s="212">
        <f t="shared" si="74"/>
        <v>37</v>
      </c>
      <c r="L73" s="145">
        <f t="shared" si="74"/>
        <v>86</v>
      </c>
      <c r="M73" s="145">
        <f t="shared" si="74"/>
        <v>127</v>
      </c>
      <c r="N73" s="145">
        <f t="shared" si="74"/>
        <v>97</v>
      </c>
      <c r="O73" s="145">
        <f t="shared" si="74"/>
        <v>347</v>
      </c>
      <c r="P73" s="145">
        <f t="shared" si="74"/>
        <v>132</v>
      </c>
      <c r="Q73" s="145">
        <f t="shared" si="74"/>
        <v>94</v>
      </c>
      <c r="R73" s="145">
        <f t="shared" si="74"/>
        <v>28</v>
      </c>
      <c r="S73" s="145">
        <f t="shared" si="74"/>
        <v>101</v>
      </c>
      <c r="T73" s="145">
        <f t="shared" si="74"/>
        <v>355</v>
      </c>
      <c r="U73" s="145">
        <f t="shared" si="74"/>
        <v>92</v>
      </c>
      <c r="V73" s="145">
        <f t="shared" si="74"/>
        <v>91</v>
      </c>
      <c r="W73" s="145">
        <f t="shared" si="74"/>
        <v>143</v>
      </c>
      <c r="X73" s="212">
        <f t="shared" si="74"/>
        <v>74</v>
      </c>
      <c r="Y73" s="212">
        <f t="shared" si="74"/>
        <v>400</v>
      </c>
      <c r="Z73" s="145">
        <f t="shared" si="74"/>
        <v>67</v>
      </c>
      <c r="AA73" s="145">
        <f t="shared" si="74"/>
        <v>62</v>
      </c>
      <c r="AB73" s="145">
        <f t="shared" si="74"/>
        <v>83</v>
      </c>
      <c r="AC73" s="212">
        <f t="shared" si="74"/>
        <v>20</v>
      </c>
      <c r="AD73" s="212">
        <f t="shared" si="74"/>
        <v>232</v>
      </c>
      <c r="AE73" s="145">
        <f t="shared" si="74"/>
        <v>37</v>
      </c>
      <c r="AF73" s="145">
        <f t="shared" si="74"/>
        <v>257</v>
      </c>
      <c r="AG73" s="145">
        <f t="shared" si="74"/>
        <v>398</v>
      </c>
      <c r="AH73" s="212">
        <f t="shared" si="74"/>
        <v>163.6</v>
      </c>
      <c r="AI73" s="212">
        <f t="shared" si="74"/>
        <v>855.6</v>
      </c>
      <c r="AJ73" s="1134">
        <f t="shared" si="74"/>
        <v>-114</v>
      </c>
      <c r="AK73" s="145">
        <f t="shared" si="74"/>
        <v>-112</v>
      </c>
      <c r="AL73" s="145">
        <f t="shared" si="74"/>
        <v>-130</v>
      </c>
      <c r="AM73" s="1160">
        <f t="shared" si="74"/>
        <v>-99</v>
      </c>
      <c r="AN73" s="212">
        <f t="shared" si="74"/>
        <v>-455</v>
      </c>
      <c r="AO73" s="1134">
        <f t="shared" si="74"/>
        <v>26</v>
      </c>
      <c r="AP73" s="145">
        <f t="shared" si="74"/>
        <v>124</v>
      </c>
      <c r="AQ73" s="145">
        <f t="shared" si="74"/>
        <v>-9</v>
      </c>
      <c r="AR73" s="1160">
        <f t="shared" si="74"/>
        <v>-4</v>
      </c>
      <c r="AS73" s="212">
        <f t="shared" si="74"/>
        <v>137</v>
      </c>
      <c r="AT73" s="1134">
        <f t="shared" si="74"/>
        <v>16</v>
      </c>
      <c r="AU73" s="145">
        <f t="shared" si="74"/>
        <v>65</v>
      </c>
      <c r="AV73" s="145">
        <f t="shared" si="74"/>
        <v>33</v>
      </c>
      <c r="AW73" s="1160">
        <f t="shared" si="74"/>
        <v>-27</v>
      </c>
      <c r="AX73" s="212">
        <f t="shared" si="74"/>
        <v>87</v>
      </c>
      <c r="AY73" s="1143">
        <v>96</v>
      </c>
      <c r="AZ73" s="627">
        <v>70</v>
      </c>
      <c r="BA73" s="627">
        <v>-27</v>
      </c>
      <c r="BB73" s="1160">
        <f t="shared" ref="BB73:CQ73" si="75">BB51</f>
        <v>-14</v>
      </c>
      <c r="BC73" s="212">
        <f t="shared" si="75"/>
        <v>152</v>
      </c>
      <c r="BD73" s="1134">
        <f t="shared" si="75"/>
        <v>19</v>
      </c>
      <c r="BE73" s="145">
        <f t="shared" si="75"/>
        <v>3</v>
      </c>
      <c r="BF73" s="145">
        <f t="shared" si="75"/>
        <v>15.7</v>
      </c>
      <c r="BG73" s="1135">
        <f t="shared" si="75"/>
        <v>-23</v>
      </c>
      <c r="BH73" s="212">
        <f t="shared" si="75"/>
        <v>14.700000000000003</v>
      </c>
      <c r="BI73" s="1134">
        <f t="shared" si="75"/>
        <v>-6</v>
      </c>
      <c r="BJ73" s="145">
        <f t="shared" si="75"/>
        <v>11</v>
      </c>
      <c r="BK73" s="145">
        <f t="shared" si="75"/>
        <v>68</v>
      </c>
      <c r="BL73" s="1160">
        <f t="shared" si="75"/>
        <v>72</v>
      </c>
      <c r="BM73" s="212">
        <f t="shared" si="75"/>
        <v>145</v>
      </c>
      <c r="BN73" s="1134">
        <f t="shared" si="75"/>
        <v>-86</v>
      </c>
      <c r="BO73" s="145">
        <f t="shared" si="75"/>
        <v>-58</v>
      </c>
      <c r="BP73" s="145">
        <f t="shared" si="75"/>
        <v>-1</v>
      </c>
      <c r="BQ73" s="1160">
        <f t="shared" si="75"/>
        <v>328</v>
      </c>
      <c r="BR73" s="212">
        <f t="shared" si="75"/>
        <v>183</v>
      </c>
      <c r="BS73" s="1134">
        <f t="shared" si="75"/>
        <v>14</v>
      </c>
      <c r="BT73" s="145">
        <f t="shared" si="75"/>
        <v>-7</v>
      </c>
      <c r="BU73" s="145">
        <f t="shared" si="75"/>
        <v>19</v>
      </c>
      <c r="BV73" s="1160">
        <f t="shared" si="75"/>
        <v>-2</v>
      </c>
      <c r="BW73" s="212">
        <f t="shared" si="75"/>
        <v>24</v>
      </c>
      <c r="BX73" s="1134">
        <f t="shared" si="75"/>
        <v>19</v>
      </c>
      <c r="BY73" s="145">
        <f t="shared" si="75"/>
        <v>-16</v>
      </c>
      <c r="BZ73" s="145">
        <f t="shared" si="75"/>
        <v>0</v>
      </c>
      <c r="CA73" s="1160">
        <f t="shared" si="75"/>
        <v>-8</v>
      </c>
      <c r="CB73" s="212">
        <f t="shared" si="75"/>
        <v>-5</v>
      </c>
      <c r="CC73" s="1134">
        <f t="shared" si="75"/>
        <v>21.180974673480083</v>
      </c>
      <c r="CD73" s="145">
        <f t="shared" si="75"/>
        <v>14.900155489385421</v>
      </c>
      <c r="CE73" s="145">
        <f t="shared" si="75"/>
        <v>15.94735840844794</v>
      </c>
      <c r="CF73" s="1160">
        <f t="shared" si="75"/>
        <v>25.852299403007493</v>
      </c>
      <c r="CG73" s="212">
        <f t="shared" si="75"/>
        <v>77.880787974320938</v>
      </c>
      <c r="CH73" s="1134">
        <f t="shared" si="75"/>
        <v>19.655016804539148</v>
      </c>
      <c r="CI73" s="145">
        <f t="shared" si="75"/>
        <v>25.357782906420148</v>
      </c>
      <c r="CJ73" s="145">
        <f t="shared" si="75"/>
        <v>15.659743065220706</v>
      </c>
      <c r="CK73" s="1160">
        <f t="shared" si="75"/>
        <v>24.367086265064362</v>
      </c>
      <c r="CL73" s="212">
        <f t="shared" si="75"/>
        <v>85.039629041244368</v>
      </c>
      <c r="CM73" s="1134">
        <f t="shared" si="75"/>
        <v>19.458948986422854</v>
      </c>
      <c r="CN73" s="145">
        <f t="shared" si="75"/>
        <v>24.259080164008616</v>
      </c>
      <c r="CO73" s="145">
        <f t="shared" si="75"/>
        <v>13.786667423696334</v>
      </c>
      <c r="CP73" s="1160">
        <f t="shared" si="75"/>
        <v>22.822265956027525</v>
      </c>
      <c r="CQ73" s="1160">
        <f t="shared" si="75"/>
        <v>80.326962530155328</v>
      </c>
      <c r="CR73" s="75"/>
    </row>
    <row r="74" spans="1:96" ht="13.5" customHeight="1" outlineLevel="1">
      <c r="A74" s="81"/>
      <c r="B74" s="81" t="s">
        <v>748</v>
      </c>
      <c r="C74" s="81"/>
      <c r="D74" s="81"/>
      <c r="E74" s="81"/>
      <c r="F74" s="645">
        <v>0.35</v>
      </c>
      <c r="G74" s="645">
        <v>0.35</v>
      </c>
      <c r="H74" s="645">
        <v>0.35</v>
      </c>
      <c r="I74" s="645">
        <v>0.35</v>
      </c>
      <c r="J74" s="645">
        <v>0.35</v>
      </c>
      <c r="K74" s="645">
        <v>0.35</v>
      </c>
      <c r="L74" s="645">
        <v>0.35</v>
      </c>
      <c r="M74" s="645">
        <v>0.35</v>
      </c>
      <c r="N74" s="645">
        <v>0.35</v>
      </c>
      <c r="O74" s="645">
        <v>0.35</v>
      </c>
      <c r="P74" s="645">
        <v>0.35</v>
      </c>
      <c r="Q74" s="645">
        <v>0.35</v>
      </c>
      <c r="R74" s="645">
        <v>0.35</v>
      </c>
      <c r="S74" s="645">
        <v>0.35</v>
      </c>
      <c r="T74" s="645">
        <v>0.35</v>
      </c>
      <c r="U74" s="645">
        <v>0.35</v>
      </c>
      <c r="V74" s="645">
        <v>0.35</v>
      </c>
      <c r="W74" s="645">
        <v>0.35</v>
      </c>
      <c r="X74" s="645">
        <v>0.35</v>
      </c>
      <c r="Y74" s="645">
        <v>0.35</v>
      </c>
      <c r="Z74" s="645">
        <v>0.35</v>
      </c>
      <c r="AA74" s="645">
        <v>0.35</v>
      </c>
      <c r="AB74" s="645">
        <v>0.35</v>
      </c>
      <c r="AC74" s="645">
        <v>0.35</v>
      </c>
      <c r="AD74" s="645">
        <v>0.35</v>
      </c>
      <c r="AE74" s="645">
        <v>0.35</v>
      </c>
      <c r="AF74" s="645">
        <v>0.35</v>
      </c>
      <c r="AG74" s="645">
        <v>0.35</v>
      </c>
      <c r="AH74" s="645">
        <v>0.35</v>
      </c>
      <c r="AI74" s="645">
        <v>0.35</v>
      </c>
      <c r="AJ74" s="1184">
        <v>0.35</v>
      </c>
      <c r="AK74" s="645">
        <v>0.35</v>
      </c>
      <c r="AL74" s="645">
        <v>0.35</v>
      </c>
      <c r="AM74" s="1185">
        <v>0.35</v>
      </c>
      <c r="AN74" s="645">
        <v>0.35</v>
      </c>
      <c r="AO74" s="1184">
        <v>0.35</v>
      </c>
      <c r="AP74" s="645">
        <v>0.35</v>
      </c>
      <c r="AQ74" s="645">
        <v>0.35</v>
      </c>
      <c r="AR74" s="1185">
        <v>0.35</v>
      </c>
      <c r="AS74" s="645">
        <v>0.35</v>
      </c>
      <c r="AT74" s="1184">
        <v>0.35</v>
      </c>
      <c r="AU74" s="645">
        <v>0.35</v>
      </c>
      <c r="AV74" s="645">
        <v>0.35</v>
      </c>
      <c r="AW74" s="1185">
        <v>0.35</v>
      </c>
      <c r="AX74" s="645">
        <v>0.35</v>
      </c>
      <c r="AY74" s="1184">
        <v>0.35</v>
      </c>
      <c r="AZ74" s="645">
        <v>0.35</v>
      </c>
      <c r="BA74" s="645">
        <v>0.35</v>
      </c>
      <c r="BB74" s="1185">
        <v>0.35</v>
      </c>
      <c r="BC74" s="645">
        <v>0.35</v>
      </c>
      <c r="BD74" s="1184">
        <v>0.35</v>
      </c>
      <c r="BE74" s="645">
        <v>0.35</v>
      </c>
      <c r="BF74" s="645">
        <v>0.35</v>
      </c>
      <c r="BG74" s="1185">
        <v>0.35</v>
      </c>
      <c r="BH74" s="645">
        <v>0.35</v>
      </c>
      <c r="BI74" s="1184">
        <v>0.35</v>
      </c>
      <c r="BJ74" s="645">
        <v>0.35</v>
      </c>
      <c r="BK74" s="645">
        <v>0.35</v>
      </c>
      <c r="BL74" s="1185">
        <v>0.35</v>
      </c>
      <c r="BM74" s="645">
        <v>0.35</v>
      </c>
      <c r="BN74" s="1184">
        <v>0.35</v>
      </c>
      <c r="BO74" s="645">
        <v>0.35</v>
      </c>
      <c r="BP74" s="645">
        <v>0.35</v>
      </c>
      <c r="BQ74" s="1185">
        <v>0.35</v>
      </c>
      <c r="BR74" s="645">
        <v>0.35</v>
      </c>
      <c r="BS74" s="1184">
        <v>0.35</v>
      </c>
      <c r="BT74" s="645">
        <v>0.35</v>
      </c>
      <c r="BU74" s="645">
        <v>0.35</v>
      </c>
      <c r="BV74" s="1185">
        <v>0.35</v>
      </c>
      <c r="BW74" s="645">
        <v>0.35</v>
      </c>
      <c r="BX74" s="1184">
        <v>0.35</v>
      </c>
      <c r="BY74" s="645">
        <v>0.35</v>
      </c>
      <c r="BZ74" s="645">
        <v>0.35</v>
      </c>
      <c r="CA74" s="1185">
        <v>0.35</v>
      </c>
      <c r="CB74" s="871">
        <v>0.35</v>
      </c>
      <c r="CC74" s="1370">
        <v>0.21</v>
      </c>
      <c r="CD74" s="871">
        <v>0.21</v>
      </c>
      <c r="CE74" s="871">
        <v>0.21</v>
      </c>
      <c r="CF74" s="1358">
        <v>0.21</v>
      </c>
      <c r="CG74" s="871">
        <v>0.21</v>
      </c>
      <c r="CH74" s="1370">
        <v>0.21</v>
      </c>
      <c r="CI74" s="871">
        <v>0.21</v>
      </c>
      <c r="CJ74" s="871">
        <v>0.21</v>
      </c>
      <c r="CK74" s="1358">
        <v>0.21</v>
      </c>
      <c r="CL74" s="871">
        <v>0.21</v>
      </c>
      <c r="CM74" s="1370">
        <v>0.21</v>
      </c>
      <c r="CN74" s="871">
        <v>0.21</v>
      </c>
      <c r="CO74" s="871">
        <v>0.21</v>
      </c>
      <c r="CP74" s="1358">
        <v>0.21</v>
      </c>
      <c r="CQ74" s="1358">
        <v>0.21</v>
      </c>
      <c r="CR74" s="75"/>
    </row>
    <row r="75" spans="1:96" ht="13.5" customHeight="1" outlineLevel="1">
      <c r="A75" s="81"/>
      <c r="B75" s="81"/>
      <c r="C75" s="81"/>
      <c r="D75" s="81"/>
      <c r="E75" s="81"/>
      <c r="F75" s="211"/>
      <c r="G75" s="211"/>
      <c r="H75" s="211"/>
      <c r="I75" s="214"/>
      <c r="J75" s="211"/>
      <c r="K75" s="211"/>
      <c r="L75" s="214"/>
      <c r="M75" s="214"/>
      <c r="N75" s="214"/>
      <c r="O75" s="214"/>
      <c r="P75" s="214"/>
      <c r="Q75" s="214"/>
      <c r="R75" s="214"/>
      <c r="S75" s="214"/>
      <c r="T75" s="214"/>
      <c r="U75" s="214"/>
      <c r="V75" s="214"/>
      <c r="W75" s="214"/>
      <c r="X75" s="85"/>
      <c r="Y75" s="85"/>
      <c r="Z75" s="211"/>
      <c r="AA75" s="211"/>
      <c r="AB75" s="211"/>
      <c r="AC75" s="85"/>
      <c r="AD75" s="85"/>
      <c r="AE75" s="211"/>
      <c r="AF75" s="211"/>
      <c r="AG75" s="211"/>
      <c r="AH75" s="211"/>
      <c r="AI75" s="211"/>
      <c r="AJ75" s="1178"/>
      <c r="AK75" s="211"/>
      <c r="AL75" s="211"/>
      <c r="AM75" s="1180"/>
      <c r="AN75" s="211"/>
      <c r="AO75" s="1178"/>
      <c r="AP75" s="211"/>
      <c r="AQ75" s="211"/>
      <c r="AR75" s="1180"/>
      <c r="AS75" s="211"/>
      <c r="AT75" s="1178"/>
      <c r="AU75" s="211"/>
      <c r="AV75" s="211"/>
      <c r="AW75" s="1180"/>
      <c r="AX75" s="211"/>
      <c r="AY75" s="1178"/>
      <c r="AZ75" s="211"/>
      <c r="BA75" s="211"/>
      <c r="BB75" s="1180"/>
      <c r="BC75" s="211"/>
      <c r="BD75" s="1178"/>
      <c r="BE75" s="211"/>
      <c r="BF75" s="211"/>
      <c r="BG75" s="1180"/>
      <c r="BH75" s="211"/>
      <c r="BI75" s="1178"/>
      <c r="BJ75" s="211"/>
      <c r="BK75" s="211"/>
      <c r="BL75" s="1180"/>
      <c r="BM75" s="211"/>
      <c r="BN75" s="1178"/>
      <c r="BO75" s="211"/>
      <c r="BP75" s="211"/>
      <c r="BQ75" s="1180"/>
      <c r="BR75" s="211"/>
      <c r="BS75" s="1178"/>
      <c r="BT75" s="211"/>
      <c r="BU75" s="211"/>
      <c r="BV75" s="1180"/>
      <c r="BW75" s="211"/>
      <c r="BX75" s="1178"/>
      <c r="BY75" s="211"/>
      <c r="BZ75" s="211"/>
      <c r="CA75" s="1180"/>
      <c r="CB75" s="211"/>
      <c r="CC75" s="1178"/>
      <c r="CD75" s="211"/>
      <c r="CE75" s="211"/>
      <c r="CF75" s="1180"/>
      <c r="CG75" s="211"/>
      <c r="CH75" s="1178"/>
      <c r="CI75" s="211"/>
      <c r="CJ75" s="211"/>
      <c r="CK75" s="1180"/>
      <c r="CL75" s="211"/>
      <c r="CM75" s="1178"/>
      <c r="CN75" s="211"/>
      <c r="CO75" s="211"/>
      <c r="CP75" s="1180"/>
      <c r="CQ75" s="1180"/>
      <c r="CR75" s="211"/>
    </row>
    <row r="76" spans="1:96" ht="13.5" customHeight="1" outlineLevel="1">
      <c r="A76" s="83" t="s">
        <v>749</v>
      </c>
      <c r="B76" s="81"/>
      <c r="C76" s="81"/>
      <c r="D76" s="81"/>
      <c r="E76" s="81"/>
      <c r="F76" s="211"/>
      <c r="G76" s="211"/>
      <c r="H76" s="211"/>
      <c r="I76" s="214"/>
      <c r="J76" s="211"/>
      <c r="K76" s="211"/>
      <c r="L76" s="214"/>
      <c r="M76" s="214"/>
      <c r="N76" s="214"/>
      <c r="O76" s="214"/>
      <c r="P76" s="214"/>
      <c r="Q76" s="214"/>
      <c r="R76" s="214"/>
      <c r="S76" s="214"/>
      <c r="T76" s="214"/>
      <c r="U76" s="214"/>
      <c r="V76" s="214"/>
      <c r="W76" s="214"/>
      <c r="X76" s="85"/>
      <c r="Y76" s="85"/>
      <c r="Z76" s="211"/>
      <c r="AA76" s="211"/>
      <c r="AB76" s="211"/>
      <c r="AC76" s="85"/>
      <c r="AD76" s="85"/>
      <c r="AE76" s="211"/>
      <c r="AF76" s="214"/>
      <c r="AG76" s="211"/>
      <c r="AH76" s="85"/>
      <c r="AI76" s="85"/>
      <c r="AJ76" s="1178"/>
      <c r="AK76" s="214"/>
      <c r="AL76" s="214"/>
      <c r="AM76" s="1133"/>
      <c r="AN76" s="85"/>
      <c r="AO76" s="1178"/>
      <c r="AP76" s="211"/>
      <c r="AQ76" s="211"/>
      <c r="AR76" s="1133"/>
      <c r="AS76" s="85"/>
      <c r="AT76" s="1178"/>
      <c r="AU76" s="214"/>
      <c r="AV76" s="214"/>
      <c r="AW76" s="1133"/>
      <c r="AX76" s="85"/>
      <c r="AY76" s="1284"/>
      <c r="AZ76" s="214"/>
      <c r="BA76" s="214"/>
      <c r="BB76" s="1133"/>
      <c r="BC76" s="85"/>
      <c r="BD76" s="1284"/>
      <c r="BE76" s="214"/>
      <c r="BF76" s="214"/>
      <c r="BG76" s="1133"/>
      <c r="BH76" s="85"/>
      <c r="BI76" s="1284"/>
      <c r="BJ76" s="214"/>
      <c r="BK76" s="214"/>
      <c r="BL76" s="1133"/>
      <c r="BM76" s="85"/>
      <c r="BN76" s="1284"/>
      <c r="BO76" s="214"/>
      <c r="BP76" s="214"/>
      <c r="BQ76" s="1133"/>
      <c r="BR76" s="85"/>
      <c r="BS76" s="1284"/>
      <c r="BT76" s="214"/>
      <c r="BU76" s="214"/>
      <c r="BV76" s="1133"/>
      <c r="BW76" s="85"/>
      <c r="BX76" s="1284"/>
      <c r="BY76" s="214"/>
      <c r="BZ76" s="214"/>
      <c r="CA76" s="1133"/>
      <c r="CB76" s="85"/>
      <c r="CC76" s="1284"/>
      <c r="CD76" s="214"/>
      <c r="CE76" s="214"/>
      <c r="CF76" s="1133"/>
      <c r="CG76" s="85"/>
      <c r="CH76" s="1284"/>
      <c r="CI76" s="214"/>
      <c r="CJ76" s="214"/>
      <c r="CK76" s="1133"/>
      <c r="CL76" s="85"/>
      <c r="CM76" s="1284"/>
      <c r="CN76" s="214"/>
      <c r="CO76" s="214"/>
      <c r="CP76" s="1133"/>
      <c r="CQ76" s="1133"/>
      <c r="CR76" s="75"/>
    </row>
    <row r="77" spans="1:96" ht="13.5" customHeight="1" outlineLevel="1">
      <c r="A77" s="81"/>
      <c r="B77" s="81" t="s">
        <v>750</v>
      </c>
      <c r="C77" s="81"/>
      <c r="D77" s="81"/>
      <c r="E77" s="81"/>
      <c r="F77" s="642">
        <v>102.73099999999999</v>
      </c>
      <c r="G77" s="642">
        <v>103.22799999999999</v>
      </c>
      <c r="H77" s="642">
        <v>103.321</v>
      </c>
      <c r="I77" s="642">
        <v>103.423</v>
      </c>
      <c r="J77" s="642">
        <v>103.179</v>
      </c>
      <c r="K77" s="642">
        <v>106.65300000000001</v>
      </c>
      <c r="L77" s="642">
        <v>113.33199999999999</v>
      </c>
      <c r="M77" s="642">
        <v>113.523</v>
      </c>
      <c r="N77" s="642">
        <v>113.85299999999999</v>
      </c>
      <c r="O77" s="642">
        <v>111.83799999999999</v>
      </c>
      <c r="P77" s="642">
        <v>114.169</v>
      </c>
      <c r="Q77" s="642">
        <v>114.22199999999999</v>
      </c>
      <c r="R77" s="642">
        <v>113.98</v>
      </c>
      <c r="S77" s="207">
        <f>(R77+T77)/2</f>
        <v>113.72499999999999</v>
      </c>
      <c r="T77" s="642">
        <v>113.47</v>
      </c>
      <c r="U77" s="642">
        <v>108.809</v>
      </c>
      <c r="V77" s="642">
        <v>111.129</v>
      </c>
      <c r="W77" s="642">
        <v>121.27</v>
      </c>
      <c r="X77" s="642">
        <v>118.343</v>
      </c>
      <c r="Y77" s="642">
        <f>114.918</f>
        <v>114.91800000000001</v>
      </c>
      <c r="Z77" s="642">
        <f>118.244</f>
        <v>118.244</v>
      </c>
      <c r="AA77" s="642">
        <v>118.221</v>
      </c>
      <c r="AB77" s="642">
        <v>118.086</v>
      </c>
      <c r="AC77" s="642">
        <v>117.813</v>
      </c>
      <c r="AD77" s="207">
        <f>AVERAGE(Z77:AC77)</f>
        <v>118.09099999999999</v>
      </c>
      <c r="AE77" s="642">
        <v>117.595</v>
      </c>
      <c r="AF77" s="642">
        <v>117.50700000000001</v>
      </c>
      <c r="AG77" s="642">
        <v>117.169</v>
      </c>
      <c r="AH77" s="642">
        <v>116.14700000000001</v>
      </c>
      <c r="AI77" s="207">
        <f>AVERAGE(AE77:AH77)</f>
        <v>117.1045</v>
      </c>
      <c r="AJ77" s="1173">
        <v>116.10299999999999</v>
      </c>
      <c r="AK77" s="642">
        <v>134.63399999999999</v>
      </c>
      <c r="AL77" s="642">
        <v>143.363</v>
      </c>
      <c r="AM77" s="1174">
        <f>AVERAGE(AL79:AM79)</f>
        <v>143.347712</v>
      </c>
      <c r="AN77" s="207">
        <f>AVERAGE(AJ77:AM77)</f>
        <v>134.36192799999998</v>
      </c>
      <c r="AO77" s="1173">
        <v>143.38999999999999</v>
      </c>
      <c r="AP77" s="642">
        <v>143.50399999999999</v>
      </c>
      <c r="AQ77" s="642">
        <v>143.66</v>
      </c>
      <c r="AR77" s="1186">
        <v>143.71199999999999</v>
      </c>
      <c r="AS77" s="207">
        <f>AVERAGE(AO77:AR77)</f>
        <v>143.56649999999999</v>
      </c>
      <c r="AT77" s="1173">
        <v>143.80099999999999</v>
      </c>
      <c r="AU77" s="642">
        <v>143.922</v>
      </c>
      <c r="AV77" s="642">
        <v>144.06700000000001</v>
      </c>
      <c r="AW77" s="1186">
        <v>144.071</v>
      </c>
      <c r="AX77" s="207">
        <f>AVERAGE(AT77:AW77)</f>
        <v>143.96525</v>
      </c>
      <c r="AY77" s="1173">
        <v>144.07499999999999</v>
      </c>
      <c r="AZ77" s="642">
        <v>144.17599999999999</v>
      </c>
      <c r="BA77" s="642">
        <v>144.35</v>
      </c>
      <c r="BB77" s="1186">
        <v>144.351</v>
      </c>
      <c r="BC77" s="207">
        <f>AVERAGE(AY77:BB77)</f>
        <v>144.238</v>
      </c>
      <c r="BD77" s="1173">
        <v>144.35300000000001</v>
      </c>
      <c r="BE77" s="642">
        <v>144.48500000000001</v>
      </c>
      <c r="BF77" s="642">
        <v>144.727</v>
      </c>
      <c r="BG77" s="1186">
        <v>144.74</v>
      </c>
      <c r="BH77" s="207">
        <f>AVERAGE(BD77:BG77)</f>
        <v>144.57625000000002</v>
      </c>
      <c r="BI77" s="1173">
        <v>144.75700000000001</v>
      </c>
      <c r="BJ77" s="642">
        <v>144.88399999999999</v>
      </c>
      <c r="BK77" s="642">
        <v>145.34800000000001</v>
      </c>
      <c r="BL77" s="1186">
        <v>145.654</v>
      </c>
      <c r="BM77" s="207">
        <f>AVERAGE(BI77:BL77)</f>
        <v>145.16075000000001</v>
      </c>
      <c r="BN77" s="1173">
        <v>145.733</v>
      </c>
      <c r="BO77" s="643">
        <v>145.96199999999999</v>
      </c>
      <c r="BP77" s="643">
        <v>146.32400000000001</v>
      </c>
      <c r="BQ77" s="1285">
        <v>146.34700000000001</v>
      </c>
      <c r="BR77" s="643">
        <v>146.09399999999999</v>
      </c>
      <c r="BS77" s="1324">
        <v>146.40199999999999</v>
      </c>
      <c r="BT77" s="643">
        <v>146.58199999999999</v>
      </c>
      <c r="BU77" s="643">
        <v>160.51300000000001</v>
      </c>
      <c r="BV77" s="1285">
        <v>172.97499999999999</v>
      </c>
      <c r="BW77" s="207">
        <f>AVERAGE(BS77:BV77)</f>
        <v>156.61799999999999</v>
      </c>
      <c r="BX77" s="1324">
        <v>174.24199999999999</v>
      </c>
      <c r="BY77" s="643">
        <v>174.797</v>
      </c>
      <c r="BZ77" s="643">
        <v>175.00299999999999</v>
      </c>
      <c r="CA77" s="1285">
        <v>175.11699999999999</v>
      </c>
      <c r="CB77" s="207">
        <f>AVERAGE(BX77:CA77)</f>
        <v>174.78974999999997</v>
      </c>
      <c r="CC77" s="1283">
        <f>AVERAGE(CC79,CA79)</f>
        <v>174.99446399999999</v>
      </c>
      <c r="CD77" s="207">
        <f>AVERAGE(CC79:CD79)</f>
        <v>174.99446399999999</v>
      </c>
      <c r="CE77" s="207">
        <f>AVERAGE(CD79:CE79)</f>
        <v>174.99446399999999</v>
      </c>
      <c r="CF77" s="1174">
        <f>AVERAGE(CE79:CF79)</f>
        <v>174.99446399999999</v>
      </c>
      <c r="CG77" s="207">
        <f>AVERAGE(CC77:CF77)</f>
        <v>174.99446399999999</v>
      </c>
      <c r="CH77" s="1283">
        <f>AVERAGE(CH79,CF79)</f>
        <v>174.99446399999999</v>
      </c>
      <c r="CI77" s="207">
        <f>AVERAGE(CH79:CI79)</f>
        <v>174.99446399999999</v>
      </c>
      <c r="CJ77" s="207">
        <f>AVERAGE(CI79:CJ79)</f>
        <v>174.99446399999999</v>
      </c>
      <c r="CK77" s="1174">
        <f>AVERAGE(CJ79:CK79)</f>
        <v>174.99446399999999</v>
      </c>
      <c r="CL77" s="207">
        <f>AVERAGE(CH77:CK77)</f>
        <v>174.99446399999999</v>
      </c>
      <c r="CM77" s="1283">
        <f>AVERAGE(CM79,CK79)</f>
        <v>174.99446399999999</v>
      </c>
      <c r="CN77" s="207">
        <f>AVERAGE(CM79:CN79)</f>
        <v>174.99446399999999</v>
      </c>
      <c r="CO77" s="207">
        <f>AVERAGE(CN79:CO79)</f>
        <v>174.99446399999999</v>
      </c>
      <c r="CP77" s="1174">
        <f>AVERAGE(CO79:CP79)</f>
        <v>174.99446399999999</v>
      </c>
      <c r="CQ77" s="1174">
        <f>AVERAGE(CM77:CP77)</f>
        <v>174.99446399999999</v>
      </c>
      <c r="CR77" s="75"/>
    </row>
    <row r="78" spans="1:96" ht="13.5" customHeight="1" outlineLevel="1">
      <c r="A78" s="81"/>
      <c r="B78" s="215" t="s">
        <v>751</v>
      </c>
      <c r="C78" s="159"/>
      <c r="D78" s="81"/>
      <c r="E78" s="81"/>
      <c r="F78" s="151"/>
      <c r="G78" s="151"/>
      <c r="H78" s="151"/>
      <c r="I78" s="151"/>
      <c r="J78" s="151"/>
      <c r="K78" s="151">
        <f t="shared" ref="K78:AP78" si="76">K77/F77-1</f>
        <v>3.8177375865123597E-2</v>
      </c>
      <c r="L78" s="151">
        <f t="shared" si="76"/>
        <v>9.7880420041074112E-2</v>
      </c>
      <c r="M78" s="151">
        <f t="shared" si="76"/>
        <v>9.8740817452405594E-2</v>
      </c>
      <c r="N78" s="151">
        <f t="shared" si="76"/>
        <v>0.10084797385494526</v>
      </c>
      <c r="O78" s="151">
        <f t="shared" si="76"/>
        <v>8.3922115934443875E-2</v>
      </c>
      <c r="P78" s="151">
        <f t="shared" si="76"/>
        <v>7.0471529164674029E-2</v>
      </c>
      <c r="Q78" s="151">
        <f t="shared" si="76"/>
        <v>7.8530335651008087E-3</v>
      </c>
      <c r="R78" s="151">
        <f t="shared" si="76"/>
        <v>4.0256159544762582E-3</v>
      </c>
      <c r="S78" s="151">
        <f t="shared" si="76"/>
        <v>-1.124256716994676E-3</v>
      </c>
      <c r="T78" s="151">
        <f t="shared" si="76"/>
        <v>1.4592535631896109E-2</v>
      </c>
      <c r="U78" s="151">
        <f t="shared" si="76"/>
        <v>-4.694794558943316E-2</v>
      </c>
      <c r="V78" s="151">
        <f t="shared" si="76"/>
        <v>-2.7078846456899619E-2</v>
      </c>
      <c r="W78" s="151">
        <f t="shared" si="76"/>
        <v>6.3958589226180029E-2</v>
      </c>
      <c r="X78" s="151">
        <f t="shared" si="76"/>
        <v>4.0606726753132705E-2</v>
      </c>
      <c r="Y78" s="151">
        <f t="shared" si="76"/>
        <v>1.2761082224376663E-2</v>
      </c>
      <c r="Z78" s="151">
        <f t="shared" si="76"/>
        <v>8.6711577167329912E-2</v>
      </c>
      <c r="AA78" s="151">
        <f t="shared" si="76"/>
        <v>6.3817725346219323E-2</v>
      </c>
      <c r="AB78" s="151">
        <f t="shared" si="76"/>
        <v>-2.6255463016409686E-2</v>
      </c>
      <c r="AC78" s="151">
        <f t="shared" si="76"/>
        <v>-4.4785073895372562E-3</v>
      </c>
      <c r="AD78" s="151">
        <f t="shared" si="76"/>
        <v>2.7610992185732375E-2</v>
      </c>
      <c r="AE78" s="151">
        <f t="shared" si="76"/>
        <v>-5.4886505869219393E-3</v>
      </c>
      <c r="AF78" s="151">
        <f t="shared" si="76"/>
        <v>-6.0395361230237699E-3</v>
      </c>
      <c r="AG78" s="151">
        <f t="shared" si="76"/>
        <v>-7.7655268194366522E-3</v>
      </c>
      <c r="AH78" s="151">
        <f t="shared" si="76"/>
        <v>-1.4141054043271928E-2</v>
      </c>
      <c r="AI78" s="151">
        <f t="shared" si="76"/>
        <v>-8.353727210371642E-3</v>
      </c>
      <c r="AJ78" s="1139">
        <f t="shared" si="76"/>
        <v>-1.2687614269314196E-2</v>
      </c>
      <c r="AK78" s="151">
        <f t="shared" si="76"/>
        <v>0.14575301896908255</v>
      </c>
      <c r="AL78" s="151">
        <f t="shared" si="76"/>
        <v>0.22355742559892122</v>
      </c>
      <c r="AM78" s="1140">
        <f t="shared" si="76"/>
        <v>0.23419211860831535</v>
      </c>
      <c r="AN78" s="151">
        <f t="shared" si="76"/>
        <v>0.14736776127305085</v>
      </c>
      <c r="AO78" s="1139">
        <f t="shared" si="76"/>
        <v>0.23502407345202103</v>
      </c>
      <c r="AP78" s="151">
        <f t="shared" si="76"/>
        <v>6.5882317988026795E-2</v>
      </c>
      <c r="AQ78" s="151">
        <f t="shared" ref="AQ78:BV78" si="77">AQ77/AL77-1</f>
        <v>2.0716642369369431E-3</v>
      </c>
      <c r="AR78" s="1140">
        <f t="shared" si="77"/>
        <v>2.5412892533644982E-3</v>
      </c>
      <c r="AS78" s="151">
        <f t="shared" si="77"/>
        <v>6.8505804709798612E-2</v>
      </c>
      <c r="AT78" s="1139">
        <f t="shared" si="77"/>
        <v>2.8663086686659955E-3</v>
      </c>
      <c r="AU78" s="151">
        <f t="shared" si="77"/>
        <v>2.9128107927305358E-3</v>
      </c>
      <c r="AV78" s="151">
        <f t="shared" si="77"/>
        <v>2.8330781010721395E-3</v>
      </c>
      <c r="AW78" s="1140">
        <f t="shared" si="77"/>
        <v>2.4980516588732904E-3</v>
      </c>
      <c r="AX78" s="151">
        <f t="shared" si="77"/>
        <v>2.7774585296709287E-3</v>
      </c>
      <c r="AY78" s="1139">
        <f t="shared" si="77"/>
        <v>1.9054109498544136E-3</v>
      </c>
      <c r="AZ78" s="151">
        <f t="shared" si="77"/>
        <v>1.7648448465139577E-3</v>
      </c>
      <c r="BA78" s="151">
        <f t="shared" si="77"/>
        <v>1.9643638029527288E-3</v>
      </c>
      <c r="BB78" s="1140">
        <f t="shared" si="77"/>
        <v>1.9434861977773998E-3</v>
      </c>
      <c r="BC78" s="151">
        <f t="shared" si="77"/>
        <v>1.8945544150410498E-3</v>
      </c>
      <c r="BD78" s="1139">
        <f t="shared" si="77"/>
        <v>1.9295505812946256E-3</v>
      </c>
      <c r="BE78" s="151">
        <f t="shared" si="77"/>
        <v>2.1432138497394781E-3</v>
      </c>
      <c r="BF78" s="151">
        <f t="shared" si="77"/>
        <v>2.6117076550051799E-3</v>
      </c>
      <c r="BG78" s="1140">
        <f t="shared" si="77"/>
        <v>2.694820264494302E-3</v>
      </c>
      <c r="BH78" s="151">
        <f t="shared" si="77"/>
        <v>2.3450824332007514E-3</v>
      </c>
      <c r="BI78" s="1139">
        <f t="shared" si="77"/>
        <v>2.7986948660574384E-3</v>
      </c>
      <c r="BJ78" s="151">
        <f t="shared" si="77"/>
        <v>2.7615323389968971E-3</v>
      </c>
      <c r="BK78" s="151">
        <f t="shared" si="77"/>
        <v>4.2908372314771626E-3</v>
      </c>
      <c r="BL78" s="1140">
        <f t="shared" si="77"/>
        <v>6.3147713140803141E-3</v>
      </c>
      <c r="BM78" s="151">
        <f t="shared" si="77"/>
        <v>4.0428493614961258E-3</v>
      </c>
      <c r="BN78" s="1139">
        <f t="shared" si="77"/>
        <v>6.7423337040695142E-3</v>
      </c>
      <c r="BO78" s="151">
        <f t="shared" si="77"/>
        <v>7.4404351067061114E-3</v>
      </c>
      <c r="BP78" s="151">
        <f t="shared" si="77"/>
        <v>6.7149186779316139E-3</v>
      </c>
      <c r="BQ78" s="1140">
        <f t="shared" si="77"/>
        <v>4.757850797094676E-3</v>
      </c>
      <c r="BR78" s="151">
        <f t="shared" si="77"/>
        <v>6.4290794860180078E-3</v>
      </c>
      <c r="BS78" s="1339">
        <f t="shared" si="77"/>
        <v>4.5905868952123008E-3</v>
      </c>
      <c r="BT78" s="151">
        <f t="shared" si="77"/>
        <v>4.247680903248785E-3</v>
      </c>
      <c r="BU78" s="151">
        <f t="shared" si="77"/>
        <v>9.696973838878109E-2</v>
      </c>
      <c r="BV78" s="1140">
        <f t="shared" si="77"/>
        <v>0.18195111618277093</v>
      </c>
      <c r="BW78" s="151">
        <f t="shared" ref="BW78:CQ78" si="78">BW77/BR77-1</f>
        <v>7.2035812559037238E-2</v>
      </c>
      <c r="BX78" s="1139">
        <f t="shared" si="78"/>
        <v>0.19016133659376244</v>
      </c>
      <c r="BY78" s="151">
        <f t="shared" si="78"/>
        <v>0.19248611698571461</v>
      </c>
      <c r="BZ78" s="151">
        <f t="shared" si="78"/>
        <v>9.0273061994978532E-2</v>
      </c>
      <c r="CA78" s="1140">
        <f t="shared" si="78"/>
        <v>1.2383292383292277E-2</v>
      </c>
      <c r="CB78" s="151">
        <f t="shared" si="78"/>
        <v>0.11602593571620101</v>
      </c>
      <c r="CC78" s="1139">
        <f t="shared" si="78"/>
        <v>4.318499558085831E-3</v>
      </c>
      <c r="CD78" s="151">
        <f t="shared" si="78"/>
        <v>1.1296761386063725E-3</v>
      </c>
      <c r="CE78" s="151">
        <f t="shared" si="78"/>
        <v>-4.8776306691866722E-5</v>
      </c>
      <c r="CF78" s="1140">
        <f t="shared" si="78"/>
        <v>-6.9973788952526483E-4</v>
      </c>
      <c r="CG78" s="151">
        <f t="shared" si="78"/>
        <v>1.1712014005398341E-3</v>
      </c>
      <c r="CH78" s="1139">
        <f t="shared" si="78"/>
        <v>0</v>
      </c>
      <c r="CI78" s="151">
        <f t="shared" si="78"/>
        <v>0</v>
      </c>
      <c r="CJ78" s="151">
        <f t="shared" si="78"/>
        <v>0</v>
      </c>
      <c r="CK78" s="1140">
        <f t="shared" si="78"/>
        <v>0</v>
      </c>
      <c r="CL78" s="151">
        <f t="shared" si="78"/>
        <v>0</v>
      </c>
      <c r="CM78" s="1139">
        <f t="shared" si="78"/>
        <v>0</v>
      </c>
      <c r="CN78" s="151">
        <f t="shared" si="78"/>
        <v>0</v>
      </c>
      <c r="CO78" s="151">
        <f t="shared" si="78"/>
        <v>0</v>
      </c>
      <c r="CP78" s="1140">
        <f t="shared" si="78"/>
        <v>0</v>
      </c>
      <c r="CQ78" s="1140">
        <f t="shared" si="78"/>
        <v>0</v>
      </c>
      <c r="CR78" s="75"/>
    </row>
    <row r="79" spans="1:96" ht="13.5" customHeight="1" outlineLevel="1">
      <c r="A79" s="81"/>
      <c r="B79" s="81" t="s">
        <v>752</v>
      </c>
      <c r="C79" s="81"/>
      <c r="D79" s="81"/>
      <c r="E79" s="81"/>
      <c r="F79" s="642">
        <v>102.73099999999999</v>
      </c>
      <c r="G79" s="642">
        <v>103.2966</v>
      </c>
      <c r="H79" s="642">
        <v>103.2966</v>
      </c>
      <c r="I79" s="207">
        <f>(H79+J79)/2</f>
        <v>103.48003349999999</v>
      </c>
      <c r="J79" s="642">
        <v>103.663467</v>
      </c>
      <c r="K79" s="642">
        <v>113.258662</v>
      </c>
      <c r="L79" s="642">
        <v>113.33494399999999</v>
      </c>
      <c r="M79" s="642">
        <v>113.60624</v>
      </c>
      <c r="N79" s="207">
        <f>(M79+O79)/2</f>
        <v>113.80471249999999</v>
      </c>
      <c r="O79" s="642">
        <v>114.003185</v>
      </c>
      <c r="P79" s="642">
        <v>114.186475</v>
      </c>
      <c r="Q79" s="642">
        <v>114.187675</v>
      </c>
      <c r="R79" s="642">
        <f>114.585727</f>
        <v>114.58572700000001</v>
      </c>
      <c r="S79" s="207">
        <f>(R79+T79)/2</f>
        <v>114.58572700000001</v>
      </c>
      <c r="T79" s="642">
        <v>114.58572700000001</v>
      </c>
      <c r="U79" s="642">
        <v>114.58572700000001</v>
      </c>
      <c r="V79" s="642">
        <v>123.78491099999999</v>
      </c>
      <c r="W79" s="642">
        <v>123.78491099999999</v>
      </c>
      <c r="X79" s="642">
        <f>123.785911-5.24081</f>
        <v>118.545101</v>
      </c>
      <c r="Y79" s="642">
        <f>122.918</f>
        <v>122.91800000000001</v>
      </c>
      <c r="Z79" s="642">
        <f>123.785911-5.399207</f>
        <v>118.38670399999999</v>
      </c>
      <c r="AA79" s="642">
        <f>123.785911-5.492554</f>
        <v>118.293357</v>
      </c>
      <c r="AB79" s="642">
        <f>123.785911-5.622307</f>
        <v>118.16360399999999</v>
      </c>
      <c r="AC79" s="642">
        <f>123.785911-5.790827</f>
        <v>117.99508399999999</v>
      </c>
      <c r="AD79" s="207">
        <f>AC79</f>
        <v>117.99508399999999</v>
      </c>
      <c r="AE79" s="642">
        <f>123.785911-5.988456</f>
        <v>117.797455</v>
      </c>
      <c r="AF79" s="642">
        <f>123.785911-6.207919</f>
        <v>117.57799199999999</v>
      </c>
      <c r="AG79" s="642">
        <f>123.785911-7.339273</f>
        <v>116.44663799999999</v>
      </c>
      <c r="AH79" s="642">
        <f>123.785911-7.587322</f>
        <v>116.198589</v>
      </c>
      <c r="AI79" s="207">
        <f>AH79</f>
        <v>116.198589</v>
      </c>
      <c r="AJ79" s="1173">
        <f>123.785911-7.611258</f>
        <v>116.17465299999999</v>
      </c>
      <c r="AK79" s="642">
        <f>150.925911-7.600571</f>
        <v>143.32534000000001</v>
      </c>
      <c r="AL79" s="642">
        <f>150.925911-7.580674</f>
        <v>143.34523700000003</v>
      </c>
      <c r="AM79" s="1186">
        <f>150.925911-7.575724</f>
        <v>143.35018700000001</v>
      </c>
      <c r="AN79" s="207">
        <f>AM79</f>
        <v>143.35018700000001</v>
      </c>
      <c r="AO79" s="1173">
        <f>150.925911-7.549453</f>
        <v>143.37645800000001</v>
      </c>
      <c r="AP79" s="642">
        <f>150.925911-7.364202</f>
        <v>143.56170900000001</v>
      </c>
      <c r="AQ79" s="642">
        <f>150.925911-7.312833</f>
        <v>143.613078</v>
      </c>
      <c r="AR79" s="1186">
        <f>150.925911-7.251715</f>
        <v>143.67419600000002</v>
      </c>
      <c r="AS79" s="207">
        <f>AR79</f>
        <v>143.67419600000002</v>
      </c>
      <c r="AT79" s="1173">
        <f>150.925911-7.158562</f>
        <v>143.76734900000002</v>
      </c>
      <c r="AU79" s="642">
        <f>150.925911-6.935954</f>
        <v>143.989957</v>
      </c>
      <c r="AV79" s="642">
        <f>150.925911-6.928092</f>
        <v>143.99781900000002</v>
      </c>
      <c r="AW79" s="1186">
        <f>150.925911-6.921952</f>
        <v>144.00395900000001</v>
      </c>
      <c r="AX79" s="207">
        <f>AW79</f>
        <v>144.00395900000001</v>
      </c>
      <c r="AY79" s="1173">
        <f>150.925911-6.920419</f>
        <v>144.005492</v>
      </c>
      <c r="AZ79" s="642">
        <f>150.925911-6.647626</f>
        <v>144.27828500000001</v>
      </c>
      <c r="BA79" s="642">
        <f>150.925911-6.644945</f>
        <v>144.28096600000001</v>
      </c>
      <c r="BB79" s="1285">
        <f>150.925911-6.643553</f>
        <v>144.28235800000002</v>
      </c>
      <c r="BC79" s="207">
        <f>BB79</f>
        <v>144.28235800000002</v>
      </c>
      <c r="BD79" s="1173">
        <f>150.925911-6.641532</f>
        <v>144.284379</v>
      </c>
      <c r="BE79" s="642">
        <f>150.925911-6.643553</f>
        <v>144.28235800000002</v>
      </c>
      <c r="BF79" s="642">
        <f>150.925911-6.643553</f>
        <v>144.28235800000002</v>
      </c>
      <c r="BG79" s="1285">
        <f>150.925911-6.245666</f>
        <v>144.68024500000001</v>
      </c>
      <c r="BH79" s="207">
        <f>BG79</f>
        <v>144.68024500000001</v>
      </c>
      <c r="BI79" s="1173">
        <f>150.925911-6.245666</f>
        <v>144.68024500000001</v>
      </c>
      <c r="BJ79" s="642">
        <f>150.925911-5.835523</f>
        <v>145.09038800000002</v>
      </c>
      <c r="BK79" s="643">
        <f>150.925911-5.455773</f>
        <v>145.47013800000002</v>
      </c>
      <c r="BL79" s="1285">
        <f>150.925911-5.270872</f>
        <v>145.65503900000002</v>
      </c>
      <c r="BM79" s="207">
        <f>BL79</f>
        <v>145.65503900000002</v>
      </c>
      <c r="BN79" s="1173">
        <v>145.67923500000001</v>
      </c>
      <c r="BO79" s="642">
        <v>150.92591100000001</v>
      </c>
      <c r="BP79" s="643">
        <v>150.92591100000001</v>
      </c>
      <c r="BQ79" s="1285">
        <v>150.92591100000001</v>
      </c>
      <c r="BR79" s="207">
        <f>BQ79</f>
        <v>150.92591100000001</v>
      </c>
      <c r="BS79" s="1324">
        <v>150.92591100000001</v>
      </c>
      <c r="BT79" s="643">
        <v>150.92591100000001</v>
      </c>
      <c r="BU79" s="643">
        <v>150.92591100000001</v>
      </c>
      <c r="BV79" s="1285">
        <v>174.290761</v>
      </c>
      <c r="BW79" s="207">
        <f>BV79</f>
        <v>174.290761</v>
      </c>
      <c r="BX79" s="1324">
        <v>176.424554</v>
      </c>
      <c r="BY79" s="643">
        <v>176.424554</v>
      </c>
      <c r="BZ79" s="643">
        <f>174.994464</f>
        <v>174.99446399999999</v>
      </c>
      <c r="CA79" s="1523">
        <f t="shared" ref="CA79:CQ79" si="79">+BZ79</f>
        <v>174.99446399999999</v>
      </c>
      <c r="CB79" s="207">
        <f t="shared" si="79"/>
        <v>174.99446399999999</v>
      </c>
      <c r="CC79" s="1283">
        <f t="shared" si="79"/>
        <v>174.99446399999999</v>
      </c>
      <c r="CD79" s="207">
        <f t="shared" si="79"/>
        <v>174.99446399999999</v>
      </c>
      <c r="CE79" s="207">
        <f t="shared" si="79"/>
        <v>174.99446399999999</v>
      </c>
      <c r="CF79" s="1174">
        <f t="shared" si="79"/>
        <v>174.99446399999999</v>
      </c>
      <c r="CG79" s="207">
        <f t="shared" si="79"/>
        <v>174.99446399999999</v>
      </c>
      <c r="CH79" s="1283">
        <f t="shared" si="79"/>
        <v>174.99446399999999</v>
      </c>
      <c r="CI79" s="207">
        <f t="shared" si="79"/>
        <v>174.99446399999999</v>
      </c>
      <c r="CJ79" s="207">
        <f t="shared" si="79"/>
        <v>174.99446399999999</v>
      </c>
      <c r="CK79" s="1174">
        <f t="shared" si="79"/>
        <v>174.99446399999999</v>
      </c>
      <c r="CL79" s="207">
        <f t="shared" si="79"/>
        <v>174.99446399999999</v>
      </c>
      <c r="CM79" s="1283">
        <f t="shared" si="79"/>
        <v>174.99446399999999</v>
      </c>
      <c r="CN79" s="207">
        <f t="shared" si="79"/>
        <v>174.99446399999999</v>
      </c>
      <c r="CO79" s="207">
        <f t="shared" si="79"/>
        <v>174.99446399999999</v>
      </c>
      <c r="CP79" s="1174">
        <f t="shared" si="79"/>
        <v>174.99446399999999</v>
      </c>
      <c r="CQ79" s="1174">
        <f t="shared" si="79"/>
        <v>174.99446399999999</v>
      </c>
      <c r="CR79" s="75"/>
    </row>
    <row r="80" spans="1:96" ht="13.5" customHeight="1" outlineLevel="1">
      <c r="A80" s="81"/>
      <c r="B80" s="81"/>
      <c r="C80" s="81"/>
      <c r="D80" s="81"/>
      <c r="E80" s="81"/>
      <c r="F80" s="211"/>
      <c r="G80" s="211"/>
      <c r="H80" s="211"/>
      <c r="I80" s="214"/>
      <c r="J80" s="211"/>
      <c r="K80" s="211"/>
      <c r="L80" s="214"/>
      <c r="M80" s="214"/>
      <c r="N80" s="214"/>
      <c r="O80" s="214"/>
      <c r="P80" s="214"/>
      <c r="Q80" s="214"/>
      <c r="R80" s="214"/>
      <c r="S80" s="214"/>
      <c r="T80" s="214"/>
      <c r="U80" s="214"/>
      <c r="V80" s="214"/>
      <c r="W80" s="214"/>
      <c r="X80" s="85"/>
      <c r="Y80" s="85"/>
      <c r="Z80" s="211"/>
      <c r="AA80" s="211"/>
      <c r="AB80" s="211"/>
      <c r="AC80" s="85"/>
      <c r="AD80" s="85"/>
      <c r="AE80" s="211"/>
      <c r="AF80" s="214"/>
      <c r="AG80" s="211"/>
      <c r="AH80" s="85"/>
      <c r="AI80" s="85"/>
      <c r="AJ80" s="1178"/>
      <c r="AK80" s="214"/>
      <c r="AL80" s="214"/>
      <c r="AM80" s="1133"/>
      <c r="AN80" s="85"/>
      <c r="AO80" s="1178"/>
      <c r="AP80" s="211"/>
      <c r="AQ80" s="211"/>
      <c r="AR80" s="1133"/>
      <c r="AS80" s="85"/>
      <c r="AT80" s="1178"/>
      <c r="AU80" s="214"/>
      <c r="AV80" s="214"/>
      <c r="AW80" s="1133"/>
      <c r="AX80" s="85"/>
      <c r="AY80" s="1284"/>
      <c r="AZ80" s="214"/>
      <c r="BA80" s="214"/>
      <c r="BB80" s="1133"/>
      <c r="BC80" s="85"/>
      <c r="BD80" s="1284"/>
      <c r="BE80" s="214"/>
      <c r="BF80" s="214"/>
      <c r="BG80" s="1133"/>
      <c r="BH80" s="85"/>
      <c r="BI80" s="1284"/>
      <c r="BJ80" s="214"/>
      <c r="BK80" s="214"/>
      <c r="BL80" s="1133"/>
      <c r="BM80" s="85"/>
      <c r="BN80" s="1178"/>
      <c r="BO80" s="214"/>
      <c r="BP80" s="214"/>
      <c r="BQ80" s="1133"/>
      <c r="BR80" s="85"/>
      <c r="BS80" s="1284"/>
      <c r="BT80" s="214"/>
      <c r="BU80" s="214"/>
      <c r="BV80" s="1133"/>
      <c r="BW80" s="85"/>
      <c r="BX80" s="1284"/>
      <c r="BY80" s="214"/>
      <c r="BZ80" s="214"/>
      <c r="CA80" s="1133"/>
      <c r="CB80" s="85"/>
      <c r="CC80" s="1284"/>
      <c r="CD80" s="214"/>
      <c r="CE80" s="214"/>
      <c r="CF80" s="1133"/>
      <c r="CG80" s="85"/>
      <c r="CH80" s="1284"/>
      <c r="CI80" s="214"/>
      <c r="CJ80" s="214"/>
      <c r="CK80" s="1133"/>
      <c r="CL80" s="85"/>
      <c r="CM80" s="1284"/>
      <c r="CN80" s="214"/>
      <c r="CO80" s="214"/>
      <c r="CP80" s="1133"/>
      <c r="CQ80" s="1133"/>
      <c r="CR80" s="75"/>
    </row>
    <row r="81" spans="1:96" ht="13.5" customHeight="1" outlineLevel="1">
      <c r="A81" s="83" t="s">
        <v>753</v>
      </c>
      <c r="B81" s="81"/>
      <c r="C81" s="81"/>
      <c r="D81" s="81"/>
      <c r="E81" s="81"/>
      <c r="F81" s="212"/>
      <c r="G81" s="212"/>
      <c r="H81" s="212"/>
      <c r="I81" s="212"/>
      <c r="J81" s="212"/>
      <c r="K81" s="212"/>
      <c r="L81" s="212"/>
      <c r="M81" s="212"/>
      <c r="N81" s="212"/>
      <c r="O81" s="212"/>
      <c r="P81" s="212"/>
      <c r="Q81" s="212"/>
      <c r="R81" s="212"/>
      <c r="S81" s="212"/>
      <c r="T81" s="212"/>
      <c r="U81" s="212"/>
      <c r="V81" s="212"/>
      <c r="W81" s="212"/>
      <c r="X81" s="85"/>
      <c r="Y81" s="85"/>
      <c r="Z81" s="212"/>
      <c r="AA81" s="212"/>
      <c r="AB81" s="212"/>
      <c r="AC81" s="85"/>
      <c r="AD81" s="85"/>
      <c r="AE81" s="212"/>
      <c r="AF81" s="212"/>
      <c r="AG81" s="212"/>
      <c r="AH81" s="85"/>
      <c r="AI81" s="85"/>
      <c r="AJ81" s="1161"/>
      <c r="AK81" s="212"/>
      <c r="AL81" s="212"/>
      <c r="AM81" s="1133"/>
      <c r="AN81" s="85"/>
      <c r="AO81" s="1161"/>
      <c r="AP81" s="212"/>
      <c r="AQ81" s="212"/>
      <c r="AR81" s="1133"/>
      <c r="AS81" s="85"/>
      <c r="AT81" s="1161"/>
      <c r="AU81" s="212"/>
      <c r="AV81" s="212"/>
      <c r="AW81" s="1133"/>
      <c r="AX81" s="85"/>
      <c r="AY81" s="1161"/>
      <c r="AZ81" s="212"/>
      <c r="BA81" s="212"/>
      <c r="BB81" s="1133"/>
      <c r="BC81" s="85"/>
      <c r="BD81" s="1161"/>
      <c r="BE81" s="212"/>
      <c r="BF81" s="212"/>
      <c r="BG81" s="1133"/>
      <c r="BH81" s="85"/>
      <c r="BI81" s="1161"/>
      <c r="BJ81" s="212"/>
      <c r="BK81" s="212"/>
      <c r="BL81" s="1133"/>
      <c r="BM81" s="85"/>
      <c r="BN81" s="1161"/>
      <c r="BO81" s="212"/>
      <c r="BP81" s="212"/>
      <c r="BQ81" s="1133"/>
      <c r="BR81" s="85"/>
      <c r="BS81" s="1161"/>
      <c r="BT81" s="212"/>
      <c r="BU81" s="212"/>
      <c r="BV81" s="1133"/>
      <c r="BW81" s="85"/>
      <c r="BX81" s="1161"/>
      <c r="BY81" s="212"/>
      <c r="BZ81" s="212"/>
      <c r="CA81" s="1160"/>
      <c r="CB81" s="85"/>
      <c r="CC81" s="1161"/>
      <c r="CD81" s="212"/>
      <c r="CE81" s="212"/>
      <c r="CF81" s="1133"/>
      <c r="CG81" s="85"/>
      <c r="CH81" s="1161"/>
      <c r="CI81" s="212"/>
      <c r="CJ81" s="212"/>
      <c r="CK81" s="1133"/>
      <c r="CL81" s="85"/>
      <c r="CM81" s="1161"/>
      <c r="CN81" s="212"/>
      <c r="CO81" s="212"/>
      <c r="CP81" s="1133"/>
      <c r="CQ81" s="1133"/>
      <c r="CR81" s="75"/>
    </row>
    <row r="82" spans="1:96" ht="13.5" customHeight="1" outlineLevel="1">
      <c r="A82" s="81"/>
      <c r="B82" s="81" t="s">
        <v>754</v>
      </c>
      <c r="C82" s="81"/>
      <c r="D82" s="81"/>
      <c r="E82" s="81"/>
      <c r="F82" s="646">
        <v>0</v>
      </c>
      <c r="G82" s="646">
        <v>0</v>
      </c>
      <c r="H82" s="646">
        <v>0</v>
      </c>
      <c r="I82" s="646">
        <v>0</v>
      </c>
      <c r="J82" s="216">
        <f t="shared" ref="J82:J88" si="80">SUM(F82:I82)</f>
        <v>0</v>
      </c>
      <c r="K82" s="646">
        <v>0</v>
      </c>
      <c r="L82" s="646">
        <v>0</v>
      </c>
      <c r="M82" s="646">
        <v>0</v>
      </c>
      <c r="N82" s="646">
        <v>0</v>
      </c>
      <c r="O82" s="216">
        <f t="shared" ref="O82:O88" si="81">SUM(K82:N82)</f>
        <v>0</v>
      </c>
      <c r="P82" s="646">
        <v>0</v>
      </c>
      <c r="Q82" s="646">
        <v>0</v>
      </c>
      <c r="R82" s="646">
        <v>0</v>
      </c>
      <c r="S82" s="646">
        <v>0</v>
      </c>
      <c r="T82" s="216">
        <f t="shared" ref="T82:T88" si="82">SUM(P82:S82)</f>
        <v>0</v>
      </c>
      <c r="U82" s="646">
        <v>0</v>
      </c>
      <c r="V82" s="646">
        <v>0</v>
      </c>
      <c r="W82" s="646">
        <v>0</v>
      </c>
      <c r="X82" s="646">
        <v>0</v>
      </c>
      <c r="Y82" s="216">
        <f t="shared" ref="Y82:Y88" si="83">SUM(U82:X82)</f>
        <v>0</v>
      </c>
      <c r="Z82" s="646">
        <v>0</v>
      </c>
      <c r="AA82" s="646">
        <v>0</v>
      </c>
      <c r="AB82" s="646">
        <v>0</v>
      </c>
      <c r="AC82" s="646">
        <v>0</v>
      </c>
      <c r="AD82" s="216">
        <f t="shared" ref="AD82:AD88" si="84">SUM(Z82:AC82)</f>
        <v>0</v>
      </c>
      <c r="AE82" s="646">
        <v>0</v>
      </c>
      <c r="AF82" s="646">
        <v>0</v>
      </c>
      <c r="AG82" s="646">
        <v>0</v>
      </c>
      <c r="AH82" s="646">
        <v>0</v>
      </c>
      <c r="AI82" s="216">
        <f t="shared" ref="AI82:AI88" si="85">SUM(AE82:AH82)</f>
        <v>0</v>
      </c>
      <c r="AJ82" s="1187">
        <v>0</v>
      </c>
      <c r="AK82" s="646">
        <v>0</v>
      </c>
      <c r="AL82" s="646">
        <v>0</v>
      </c>
      <c r="AM82" s="1188">
        <v>0</v>
      </c>
      <c r="AN82" s="216">
        <f t="shared" ref="AN82:AN88" si="86">SUM(AJ82:AM82)</f>
        <v>0</v>
      </c>
      <c r="AO82" s="1187">
        <v>0</v>
      </c>
      <c r="AP82" s="646">
        <v>0</v>
      </c>
      <c r="AQ82" s="646">
        <v>0</v>
      </c>
      <c r="AR82" s="1188">
        <v>0</v>
      </c>
      <c r="AS82" s="216">
        <f t="shared" ref="AS82:AS88" si="87">SUM(AO82:AR82)</f>
        <v>0</v>
      </c>
      <c r="AT82" s="1187">
        <v>0</v>
      </c>
      <c r="AU82" s="646">
        <v>0</v>
      </c>
      <c r="AV82" s="646">
        <v>0</v>
      </c>
      <c r="AW82" s="1188">
        <v>0</v>
      </c>
      <c r="AX82" s="216">
        <f t="shared" ref="AX82:AX88" si="88">SUM(AT82:AW82)</f>
        <v>0</v>
      </c>
      <c r="AY82" s="1187">
        <v>0</v>
      </c>
      <c r="AZ82" s="646">
        <v>0</v>
      </c>
      <c r="BA82" s="646">
        <v>0</v>
      </c>
      <c r="BB82" s="1188">
        <v>0</v>
      </c>
      <c r="BC82" s="216">
        <f t="shared" ref="BC82:BC88" si="89">SUM(AY82:BB82)</f>
        <v>0</v>
      </c>
      <c r="BD82" s="1187">
        <v>0</v>
      </c>
      <c r="BE82" s="646">
        <v>0</v>
      </c>
      <c r="BF82" s="646">
        <v>0</v>
      </c>
      <c r="BG82" s="1188">
        <v>0</v>
      </c>
      <c r="BH82" s="216">
        <f t="shared" ref="BH82:BH88" si="90">SUM(BD82:BG82)</f>
        <v>0</v>
      </c>
      <c r="BI82" s="1187">
        <v>0</v>
      </c>
      <c r="BJ82" s="646">
        <v>0</v>
      </c>
      <c r="BK82" s="646">
        <v>0</v>
      </c>
      <c r="BL82" s="1188">
        <v>0</v>
      </c>
      <c r="BM82" s="216">
        <f t="shared" ref="BM82:BM88" si="91">SUM(BI82:BL82)</f>
        <v>0</v>
      </c>
      <c r="BN82" s="1187">
        <v>0</v>
      </c>
      <c r="BO82" s="646">
        <v>0</v>
      </c>
      <c r="BP82" s="646">
        <v>0</v>
      </c>
      <c r="BQ82" s="1188">
        <v>0</v>
      </c>
      <c r="BR82" s="216">
        <f t="shared" ref="BR82:BR88" si="92">SUM(BN82:BQ82)</f>
        <v>0</v>
      </c>
      <c r="BS82" s="1187">
        <v>0</v>
      </c>
      <c r="BT82" s="646">
        <v>0</v>
      </c>
      <c r="BU82" s="646">
        <v>0</v>
      </c>
      <c r="BV82" s="1188">
        <v>0</v>
      </c>
      <c r="BW82" s="216">
        <f t="shared" ref="BW82:BW88" si="93">SUM(BS82:BV82)</f>
        <v>0</v>
      </c>
      <c r="BX82" s="1187">
        <v>0</v>
      </c>
      <c r="BY82" s="646">
        <v>-72</v>
      </c>
      <c r="BZ82" s="646">
        <v>0</v>
      </c>
      <c r="CA82" s="1188">
        <v>0</v>
      </c>
      <c r="CB82" s="216">
        <f t="shared" ref="CB82:CB88" si="94">SUM(BX82:CA82)</f>
        <v>-72</v>
      </c>
      <c r="CC82" s="1187">
        <v>0</v>
      </c>
      <c r="CD82" s="646">
        <v>0</v>
      </c>
      <c r="CE82" s="646">
        <v>0</v>
      </c>
      <c r="CF82" s="1188">
        <v>0</v>
      </c>
      <c r="CG82" s="216">
        <f t="shared" ref="CG82:CG88" si="95">SUM(CC82:CF82)</f>
        <v>0</v>
      </c>
      <c r="CH82" s="1187">
        <v>0</v>
      </c>
      <c r="CI82" s="646">
        <v>0</v>
      </c>
      <c r="CJ82" s="646">
        <v>0</v>
      </c>
      <c r="CK82" s="1188">
        <v>0</v>
      </c>
      <c r="CL82" s="216">
        <f t="shared" ref="CL82:CL88" si="96">SUM(CH82:CK82)</f>
        <v>0</v>
      </c>
      <c r="CM82" s="1187">
        <v>0</v>
      </c>
      <c r="CN82" s="646">
        <v>0</v>
      </c>
      <c r="CO82" s="646">
        <v>0</v>
      </c>
      <c r="CP82" s="1188">
        <v>0</v>
      </c>
      <c r="CQ82" s="919">
        <f t="shared" ref="CQ82:CQ88" si="97">SUM(CM82:CP82)</f>
        <v>0</v>
      </c>
      <c r="CR82" s="75"/>
    </row>
    <row r="83" spans="1:96" ht="13.5" customHeight="1" outlineLevel="1">
      <c r="A83" s="81"/>
      <c r="B83" s="81" t="s">
        <v>755</v>
      </c>
      <c r="C83" s="81"/>
      <c r="D83" s="81"/>
      <c r="E83" s="81"/>
      <c r="F83" s="646">
        <v>0</v>
      </c>
      <c r="G83" s="646">
        <v>0</v>
      </c>
      <c r="H83" s="646">
        <v>0</v>
      </c>
      <c r="I83" s="646">
        <v>0</v>
      </c>
      <c r="J83" s="216">
        <f t="shared" si="80"/>
        <v>0</v>
      </c>
      <c r="K83" s="646">
        <v>0</v>
      </c>
      <c r="L83" s="646">
        <v>0</v>
      </c>
      <c r="M83" s="646">
        <v>0</v>
      </c>
      <c r="N83" s="646">
        <v>11</v>
      </c>
      <c r="O83" s="216">
        <f t="shared" si="81"/>
        <v>11</v>
      </c>
      <c r="P83" s="646">
        <v>0</v>
      </c>
      <c r="Q83" s="646">
        <v>4</v>
      </c>
      <c r="R83" s="646">
        <v>2</v>
      </c>
      <c r="S83" s="646">
        <v>7</v>
      </c>
      <c r="T83" s="216">
        <f t="shared" si="82"/>
        <v>13</v>
      </c>
      <c r="U83" s="646">
        <v>0</v>
      </c>
      <c r="V83" s="646">
        <v>0</v>
      </c>
      <c r="W83" s="646">
        <v>14</v>
      </c>
      <c r="X83" s="646">
        <v>13</v>
      </c>
      <c r="Y83" s="216">
        <f t="shared" si="83"/>
        <v>27</v>
      </c>
      <c r="Z83" s="646">
        <v>0</v>
      </c>
      <c r="AA83" s="646">
        <v>0</v>
      </c>
      <c r="AB83" s="646">
        <v>0</v>
      </c>
      <c r="AC83" s="646">
        <v>0</v>
      </c>
      <c r="AD83" s="216">
        <f t="shared" si="84"/>
        <v>0</v>
      </c>
      <c r="AE83" s="646">
        <v>0</v>
      </c>
      <c r="AF83" s="646">
        <v>0</v>
      </c>
      <c r="AG83" s="646">
        <v>0</v>
      </c>
      <c r="AH83" s="646">
        <v>0</v>
      </c>
      <c r="AI83" s="216">
        <f t="shared" si="85"/>
        <v>0</v>
      </c>
      <c r="AJ83" s="1187">
        <v>56</v>
      </c>
      <c r="AK83" s="646">
        <v>0</v>
      </c>
      <c r="AL83" s="646">
        <v>0</v>
      </c>
      <c r="AM83" s="1188">
        <v>0</v>
      </c>
      <c r="AN83" s="216">
        <f t="shared" si="86"/>
        <v>56</v>
      </c>
      <c r="AO83" s="1187">
        <v>0</v>
      </c>
      <c r="AP83" s="646">
        <v>0</v>
      </c>
      <c r="AQ83" s="646">
        <v>0</v>
      </c>
      <c r="AR83" s="1188">
        <v>0</v>
      </c>
      <c r="AS83" s="216">
        <f t="shared" si="87"/>
        <v>0</v>
      </c>
      <c r="AT83" s="1187">
        <v>0</v>
      </c>
      <c r="AU83" s="646">
        <v>0</v>
      </c>
      <c r="AV83" s="646">
        <v>0</v>
      </c>
      <c r="AW83" s="1188">
        <v>0</v>
      </c>
      <c r="AX83" s="216">
        <f t="shared" si="88"/>
        <v>0</v>
      </c>
      <c r="AY83" s="1187">
        <v>0</v>
      </c>
      <c r="AZ83" s="646">
        <v>0</v>
      </c>
      <c r="BA83" s="646">
        <v>0</v>
      </c>
      <c r="BB83" s="1188">
        <v>0</v>
      </c>
      <c r="BC83" s="216">
        <f t="shared" si="89"/>
        <v>0</v>
      </c>
      <c r="BD83" s="1187">
        <v>0</v>
      </c>
      <c r="BE83" s="646">
        <v>0</v>
      </c>
      <c r="BF83" s="646">
        <v>0</v>
      </c>
      <c r="BG83" s="1286">
        <v>302</v>
      </c>
      <c r="BH83" s="216">
        <f t="shared" si="90"/>
        <v>302</v>
      </c>
      <c r="BI83" s="1187">
        <v>0</v>
      </c>
      <c r="BJ83" s="646">
        <v>0</v>
      </c>
      <c r="BK83" s="646">
        <f>384+193</f>
        <v>577</v>
      </c>
      <c r="BL83" s="1188">
        <v>0</v>
      </c>
      <c r="BM83" s="216">
        <f t="shared" si="91"/>
        <v>577</v>
      </c>
      <c r="BN83" s="1187">
        <v>65</v>
      </c>
      <c r="BO83" s="646">
        <f>136+10</f>
        <v>146</v>
      </c>
      <c r="BP83" s="647">
        <f>10+7+53</f>
        <v>70</v>
      </c>
      <c r="BQ83" s="1188">
        <f>322-SUM(BN83:BP83)</f>
        <v>41</v>
      </c>
      <c r="BR83" s="216">
        <f t="shared" si="92"/>
        <v>322</v>
      </c>
      <c r="BS83" s="1187">
        <v>10</v>
      </c>
      <c r="BT83" s="646">
        <v>0</v>
      </c>
      <c r="BU83" s="646"/>
      <c r="BV83" s="1188">
        <v>126</v>
      </c>
      <c r="BW83" s="216">
        <f t="shared" si="93"/>
        <v>136</v>
      </c>
      <c r="BX83" s="1187">
        <v>33</v>
      </c>
      <c r="BY83" s="646">
        <v>0</v>
      </c>
      <c r="BZ83" s="646">
        <v>0</v>
      </c>
      <c r="CA83" s="1188">
        <v>0</v>
      </c>
      <c r="CB83" s="216">
        <f t="shared" si="94"/>
        <v>33</v>
      </c>
      <c r="CC83" s="1187">
        <v>0</v>
      </c>
      <c r="CD83" s="646">
        <v>0</v>
      </c>
      <c r="CE83" s="646">
        <v>0</v>
      </c>
      <c r="CF83" s="1188">
        <v>0</v>
      </c>
      <c r="CG83" s="216">
        <f t="shared" si="95"/>
        <v>0</v>
      </c>
      <c r="CH83" s="1187">
        <v>0</v>
      </c>
      <c r="CI83" s="646">
        <v>0</v>
      </c>
      <c r="CJ83" s="646">
        <v>0</v>
      </c>
      <c r="CK83" s="1188">
        <v>0</v>
      </c>
      <c r="CL83" s="216">
        <f t="shared" si="96"/>
        <v>0</v>
      </c>
      <c r="CM83" s="1187">
        <v>0</v>
      </c>
      <c r="CN83" s="646">
        <v>0</v>
      </c>
      <c r="CO83" s="646">
        <v>0</v>
      </c>
      <c r="CP83" s="1188">
        <v>0</v>
      </c>
      <c r="CQ83" s="919">
        <f t="shared" si="97"/>
        <v>0</v>
      </c>
      <c r="CR83" s="75"/>
    </row>
    <row r="84" spans="1:96" ht="13.5" customHeight="1" outlineLevel="1">
      <c r="A84" s="81"/>
      <c r="B84" s="81" t="s">
        <v>756</v>
      </c>
      <c r="C84" s="81"/>
      <c r="D84" s="81"/>
      <c r="E84" s="81"/>
      <c r="F84" s="646">
        <v>0</v>
      </c>
      <c r="G84" s="646">
        <v>0</v>
      </c>
      <c r="H84" s="646">
        <v>0</v>
      </c>
      <c r="I84" s="646">
        <v>10</v>
      </c>
      <c r="J84" s="216">
        <f t="shared" si="80"/>
        <v>10</v>
      </c>
      <c r="K84" s="646">
        <v>0</v>
      </c>
      <c r="L84" s="646">
        <v>0</v>
      </c>
      <c r="M84" s="646">
        <v>0</v>
      </c>
      <c r="N84" s="646">
        <v>0</v>
      </c>
      <c r="O84" s="216">
        <f t="shared" si="81"/>
        <v>0</v>
      </c>
      <c r="P84" s="646">
        <v>0</v>
      </c>
      <c r="Q84" s="646">
        <v>0</v>
      </c>
      <c r="R84" s="646">
        <v>0</v>
      </c>
      <c r="S84" s="646">
        <v>0</v>
      </c>
      <c r="T84" s="216">
        <f t="shared" si="82"/>
        <v>0</v>
      </c>
      <c r="U84" s="646">
        <v>0</v>
      </c>
      <c r="V84" s="646">
        <v>0</v>
      </c>
      <c r="W84" s="646">
        <v>0</v>
      </c>
      <c r="X84" s="646">
        <v>21</v>
      </c>
      <c r="Y84" s="216">
        <f t="shared" si="83"/>
        <v>21</v>
      </c>
      <c r="Z84" s="646">
        <v>2</v>
      </c>
      <c r="AA84" s="646">
        <v>14</v>
      </c>
      <c r="AB84" s="646">
        <v>0</v>
      </c>
      <c r="AC84" s="646">
        <v>0</v>
      </c>
      <c r="AD84" s="216">
        <f t="shared" si="84"/>
        <v>16</v>
      </c>
      <c r="AE84" s="646">
        <v>0</v>
      </c>
      <c r="AF84" s="646">
        <v>0</v>
      </c>
      <c r="AG84" s="646">
        <v>0</v>
      </c>
      <c r="AH84" s="646">
        <v>0</v>
      </c>
      <c r="AI84" s="216">
        <f t="shared" si="85"/>
        <v>0</v>
      </c>
      <c r="AJ84" s="1187">
        <v>0</v>
      </c>
      <c r="AK84" s="646">
        <v>0</v>
      </c>
      <c r="AL84" s="646">
        <v>0</v>
      </c>
      <c r="AM84" s="1188">
        <v>0</v>
      </c>
      <c r="AN84" s="216">
        <f t="shared" si="86"/>
        <v>0</v>
      </c>
      <c r="AO84" s="1187">
        <v>0</v>
      </c>
      <c r="AP84" s="646">
        <v>0</v>
      </c>
      <c r="AQ84" s="646">
        <v>0</v>
      </c>
      <c r="AR84" s="1188">
        <v>0</v>
      </c>
      <c r="AS84" s="216">
        <f t="shared" si="87"/>
        <v>0</v>
      </c>
      <c r="AT84" s="1187">
        <v>0</v>
      </c>
      <c r="AU84" s="646">
        <v>0</v>
      </c>
      <c r="AV84" s="646">
        <v>0</v>
      </c>
      <c r="AW84" s="1188">
        <v>0</v>
      </c>
      <c r="AX84" s="216">
        <f t="shared" si="88"/>
        <v>0</v>
      </c>
      <c r="AY84" s="1187">
        <v>0</v>
      </c>
      <c r="AZ84" s="646">
        <v>0</v>
      </c>
      <c r="BA84" s="646">
        <v>0</v>
      </c>
      <c r="BB84" s="1188">
        <v>0</v>
      </c>
      <c r="BC84" s="216">
        <f t="shared" si="89"/>
        <v>0</v>
      </c>
      <c r="BD84" s="1288">
        <v>22</v>
      </c>
      <c r="BE84" s="646">
        <v>0</v>
      </c>
      <c r="BF84" s="646">
        <v>0</v>
      </c>
      <c r="BG84" s="1188">
        <v>0</v>
      </c>
      <c r="BH84" s="216">
        <f t="shared" si="90"/>
        <v>22</v>
      </c>
      <c r="BI84" s="1187">
        <v>0</v>
      </c>
      <c r="BJ84" s="646">
        <v>0</v>
      </c>
      <c r="BK84" s="646">
        <v>0</v>
      </c>
      <c r="BL84" s="1188">
        <v>0</v>
      </c>
      <c r="BM84" s="216">
        <f t="shared" si="91"/>
        <v>0</v>
      </c>
      <c r="BN84" s="1187">
        <v>0</v>
      </c>
      <c r="BO84" s="646">
        <v>0</v>
      </c>
      <c r="BP84" s="646">
        <v>0</v>
      </c>
      <c r="BQ84" s="1188">
        <f>36-SUM(BN84:BP84)</f>
        <v>36</v>
      </c>
      <c r="BR84" s="216">
        <f t="shared" si="92"/>
        <v>36</v>
      </c>
      <c r="BS84" s="1187">
        <v>0</v>
      </c>
      <c r="BT84" s="646">
        <v>24</v>
      </c>
      <c r="BU84" s="646">
        <v>0</v>
      </c>
      <c r="BV84" s="1188">
        <v>0</v>
      </c>
      <c r="BW84" s="216">
        <f t="shared" si="93"/>
        <v>24</v>
      </c>
      <c r="BX84" s="1187">
        <v>0</v>
      </c>
      <c r="BY84" s="646">
        <v>0</v>
      </c>
      <c r="BZ84" s="646">
        <v>0</v>
      </c>
      <c r="CA84" s="1188">
        <v>22</v>
      </c>
      <c r="CB84" s="216">
        <f t="shared" si="94"/>
        <v>22</v>
      </c>
      <c r="CC84" s="1187">
        <v>0</v>
      </c>
      <c r="CD84" s="646">
        <v>0</v>
      </c>
      <c r="CE84" s="646">
        <v>0</v>
      </c>
      <c r="CF84" s="1188">
        <v>0</v>
      </c>
      <c r="CG84" s="216">
        <f t="shared" si="95"/>
        <v>0</v>
      </c>
      <c r="CH84" s="1187">
        <v>0</v>
      </c>
      <c r="CI84" s="646">
        <v>0</v>
      </c>
      <c r="CJ84" s="646">
        <v>0</v>
      </c>
      <c r="CK84" s="1188">
        <v>0</v>
      </c>
      <c r="CL84" s="216">
        <f t="shared" si="96"/>
        <v>0</v>
      </c>
      <c r="CM84" s="1187">
        <v>0</v>
      </c>
      <c r="CN84" s="646">
        <v>0</v>
      </c>
      <c r="CO84" s="646">
        <v>0</v>
      </c>
      <c r="CP84" s="1188">
        <v>0</v>
      </c>
      <c r="CQ84" s="919">
        <f t="shared" si="97"/>
        <v>0</v>
      </c>
      <c r="CR84" s="75"/>
    </row>
    <row r="85" spans="1:96" ht="13.5" customHeight="1" outlineLevel="1">
      <c r="A85" s="81"/>
      <c r="B85" s="81" t="s">
        <v>757</v>
      </c>
      <c r="C85" s="81"/>
      <c r="D85" s="81"/>
      <c r="E85" s="81"/>
      <c r="F85" s="646">
        <v>0</v>
      </c>
      <c r="G85" s="646">
        <v>7</v>
      </c>
      <c r="H85" s="646">
        <v>23</v>
      </c>
      <c r="I85" s="646">
        <v>0</v>
      </c>
      <c r="J85" s="216">
        <f t="shared" si="80"/>
        <v>30</v>
      </c>
      <c r="K85" s="646">
        <v>0</v>
      </c>
      <c r="L85" s="646">
        <v>0</v>
      </c>
      <c r="M85" s="646">
        <v>0</v>
      </c>
      <c r="N85" s="646">
        <v>0</v>
      </c>
      <c r="O85" s="216">
        <f t="shared" si="81"/>
        <v>0</v>
      </c>
      <c r="P85" s="646">
        <v>0</v>
      </c>
      <c r="Q85" s="646">
        <v>0</v>
      </c>
      <c r="R85" s="646">
        <v>0</v>
      </c>
      <c r="S85" s="646">
        <v>0</v>
      </c>
      <c r="T85" s="216">
        <f t="shared" si="82"/>
        <v>0</v>
      </c>
      <c r="U85" s="646">
        <v>3</v>
      </c>
      <c r="V85" s="646">
        <v>0</v>
      </c>
      <c r="W85" s="646">
        <v>0</v>
      </c>
      <c r="X85" s="646">
        <v>0</v>
      </c>
      <c r="Y85" s="216">
        <f t="shared" si="83"/>
        <v>3</v>
      </c>
      <c r="Z85" s="646">
        <v>0</v>
      </c>
      <c r="AA85" s="646">
        <v>0</v>
      </c>
      <c r="AB85" s="646">
        <v>0</v>
      </c>
      <c r="AC85" s="646">
        <v>0</v>
      </c>
      <c r="AD85" s="216">
        <f t="shared" si="84"/>
        <v>0</v>
      </c>
      <c r="AE85" s="646">
        <v>0</v>
      </c>
      <c r="AF85" s="646">
        <v>0</v>
      </c>
      <c r="AG85" s="646">
        <v>0</v>
      </c>
      <c r="AH85" s="646">
        <v>0</v>
      </c>
      <c r="AI85" s="216">
        <f t="shared" si="85"/>
        <v>0</v>
      </c>
      <c r="AJ85" s="1187">
        <v>0</v>
      </c>
      <c r="AK85" s="646">
        <v>0</v>
      </c>
      <c r="AL85" s="646">
        <v>0</v>
      </c>
      <c r="AM85" s="1188">
        <v>0</v>
      </c>
      <c r="AN85" s="216">
        <f t="shared" si="86"/>
        <v>0</v>
      </c>
      <c r="AO85" s="1187">
        <v>0</v>
      </c>
      <c r="AP85" s="646">
        <v>0</v>
      </c>
      <c r="AQ85" s="646">
        <v>0</v>
      </c>
      <c r="AR85" s="1188">
        <v>0</v>
      </c>
      <c r="AS85" s="216">
        <f t="shared" si="87"/>
        <v>0</v>
      </c>
      <c r="AT85" s="1187">
        <v>0</v>
      </c>
      <c r="AU85" s="646">
        <v>0</v>
      </c>
      <c r="AV85" s="646">
        <v>0</v>
      </c>
      <c r="AW85" s="1188">
        <v>0</v>
      </c>
      <c r="AX85" s="216">
        <f t="shared" si="88"/>
        <v>0</v>
      </c>
      <c r="AY85" s="1187">
        <v>0</v>
      </c>
      <c r="AZ85" s="646">
        <v>0</v>
      </c>
      <c r="BA85" s="646">
        <v>0</v>
      </c>
      <c r="BB85" s="1188">
        <v>0</v>
      </c>
      <c r="BC85" s="216">
        <f t="shared" si="89"/>
        <v>0</v>
      </c>
      <c r="BD85" s="1187">
        <v>0</v>
      </c>
      <c r="BE85" s="646">
        <v>0</v>
      </c>
      <c r="BF85" s="646">
        <v>1771</v>
      </c>
      <c r="BG85" s="1188">
        <v>0</v>
      </c>
      <c r="BH85" s="216">
        <f t="shared" si="90"/>
        <v>1771</v>
      </c>
      <c r="BI85" s="1187">
        <v>0</v>
      </c>
      <c r="BJ85" s="646">
        <v>0</v>
      </c>
      <c r="BK85" s="646">
        <v>0</v>
      </c>
      <c r="BL85" s="1188">
        <v>0</v>
      </c>
      <c r="BM85" s="216">
        <f t="shared" si="91"/>
        <v>0</v>
      </c>
      <c r="BN85" s="1187">
        <v>0</v>
      </c>
      <c r="BO85" s="646">
        <v>0</v>
      </c>
      <c r="BP85" s="646">
        <v>0</v>
      </c>
      <c r="BQ85" s="1188">
        <v>0</v>
      </c>
      <c r="BR85" s="216">
        <f t="shared" si="92"/>
        <v>0</v>
      </c>
      <c r="BS85" s="1187">
        <v>0</v>
      </c>
      <c r="BT85" s="646">
        <v>0</v>
      </c>
      <c r="BU85" s="646">
        <v>14</v>
      </c>
      <c r="BV85" s="1188">
        <v>12</v>
      </c>
      <c r="BW85" s="216">
        <f t="shared" si="93"/>
        <v>26</v>
      </c>
      <c r="BX85" s="1187">
        <v>0</v>
      </c>
      <c r="BY85" s="646">
        <v>0</v>
      </c>
      <c r="BZ85" s="646">
        <v>0</v>
      </c>
      <c r="CA85" s="1188">
        <v>0</v>
      </c>
      <c r="CB85" s="216">
        <f t="shared" si="94"/>
        <v>0</v>
      </c>
      <c r="CC85" s="1187">
        <v>0</v>
      </c>
      <c r="CD85" s="646">
        <v>0</v>
      </c>
      <c r="CE85" s="646">
        <v>0</v>
      </c>
      <c r="CF85" s="1188">
        <v>0</v>
      </c>
      <c r="CG85" s="216">
        <f t="shared" si="95"/>
        <v>0</v>
      </c>
      <c r="CH85" s="1187">
        <v>0</v>
      </c>
      <c r="CI85" s="646">
        <v>0</v>
      </c>
      <c r="CJ85" s="646">
        <v>0</v>
      </c>
      <c r="CK85" s="1188">
        <v>0</v>
      </c>
      <c r="CL85" s="216">
        <f t="shared" si="96"/>
        <v>0</v>
      </c>
      <c r="CM85" s="1187">
        <v>0</v>
      </c>
      <c r="CN85" s="646">
        <v>0</v>
      </c>
      <c r="CO85" s="646">
        <v>0</v>
      </c>
      <c r="CP85" s="1188">
        <v>0</v>
      </c>
      <c r="CQ85" s="919">
        <f t="shared" si="97"/>
        <v>0</v>
      </c>
      <c r="CR85" s="75"/>
    </row>
    <row r="86" spans="1:96" ht="13.5" customHeight="1" outlineLevel="1">
      <c r="A86" s="81"/>
      <c r="B86" s="81" t="s">
        <v>758</v>
      </c>
      <c r="C86" s="81"/>
      <c r="D86" s="81"/>
      <c r="E86" s="81"/>
      <c r="F86" s="646">
        <v>16</v>
      </c>
      <c r="G86" s="646">
        <v>0</v>
      </c>
      <c r="H86" s="646">
        <v>0</v>
      </c>
      <c r="I86" s="646">
        <v>0</v>
      </c>
      <c r="J86" s="216">
        <f t="shared" si="80"/>
        <v>16</v>
      </c>
      <c r="K86" s="646">
        <v>0</v>
      </c>
      <c r="L86" s="646">
        <v>0</v>
      </c>
      <c r="M86" s="646">
        <v>0</v>
      </c>
      <c r="N86" s="646">
        <v>0</v>
      </c>
      <c r="O86" s="216">
        <f t="shared" si="81"/>
        <v>0</v>
      </c>
      <c r="P86" s="646">
        <v>-46</v>
      </c>
      <c r="Q86" s="646">
        <v>0</v>
      </c>
      <c r="R86" s="646">
        <v>0</v>
      </c>
      <c r="S86" s="646">
        <v>0</v>
      </c>
      <c r="T86" s="216">
        <f t="shared" si="82"/>
        <v>-46</v>
      </c>
      <c r="U86" s="646">
        <v>0</v>
      </c>
      <c r="V86" s="646">
        <v>0</v>
      </c>
      <c r="W86" s="646">
        <v>0</v>
      </c>
      <c r="X86" s="646">
        <v>0</v>
      </c>
      <c r="Y86" s="216">
        <f t="shared" si="83"/>
        <v>0</v>
      </c>
      <c r="Z86" s="646">
        <v>0</v>
      </c>
      <c r="AA86" s="646">
        <v>0</v>
      </c>
      <c r="AB86" s="646">
        <v>0</v>
      </c>
      <c r="AC86" s="646">
        <v>0</v>
      </c>
      <c r="AD86" s="216">
        <f t="shared" si="84"/>
        <v>0</v>
      </c>
      <c r="AE86" s="646">
        <v>45</v>
      </c>
      <c r="AF86" s="646">
        <v>0</v>
      </c>
      <c r="AG86" s="646">
        <v>0</v>
      </c>
      <c r="AH86" s="646">
        <v>0</v>
      </c>
      <c r="AI86" s="216">
        <f t="shared" si="85"/>
        <v>45</v>
      </c>
      <c r="AJ86" s="1187">
        <v>0</v>
      </c>
      <c r="AK86" s="646">
        <v>0</v>
      </c>
      <c r="AL86" s="646">
        <v>0</v>
      </c>
      <c r="AM86" s="1188">
        <v>0</v>
      </c>
      <c r="AN86" s="216">
        <f t="shared" si="86"/>
        <v>0</v>
      </c>
      <c r="AO86" s="1187">
        <v>0</v>
      </c>
      <c r="AP86" s="646">
        <v>0</v>
      </c>
      <c r="AQ86" s="646">
        <v>0</v>
      </c>
      <c r="AR86" s="1188">
        <v>0</v>
      </c>
      <c r="AS86" s="216">
        <f t="shared" si="87"/>
        <v>0</v>
      </c>
      <c r="AT86" s="1187">
        <v>0</v>
      </c>
      <c r="AU86" s="646">
        <v>0</v>
      </c>
      <c r="AV86" s="646">
        <v>0</v>
      </c>
      <c r="AW86" s="1188">
        <v>0</v>
      </c>
      <c r="AX86" s="216">
        <f t="shared" si="88"/>
        <v>0</v>
      </c>
      <c r="AY86" s="1187">
        <v>0</v>
      </c>
      <c r="AZ86" s="646">
        <v>0</v>
      </c>
      <c r="BA86" s="646">
        <v>0</v>
      </c>
      <c r="BB86" s="1188">
        <v>0</v>
      </c>
      <c r="BC86" s="216">
        <f t="shared" si="89"/>
        <v>0</v>
      </c>
      <c r="BD86" s="1187">
        <v>0</v>
      </c>
      <c r="BE86" s="646">
        <v>0</v>
      </c>
      <c r="BF86" s="646">
        <v>0</v>
      </c>
      <c r="BG86" s="1188">
        <v>0</v>
      </c>
      <c r="BH86" s="216">
        <f t="shared" si="90"/>
        <v>0</v>
      </c>
      <c r="BI86" s="1187">
        <v>0</v>
      </c>
      <c r="BJ86" s="646">
        <v>0</v>
      </c>
      <c r="BK86" s="646">
        <v>0</v>
      </c>
      <c r="BL86" s="1188">
        <v>0</v>
      </c>
      <c r="BM86" s="216">
        <f t="shared" si="91"/>
        <v>0</v>
      </c>
      <c r="BN86" s="1187">
        <v>0</v>
      </c>
      <c r="BO86" s="646">
        <v>0</v>
      </c>
      <c r="BP86" s="646">
        <v>0</v>
      </c>
      <c r="BQ86" s="1188">
        <v>0</v>
      </c>
      <c r="BR86" s="216">
        <f t="shared" si="92"/>
        <v>0</v>
      </c>
      <c r="BS86" s="1187">
        <v>0</v>
      </c>
      <c r="BT86" s="646">
        <v>0</v>
      </c>
      <c r="BU86" s="646">
        <v>0</v>
      </c>
      <c r="BV86" s="1188">
        <v>0</v>
      </c>
      <c r="BW86" s="216">
        <f t="shared" si="93"/>
        <v>0</v>
      </c>
      <c r="BX86" s="1187">
        <v>0</v>
      </c>
      <c r="BY86" s="646">
        <v>0</v>
      </c>
      <c r="BZ86" s="646">
        <v>0</v>
      </c>
      <c r="CA86" s="1188">
        <v>0</v>
      </c>
      <c r="CB86" s="216">
        <f t="shared" si="94"/>
        <v>0</v>
      </c>
      <c r="CC86" s="1187">
        <v>0</v>
      </c>
      <c r="CD86" s="646">
        <v>0</v>
      </c>
      <c r="CE86" s="646">
        <v>0</v>
      </c>
      <c r="CF86" s="1188">
        <v>0</v>
      </c>
      <c r="CG86" s="216">
        <f t="shared" si="95"/>
        <v>0</v>
      </c>
      <c r="CH86" s="1187">
        <v>0</v>
      </c>
      <c r="CI86" s="646">
        <v>0</v>
      </c>
      <c r="CJ86" s="646">
        <v>0</v>
      </c>
      <c r="CK86" s="1188">
        <v>0</v>
      </c>
      <c r="CL86" s="216">
        <f t="shared" si="96"/>
        <v>0</v>
      </c>
      <c r="CM86" s="1187">
        <v>0</v>
      </c>
      <c r="CN86" s="646">
        <v>0</v>
      </c>
      <c r="CO86" s="646">
        <v>0</v>
      </c>
      <c r="CP86" s="1188">
        <v>0</v>
      </c>
      <c r="CQ86" s="919">
        <f t="shared" si="97"/>
        <v>0</v>
      </c>
      <c r="CR86" s="75"/>
    </row>
    <row r="87" spans="1:96" ht="13.5" customHeight="1" outlineLevel="1">
      <c r="A87" s="81"/>
      <c r="B87" s="81" t="s">
        <v>759</v>
      </c>
      <c r="C87" s="81"/>
      <c r="D87" s="81"/>
      <c r="E87" s="81"/>
      <c r="F87" s="646">
        <v>0</v>
      </c>
      <c r="G87" s="646">
        <v>-31</v>
      </c>
      <c r="H87" s="646">
        <v>0</v>
      </c>
      <c r="I87" s="646">
        <v>0</v>
      </c>
      <c r="J87" s="216">
        <f t="shared" si="80"/>
        <v>-31</v>
      </c>
      <c r="K87" s="646">
        <v>-28</v>
      </c>
      <c r="L87" s="646">
        <v>0</v>
      </c>
      <c r="M87" s="646">
        <v>0</v>
      </c>
      <c r="N87" s="646">
        <v>0</v>
      </c>
      <c r="O87" s="216">
        <f t="shared" si="81"/>
        <v>-28</v>
      </c>
      <c r="P87" s="646">
        <v>0</v>
      </c>
      <c r="Q87" s="646">
        <v>0</v>
      </c>
      <c r="R87" s="646">
        <v>0</v>
      </c>
      <c r="S87" s="646">
        <v>0</v>
      </c>
      <c r="T87" s="216">
        <f t="shared" si="82"/>
        <v>0</v>
      </c>
      <c r="U87" s="646">
        <v>0</v>
      </c>
      <c r="V87" s="646">
        <v>0</v>
      </c>
      <c r="W87" s="646">
        <v>0</v>
      </c>
      <c r="X87" s="646">
        <v>-16</v>
      </c>
      <c r="Y87" s="216">
        <f t="shared" si="83"/>
        <v>-16</v>
      </c>
      <c r="Z87" s="646">
        <v>0</v>
      </c>
      <c r="AA87" s="646">
        <v>0</v>
      </c>
      <c r="AB87" s="646">
        <v>0</v>
      </c>
      <c r="AC87" s="646">
        <v>0</v>
      </c>
      <c r="AD87" s="216">
        <f t="shared" si="84"/>
        <v>0</v>
      </c>
      <c r="AE87" s="646">
        <v>0</v>
      </c>
      <c r="AF87" s="646">
        <v>0</v>
      </c>
      <c r="AG87" s="646">
        <v>0</v>
      </c>
      <c r="AH87" s="646">
        <v>0</v>
      </c>
      <c r="AI87" s="216">
        <f t="shared" si="85"/>
        <v>0</v>
      </c>
      <c r="AJ87" s="1187">
        <v>-63</v>
      </c>
      <c r="AK87" s="646">
        <v>0</v>
      </c>
      <c r="AL87" s="646">
        <v>0</v>
      </c>
      <c r="AM87" s="1188">
        <v>0</v>
      </c>
      <c r="AN87" s="216">
        <f t="shared" si="86"/>
        <v>-63</v>
      </c>
      <c r="AO87" s="1187">
        <v>0</v>
      </c>
      <c r="AP87" s="646">
        <v>0</v>
      </c>
      <c r="AQ87" s="646">
        <v>0</v>
      </c>
      <c r="AR87" s="1188">
        <v>-11</v>
      </c>
      <c r="AS87" s="216">
        <f t="shared" si="87"/>
        <v>-11</v>
      </c>
      <c r="AT87" s="1187">
        <v>0</v>
      </c>
      <c r="AU87" s="646">
        <v>0</v>
      </c>
      <c r="AV87" s="646">
        <v>0</v>
      </c>
      <c r="AW87" s="1188">
        <v>0</v>
      </c>
      <c r="AX87" s="216">
        <f t="shared" si="88"/>
        <v>0</v>
      </c>
      <c r="AY87" s="1187">
        <f>399-58</f>
        <v>341</v>
      </c>
      <c r="AZ87" s="646">
        <v>0</v>
      </c>
      <c r="BA87" s="646">
        <v>0</v>
      </c>
      <c r="BB87" s="1188">
        <v>0</v>
      </c>
      <c r="BC87" s="216">
        <f t="shared" si="89"/>
        <v>341</v>
      </c>
      <c r="BD87" s="1187">
        <v>0</v>
      </c>
      <c r="BE87" s="646">
        <v>0</v>
      </c>
      <c r="BF87" s="646">
        <v>0</v>
      </c>
      <c r="BG87" s="1188">
        <v>0</v>
      </c>
      <c r="BH87" s="216">
        <f t="shared" si="90"/>
        <v>0</v>
      </c>
      <c r="BI87" s="1187">
        <v>-13</v>
      </c>
      <c r="BJ87" s="646">
        <v>9</v>
      </c>
      <c r="BK87" s="646">
        <v>-45</v>
      </c>
      <c r="BL87" s="1188">
        <v>0</v>
      </c>
      <c r="BM87" s="216">
        <f t="shared" si="91"/>
        <v>-49</v>
      </c>
      <c r="BN87" s="1187">
        <v>0</v>
      </c>
      <c r="BO87" s="646">
        <v>0</v>
      </c>
      <c r="BP87" s="646">
        <v>0</v>
      </c>
      <c r="BQ87" s="1188">
        <v>0</v>
      </c>
      <c r="BR87" s="216">
        <f t="shared" si="92"/>
        <v>0</v>
      </c>
      <c r="BS87" s="1187">
        <v>3</v>
      </c>
      <c r="BT87" s="646">
        <v>0</v>
      </c>
      <c r="BU87" s="646"/>
      <c r="BV87" s="1188">
        <v>0</v>
      </c>
      <c r="BW87" s="216">
        <f t="shared" si="93"/>
        <v>3</v>
      </c>
      <c r="BX87" s="1187">
        <v>-1</v>
      </c>
      <c r="BY87" s="646">
        <v>0</v>
      </c>
      <c r="BZ87" s="646">
        <v>0</v>
      </c>
      <c r="CA87" s="1188">
        <v>0</v>
      </c>
      <c r="CB87" s="216">
        <f t="shared" si="94"/>
        <v>-1</v>
      </c>
      <c r="CC87" s="1187">
        <v>0</v>
      </c>
      <c r="CD87" s="646">
        <v>0</v>
      </c>
      <c r="CE87" s="646">
        <v>0</v>
      </c>
      <c r="CF87" s="1188">
        <v>0</v>
      </c>
      <c r="CG87" s="216">
        <f t="shared" si="95"/>
        <v>0</v>
      </c>
      <c r="CH87" s="1187">
        <v>0</v>
      </c>
      <c r="CI87" s="646">
        <v>0</v>
      </c>
      <c r="CJ87" s="646">
        <v>0</v>
      </c>
      <c r="CK87" s="1188">
        <v>0</v>
      </c>
      <c r="CL87" s="216">
        <f t="shared" si="96"/>
        <v>0</v>
      </c>
      <c r="CM87" s="1187">
        <v>0</v>
      </c>
      <c r="CN87" s="646">
        <v>0</v>
      </c>
      <c r="CO87" s="646">
        <v>0</v>
      </c>
      <c r="CP87" s="1188">
        <v>0</v>
      </c>
      <c r="CQ87" s="919">
        <f t="shared" si="97"/>
        <v>0</v>
      </c>
      <c r="CR87" s="75"/>
    </row>
    <row r="88" spans="1:96" ht="13.5" customHeight="1" outlineLevel="1">
      <c r="A88" s="81"/>
      <c r="B88" s="81" t="s">
        <v>699</v>
      </c>
      <c r="C88" s="81"/>
      <c r="D88" s="81"/>
      <c r="E88" s="81"/>
      <c r="F88" s="646">
        <v>5</v>
      </c>
      <c r="G88" s="646">
        <v>52</v>
      </c>
      <c r="H88" s="646">
        <v>304</v>
      </c>
      <c r="I88" s="627">
        <f>-36+2+49</f>
        <v>15</v>
      </c>
      <c r="J88" s="216">
        <f t="shared" si="80"/>
        <v>376</v>
      </c>
      <c r="K88" s="646">
        <v>-14</v>
      </c>
      <c r="L88" s="646">
        <v>0</v>
      </c>
      <c r="M88" s="646">
        <v>0</v>
      </c>
      <c r="N88" s="646">
        <v>0</v>
      </c>
      <c r="O88" s="216">
        <f t="shared" si="81"/>
        <v>-14</v>
      </c>
      <c r="P88" s="646">
        <v>0</v>
      </c>
      <c r="Q88" s="646">
        <v>0</v>
      </c>
      <c r="R88" s="646">
        <v>0</v>
      </c>
      <c r="S88" s="646">
        <v>13</v>
      </c>
      <c r="T88" s="216">
        <f t="shared" si="82"/>
        <v>13</v>
      </c>
      <c r="U88" s="646">
        <v>0</v>
      </c>
      <c r="V88" s="646">
        <v>0</v>
      </c>
      <c r="W88" s="646">
        <v>0</v>
      </c>
      <c r="X88" s="646">
        <v>-58</v>
      </c>
      <c r="Y88" s="216">
        <f t="shared" si="83"/>
        <v>-58</v>
      </c>
      <c r="Z88" s="646">
        <v>0</v>
      </c>
      <c r="AA88" s="646">
        <v>0</v>
      </c>
      <c r="AB88" s="646">
        <v>28</v>
      </c>
      <c r="AC88" s="646">
        <f>117+20</f>
        <v>137</v>
      </c>
      <c r="AD88" s="216">
        <f t="shared" si="84"/>
        <v>165</v>
      </c>
      <c r="AE88" s="646">
        <v>-70</v>
      </c>
      <c r="AF88" s="646">
        <v>4</v>
      </c>
      <c r="AG88" s="646">
        <f>79+39</f>
        <v>118</v>
      </c>
      <c r="AH88" s="646">
        <v>-75.599999999999994</v>
      </c>
      <c r="AI88" s="216">
        <f t="shared" si="85"/>
        <v>-23.599999999999994</v>
      </c>
      <c r="AJ88" s="1187">
        <v>0</v>
      </c>
      <c r="AK88" s="646">
        <v>-49</v>
      </c>
      <c r="AL88" s="646">
        <v>0</v>
      </c>
      <c r="AM88" s="1188">
        <v>31</v>
      </c>
      <c r="AN88" s="216">
        <f t="shared" si="86"/>
        <v>-18</v>
      </c>
      <c r="AO88" s="1187">
        <f>-3+56</f>
        <v>53</v>
      </c>
      <c r="AP88" s="646">
        <v>96</v>
      </c>
      <c r="AQ88" s="646">
        <v>-137</v>
      </c>
      <c r="AR88" s="1188">
        <f>33+52</f>
        <v>85</v>
      </c>
      <c r="AS88" s="216">
        <f t="shared" si="87"/>
        <v>97</v>
      </c>
      <c r="AT88" s="1187">
        <v>-81</v>
      </c>
      <c r="AU88" s="646">
        <v>-37</v>
      </c>
      <c r="AV88" s="646">
        <v>96</v>
      </c>
      <c r="AW88" s="1188">
        <f>51+11</f>
        <v>62</v>
      </c>
      <c r="AX88" s="216">
        <f t="shared" si="88"/>
        <v>40</v>
      </c>
      <c r="AY88" s="1187">
        <v>-12</v>
      </c>
      <c r="AZ88" s="646">
        <v>11</v>
      </c>
      <c r="BA88" s="646">
        <f>-46+22</f>
        <v>-24</v>
      </c>
      <c r="BB88" s="1286">
        <v>-9</v>
      </c>
      <c r="BC88" s="216">
        <f t="shared" si="89"/>
        <v>-34</v>
      </c>
      <c r="BD88" s="1187">
        <v>0</v>
      </c>
      <c r="BE88" s="646">
        <v>0</v>
      </c>
      <c r="BF88" s="646">
        <f>14.3-15</f>
        <v>-0.69999999999999929</v>
      </c>
      <c r="BG88" s="1188">
        <f>-142-392</f>
        <v>-534</v>
      </c>
      <c r="BH88" s="216">
        <f t="shared" si="90"/>
        <v>-534.70000000000005</v>
      </c>
      <c r="BI88" s="1187">
        <v>0</v>
      </c>
      <c r="BJ88" s="646">
        <f>46-12</f>
        <v>34</v>
      </c>
      <c r="BK88" s="646">
        <v>0</v>
      </c>
      <c r="BL88" s="1188">
        <v>-1</v>
      </c>
      <c r="BM88" s="216">
        <f t="shared" si="91"/>
        <v>33</v>
      </c>
      <c r="BN88" s="1187">
        <v>0</v>
      </c>
      <c r="BO88" s="646">
        <v>0</v>
      </c>
      <c r="BP88" s="646">
        <v>0</v>
      </c>
      <c r="BQ88" s="1188">
        <f>392-SUM(BN88:BP88)+143</f>
        <v>535</v>
      </c>
      <c r="BR88" s="216">
        <f t="shared" si="92"/>
        <v>535</v>
      </c>
      <c r="BS88" s="1187">
        <v>12</v>
      </c>
      <c r="BT88" s="646">
        <v>-23</v>
      </c>
      <c r="BU88" s="646">
        <v>0</v>
      </c>
      <c r="BV88" s="1188">
        <f>18-4</f>
        <v>14</v>
      </c>
      <c r="BW88" s="216">
        <f t="shared" si="93"/>
        <v>3</v>
      </c>
      <c r="BX88" s="1187">
        <v>3</v>
      </c>
      <c r="BY88" s="646">
        <v>0</v>
      </c>
      <c r="BZ88" s="646">
        <f>-21+35</f>
        <v>14</v>
      </c>
      <c r="CA88" s="1188">
        <f>-81+17+19</f>
        <v>-45</v>
      </c>
      <c r="CB88" s="216">
        <f t="shared" si="94"/>
        <v>-28</v>
      </c>
      <c r="CC88" s="1187">
        <v>0</v>
      </c>
      <c r="CD88" s="646">
        <v>0</v>
      </c>
      <c r="CE88" s="646">
        <v>0</v>
      </c>
      <c r="CF88" s="1188">
        <v>0</v>
      </c>
      <c r="CG88" s="216">
        <f t="shared" si="95"/>
        <v>0</v>
      </c>
      <c r="CH88" s="1187">
        <v>0</v>
      </c>
      <c r="CI88" s="646">
        <v>0</v>
      </c>
      <c r="CJ88" s="646">
        <v>0</v>
      </c>
      <c r="CK88" s="1188">
        <v>0</v>
      </c>
      <c r="CL88" s="216">
        <f t="shared" si="96"/>
        <v>0</v>
      </c>
      <c r="CM88" s="1187">
        <v>0</v>
      </c>
      <c r="CN88" s="646">
        <v>0</v>
      </c>
      <c r="CO88" s="646">
        <v>0</v>
      </c>
      <c r="CP88" s="1188">
        <v>0</v>
      </c>
      <c r="CQ88" s="919">
        <f t="shared" si="97"/>
        <v>0</v>
      </c>
      <c r="CR88" s="75"/>
    </row>
    <row r="89" spans="1:96" ht="13.5" customHeight="1" outlineLevel="1">
      <c r="A89" s="81"/>
      <c r="B89" s="81"/>
      <c r="C89" s="81"/>
      <c r="D89" s="81"/>
      <c r="E89" s="81"/>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1161"/>
      <c r="AK89" s="212"/>
      <c r="AL89" s="212"/>
      <c r="AM89" s="1160"/>
      <c r="AN89" s="212"/>
      <c r="AO89" s="1161"/>
      <c r="AP89" s="212"/>
      <c r="AQ89" s="212"/>
      <c r="AR89" s="1160"/>
      <c r="AS89" s="212"/>
      <c r="AT89" s="1161"/>
      <c r="AU89" s="212"/>
      <c r="AV89" s="212"/>
      <c r="AW89" s="1160"/>
      <c r="AX89" s="212"/>
      <c r="AY89" s="1161"/>
      <c r="AZ89" s="212"/>
      <c r="BA89" s="212"/>
      <c r="BB89" s="1160"/>
      <c r="BC89" s="212"/>
      <c r="BD89" s="1161"/>
      <c r="BE89" s="212"/>
      <c r="BF89" s="212"/>
      <c r="BG89" s="1160"/>
      <c r="BH89" s="212"/>
      <c r="BI89" s="1161"/>
      <c r="BJ89" s="212"/>
      <c r="BK89" s="212"/>
      <c r="BL89" s="1160"/>
      <c r="BM89" s="212"/>
      <c r="BN89" s="1161"/>
      <c r="BO89" s="212"/>
      <c r="BP89" s="212"/>
      <c r="BQ89" s="1160"/>
      <c r="BR89" s="212"/>
      <c r="BS89" s="1161"/>
      <c r="BT89" s="212"/>
      <c r="BU89" s="212"/>
      <c r="BV89" s="1160"/>
      <c r="BW89" s="212"/>
      <c r="BX89" s="1161"/>
      <c r="BY89" s="212"/>
      <c r="BZ89" s="212"/>
      <c r="CA89" s="1160"/>
      <c r="CB89" s="212"/>
      <c r="CC89" s="1161"/>
      <c r="CD89" s="212"/>
      <c r="CE89" s="212"/>
      <c r="CF89" s="1160"/>
      <c r="CG89" s="212"/>
      <c r="CH89" s="1161"/>
      <c r="CI89" s="212"/>
      <c r="CJ89" s="212"/>
      <c r="CK89" s="1160"/>
      <c r="CL89" s="212"/>
      <c r="CM89" s="1161"/>
      <c r="CN89" s="212"/>
      <c r="CO89" s="212"/>
      <c r="CP89" s="1160"/>
      <c r="CQ89" s="1160"/>
      <c r="CR89" s="75"/>
    </row>
    <row r="90" spans="1:96" ht="13.5" customHeight="1">
      <c r="A90" s="217" t="s">
        <v>760</v>
      </c>
      <c r="B90" s="217"/>
      <c r="C90" s="217"/>
      <c r="D90" s="217"/>
      <c r="E90" s="217"/>
      <c r="F90" s="218">
        <f t="shared" ref="F90:X90" si="98">SUM(F82:F88)</f>
        <v>21</v>
      </c>
      <c r="G90" s="218">
        <f t="shared" si="98"/>
        <v>28</v>
      </c>
      <c r="H90" s="218">
        <f t="shared" si="98"/>
        <v>327</v>
      </c>
      <c r="I90" s="218">
        <f t="shared" si="98"/>
        <v>25</v>
      </c>
      <c r="J90" s="218">
        <f t="shared" si="98"/>
        <v>401</v>
      </c>
      <c r="K90" s="218">
        <f t="shared" si="98"/>
        <v>-42</v>
      </c>
      <c r="L90" s="218">
        <f t="shared" si="98"/>
        <v>0</v>
      </c>
      <c r="M90" s="218">
        <f t="shared" si="98"/>
        <v>0</v>
      </c>
      <c r="N90" s="218">
        <f t="shared" si="98"/>
        <v>11</v>
      </c>
      <c r="O90" s="218">
        <f t="shared" si="98"/>
        <v>-31</v>
      </c>
      <c r="P90" s="218">
        <f t="shared" si="98"/>
        <v>-46</v>
      </c>
      <c r="Q90" s="218">
        <f t="shared" si="98"/>
        <v>4</v>
      </c>
      <c r="R90" s="218">
        <f t="shared" si="98"/>
        <v>2</v>
      </c>
      <c r="S90" s="218">
        <f t="shared" si="98"/>
        <v>20</v>
      </c>
      <c r="T90" s="218">
        <f t="shared" si="98"/>
        <v>-20</v>
      </c>
      <c r="U90" s="218">
        <f t="shared" si="98"/>
        <v>3</v>
      </c>
      <c r="V90" s="218">
        <f t="shared" si="98"/>
        <v>0</v>
      </c>
      <c r="W90" s="218">
        <f t="shared" si="98"/>
        <v>14</v>
      </c>
      <c r="X90" s="218">
        <f t="shared" si="98"/>
        <v>-40</v>
      </c>
      <c r="Y90" s="219">
        <f>SUM(U90:X90)</f>
        <v>-23</v>
      </c>
      <c r="Z90" s="218">
        <f t="shared" ref="Z90:AH90" si="99">SUM(Z82:Z88)</f>
        <v>2</v>
      </c>
      <c r="AA90" s="218">
        <f t="shared" si="99"/>
        <v>14</v>
      </c>
      <c r="AB90" s="218">
        <f t="shared" si="99"/>
        <v>28</v>
      </c>
      <c r="AC90" s="218">
        <f t="shared" si="99"/>
        <v>137</v>
      </c>
      <c r="AD90" s="218">
        <f t="shared" si="99"/>
        <v>181</v>
      </c>
      <c r="AE90" s="218">
        <f t="shared" si="99"/>
        <v>-25</v>
      </c>
      <c r="AF90" s="218">
        <f t="shared" si="99"/>
        <v>4</v>
      </c>
      <c r="AG90" s="218">
        <f t="shared" si="99"/>
        <v>118</v>
      </c>
      <c r="AH90" s="218">
        <f t="shared" si="99"/>
        <v>-75.599999999999994</v>
      </c>
      <c r="AI90" s="219">
        <f>SUM(AE90:AH90)</f>
        <v>21.400000000000006</v>
      </c>
      <c r="AJ90" s="1189">
        <f>SUM(AJ82:AJ88)</f>
        <v>-7</v>
      </c>
      <c r="AK90" s="218">
        <f>SUM(AK82:AK88)</f>
        <v>-49</v>
      </c>
      <c r="AL90" s="218">
        <f>SUM(AL82:AL88)</f>
        <v>0</v>
      </c>
      <c r="AM90" s="1190">
        <f>SUM(AM82:AM88)</f>
        <v>31</v>
      </c>
      <c r="AN90" s="219">
        <f>SUM(AJ90:AM90)</f>
        <v>-25</v>
      </c>
      <c r="AO90" s="1189">
        <f>SUM(AO82:AO88)</f>
        <v>53</v>
      </c>
      <c r="AP90" s="218">
        <f>SUM(AP82:AP88)</f>
        <v>96</v>
      </c>
      <c r="AQ90" s="218">
        <f>SUM(AQ82:AQ88)</f>
        <v>-137</v>
      </c>
      <c r="AR90" s="1190">
        <f>SUM(AR82:AR88)</f>
        <v>74</v>
      </c>
      <c r="AS90" s="219">
        <f>SUM(AO90:AR90)</f>
        <v>86</v>
      </c>
      <c r="AT90" s="1189">
        <f>SUM(AT82:AT88)</f>
        <v>-81</v>
      </c>
      <c r="AU90" s="218">
        <f>SUM(AU82:AU88)</f>
        <v>-37</v>
      </c>
      <c r="AV90" s="218">
        <f>SUM(AV82:AV88)</f>
        <v>96</v>
      </c>
      <c r="AW90" s="1190">
        <f>SUM(AW82:AW88)</f>
        <v>62</v>
      </c>
      <c r="AX90" s="219">
        <f>SUM(AT90:AW90)</f>
        <v>40</v>
      </c>
      <c r="AY90" s="1189">
        <f>SUM(AY82:AY88)</f>
        <v>329</v>
      </c>
      <c r="AZ90" s="218">
        <f>SUM(AZ82:AZ88)</f>
        <v>11</v>
      </c>
      <c r="BA90" s="218">
        <f>SUM(BA82:BA88)</f>
        <v>-24</v>
      </c>
      <c r="BB90" s="1190">
        <f>SUM(BB82:BB88)</f>
        <v>-9</v>
      </c>
      <c r="BC90" s="219">
        <f>SUM(AY90:BB90)</f>
        <v>307</v>
      </c>
      <c r="BD90" s="1189">
        <f>SUM(BD82:BD88)</f>
        <v>22</v>
      </c>
      <c r="BE90" s="218">
        <f>SUM(BE82:BE88)</f>
        <v>0</v>
      </c>
      <c r="BF90" s="218">
        <f>SUM(BF82:BF88)</f>
        <v>1770.3</v>
      </c>
      <c r="BG90" s="1190">
        <f>SUM(BG82:BG88)</f>
        <v>-232</v>
      </c>
      <c r="BH90" s="219">
        <f>SUM(BD90:BG90)</f>
        <v>1560.3</v>
      </c>
      <c r="BI90" s="1189">
        <f>SUM(BI82:BI88)</f>
        <v>-13</v>
      </c>
      <c r="BJ90" s="218">
        <f>SUM(BJ82:BJ88)</f>
        <v>43</v>
      </c>
      <c r="BK90" s="218">
        <f>SUM(BK82:BK88)</f>
        <v>532</v>
      </c>
      <c r="BL90" s="1190">
        <f>SUM(BL82:BL88)</f>
        <v>-1</v>
      </c>
      <c r="BM90" s="219">
        <f>SUM(BI90:BL90)</f>
        <v>561</v>
      </c>
      <c r="BN90" s="1189">
        <f>SUM(BN82:BN88)</f>
        <v>65</v>
      </c>
      <c r="BO90" s="218">
        <f>SUM(BO82:BO88)</f>
        <v>146</v>
      </c>
      <c r="BP90" s="218">
        <f>SUM(BP82:BP88)</f>
        <v>70</v>
      </c>
      <c r="BQ90" s="1190">
        <f>SUM(BQ82:BQ89)</f>
        <v>612</v>
      </c>
      <c r="BR90" s="219">
        <f>SUM(BN90:BQ90)</f>
        <v>893</v>
      </c>
      <c r="BS90" s="1189">
        <f>SUM(BS82:BS88)</f>
        <v>25</v>
      </c>
      <c r="BT90" s="218">
        <f>SUM(BT82:BT88)</f>
        <v>1</v>
      </c>
      <c r="BU90" s="218">
        <f>SUM(BU82:BU88)</f>
        <v>14</v>
      </c>
      <c r="BV90" s="1190">
        <f>SUM(BV82:BV88)</f>
        <v>152</v>
      </c>
      <c r="BW90" s="219">
        <f>SUM(BS90:BV90)</f>
        <v>192</v>
      </c>
      <c r="BX90" s="1189">
        <f>SUM(BX82:BX88)</f>
        <v>35</v>
      </c>
      <c r="BY90" s="218">
        <f>SUM(BY82:BY88)</f>
        <v>-72</v>
      </c>
      <c r="BZ90" s="218">
        <f>SUM(BZ82:BZ88)</f>
        <v>14</v>
      </c>
      <c r="CA90" s="1190">
        <f>SUM(CA82:CA88)</f>
        <v>-23</v>
      </c>
      <c r="CB90" s="219">
        <f>SUM(BX90:CA90)</f>
        <v>-46</v>
      </c>
      <c r="CC90" s="1189">
        <f>SUM(CC82:CC88)</f>
        <v>0</v>
      </c>
      <c r="CD90" s="218">
        <f>SUM(CD82:CD88)</f>
        <v>0</v>
      </c>
      <c r="CE90" s="218">
        <f>SUM(CE82:CE88)</f>
        <v>0</v>
      </c>
      <c r="CF90" s="1190">
        <f>SUM(CF82:CF88)</f>
        <v>0</v>
      </c>
      <c r="CG90" s="219">
        <f>SUM(CC90:CF90)</f>
        <v>0</v>
      </c>
      <c r="CH90" s="1189">
        <f>SUM(CH82:CH88)</f>
        <v>0</v>
      </c>
      <c r="CI90" s="218">
        <f>SUM(CI82:CI88)</f>
        <v>0</v>
      </c>
      <c r="CJ90" s="218">
        <f>SUM(CJ82:CJ88)</f>
        <v>0</v>
      </c>
      <c r="CK90" s="1190">
        <f>SUM(CK82:CK88)</f>
        <v>0</v>
      </c>
      <c r="CL90" s="219">
        <f>SUM(CH90:CK90)</f>
        <v>0</v>
      </c>
      <c r="CM90" s="1189">
        <f>SUM(CM82:CM88)</f>
        <v>0</v>
      </c>
      <c r="CN90" s="218">
        <f>SUM(CN82:CN88)</f>
        <v>0</v>
      </c>
      <c r="CO90" s="218">
        <f>SUM(CO82:CO88)</f>
        <v>0</v>
      </c>
      <c r="CP90" s="1190">
        <f>SUM(CP82:CP88)</f>
        <v>0</v>
      </c>
      <c r="CQ90" s="1384">
        <f>SUM(CM90:CP90)</f>
        <v>0</v>
      </c>
      <c r="CR90" s="75"/>
    </row>
    <row r="91" spans="1:96" ht="6.2" customHeight="1">
      <c r="A91" s="75"/>
      <c r="B91" s="93"/>
      <c r="C91" s="125"/>
      <c r="D91" s="75"/>
      <c r="E91" s="75"/>
      <c r="F91" s="220"/>
      <c r="G91" s="220"/>
      <c r="H91" s="220"/>
      <c r="I91" s="220"/>
      <c r="J91" s="220"/>
      <c r="K91" s="220"/>
      <c r="L91" s="220"/>
      <c r="M91" s="220"/>
      <c r="N91" s="220"/>
      <c r="O91" s="220"/>
      <c r="P91" s="220"/>
      <c r="Q91" s="220"/>
      <c r="R91" s="220"/>
      <c r="S91" s="220"/>
      <c r="T91" s="220"/>
      <c r="U91" s="220"/>
      <c r="V91" s="220"/>
      <c r="W91" s="220"/>
      <c r="X91" s="220"/>
      <c r="Y91" s="220"/>
      <c r="Z91" s="220"/>
      <c r="AA91" s="220"/>
      <c r="AB91" s="220"/>
      <c r="AC91" s="220"/>
      <c r="AD91" s="220"/>
      <c r="AE91" s="220"/>
      <c r="AF91" s="220"/>
      <c r="AG91" s="220"/>
      <c r="AH91" s="220"/>
      <c r="AI91" s="220"/>
      <c r="AJ91" s="1191"/>
      <c r="AK91" s="220"/>
      <c r="AL91" s="220"/>
      <c r="AM91" s="1192"/>
      <c r="AN91" s="220"/>
      <c r="AO91" s="1191"/>
      <c r="AP91" s="220"/>
      <c r="AQ91" s="220"/>
      <c r="AR91" s="1192"/>
      <c r="AS91" s="220"/>
      <c r="AT91" s="1191"/>
      <c r="AU91" s="220"/>
      <c r="AV91" s="220"/>
      <c r="AW91" s="1192"/>
      <c r="AX91" s="220"/>
      <c r="AY91" s="1191"/>
      <c r="AZ91" s="220"/>
      <c r="BA91" s="220"/>
      <c r="BB91" s="1192"/>
      <c r="BC91" s="220"/>
      <c r="BD91" s="1191"/>
      <c r="BE91" s="220"/>
      <c r="BF91" s="220"/>
      <c r="BG91" s="1192"/>
      <c r="BH91" s="220"/>
      <c r="BI91" s="1191"/>
      <c r="BJ91" s="220"/>
      <c r="BK91" s="220"/>
      <c r="BL91" s="1192"/>
      <c r="BM91" s="220"/>
      <c r="BN91" s="1191"/>
      <c r="BO91" s="220"/>
      <c r="BP91" s="220"/>
      <c r="BQ91" s="1192"/>
      <c r="BR91" s="220"/>
      <c r="BS91" s="1191"/>
      <c r="BT91" s="220"/>
      <c r="BU91" s="220"/>
      <c r="BV91" s="1192"/>
      <c r="BW91" s="220"/>
      <c r="BX91" s="1191"/>
      <c r="BY91" s="220"/>
      <c r="BZ91" s="220"/>
      <c r="CA91" s="1192"/>
      <c r="CB91" s="220"/>
      <c r="CC91" s="1191"/>
      <c r="CD91" s="220"/>
      <c r="CE91" s="220"/>
      <c r="CF91" s="1192"/>
      <c r="CG91" s="220"/>
      <c r="CH91" s="1191"/>
      <c r="CI91" s="220"/>
      <c r="CJ91" s="220"/>
      <c r="CK91" s="1192"/>
      <c r="CL91" s="220"/>
      <c r="CM91" s="1191"/>
      <c r="CN91" s="220"/>
      <c r="CO91" s="220"/>
      <c r="CP91" s="1192"/>
      <c r="CQ91" s="1192"/>
      <c r="CR91" s="75"/>
    </row>
    <row r="92" spans="1:96" ht="13.5" customHeight="1">
      <c r="A92" s="75"/>
      <c r="B92" s="93"/>
      <c r="C92" s="125" t="s">
        <v>761</v>
      </c>
      <c r="D92" s="75"/>
      <c r="E92" s="75"/>
      <c r="F92" s="180">
        <f t="shared" ref="F92:AK92" si="100">F59-F90</f>
        <v>-40</v>
      </c>
      <c r="G92" s="180">
        <f t="shared" si="100"/>
        <v>-54</v>
      </c>
      <c r="H92" s="180">
        <f t="shared" si="100"/>
        <v>-358</v>
      </c>
      <c r="I92" s="180">
        <f t="shared" si="100"/>
        <v>-27</v>
      </c>
      <c r="J92" s="180">
        <f t="shared" si="100"/>
        <v>-479</v>
      </c>
      <c r="K92" s="180">
        <f t="shared" si="100"/>
        <v>66</v>
      </c>
      <c r="L92" s="180">
        <f t="shared" si="100"/>
        <v>250</v>
      </c>
      <c r="M92" s="180">
        <f t="shared" si="100"/>
        <v>355</v>
      </c>
      <c r="N92" s="180">
        <f t="shared" si="100"/>
        <v>446</v>
      </c>
      <c r="O92" s="180">
        <f t="shared" si="100"/>
        <v>1117</v>
      </c>
      <c r="P92" s="180">
        <f t="shared" si="100"/>
        <v>455</v>
      </c>
      <c r="Q92" s="180">
        <f t="shared" si="100"/>
        <v>244</v>
      </c>
      <c r="R92" s="180">
        <f t="shared" si="100"/>
        <v>89</v>
      </c>
      <c r="S92" s="180">
        <f t="shared" si="100"/>
        <v>104</v>
      </c>
      <c r="T92" s="180">
        <f t="shared" si="100"/>
        <v>892</v>
      </c>
      <c r="U92" s="180">
        <f t="shared" si="100"/>
        <v>252</v>
      </c>
      <c r="V92" s="180">
        <f t="shared" si="100"/>
        <v>400</v>
      </c>
      <c r="W92" s="180">
        <f t="shared" si="100"/>
        <v>417</v>
      </c>
      <c r="X92" s="180">
        <f t="shared" si="100"/>
        <v>297</v>
      </c>
      <c r="Y92" s="180">
        <f t="shared" si="100"/>
        <v>1366</v>
      </c>
      <c r="Z92" s="180">
        <f t="shared" si="100"/>
        <v>273</v>
      </c>
      <c r="AA92" s="180">
        <f t="shared" si="100"/>
        <v>302</v>
      </c>
      <c r="AB92" s="180">
        <f t="shared" si="100"/>
        <v>269</v>
      </c>
      <c r="AC92" s="180">
        <f t="shared" si="100"/>
        <v>35</v>
      </c>
      <c r="AD92" s="180">
        <f t="shared" si="100"/>
        <v>879</v>
      </c>
      <c r="AE92" s="180">
        <f t="shared" si="100"/>
        <v>235</v>
      </c>
      <c r="AF92" s="180">
        <f t="shared" si="100"/>
        <v>668</v>
      </c>
      <c r="AG92" s="180">
        <f t="shared" si="100"/>
        <v>919</v>
      </c>
      <c r="AH92" s="180">
        <f t="shared" si="100"/>
        <v>308</v>
      </c>
      <c r="AI92" s="180">
        <f t="shared" si="100"/>
        <v>2130</v>
      </c>
      <c r="AJ92" s="1161">
        <f t="shared" si="100"/>
        <v>-439</v>
      </c>
      <c r="AK92" s="212">
        <f t="shared" si="100"/>
        <v>-392</v>
      </c>
      <c r="AL92" s="212">
        <f t="shared" ref="AL92:BQ92" si="101">AL59-AL90</f>
        <v>-303</v>
      </c>
      <c r="AM92" s="1160">
        <f t="shared" si="101"/>
        <v>-267</v>
      </c>
      <c r="AN92" s="180">
        <f t="shared" si="101"/>
        <v>-1401</v>
      </c>
      <c r="AO92" s="1161">
        <f t="shared" si="101"/>
        <v>-157</v>
      </c>
      <c r="AP92" s="212">
        <f t="shared" si="101"/>
        <v>-25</v>
      </c>
      <c r="AQ92" s="212">
        <f t="shared" si="101"/>
        <v>-51</v>
      </c>
      <c r="AR92" s="1160">
        <f t="shared" si="101"/>
        <v>-249</v>
      </c>
      <c r="AS92" s="180">
        <f t="shared" si="101"/>
        <v>-482</v>
      </c>
      <c r="AT92" s="1161">
        <f t="shared" si="101"/>
        <v>-86</v>
      </c>
      <c r="AU92" s="212">
        <f t="shared" si="101"/>
        <v>222</v>
      </c>
      <c r="AV92" s="212">
        <f t="shared" si="101"/>
        <v>22</v>
      </c>
      <c r="AW92" s="1160">
        <f t="shared" si="101"/>
        <v>-211</v>
      </c>
      <c r="AX92" s="180">
        <f t="shared" si="101"/>
        <v>-53</v>
      </c>
      <c r="AY92" s="1161">
        <f t="shared" si="101"/>
        <v>-219</v>
      </c>
      <c r="AZ92" s="212">
        <f t="shared" si="101"/>
        <v>101</v>
      </c>
      <c r="BA92" s="212">
        <f t="shared" si="101"/>
        <v>44</v>
      </c>
      <c r="BB92" s="1160">
        <f t="shared" si="101"/>
        <v>-50</v>
      </c>
      <c r="BC92" s="180">
        <f t="shared" si="101"/>
        <v>-124</v>
      </c>
      <c r="BD92" s="1161">
        <f t="shared" si="101"/>
        <v>-73</v>
      </c>
      <c r="BE92" s="212">
        <f t="shared" si="101"/>
        <v>-78</v>
      </c>
      <c r="BF92" s="212">
        <f t="shared" si="101"/>
        <v>-1791</v>
      </c>
      <c r="BG92" s="1160">
        <f t="shared" si="101"/>
        <v>270</v>
      </c>
      <c r="BH92" s="180">
        <f t="shared" si="101"/>
        <v>-1672</v>
      </c>
      <c r="BI92" s="1161">
        <f t="shared" si="101"/>
        <v>52</v>
      </c>
      <c r="BJ92" s="212">
        <f t="shared" si="101"/>
        <v>-18</v>
      </c>
      <c r="BK92" s="212">
        <f t="shared" si="101"/>
        <v>-207</v>
      </c>
      <c r="BL92" s="1160">
        <f t="shared" si="101"/>
        <v>275</v>
      </c>
      <c r="BM92" s="180">
        <f t="shared" si="101"/>
        <v>102</v>
      </c>
      <c r="BN92" s="1161">
        <f t="shared" si="101"/>
        <v>-75</v>
      </c>
      <c r="BO92" s="212">
        <f t="shared" si="101"/>
        <v>-261</v>
      </c>
      <c r="BP92" s="212">
        <f t="shared" si="101"/>
        <v>-173</v>
      </c>
      <c r="BQ92" s="1306">
        <f t="shared" si="101"/>
        <v>-1133</v>
      </c>
      <c r="BR92" s="180">
        <f t="shared" ref="BR92:CQ92" si="102">BR59-BR90</f>
        <v>-1642</v>
      </c>
      <c r="BS92" s="1161">
        <f t="shared" si="102"/>
        <v>-340</v>
      </c>
      <c r="BT92" s="212">
        <f t="shared" si="102"/>
        <v>-46</v>
      </c>
      <c r="BU92" s="212">
        <f t="shared" si="102"/>
        <v>51</v>
      </c>
      <c r="BV92" s="1160">
        <f t="shared" si="102"/>
        <v>-105</v>
      </c>
      <c r="BW92" s="180">
        <f t="shared" si="102"/>
        <v>-440</v>
      </c>
      <c r="BX92" s="1161">
        <f t="shared" si="102"/>
        <v>-180</v>
      </c>
      <c r="BY92" s="212">
        <f t="shared" si="102"/>
        <v>261</v>
      </c>
      <c r="BZ92" s="212">
        <f t="shared" si="102"/>
        <v>147</v>
      </c>
      <c r="CA92" s="1160">
        <f t="shared" si="102"/>
        <v>159</v>
      </c>
      <c r="CB92" s="180">
        <f t="shared" si="102"/>
        <v>387</v>
      </c>
      <c r="CC92" s="1161">
        <f t="shared" si="102"/>
        <v>38.900496931614612</v>
      </c>
      <c r="CD92" s="212">
        <f t="shared" si="102"/>
        <v>253.30293584813623</v>
      </c>
      <c r="CE92" s="212">
        <f t="shared" si="102"/>
        <v>334.38776713614362</v>
      </c>
      <c r="CF92" s="1160">
        <f t="shared" si="102"/>
        <v>267.80449808243009</v>
      </c>
      <c r="CG92" s="180">
        <f t="shared" si="102"/>
        <v>894.39569799832464</v>
      </c>
      <c r="CH92" s="1161">
        <f t="shared" si="102"/>
        <v>114.90923427117056</v>
      </c>
      <c r="CI92" s="212">
        <f t="shared" si="102"/>
        <v>342.9093344643008</v>
      </c>
      <c r="CJ92" s="212">
        <f t="shared" si="102"/>
        <v>319.72186731508117</v>
      </c>
      <c r="CK92" s="1160">
        <f t="shared" si="102"/>
        <v>304.53614576855244</v>
      </c>
      <c r="CL92" s="180">
        <f t="shared" si="102"/>
        <v>1082.0765818191051</v>
      </c>
      <c r="CM92" s="1161">
        <f t="shared" si="102"/>
        <v>135.50418002268219</v>
      </c>
      <c r="CN92" s="212">
        <f t="shared" si="102"/>
        <v>263.06838285849545</v>
      </c>
      <c r="CO92" s="212">
        <f t="shared" si="102"/>
        <v>207.83141399191331</v>
      </c>
      <c r="CP92" s="1160">
        <f t="shared" si="102"/>
        <v>199.21441883366413</v>
      </c>
      <c r="CQ92" s="1160">
        <f t="shared" si="102"/>
        <v>805.618395706755</v>
      </c>
      <c r="CR92" s="75"/>
    </row>
    <row r="93" spans="1:96" ht="6.2" customHeight="1">
      <c r="A93" s="75"/>
      <c r="B93" s="93"/>
      <c r="C93" s="75"/>
      <c r="D93" s="75"/>
      <c r="E93" s="75"/>
      <c r="F93" s="142"/>
      <c r="G93" s="221"/>
      <c r="H93" s="142"/>
      <c r="I93" s="222"/>
      <c r="J93" s="221"/>
      <c r="K93" s="221"/>
      <c r="L93" s="222"/>
      <c r="M93" s="222"/>
      <c r="N93" s="222"/>
      <c r="O93" s="222"/>
      <c r="P93" s="221"/>
      <c r="Q93" s="222"/>
      <c r="R93" s="222"/>
      <c r="S93" s="222"/>
      <c r="T93" s="222"/>
      <c r="U93" s="221"/>
      <c r="V93" s="222"/>
      <c r="W93" s="222"/>
      <c r="X93" s="222"/>
      <c r="Y93" s="222"/>
      <c r="Z93" s="221"/>
      <c r="AA93" s="223"/>
      <c r="AB93" s="222"/>
      <c r="AC93" s="222"/>
      <c r="AD93" s="222"/>
      <c r="AE93" s="142"/>
      <c r="AF93" s="223"/>
      <c r="AG93" s="223"/>
      <c r="AH93" s="222"/>
      <c r="AI93" s="222"/>
      <c r="AJ93" s="1193"/>
      <c r="AK93" s="1194"/>
      <c r="AL93" s="1194"/>
      <c r="AM93" s="1195"/>
      <c r="AN93" s="222"/>
      <c r="AO93" s="1193"/>
      <c r="AP93" s="1194"/>
      <c r="AQ93" s="1194"/>
      <c r="AR93" s="1259"/>
      <c r="AS93" s="222"/>
      <c r="AT93" s="1193"/>
      <c r="AU93" s="1194"/>
      <c r="AV93" s="1194"/>
      <c r="AW93" s="1195"/>
      <c r="AX93" s="222"/>
      <c r="AY93" s="1193"/>
      <c r="AZ93" s="1194"/>
      <c r="BA93" s="1194"/>
      <c r="BB93" s="1195"/>
      <c r="BC93" s="222"/>
      <c r="BD93" s="1193"/>
      <c r="BE93" s="1194"/>
      <c r="BF93" s="1194"/>
      <c r="BG93" s="1195"/>
      <c r="BH93" s="222"/>
      <c r="BI93" s="1193"/>
      <c r="BJ93" s="1194"/>
      <c r="BK93" s="1194"/>
      <c r="BL93" s="1195"/>
      <c r="BM93" s="222"/>
      <c r="BN93" s="1193"/>
      <c r="BO93" s="1335"/>
      <c r="BP93" s="1194"/>
      <c r="BQ93" s="1195"/>
      <c r="BR93" s="222"/>
      <c r="BS93" s="1193"/>
      <c r="BT93" s="1194"/>
      <c r="BU93" s="1194"/>
      <c r="BV93" s="1195"/>
      <c r="BW93" s="222"/>
      <c r="BX93" s="1193"/>
      <c r="BY93" s="1194"/>
      <c r="BZ93" s="1194"/>
      <c r="CA93" s="1195"/>
      <c r="CB93" s="222"/>
      <c r="CC93" s="1193"/>
      <c r="CD93" s="1194"/>
      <c r="CE93" s="1194"/>
      <c r="CF93" s="1195"/>
      <c r="CG93" s="222"/>
      <c r="CH93" s="1193"/>
      <c r="CI93" s="1194"/>
      <c r="CJ93" s="1194"/>
      <c r="CK93" s="1195"/>
      <c r="CL93" s="222"/>
      <c r="CM93" s="1193"/>
      <c r="CN93" s="1194"/>
      <c r="CO93" s="1194"/>
      <c r="CP93" s="1195"/>
      <c r="CQ93" s="1195"/>
      <c r="CR93" s="75"/>
    </row>
    <row r="94" spans="1:96" ht="13.5" customHeight="1">
      <c r="A94" s="75"/>
      <c r="B94" s="93" t="s">
        <v>762</v>
      </c>
      <c r="C94" s="75"/>
      <c r="D94" s="75"/>
      <c r="E94" s="75"/>
      <c r="F94" s="208">
        <f>F92/F67</f>
        <v>-0.38936640351987228</v>
      </c>
      <c r="G94" s="208">
        <f>G92/G67</f>
        <v>-0.5231138838299686</v>
      </c>
      <c r="H94" s="208">
        <f>H92/H67</f>
        <v>-3.4649296851559703</v>
      </c>
      <c r="I94" s="208">
        <f>I92/I67</f>
        <v>-0.26106378658518897</v>
      </c>
      <c r="J94" s="208">
        <f>J92/J67</f>
        <v>-4.6424175462061079</v>
      </c>
      <c r="K94" s="208">
        <f t="shared" ref="K94:AB94" si="103">(K92+K56)/K67</f>
        <v>0.5679328865594625</v>
      </c>
      <c r="L94" s="208">
        <f t="shared" si="103"/>
        <v>1.9634414894436147</v>
      </c>
      <c r="M94" s="208">
        <f t="shared" si="103"/>
        <v>2.7610924389137144</v>
      </c>
      <c r="N94" s="208">
        <f t="shared" si="103"/>
        <v>3.460658983134083</v>
      </c>
      <c r="O94" s="208">
        <f t="shared" si="103"/>
        <v>8.8228663821583755</v>
      </c>
      <c r="P94" s="208">
        <f t="shared" si="103"/>
        <v>3.5083696399908275</v>
      </c>
      <c r="Q94" s="208">
        <f t="shared" si="103"/>
        <v>1.9059136904306295</v>
      </c>
      <c r="R94" s="208">
        <f t="shared" si="103"/>
        <v>0.71352396443121402</v>
      </c>
      <c r="S94" s="208">
        <f t="shared" si="103"/>
        <v>0.83746624204311038</v>
      </c>
      <c r="T94" s="208">
        <f t="shared" si="103"/>
        <v>7.0016157574824964</v>
      </c>
      <c r="U94" s="208">
        <f t="shared" si="103"/>
        <v>2.0388821191631026</v>
      </c>
      <c r="V94" s="208">
        <f t="shared" si="103"/>
        <v>3.2257549384391817</v>
      </c>
      <c r="W94" s="208">
        <f t="shared" si="103"/>
        <v>3.4190416844314715</v>
      </c>
      <c r="X94" s="208">
        <f t="shared" si="103"/>
        <v>2.4955676366050197</v>
      </c>
      <c r="Y94" s="208">
        <f t="shared" si="103"/>
        <v>11.175819885476315</v>
      </c>
      <c r="Z94" s="208">
        <f t="shared" si="103"/>
        <v>2.2940212596109406</v>
      </c>
      <c r="AA94" s="208">
        <f t="shared" si="103"/>
        <v>2.5401418105659803</v>
      </c>
      <c r="AB94" s="208">
        <f t="shared" si="103"/>
        <v>2.2651677824091618</v>
      </c>
      <c r="AC94" s="648">
        <v>0.28999999999999998</v>
      </c>
      <c r="AD94" s="208">
        <f t="shared" ref="AD94:AJ94" si="104">(AD92+AD56)/AD67</f>
        <v>7.3984916840616792</v>
      </c>
      <c r="AE94" s="208">
        <f t="shared" si="104"/>
        <v>1.9847134833833031</v>
      </c>
      <c r="AF94" s="208">
        <f t="shared" si="104"/>
        <v>5.6506255445494302</v>
      </c>
      <c r="AG94" s="208">
        <f t="shared" si="104"/>
        <v>7.799636752499449</v>
      </c>
      <c r="AH94" s="208">
        <f t="shared" si="104"/>
        <v>2.6450255485422303</v>
      </c>
      <c r="AI94" s="208">
        <f t="shared" si="104"/>
        <v>18.093282338025837</v>
      </c>
      <c r="AJ94" s="1175">
        <f t="shared" si="104"/>
        <v>-3.7811253800504727</v>
      </c>
      <c r="AK94" s="1196">
        <v>-2.92</v>
      </c>
      <c r="AL94" s="1176">
        <f>(AL92+AL56)/AL67</f>
        <v>-2.1135160397034101</v>
      </c>
      <c r="AM94" s="1177">
        <f>(AM92+AM56)/AM67</f>
        <v>-1.8626038481869875</v>
      </c>
      <c r="AN94" s="208">
        <f>(AN92+AN56)/AN67</f>
        <v>-10.427060856107991</v>
      </c>
      <c r="AO94" s="1175">
        <f>IF((AO92+'debt schedule'!AP142*0.65)/(Financials!AO77+0.4+27)&gt;0.207,(AO92+'debt schedule'!AP142*0.65)/(Financials!AO77+0.4+27),IF(AO92/Financials!AO77&gt;0,AO92/(Financials!AO77+0.4),AO92/Financials!AO77))</f>
        <v>-1.0949159634563082</v>
      </c>
      <c r="AP94" s="1176">
        <f>IF((AP92+'debt schedule'!AQ142*0.65)/(Financials!AP77+0.4+27)&gt;0.207,(AP92+'debt schedule'!AQ142*0.65)/(Financials!AP77+0.4+27),IF(AP92/Financials!AP77&gt;0,AP92/(Financials!AP77+0.4),AP92/Financials!AP77))</f>
        <v>-0.17421117181402609</v>
      </c>
      <c r="AQ94" s="1176">
        <f>IF((AQ92+'debt schedule'!AR142*0.65)/(Financials!AQ77+0.4+27)&gt;0.207,(AQ92+'debt schedule'!AR142*0.65)/(Financials!AQ77+0.4+27),IF(AQ92/Financials!AQ77&gt;0,AQ92/(Financials!AQ77+0.4),AQ92/Financials!AQ77))</f>
        <v>-0.35500487261589864</v>
      </c>
      <c r="AR94" s="1177">
        <f>IF((AR92+'debt schedule'!AS142*0.65)/(Financials!AR77+0.4+27)&gt;0.207,(AR92+'debt schedule'!AS142*0.65)/(Financials!AR77+0.4+27),IF(AR92/Financials!AR77&gt;0,AR92/(Financials!AR77+0.4),AR92/Financials!AR77))</f>
        <v>-1.7326319305277222</v>
      </c>
      <c r="AS94" s="208">
        <f>(AS92+AS56+AS62)/AS67</f>
        <v>-3.3573291819470414</v>
      </c>
      <c r="AT94" s="1175">
        <f>IF((AT92+'debt schedule'!AU142*0.65)/(Financials!AT77+0.4+27)&gt;0.207,(AT92+'debt schedule'!AU142*0.65)/(Financials!AT77+0.4+27),IF(AT92/Financials!AT77&gt;0,AT92/(Financials!AT77+0.4),AT92/Financials!AT77))</f>
        <v>-0.59804869229003976</v>
      </c>
      <c r="AU94" s="1176">
        <f>IF((AU92+'debt schedule'!AV142*0.65)/(Financials!AU77+0.4+27)&gt;0.207,(AU92+'debt schedule'!AV142*0.65)/(Financials!AU77+0.4+27),IF(AU92/Financials!AU77&gt;0,AU92/(Financials!AU77+0.4),AU92/Financials!AU77))</f>
        <v>1.3285290272119166</v>
      </c>
      <c r="AV94" s="1176">
        <f>IF((AV92+'debt schedule'!AW142*0.65)/(Financials!AV77+0.4+27)&gt;0.207,(AV92+'debt schedule'!AW142*0.65)/(Financials!AV77+0.4+27),IF(AV92/Financials!AV77&gt;0,AV92/(Financials!AV77+0.4),AV92/Financials!AV77))</f>
        <v>0.15228391258903415</v>
      </c>
      <c r="AW94" s="1177">
        <f>IF((AW92+'debt schedule'!AX142*0.65)/(Financials!AW77+0.4+27)&gt;0.207,(AW92+'debt schedule'!AX142*0.65)/(Financials!AW77+0.4+27),IF(AW92/Financials!AW77&gt;0,AW92/(Financials!AW77+0.4),AW92/Financials!AW77))</f>
        <v>-1.4645556704680331</v>
      </c>
      <c r="AX94" s="208">
        <f>(AX92+AX56+AX62)/AX67</f>
        <v>-0.36814439595666315</v>
      </c>
      <c r="AY94" s="1175">
        <f>IF((AY92+'debt schedule'!AZ142*0.65)/(Financials!AY77+0.4+27)&gt;0.207,(AY92+'debt schedule'!AZ142*0.65)/(Financials!AY77+0.4+27),IF(AY92/Financials!AY77&gt;0,AY92/(Financials!AY77+0.4),AY92/Financials!AY77))</f>
        <v>-1.5200416449765748</v>
      </c>
      <c r="AZ94" s="1176">
        <f>IF((AZ92+'debt schedule'!BA142*0.65)/(Financials!AZ77+0.4+27)&gt;0.207,(AZ92+'debt schedule'!BA142*0.65)/(Financials!AZ77+0.4+27),IF(AZ92/Financials!AZ77&gt;0,AZ92/(Financials!AZ77+0.4),AZ92/Financials!AZ77))</f>
        <v>0.62133544318552714</v>
      </c>
      <c r="BA94" s="1176">
        <f>IF((BA92+'debt schedule'!BB142*0.65)/(Financials!BA77+0.4+27)&gt;0.207,(BA92+'debt schedule'!BB142*0.65)/(Financials!BA77+0.4+27),IF(BA92/Financials!BA77&gt;0,BA92/(Financials!BA77+0.4),BA92/Financials!BA77))</f>
        <v>0.28882823871906843</v>
      </c>
      <c r="BB94" s="1177">
        <f>IF((BB92+'debt schedule'!BC142*0.65)/(Financials!BB77+0.4+27)&gt;0.207,(BB92+'debt schedule'!BC142*0.65)/(Financials!BB77+0.4+27),IF(BB92/Financials!BB77&gt;0,BB92/(Financials!BB77+0.4),BB92/Financials!BB77))</f>
        <v>-0.34637792602753015</v>
      </c>
      <c r="BC94" s="208">
        <f>(BC92+BC56+BC62)/BC67</f>
        <v>-0.59179785362215831</v>
      </c>
      <c r="BD94" s="1175">
        <f>IF((BD92+'debt schedule'!BE142*0.65)/(Financials!BD77+0.4+27)&gt;0.207,(BD92+'debt schedule'!BE142*0.65)/(Financials!BD77+0.4+27),IF(BD92/Financials!BD77&gt;0,BD92/(Financials!BD77+0.4),BD92/Financials!BD77))</f>
        <v>-0.50570476540148102</v>
      </c>
      <c r="BE94" s="1312">
        <f>(BE92+BE62)/BE67</f>
        <v>-0.52720004634725681</v>
      </c>
      <c r="BF94" s="1312">
        <f>(BF92+BF62)/BF67</f>
        <v>-12.085556136092405</v>
      </c>
      <c r="BG94" s="1313">
        <f>BG92/BG67</f>
        <v>1.705532018988094</v>
      </c>
      <c r="BH94" s="281">
        <f t="shared" ref="BH94:CQ94" si="105">(BH92+BH62)/BH67</f>
        <v>-11.294040449243038</v>
      </c>
      <c r="BI94" s="1325">
        <f t="shared" si="105"/>
        <v>0.34649679080671819</v>
      </c>
      <c r="BJ94" s="1312">
        <f t="shared" si="105"/>
        <v>-0.12423732089119573</v>
      </c>
      <c r="BK94" s="1312">
        <f t="shared" si="105"/>
        <v>-1.3909941528327225</v>
      </c>
      <c r="BL94" s="1313">
        <f t="shared" si="105"/>
        <v>1.8274732358237917</v>
      </c>
      <c r="BM94" s="281">
        <f t="shared" si="105"/>
        <v>0.68628094121412608</v>
      </c>
      <c r="BN94" s="1325">
        <f t="shared" si="105"/>
        <v>-0.51463978645879793</v>
      </c>
      <c r="BO94" s="1312">
        <f t="shared" si="105"/>
        <v>-1.7881366383031201</v>
      </c>
      <c r="BP94" s="1312">
        <f t="shared" si="105"/>
        <v>-1.1823077553921433</v>
      </c>
      <c r="BQ94" s="1313">
        <f t="shared" si="105"/>
        <v>-7.7418737657758614</v>
      </c>
      <c r="BR94" s="281">
        <f t="shared" si="105"/>
        <v>-11.239339055676483</v>
      </c>
      <c r="BS94" s="1325">
        <f t="shared" si="105"/>
        <v>-2.3223726451824431</v>
      </c>
      <c r="BT94" s="1312">
        <f t="shared" si="105"/>
        <v>-0.31381752193311596</v>
      </c>
      <c r="BU94" s="1312">
        <f t="shared" si="105"/>
        <v>0.31539888682745826</v>
      </c>
      <c r="BV94" s="1313">
        <f t="shared" si="105"/>
        <v>-0.60702413643590114</v>
      </c>
      <c r="BW94" s="281">
        <f t="shared" si="105"/>
        <v>-2.8093833403567916</v>
      </c>
      <c r="BX94" s="1325">
        <f t="shared" si="105"/>
        <v>-1.0330459935032885</v>
      </c>
      <c r="BY94" s="1312">
        <f t="shared" si="105"/>
        <v>1.4827186583952554</v>
      </c>
      <c r="BZ94" s="1312">
        <f t="shared" si="105"/>
        <v>0.83293669681104232</v>
      </c>
      <c r="CA94" s="1313">
        <f t="shared" si="105"/>
        <v>0.89724056204503133</v>
      </c>
      <c r="CB94" s="281">
        <f t="shared" si="105"/>
        <v>2.1895156898789594</v>
      </c>
      <c r="CC94" s="1325">
        <f t="shared" si="105"/>
        <v>0.22229558605702299</v>
      </c>
      <c r="CD94" s="1312">
        <f t="shared" si="105"/>
        <v>1.4474911380518656</v>
      </c>
      <c r="CE94" s="1312">
        <f t="shared" si="105"/>
        <v>1.9108476890797164</v>
      </c>
      <c r="CF94" s="1313">
        <f t="shared" si="105"/>
        <v>1.5303598294539769</v>
      </c>
      <c r="CG94" s="281">
        <f t="shared" si="105"/>
        <v>5.1109942426425823</v>
      </c>
      <c r="CH94" s="1325">
        <f t="shared" si="105"/>
        <v>0.65664496832980135</v>
      </c>
      <c r="CI94" s="1312">
        <f t="shared" si="105"/>
        <v>1.9595438999961783</v>
      </c>
      <c r="CJ94" s="1312">
        <f t="shared" si="105"/>
        <v>1.827039896045404</v>
      </c>
      <c r="CK94" s="1313">
        <f t="shared" si="105"/>
        <v>1.7402615991815173</v>
      </c>
      <c r="CL94" s="281">
        <f t="shared" si="105"/>
        <v>6.1834903635529015</v>
      </c>
      <c r="CM94" s="1325">
        <f t="shared" si="105"/>
        <v>0.77433409563563216</v>
      </c>
      <c r="CN94" s="1312">
        <f t="shared" si="105"/>
        <v>1.5032954577265683</v>
      </c>
      <c r="CO94" s="1312">
        <f t="shared" si="105"/>
        <v>1.1876456502756185</v>
      </c>
      <c r="CP94" s="1313">
        <f t="shared" si="105"/>
        <v>1.1384041202221353</v>
      </c>
      <c r="CQ94" s="1313">
        <f t="shared" si="105"/>
        <v>4.6036793238599536</v>
      </c>
      <c r="CR94" s="75"/>
    </row>
    <row r="95" spans="1:96" ht="13.5" customHeight="1" outlineLevel="1">
      <c r="A95" s="115"/>
      <c r="B95" s="115" t="s">
        <v>763</v>
      </c>
      <c r="C95" s="115"/>
      <c r="D95" s="115"/>
      <c r="E95" s="115"/>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1197"/>
      <c r="AK95" s="1198"/>
      <c r="AL95" s="1198"/>
      <c r="AM95" s="1199"/>
      <c r="AN95" s="224"/>
      <c r="AO95" s="1197">
        <f>AO64</f>
        <v>-0.72529465095194934</v>
      </c>
      <c r="AP95" s="1198">
        <f>AP64</f>
        <v>0.44824141038243692</v>
      </c>
      <c r="AQ95" s="1198">
        <f>AQ94</f>
        <v>-0.35500487261589864</v>
      </c>
      <c r="AR95" s="1199">
        <f>AR94</f>
        <v>-1.7326319305277222</v>
      </c>
      <c r="AS95" s="224">
        <f>AS64</f>
        <v>-2.7583036432593957</v>
      </c>
      <c r="AT95" s="1197">
        <f t="shared" ref="AT95:CG95" si="106">AT94</f>
        <v>-0.59804869229003976</v>
      </c>
      <c r="AU95" s="1198">
        <f t="shared" si="106"/>
        <v>1.3285290272119166</v>
      </c>
      <c r="AV95" s="1198">
        <f t="shared" si="106"/>
        <v>0.15228391258903415</v>
      </c>
      <c r="AW95" s="1199">
        <f t="shared" si="106"/>
        <v>-1.4645556704680331</v>
      </c>
      <c r="AX95" s="224">
        <f t="shared" si="106"/>
        <v>-0.36814439595666315</v>
      </c>
      <c r="AY95" s="1197">
        <f t="shared" si="106"/>
        <v>-1.5200416449765748</v>
      </c>
      <c r="AZ95" s="1198">
        <f t="shared" si="106"/>
        <v>0.62133544318552714</v>
      </c>
      <c r="BA95" s="1198">
        <f t="shared" si="106"/>
        <v>0.28882823871906843</v>
      </c>
      <c r="BB95" s="1199">
        <f t="shared" si="106"/>
        <v>-0.34637792602753015</v>
      </c>
      <c r="BC95" s="224">
        <f t="shared" si="106"/>
        <v>-0.59179785362215831</v>
      </c>
      <c r="BD95" s="1197">
        <f t="shared" si="106"/>
        <v>-0.50570476540148102</v>
      </c>
      <c r="BE95" s="1198">
        <f t="shared" si="106"/>
        <v>-0.52720004634725681</v>
      </c>
      <c r="BF95" s="1198">
        <f t="shared" si="106"/>
        <v>-12.085556136092405</v>
      </c>
      <c r="BG95" s="1199">
        <f t="shared" si="106"/>
        <v>1.705532018988094</v>
      </c>
      <c r="BH95" s="224">
        <f t="shared" si="106"/>
        <v>-11.294040449243038</v>
      </c>
      <c r="BI95" s="1197">
        <f t="shared" si="106"/>
        <v>0.34649679080671819</v>
      </c>
      <c r="BJ95" s="1198">
        <f t="shared" si="106"/>
        <v>-0.12423732089119573</v>
      </c>
      <c r="BK95" s="1198">
        <f t="shared" si="106"/>
        <v>-1.3909941528327225</v>
      </c>
      <c r="BL95" s="1199">
        <f t="shared" si="106"/>
        <v>1.8274732358237917</v>
      </c>
      <c r="BM95" s="224">
        <f t="shared" si="106"/>
        <v>0.68628094121412608</v>
      </c>
      <c r="BN95" s="1197">
        <f t="shared" si="106"/>
        <v>-0.51463978645879793</v>
      </c>
      <c r="BO95" s="1198">
        <f t="shared" si="106"/>
        <v>-1.7881366383031201</v>
      </c>
      <c r="BP95" s="1198">
        <f t="shared" si="106"/>
        <v>-1.1823077553921433</v>
      </c>
      <c r="BQ95" s="1199">
        <f t="shared" si="106"/>
        <v>-7.7418737657758614</v>
      </c>
      <c r="BR95" s="224">
        <f t="shared" si="106"/>
        <v>-11.239339055676483</v>
      </c>
      <c r="BS95" s="1197">
        <f t="shared" si="106"/>
        <v>-2.3223726451824431</v>
      </c>
      <c r="BT95" s="1198">
        <f t="shared" si="106"/>
        <v>-0.31381752193311596</v>
      </c>
      <c r="BU95" s="1198">
        <f t="shared" si="106"/>
        <v>0.31539888682745826</v>
      </c>
      <c r="BV95" s="1199">
        <f t="shared" si="106"/>
        <v>-0.60702413643590114</v>
      </c>
      <c r="BW95" s="224">
        <f t="shared" si="106"/>
        <v>-2.8093833403567916</v>
      </c>
      <c r="BX95" s="1197">
        <f t="shared" si="106"/>
        <v>-1.0330459935032885</v>
      </c>
      <c r="BY95" s="1198">
        <f t="shared" si="106"/>
        <v>1.4827186583952554</v>
      </c>
      <c r="BZ95" s="1198">
        <f t="shared" si="106"/>
        <v>0.83293669681104232</v>
      </c>
      <c r="CA95" s="1199">
        <f t="shared" si="106"/>
        <v>0.89724056204503133</v>
      </c>
      <c r="CB95" s="224">
        <f t="shared" si="106"/>
        <v>2.1895156898789594</v>
      </c>
      <c r="CC95" s="1197">
        <f t="shared" si="106"/>
        <v>0.22229558605702299</v>
      </c>
      <c r="CD95" s="1198">
        <f t="shared" si="106"/>
        <v>1.4474911380518656</v>
      </c>
      <c r="CE95" s="1198">
        <f t="shared" si="106"/>
        <v>1.9108476890797164</v>
      </c>
      <c r="CF95" s="1199">
        <f t="shared" si="106"/>
        <v>1.5303598294539769</v>
      </c>
      <c r="CG95" s="224">
        <f t="shared" si="106"/>
        <v>5.1109942426425823</v>
      </c>
      <c r="CH95" s="1197"/>
      <c r="CI95" s="1198"/>
      <c r="CJ95" s="1198"/>
      <c r="CK95" s="1199"/>
      <c r="CL95" s="224"/>
      <c r="CM95" s="1197"/>
      <c r="CN95" s="1198"/>
      <c r="CO95" s="1198"/>
      <c r="CP95" s="1199"/>
      <c r="CQ95" s="1199"/>
      <c r="CR95" s="115"/>
    </row>
    <row r="96" spans="1:96" ht="13.5" customHeight="1" outlineLevel="1">
      <c r="A96" s="115"/>
      <c r="B96" s="115" t="s">
        <v>764</v>
      </c>
      <c r="C96" s="115"/>
      <c r="D96" s="115"/>
      <c r="E96" s="115"/>
      <c r="F96" s="224"/>
      <c r="G96" s="224"/>
      <c r="H96" s="224"/>
      <c r="I96" s="224"/>
      <c r="J96" s="224"/>
      <c r="K96" s="224"/>
      <c r="L96" s="224"/>
      <c r="M96" s="224"/>
      <c r="N96" s="224"/>
      <c r="O96" s="224"/>
      <c r="P96" s="224"/>
      <c r="Q96" s="224"/>
      <c r="R96" s="224"/>
      <c r="S96" s="224"/>
      <c r="T96" s="224"/>
      <c r="U96" s="224"/>
      <c r="V96" s="224"/>
      <c r="W96" s="224"/>
      <c r="X96" s="224"/>
      <c r="Y96" s="224"/>
      <c r="Z96" s="224"/>
      <c r="AA96" s="224"/>
      <c r="AB96" s="224"/>
      <c r="AC96" s="224"/>
      <c r="AD96" s="224"/>
      <c r="AE96" s="224"/>
      <c r="AF96" s="224"/>
      <c r="AG96" s="224"/>
      <c r="AH96" s="224"/>
      <c r="AI96" s="224"/>
      <c r="AJ96" s="1197"/>
      <c r="AK96" s="1198"/>
      <c r="AL96" s="1198"/>
      <c r="AM96" s="1199"/>
      <c r="AN96" s="224"/>
      <c r="AO96" s="1260">
        <f t="shared" ref="AO96:CG96" si="107">AO95*AO67-AO62</f>
        <v>-103.98549410698097</v>
      </c>
      <c r="AP96" s="1261">
        <f t="shared" si="107"/>
        <v>70.820703435847022</v>
      </c>
      <c r="AQ96" s="1261">
        <f t="shared" si="107"/>
        <v>-51</v>
      </c>
      <c r="AR96" s="1262">
        <f t="shared" si="107"/>
        <v>-249</v>
      </c>
      <c r="AS96" s="226">
        <f t="shared" si="107"/>
        <v>-396.00000000000011</v>
      </c>
      <c r="AT96" s="1260">
        <f t="shared" si="107"/>
        <v>-86</v>
      </c>
      <c r="AU96" s="1261">
        <f t="shared" si="107"/>
        <v>222.35737430832</v>
      </c>
      <c r="AV96" s="1261">
        <f t="shared" si="107"/>
        <v>20.503131381215084</v>
      </c>
      <c r="AW96" s="1262">
        <f t="shared" si="107"/>
        <v>-211</v>
      </c>
      <c r="AX96" s="226">
        <f t="shared" si="107"/>
        <v>-53</v>
      </c>
      <c r="AY96" s="1260">
        <f t="shared" si="107"/>
        <v>-266.25539107235812</v>
      </c>
      <c r="AZ96" s="1261">
        <f t="shared" si="107"/>
        <v>100.90058632909032</v>
      </c>
      <c r="BA96" s="1261">
        <f t="shared" si="107"/>
        <v>49.584010225618634</v>
      </c>
      <c r="BB96" s="1262">
        <f t="shared" si="107"/>
        <v>-50.000000000000007</v>
      </c>
      <c r="BC96" s="226">
        <f t="shared" si="107"/>
        <v>-124.00000000000001</v>
      </c>
      <c r="BD96" s="1260">
        <f t="shared" si="107"/>
        <v>-73</v>
      </c>
      <c r="BE96" s="1261">
        <f t="shared" si="107"/>
        <v>-78</v>
      </c>
      <c r="BF96" s="1261">
        <f t="shared" si="107"/>
        <v>-1791.0000000000002</v>
      </c>
      <c r="BG96" s="1262">
        <f t="shared" si="107"/>
        <v>267.90699999999998</v>
      </c>
      <c r="BH96" s="226">
        <f t="shared" si="107"/>
        <v>-1672</v>
      </c>
      <c r="BI96" s="1260">
        <f t="shared" si="107"/>
        <v>52</v>
      </c>
      <c r="BJ96" s="1261">
        <f t="shared" si="107"/>
        <v>-18</v>
      </c>
      <c r="BK96" s="1261">
        <f t="shared" si="107"/>
        <v>-207</v>
      </c>
      <c r="BL96" s="1262">
        <f t="shared" si="107"/>
        <v>275</v>
      </c>
      <c r="BM96" s="226">
        <f t="shared" si="107"/>
        <v>101.99999999999999</v>
      </c>
      <c r="BN96" s="1260">
        <f t="shared" si="107"/>
        <v>-75</v>
      </c>
      <c r="BO96" s="1261">
        <f t="shared" si="107"/>
        <v>-261</v>
      </c>
      <c r="BP96" s="1261">
        <f t="shared" si="107"/>
        <v>-173</v>
      </c>
      <c r="BQ96" s="1262">
        <f t="shared" si="107"/>
        <v>-1133</v>
      </c>
      <c r="BR96" s="226">
        <f t="shared" si="107"/>
        <v>-1642</v>
      </c>
      <c r="BS96" s="1260">
        <f t="shared" si="107"/>
        <v>-340</v>
      </c>
      <c r="BT96" s="1261">
        <f t="shared" si="107"/>
        <v>-46</v>
      </c>
      <c r="BU96" s="1261">
        <f t="shared" si="107"/>
        <v>51</v>
      </c>
      <c r="BV96" s="1262">
        <f t="shared" si="107"/>
        <v>-105</v>
      </c>
      <c r="BW96" s="226">
        <f t="shared" si="107"/>
        <v>-440</v>
      </c>
      <c r="BX96" s="1260">
        <f t="shared" si="107"/>
        <v>-180</v>
      </c>
      <c r="BY96" s="1261">
        <f t="shared" si="107"/>
        <v>261</v>
      </c>
      <c r="BZ96" s="1261">
        <f t="shared" si="107"/>
        <v>147</v>
      </c>
      <c r="CA96" s="1262">
        <f t="shared" si="107"/>
        <v>159</v>
      </c>
      <c r="CB96" s="226">
        <f t="shared" si="107"/>
        <v>387</v>
      </c>
      <c r="CC96" s="1260">
        <f t="shared" si="107"/>
        <v>38.900496931614612</v>
      </c>
      <c r="CD96" s="1261">
        <f t="shared" si="107"/>
        <v>253.3029358481362</v>
      </c>
      <c r="CE96" s="1261">
        <f t="shared" si="107"/>
        <v>334.38776713614362</v>
      </c>
      <c r="CF96" s="1262">
        <f t="shared" si="107"/>
        <v>267.80449808243009</v>
      </c>
      <c r="CG96" s="226">
        <f t="shared" si="107"/>
        <v>894.39569799832464</v>
      </c>
      <c r="CH96" s="1260"/>
      <c r="CI96" s="1261"/>
      <c r="CJ96" s="1261"/>
      <c r="CK96" s="1262"/>
      <c r="CL96" s="226"/>
      <c r="CM96" s="1260"/>
      <c r="CN96" s="1261"/>
      <c r="CO96" s="1261"/>
      <c r="CP96" s="1262"/>
      <c r="CQ96" s="1262"/>
      <c r="CR96" s="115"/>
    </row>
    <row r="97" spans="1:96" ht="6.2" customHeight="1">
      <c r="A97" s="75"/>
      <c r="B97" s="75"/>
      <c r="C97" s="75"/>
      <c r="D97" s="75"/>
      <c r="E97" s="75"/>
      <c r="F97" s="142"/>
      <c r="G97" s="142"/>
      <c r="H97" s="142"/>
      <c r="I97" s="142"/>
      <c r="J97" s="142"/>
      <c r="K97" s="142"/>
      <c r="L97" s="142"/>
      <c r="M97" s="142"/>
      <c r="N97" s="142"/>
      <c r="O97" s="142"/>
      <c r="P97" s="142"/>
      <c r="Q97" s="142"/>
      <c r="R97" s="142"/>
      <c r="S97" s="142"/>
      <c r="T97" s="142"/>
      <c r="U97" s="142"/>
      <c r="V97" s="142"/>
      <c r="W97" s="142"/>
      <c r="X97" s="142"/>
      <c r="Y97" s="142"/>
      <c r="Z97" s="142"/>
      <c r="AA97" s="142"/>
      <c r="AB97" s="142"/>
      <c r="AC97" s="142"/>
      <c r="AD97" s="142"/>
      <c r="AE97" s="142"/>
      <c r="AF97" s="142"/>
      <c r="AG97" s="142"/>
      <c r="AH97" s="142"/>
      <c r="AI97" s="142"/>
      <c r="AJ97" s="1132"/>
      <c r="AK97" s="85"/>
      <c r="AL97" s="85"/>
      <c r="AM97" s="1133"/>
      <c r="AN97" s="142"/>
      <c r="AO97" s="1132"/>
      <c r="AP97" s="85"/>
      <c r="AQ97" s="85"/>
      <c r="AR97" s="1133"/>
      <c r="AS97" s="142"/>
      <c r="AT97" s="1132"/>
      <c r="AU97" s="85"/>
      <c r="AV97" s="85"/>
      <c r="AW97" s="1133"/>
      <c r="AX97" s="142"/>
      <c r="AY97" s="1132"/>
      <c r="AZ97" s="85"/>
      <c r="BA97" s="85"/>
      <c r="BB97" s="1133"/>
      <c r="BC97" s="142"/>
      <c r="BD97" s="1132"/>
      <c r="BE97" s="85"/>
      <c r="BF97" s="85"/>
      <c r="BG97" s="1133"/>
      <c r="BH97" s="142"/>
      <c r="BI97" s="1132"/>
      <c r="BJ97" s="85"/>
      <c r="BK97" s="85"/>
      <c r="BL97" s="1133"/>
      <c r="BM97" s="142"/>
      <c r="BN97" s="1132"/>
      <c r="BO97" s="85"/>
      <c r="BP97" s="85"/>
      <c r="BQ97" s="1133"/>
      <c r="BR97" s="142"/>
      <c r="BS97" s="1132"/>
      <c r="BT97" s="85"/>
      <c r="BU97" s="85"/>
      <c r="BV97" s="1133"/>
      <c r="BW97" s="142"/>
      <c r="BX97" s="1132"/>
      <c r="BY97" s="85"/>
      <c r="BZ97" s="85"/>
      <c r="CA97" s="1133"/>
      <c r="CB97" s="142"/>
      <c r="CC97" s="1132"/>
      <c r="CD97" s="85"/>
      <c r="CE97" s="85"/>
      <c r="CF97" s="1133"/>
      <c r="CG97" s="142"/>
      <c r="CH97" s="1132"/>
      <c r="CI97" s="85"/>
      <c r="CJ97" s="85"/>
      <c r="CK97" s="1133"/>
      <c r="CL97" s="142"/>
      <c r="CM97" s="1132"/>
      <c r="CN97" s="85"/>
      <c r="CO97" s="85"/>
      <c r="CP97" s="1133"/>
      <c r="CQ97" s="1133"/>
      <c r="CR97" s="75"/>
    </row>
    <row r="98" spans="1:96" ht="13.5" customHeight="1">
      <c r="A98" s="81" t="s">
        <v>589</v>
      </c>
      <c r="B98" s="81"/>
      <c r="C98" s="81"/>
      <c r="D98" s="81"/>
      <c r="E98" s="81"/>
      <c r="F98" s="153">
        <f t="shared" ref="F98:AK98" si="108">F39</f>
        <v>-19</v>
      </c>
      <c r="G98" s="153">
        <f t="shared" si="108"/>
        <v>6</v>
      </c>
      <c r="H98" s="153">
        <f t="shared" si="108"/>
        <v>-30</v>
      </c>
      <c r="I98" s="153">
        <f t="shared" si="108"/>
        <v>5</v>
      </c>
      <c r="J98" s="153">
        <f t="shared" si="108"/>
        <v>-38</v>
      </c>
      <c r="K98" s="153">
        <f t="shared" si="108"/>
        <v>121</v>
      </c>
      <c r="L98" s="153">
        <f t="shared" si="108"/>
        <v>417</v>
      </c>
      <c r="M98" s="153">
        <f t="shared" si="108"/>
        <v>501</v>
      </c>
      <c r="N98" s="153">
        <f t="shared" si="108"/>
        <v>560</v>
      </c>
      <c r="O98" s="153">
        <f t="shared" si="108"/>
        <v>1599</v>
      </c>
      <c r="P98" s="153">
        <f t="shared" si="108"/>
        <v>578</v>
      </c>
      <c r="Q98" s="153">
        <f t="shared" si="108"/>
        <v>427</v>
      </c>
      <c r="R98" s="153">
        <f t="shared" si="108"/>
        <v>151</v>
      </c>
      <c r="S98" s="153">
        <f t="shared" si="108"/>
        <v>253</v>
      </c>
      <c r="T98" s="153">
        <f t="shared" si="108"/>
        <v>1409</v>
      </c>
      <c r="U98" s="153">
        <f t="shared" si="108"/>
        <v>374</v>
      </c>
      <c r="V98" s="153">
        <f t="shared" si="108"/>
        <v>514</v>
      </c>
      <c r="W98" s="153">
        <f t="shared" si="108"/>
        <v>582</v>
      </c>
      <c r="X98" s="153">
        <f t="shared" si="108"/>
        <v>336</v>
      </c>
      <c r="Y98" s="153">
        <f t="shared" si="108"/>
        <v>1806</v>
      </c>
      <c r="Z98" s="153">
        <f t="shared" si="108"/>
        <v>346</v>
      </c>
      <c r="AA98" s="153">
        <f t="shared" si="108"/>
        <v>391</v>
      </c>
      <c r="AB98" s="153">
        <f t="shared" si="108"/>
        <v>403</v>
      </c>
      <c r="AC98" s="153">
        <f t="shared" si="108"/>
        <v>242</v>
      </c>
      <c r="AD98" s="153">
        <f t="shared" si="108"/>
        <v>1382</v>
      </c>
      <c r="AE98" s="153">
        <f t="shared" si="108"/>
        <v>328</v>
      </c>
      <c r="AF98" s="153">
        <f t="shared" si="108"/>
        <v>960</v>
      </c>
      <c r="AG98" s="153">
        <f t="shared" si="108"/>
        <v>1455</v>
      </c>
      <c r="AH98" s="153">
        <f t="shared" si="108"/>
        <v>427</v>
      </c>
      <c r="AI98" s="153">
        <f t="shared" si="108"/>
        <v>3170</v>
      </c>
      <c r="AJ98" s="914">
        <f t="shared" si="108"/>
        <v>-489</v>
      </c>
      <c r="AK98" s="153">
        <f t="shared" si="108"/>
        <v>-544</v>
      </c>
      <c r="AL98" s="153">
        <f t="shared" ref="AL98:BQ98" si="109">AL39</f>
        <v>-412</v>
      </c>
      <c r="AM98" s="915">
        <f t="shared" si="109"/>
        <v>-280</v>
      </c>
      <c r="AN98" s="153">
        <f t="shared" si="109"/>
        <v>-1725</v>
      </c>
      <c r="AO98" s="914">
        <f t="shared" si="109"/>
        <v>-57</v>
      </c>
      <c r="AP98" s="153">
        <f t="shared" si="109"/>
        <v>198</v>
      </c>
      <c r="AQ98" s="153">
        <f t="shared" si="109"/>
        <v>-138</v>
      </c>
      <c r="AR98" s="915">
        <f t="shared" si="109"/>
        <v>-135</v>
      </c>
      <c r="AS98" s="153">
        <f t="shared" si="109"/>
        <v>-132</v>
      </c>
      <c r="AT98" s="914">
        <f t="shared" si="109"/>
        <v>-91</v>
      </c>
      <c r="AU98" s="153">
        <f t="shared" si="109"/>
        <v>300</v>
      </c>
      <c r="AV98" s="153">
        <f t="shared" si="109"/>
        <v>199</v>
      </c>
      <c r="AW98" s="915">
        <f t="shared" si="109"/>
        <v>-125</v>
      </c>
      <c r="AX98" s="153">
        <f t="shared" si="109"/>
        <v>283</v>
      </c>
      <c r="AY98" s="914">
        <f t="shared" si="109"/>
        <v>218</v>
      </c>
      <c r="AZ98" s="153">
        <f t="shared" si="109"/>
        <v>253</v>
      </c>
      <c r="BA98" s="153">
        <f t="shared" si="109"/>
        <v>97</v>
      </c>
      <c r="BB98" s="915">
        <f t="shared" si="109"/>
        <v>-10</v>
      </c>
      <c r="BC98" s="153">
        <f t="shared" si="109"/>
        <v>558</v>
      </c>
      <c r="BD98" s="914">
        <f t="shared" si="109"/>
        <v>38</v>
      </c>
      <c r="BE98" s="153">
        <f t="shared" si="109"/>
        <v>-7</v>
      </c>
      <c r="BF98" s="153">
        <f t="shared" si="109"/>
        <v>58</v>
      </c>
      <c r="BG98" s="915">
        <f t="shared" si="109"/>
        <v>90</v>
      </c>
      <c r="BH98" s="153">
        <f t="shared" si="109"/>
        <v>179</v>
      </c>
      <c r="BI98" s="914">
        <f t="shared" si="109"/>
        <v>102</v>
      </c>
      <c r="BJ98" s="153">
        <f t="shared" si="109"/>
        <v>100</v>
      </c>
      <c r="BK98" s="153">
        <f t="shared" si="109"/>
        <v>453</v>
      </c>
      <c r="BL98" s="915">
        <f t="shared" si="109"/>
        <v>396</v>
      </c>
      <c r="BM98" s="153">
        <f t="shared" si="109"/>
        <v>1051</v>
      </c>
      <c r="BN98" s="914">
        <f t="shared" si="109"/>
        <v>-34</v>
      </c>
      <c r="BO98" s="153">
        <f t="shared" si="109"/>
        <v>-118</v>
      </c>
      <c r="BP98" s="153">
        <f t="shared" si="109"/>
        <v>-51</v>
      </c>
      <c r="BQ98" s="915">
        <f t="shared" si="109"/>
        <v>-142</v>
      </c>
      <c r="BR98" s="153">
        <f t="shared" ref="BR98:CQ98" si="110">BR39</f>
        <v>-345</v>
      </c>
      <c r="BS98" s="914">
        <f t="shared" si="110"/>
        <v>-236</v>
      </c>
      <c r="BT98" s="153">
        <f t="shared" si="110"/>
        <v>5</v>
      </c>
      <c r="BU98" s="153">
        <f t="shared" si="110"/>
        <v>146</v>
      </c>
      <c r="BV98" s="915">
        <f t="shared" si="110"/>
        <v>88</v>
      </c>
      <c r="BW98" s="153">
        <f t="shared" si="110"/>
        <v>3</v>
      </c>
      <c r="BX98" s="914">
        <f t="shared" si="110"/>
        <v>-63</v>
      </c>
      <c r="BY98" s="153">
        <f t="shared" si="110"/>
        <v>241</v>
      </c>
      <c r="BZ98" s="153">
        <f t="shared" si="110"/>
        <v>224</v>
      </c>
      <c r="CA98" s="915">
        <f t="shared" si="110"/>
        <v>184</v>
      </c>
      <c r="CB98" s="153">
        <f t="shared" si="110"/>
        <v>586</v>
      </c>
      <c r="CC98" s="914">
        <f t="shared" si="110"/>
        <v>127.7864716050947</v>
      </c>
      <c r="CD98" s="153">
        <f t="shared" si="110"/>
        <v>336.24419251949911</v>
      </c>
      <c r="CE98" s="153">
        <f t="shared" si="110"/>
        <v>418.18315384058388</v>
      </c>
      <c r="CF98" s="915">
        <f t="shared" si="110"/>
        <v>361.32747120235166</v>
      </c>
      <c r="CG98" s="153">
        <f t="shared" si="110"/>
        <v>1243.5412891675294</v>
      </c>
      <c r="CH98" s="914">
        <f t="shared" si="110"/>
        <v>201.96058187579982</v>
      </c>
      <c r="CI98" s="153">
        <f t="shared" si="110"/>
        <v>435.25389578201191</v>
      </c>
      <c r="CJ98" s="153">
        <f t="shared" si="110"/>
        <v>402.8279071975382</v>
      </c>
      <c r="CK98" s="915">
        <f t="shared" si="110"/>
        <v>395.32541572188603</v>
      </c>
      <c r="CL98" s="153">
        <f t="shared" si="110"/>
        <v>1435.367800577236</v>
      </c>
      <c r="CM98" s="914">
        <f t="shared" si="110"/>
        <v>221.93064212267743</v>
      </c>
      <c r="CN98" s="153">
        <f t="shared" si="110"/>
        <v>353.44923008105172</v>
      </c>
      <c r="CO98" s="153">
        <f t="shared" si="110"/>
        <v>288.65338175705728</v>
      </c>
      <c r="CP98" s="915">
        <f t="shared" si="110"/>
        <v>287.79121994018334</v>
      </c>
      <c r="CQ98" s="915">
        <f t="shared" si="110"/>
        <v>1151.8244739009697</v>
      </c>
      <c r="CR98" s="75"/>
    </row>
    <row r="99" spans="1:96" ht="13.5" customHeight="1">
      <c r="A99" s="217" t="s">
        <v>765</v>
      </c>
      <c r="B99" s="217"/>
      <c r="C99" s="217"/>
      <c r="D99" s="217"/>
      <c r="E99" s="217"/>
      <c r="F99" s="227">
        <f t="shared" ref="F99:AK99" si="111">F25</f>
        <v>90</v>
      </c>
      <c r="G99" s="227">
        <f t="shared" si="111"/>
        <v>87</v>
      </c>
      <c r="H99" s="227">
        <f t="shared" si="111"/>
        <v>140</v>
      </c>
      <c r="I99" s="227">
        <f t="shared" si="111"/>
        <v>46</v>
      </c>
      <c r="J99" s="227">
        <f t="shared" si="111"/>
        <v>363</v>
      </c>
      <c r="K99" s="227">
        <f t="shared" si="111"/>
        <v>98</v>
      </c>
      <c r="L99" s="227">
        <f t="shared" si="111"/>
        <v>93</v>
      </c>
      <c r="M99" s="227">
        <f t="shared" si="111"/>
        <v>96</v>
      </c>
      <c r="N99" s="227">
        <f t="shared" si="111"/>
        <v>95</v>
      </c>
      <c r="O99" s="227">
        <f t="shared" si="111"/>
        <v>382</v>
      </c>
      <c r="P99" s="227">
        <f t="shared" si="111"/>
        <v>98</v>
      </c>
      <c r="Q99" s="227">
        <f t="shared" si="111"/>
        <v>88</v>
      </c>
      <c r="R99" s="227">
        <f t="shared" si="111"/>
        <v>88</v>
      </c>
      <c r="S99" s="227">
        <f t="shared" si="111"/>
        <v>92</v>
      </c>
      <c r="T99" s="227">
        <f t="shared" si="111"/>
        <v>366</v>
      </c>
      <c r="U99" s="227">
        <f t="shared" si="111"/>
        <v>112</v>
      </c>
      <c r="V99" s="227">
        <f t="shared" si="111"/>
        <v>114</v>
      </c>
      <c r="W99" s="227">
        <f t="shared" si="111"/>
        <v>113</v>
      </c>
      <c r="X99" s="227">
        <f t="shared" si="111"/>
        <v>102</v>
      </c>
      <c r="Y99" s="227">
        <f t="shared" si="111"/>
        <v>441</v>
      </c>
      <c r="Z99" s="227">
        <f t="shared" si="111"/>
        <v>111</v>
      </c>
      <c r="AA99" s="227">
        <f t="shared" si="111"/>
        <v>118</v>
      </c>
      <c r="AB99" s="227">
        <f t="shared" si="111"/>
        <v>124</v>
      </c>
      <c r="AC99" s="227">
        <f t="shared" si="111"/>
        <v>153</v>
      </c>
      <c r="AD99" s="227">
        <f t="shared" si="111"/>
        <v>506</v>
      </c>
      <c r="AE99" s="227">
        <f t="shared" si="111"/>
        <v>156</v>
      </c>
      <c r="AF99" s="227">
        <f t="shared" si="111"/>
        <v>159</v>
      </c>
      <c r="AG99" s="227">
        <f t="shared" si="111"/>
        <v>149</v>
      </c>
      <c r="AH99" s="227">
        <f t="shared" si="111"/>
        <v>141</v>
      </c>
      <c r="AI99" s="227">
        <f t="shared" si="111"/>
        <v>605</v>
      </c>
      <c r="AJ99" s="1200">
        <f t="shared" si="111"/>
        <v>158</v>
      </c>
      <c r="AK99" s="227">
        <f t="shared" si="111"/>
        <v>159</v>
      </c>
      <c r="AL99" s="227">
        <f t="shared" ref="AL99:BQ99" si="112">AL25</f>
        <v>167</v>
      </c>
      <c r="AM99" s="1201">
        <f t="shared" si="112"/>
        <v>177</v>
      </c>
      <c r="AN99" s="227">
        <f t="shared" si="112"/>
        <v>661</v>
      </c>
      <c r="AO99" s="1200">
        <f t="shared" si="112"/>
        <v>165</v>
      </c>
      <c r="AP99" s="227">
        <f t="shared" si="112"/>
        <v>162</v>
      </c>
      <c r="AQ99" s="227">
        <f t="shared" si="112"/>
        <v>163</v>
      </c>
      <c r="AR99" s="1201">
        <f t="shared" si="112"/>
        <v>168</v>
      </c>
      <c r="AS99" s="227">
        <f t="shared" si="112"/>
        <v>658</v>
      </c>
      <c r="AT99" s="1200">
        <f t="shared" si="112"/>
        <v>169</v>
      </c>
      <c r="AU99" s="227">
        <f t="shared" si="112"/>
        <v>171</v>
      </c>
      <c r="AV99" s="227">
        <f t="shared" si="112"/>
        <v>172</v>
      </c>
      <c r="AW99" s="1201">
        <f t="shared" si="112"/>
        <v>169</v>
      </c>
      <c r="AX99" s="227">
        <f t="shared" si="112"/>
        <v>681</v>
      </c>
      <c r="AY99" s="1200">
        <f t="shared" si="112"/>
        <v>163</v>
      </c>
      <c r="AZ99" s="227">
        <f t="shared" si="112"/>
        <v>164</v>
      </c>
      <c r="BA99" s="227">
        <f t="shared" si="112"/>
        <v>163</v>
      </c>
      <c r="BB99" s="1201">
        <f t="shared" si="112"/>
        <v>171</v>
      </c>
      <c r="BC99" s="227">
        <f t="shared" si="112"/>
        <v>661</v>
      </c>
      <c r="BD99" s="1200">
        <f t="shared" si="112"/>
        <v>171</v>
      </c>
      <c r="BE99" s="227">
        <f t="shared" si="112"/>
        <v>170</v>
      </c>
      <c r="BF99" s="227">
        <f t="shared" si="112"/>
        <v>173</v>
      </c>
      <c r="BG99" s="1201">
        <f t="shared" si="112"/>
        <v>170</v>
      </c>
      <c r="BH99" s="227">
        <f t="shared" si="112"/>
        <v>684</v>
      </c>
      <c r="BI99" s="1200">
        <f t="shared" si="112"/>
        <v>166</v>
      </c>
      <c r="BJ99" s="227">
        <f t="shared" si="112"/>
        <v>165</v>
      </c>
      <c r="BK99" s="227">
        <f t="shared" si="112"/>
        <v>158</v>
      </c>
      <c r="BL99" s="1201">
        <f t="shared" si="112"/>
        <v>138</v>
      </c>
      <c r="BM99" s="227">
        <f t="shared" si="112"/>
        <v>627</v>
      </c>
      <c r="BN99" s="1200">
        <f t="shared" si="112"/>
        <v>144</v>
      </c>
      <c r="BO99" s="227">
        <f t="shared" si="112"/>
        <v>138</v>
      </c>
      <c r="BP99" s="227">
        <f t="shared" si="112"/>
        <v>136</v>
      </c>
      <c r="BQ99" s="1201">
        <f t="shared" si="112"/>
        <v>129</v>
      </c>
      <c r="BR99" s="227">
        <f t="shared" ref="BR99:CQ99" si="113">BR25</f>
        <v>547</v>
      </c>
      <c r="BS99" s="1200">
        <f t="shared" si="113"/>
        <v>129</v>
      </c>
      <c r="BT99" s="227">
        <f t="shared" si="113"/>
        <v>129</v>
      </c>
      <c r="BU99" s="227">
        <f t="shared" si="113"/>
        <v>126</v>
      </c>
      <c r="BV99" s="1201">
        <f t="shared" si="113"/>
        <v>123</v>
      </c>
      <c r="BW99" s="227">
        <f t="shared" si="113"/>
        <v>507</v>
      </c>
      <c r="BX99" s="1200">
        <f t="shared" si="113"/>
        <v>137</v>
      </c>
      <c r="BY99" s="227">
        <f t="shared" si="113"/>
        <v>121</v>
      </c>
      <c r="BZ99" s="227">
        <f t="shared" si="113"/>
        <v>118</v>
      </c>
      <c r="CA99" s="1201">
        <f t="shared" si="113"/>
        <v>125</v>
      </c>
      <c r="CB99" s="227">
        <f t="shared" si="113"/>
        <v>501</v>
      </c>
      <c r="CC99" s="1200">
        <f t="shared" si="113"/>
        <v>132</v>
      </c>
      <c r="CD99" s="227">
        <f t="shared" si="113"/>
        <v>124</v>
      </c>
      <c r="CE99" s="227">
        <f t="shared" si="113"/>
        <v>124</v>
      </c>
      <c r="CF99" s="1201">
        <f t="shared" si="113"/>
        <v>115</v>
      </c>
      <c r="CG99" s="227">
        <f t="shared" si="113"/>
        <v>495</v>
      </c>
      <c r="CH99" s="1200">
        <f t="shared" si="113"/>
        <v>132</v>
      </c>
      <c r="CI99" s="227">
        <f t="shared" si="113"/>
        <v>124</v>
      </c>
      <c r="CJ99" s="227">
        <f t="shared" si="113"/>
        <v>124</v>
      </c>
      <c r="CK99" s="1201">
        <f t="shared" si="113"/>
        <v>115</v>
      </c>
      <c r="CL99" s="227">
        <f t="shared" si="113"/>
        <v>495</v>
      </c>
      <c r="CM99" s="1200">
        <f t="shared" si="113"/>
        <v>132</v>
      </c>
      <c r="CN99" s="227">
        <f t="shared" si="113"/>
        <v>124</v>
      </c>
      <c r="CO99" s="227">
        <f t="shared" si="113"/>
        <v>124</v>
      </c>
      <c r="CP99" s="1201">
        <f t="shared" si="113"/>
        <v>115</v>
      </c>
      <c r="CQ99" s="1201">
        <f t="shared" si="113"/>
        <v>495</v>
      </c>
      <c r="CR99" s="75"/>
    </row>
    <row r="100" spans="1:96" ht="6.2" customHeight="1">
      <c r="A100" s="75"/>
      <c r="B100" s="93"/>
      <c r="C100" s="75"/>
      <c r="D100" s="75"/>
      <c r="E100" s="75"/>
      <c r="F100" s="220"/>
      <c r="G100" s="220"/>
      <c r="H100" s="220"/>
      <c r="I100" s="220"/>
      <c r="J100" s="220"/>
      <c r="K100" s="220"/>
      <c r="L100" s="220"/>
      <c r="M100" s="220"/>
      <c r="N100" s="220"/>
      <c r="O100" s="220"/>
      <c r="P100" s="220"/>
      <c r="Q100" s="220"/>
      <c r="R100" s="220"/>
      <c r="S100" s="220"/>
      <c r="T100" s="220"/>
      <c r="U100" s="220"/>
      <c r="V100" s="220"/>
      <c r="W100" s="220"/>
      <c r="X100" s="220"/>
      <c r="Y100" s="220"/>
      <c r="Z100" s="220"/>
      <c r="AA100" s="220"/>
      <c r="AB100" s="220"/>
      <c r="AC100" s="220"/>
      <c r="AD100" s="220"/>
      <c r="AE100" s="220"/>
      <c r="AF100" s="220"/>
      <c r="AG100" s="220"/>
      <c r="AH100" s="220"/>
      <c r="AI100" s="220"/>
      <c r="AJ100" s="1191"/>
      <c r="AK100" s="220"/>
      <c r="AL100" s="220"/>
      <c r="AM100" s="1192"/>
      <c r="AN100" s="220"/>
      <c r="AO100" s="1191"/>
      <c r="AP100" s="220"/>
      <c r="AQ100" s="220"/>
      <c r="AR100" s="1192"/>
      <c r="AS100" s="220"/>
      <c r="AT100" s="1191"/>
      <c r="AU100" s="220"/>
      <c r="AV100" s="220"/>
      <c r="AW100" s="1192"/>
      <c r="AX100" s="220"/>
      <c r="AY100" s="1191"/>
      <c r="AZ100" s="220"/>
      <c r="BA100" s="220"/>
      <c r="BB100" s="1192"/>
      <c r="BC100" s="220"/>
      <c r="BD100" s="1191"/>
      <c r="BE100" s="220"/>
      <c r="BF100" s="220"/>
      <c r="BG100" s="1192"/>
      <c r="BH100" s="220"/>
      <c r="BI100" s="1191"/>
      <c r="BJ100" s="220"/>
      <c r="BK100" s="220"/>
      <c r="BL100" s="1192"/>
      <c r="BM100" s="220"/>
      <c r="BN100" s="1191"/>
      <c r="BO100" s="220"/>
      <c r="BP100" s="220"/>
      <c r="BQ100" s="1192"/>
      <c r="BR100" s="220"/>
      <c r="BS100" s="1191"/>
      <c r="BT100" s="220"/>
      <c r="BU100" s="220"/>
      <c r="BV100" s="1192"/>
      <c r="BW100" s="220"/>
      <c r="BX100" s="1191"/>
      <c r="BY100" s="220"/>
      <c r="BZ100" s="220"/>
      <c r="CA100" s="1192"/>
      <c r="CB100" s="220"/>
      <c r="CC100" s="1191"/>
      <c r="CD100" s="220"/>
      <c r="CE100" s="220"/>
      <c r="CF100" s="1192"/>
      <c r="CG100" s="220"/>
      <c r="CH100" s="1191"/>
      <c r="CI100" s="220"/>
      <c r="CJ100" s="220"/>
      <c r="CK100" s="1192"/>
      <c r="CL100" s="220"/>
      <c r="CM100" s="1191"/>
      <c r="CN100" s="220"/>
      <c r="CO100" s="220"/>
      <c r="CP100" s="1192"/>
      <c r="CQ100" s="1192"/>
      <c r="CR100" s="75"/>
    </row>
    <row r="101" spans="1:96" ht="13.5" customHeight="1">
      <c r="A101" s="75"/>
      <c r="B101" s="93" t="s">
        <v>588</v>
      </c>
      <c r="C101" s="75"/>
      <c r="D101" s="75"/>
      <c r="E101" s="75"/>
      <c r="F101" s="228">
        <f t="shared" ref="F101:AK101" si="114">F98+F99</f>
        <v>71</v>
      </c>
      <c r="G101" s="228">
        <f t="shared" si="114"/>
        <v>93</v>
      </c>
      <c r="H101" s="228">
        <f t="shared" si="114"/>
        <v>110</v>
      </c>
      <c r="I101" s="228">
        <f t="shared" si="114"/>
        <v>51</v>
      </c>
      <c r="J101" s="228">
        <f t="shared" si="114"/>
        <v>325</v>
      </c>
      <c r="K101" s="228">
        <f t="shared" si="114"/>
        <v>219</v>
      </c>
      <c r="L101" s="228">
        <f t="shared" si="114"/>
        <v>510</v>
      </c>
      <c r="M101" s="228">
        <f t="shared" si="114"/>
        <v>597</v>
      </c>
      <c r="N101" s="228">
        <f t="shared" si="114"/>
        <v>655</v>
      </c>
      <c r="O101" s="228">
        <f t="shared" si="114"/>
        <v>1981</v>
      </c>
      <c r="P101" s="228">
        <f t="shared" si="114"/>
        <v>676</v>
      </c>
      <c r="Q101" s="228">
        <f t="shared" si="114"/>
        <v>515</v>
      </c>
      <c r="R101" s="228">
        <f t="shared" si="114"/>
        <v>239</v>
      </c>
      <c r="S101" s="228">
        <f t="shared" si="114"/>
        <v>345</v>
      </c>
      <c r="T101" s="228">
        <f t="shared" si="114"/>
        <v>1775</v>
      </c>
      <c r="U101" s="228">
        <f t="shared" si="114"/>
        <v>486</v>
      </c>
      <c r="V101" s="228">
        <f t="shared" si="114"/>
        <v>628</v>
      </c>
      <c r="W101" s="228">
        <f t="shared" si="114"/>
        <v>695</v>
      </c>
      <c r="X101" s="228">
        <f t="shared" si="114"/>
        <v>438</v>
      </c>
      <c r="Y101" s="228">
        <f t="shared" si="114"/>
        <v>2247</v>
      </c>
      <c r="Z101" s="228">
        <f t="shared" si="114"/>
        <v>457</v>
      </c>
      <c r="AA101" s="228">
        <f t="shared" si="114"/>
        <v>509</v>
      </c>
      <c r="AB101" s="228">
        <f t="shared" si="114"/>
        <v>527</v>
      </c>
      <c r="AC101" s="228">
        <f t="shared" si="114"/>
        <v>395</v>
      </c>
      <c r="AD101" s="228">
        <f t="shared" si="114"/>
        <v>1888</v>
      </c>
      <c r="AE101" s="228">
        <f t="shared" si="114"/>
        <v>484</v>
      </c>
      <c r="AF101" s="228">
        <f t="shared" si="114"/>
        <v>1119</v>
      </c>
      <c r="AG101" s="228">
        <f t="shared" si="114"/>
        <v>1604</v>
      </c>
      <c r="AH101" s="228">
        <f t="shared" si="114"/>
        <v>568</v>
      </c>
      <c r="AI101" s="228">
        <f t="shared" si="114"/>
        <v>3775</v>
      </c>
      <c r="AJ101" s="955">
        <f t="shared" si="114"/>
        <v>-331</v>
      </c>
      <c r="AK101" s="228">
        <f t="shared" si="114"/>
        <v>-385</v>
      </c>
      <c r="AL101" s="228">
        <f t="shared" ref="AL101:BQ101" si="115">AL98+AL99</f>
        <v>-245</v>
      </c>
      <c r="AM101" s="956">
        <f t="shared" si="115"/>
        <v>-103</v>
      </c>
      <c r="AN101" s="228">
        <f t="shared" si="115"/>
        <v>-1064</v>
      </c>
      <c r="AO101" s="955">
        <f t="shared" si="115"/>
        <v>108</v>
      </c>
      <c r="AP101" s="228">
        <f t="shared" si="115"/>
        <v>360</v>
      </c>
      <c r="AQ101" s="228">
        <f t="shared" si="115"/>
        <v>25</v>
      </c>
      <c r="AR101" s="956">
        <f t="shared" si="115"/>
        <v>33</v>
      </c>
      <c r="AS101" s="228">
        <f t="shared" si="115"/>
        <v>526</v>
      </c>
      <c r="AT101" s="955">
        <f t="shared" si="115"/>
        <v>78</v>
      </c>
      <c r="AU101" s="228">
        <f t="shared" si="115"/>
        <v>471</v>
      </c>
      <c r="AV101" s="228">
        <f t="shared" si="115"/>
        <v>371</v>
      </c>
      <c r="AW101" s="956">
        <f t="shared" si="115"/>
        <v>44</v>
      </c>
      <c r="AX101" s="228">
        <f t="shared" si="115"/>
        <v>964</v>
      </c>
      <c r="AY101" s="955">
        <f t="shared" si="115"/>
        <v>381</v>
      </c>
      <c r="AZ101" s="228">
        <f t="shared" si="115"/>
        <v>417</v>
      </c>
      <c r="BA101" s="228">
        <f t="shared" si="115"/>
        <v>260</v>
      </c>
      <c r="BB101" s="956">
        <f t="shared" si="115"/>
        <v>161</v>
      </c>
      <c r="BC101" s="228">
        <f t="shared" si="115"/>
        <v>1219</v>
      </c>
      <c r="BD101" s="955">
        <f t="shared" si="115"/>
        <v>209</v>
      </c>
      <c r="BE101" s="228">
        <f t="shared" si="115"/>
        <v>163</v>
      </c>
      <c r="BF101" s="228">
        <f t="shared" si="115"/>
        <v>231</v>
      </c>
      <c r="BG101" s="956">
        <f t="shared" si="115"/>
        <v>260</v>
      </c>
      <c r="BH101" s="228">
        <f t="shared" si="115"/>
        <v>863</v>
      </c>
      <c r="BI101" s="955">
        <f t="shared" si="115"/>
        <v>268</v>
      </c>
      <c r="BJ101" s="228">
        <f t="shared" si="115"/>
        <v>265</v>
      </c>
      <c r="BK101" s="228">
        <f t="shared" si="115"/>
        <v>611</v>
      </c>
      <c r="BL101" s="956">
        <f t="shared" si="115"/>
        <v>534</v>
      </c>
      <c r="BM101" s="228">
        <f t="shared" si="115"/>
        <v>1678</v>
      </c>
      <c r="BN101" s="955">
        <f t="shared" si="115"/>
        <v>110</v>
      </c>
      <c r="BO101" s="228">
        <f t="shared" si="115"/>
        <v>20</v>
      </c>
      <c r="BP101" s="228">
        <f t="shared" si="115"/>
        <v>85</v>
      </c>
      <c r="BQ101" s="956">
        <f t="shared" si="115"/>
        <v>-13</v>
      </c>
      <c r="BR101" s="228">
        <f t="shared" ref="BR101:CQ101" si="116">BR98+BR99</f>
        <v>202</v>
      </c>
      <c r="BS101" s="955">
        <f t="shared" si="116"/>
        <v>-107</v>
      </c>
      <c r="BT101" s="228">
        <f t="shared" si="116"/>
        <v>134</v>
      </c>
      <c r="BU101" s="228">
        <f t="shared" si="116"/>
        <v>272</v>
      </c>
      <c r="BV101" s="956">
        <f t="shared" si="116"/>
        <v>211</v>
      </c>
      <c r="BW101" s="228">
        <f t="shared" si="116"/>
        <v>510</v>
      </c>
      <c r="BX101" s="955">
        <f t="shared" si="116"/>
        <v>74</v>
      </c>
      <c r="BY101" s="228">
        <f t="shared" si="116"/>
        <v>362</v>
      </c>
      <c r="BZ101" s="228">
        <f t="shared" si="116"/>
        <v>342</v>
      </c>
      <c r="CA101" s="956">
        <f t="shared" si="116"/>
        <v>309</v>
      </c>
      <c r="CB101" s="228">
        <f t="shared" si="116"/>
        <v>1087</v>
      </c>
      <c r="CC101" s="955">
        <f t="shared" si="116"/>
        <v>259.78647160509468</v>
      </c>
      <c r="CD101" s="228">
        <f t="shared" si="116"/>
        <v>460.24419251949911</v>
      </c>
      <c r="CE101" s="228">
        <f t="shared" si="116"/>
        <v>542.18315384058383</v>
      </c>
      <c r="CF101" s="956">
        <f t="shared" si="116"/>
        <v>476.32747120235166</v>
      </c>
      <c r="CG101" s="228">
        <f t="shared" si="116"/>
        <v>1738.5412891675294</v>
      </c>
      <c r="CH101" s="955">
        <f t="shared" si="116"/>
        <v>333.96058187579979</v>
      </c>
      <c r="CI101" s="228">
        <f t="shared" si="116"/>
        <v>559.25389578201191</v>
      </c>
      <c r="CJ101" s="228">
        <f t="shared" si="116"/>
        <v>526.82790719753825</v>
      </c>
      <c r="CK101" s="956">
        <f t="shared" si="116"/>
        <v>510.32541572188603</v>
      </c>
      <c r="CL101" s="228">
        <f t="shared" si="116"/>
        <v>1930.367800577236</v>
      </c>
      <c r="CM101" s="955">
        <f t="shared" si="116"/>
        <v>353.93064212267745</v>
      </c>
      <c r="CN101" s="228">
        <f t="shared" si="116"/>
        <v>477.44923008105172</v>
      </c>
      <c r="CO101" s="228">
        <f t="shared" si="116"/>
        <v>412.65338175705728</v>
      </c>
      <c r="CP101" s="956">
        <f t="shared" si="116"/>
        <v>402.79121994018334</v>
      </c>
      <c r="CQ101" s="956">
        <f t="shared" si="116"/>
        <v>1646.8244739009697</v>
      </c>
      <c r="CR101" s="75"/>
    </row>
    <row r="102" spans="1:96" ht="13.5" customHeight="1">
      <c r="A102" s="75"/>
      <c r="B102" s="115"/>
      <c r="C102" s="115" t="s">
        <v>720</v>
      </c>
      <c r="D102" s="75"/>
      <c r="E102" s="75"/>
      <c r="F102" s="151">
        <f t="shared" ref="F102:AK102" si="117">F101/F14</f>
        <v>3.7407797681770286E-2</v>
      </c>
      <c r="G102" s="151">
        <f t="shared" si="117"/>
        <v>4.0242319342276074E-2</v>
      </c>
      <c r="H102" s="151">
        <f t="shared" si="117"/>
        <v>4.3894652833200321E-2</v>
      </c>
      <c r="I102" s="151">
        <f t="shared" si="117"/>
        <v>1.9517795637198621E-2</v>
      </c>
      <c r="J102" s="151">
        <f t="shared" si="117"/>
        <v>3.484133790737564E-2</v>
      </c>
      <c r="K102" s="151">
        <f t="shared" si="117"/>
        <v>7.5361321403991738E-2</v>
      </c>
      <c r="L102" s="151">
        <f t="shared" si="117"/>
        <v>0.14791183294663574</v>
      </c>
      <c r="M102" s="151">
        <f t="shared" si="117"/>
        <v>0.1610466684650661</v>
      </c>
      <c r="N102" s="151">
        <f t="shared" si="117"/>
        <v>0.16760491299897645</v>
      </c>
      <c r="O102" s="151">
        <f t="shared" si="117"/>
        <v>0.14181401675137806</v>
      </c>
      <c r="P102" s="151">
        <f t="shared" si="117"/>
        <v>0.17973943100239298</v>
      </c>
      <c r="Q102" s="151">
        <f t="shared" si="117"/>
        <v>0.14377442769402568</v>
      </c>
      <c r="R102" s="151">
        <f t="shared" si="117"/>
        <v>7.4687500000000004E-2</v>
      </c>
      <c r="S102" s="151">
        <f t="shared" si="117"/>
        <v>9.8684210526315791E-2</v>
      </c>
      <c r="T102" s="151">
        <f t="shared" si="117"/>
        <v>0.12643350666001851</v>
      </c>
      <c r="U102" s="151">
        <f t="shared" si="117"/>
        <v>0.13043478260869565</v>
      </c>
      <c r="V102" s="151">
        <f t="shared" si="117"/>
        <v>0.15290966642317994</v>
      </c>
      <c r="W102" s="151">
        <f t="shared" si="117"/>
        <v>0.1692644909887969</v>
      </c>
      <c r="X102" s="151">
        <f t="shared" si="117"/>
        <v>0.1159957627118644</v>
      </c>
      <c r="Y102" s="151">
        <f t="shared" si="117"/>
        <v>0.14298440979955457</v>
      </c>
      <c r="Z102" s="151">
        <f t="shared" si="117"/>
        <v>0.12167199148029818</v>
      </c>
      <c r="AA102" s="151">
        <f t="shared" si="117"/>
        <v>0.12038789025543993</v>
      </c>
      <c r="AB102" s="151">
        <f t="shared" si="117"/>
        <v>0.12103812586127699</v>
      </c>
      <c r="AC102" s="151">
        <f t="shared" si="117"/>
        <v>8.7100330760749731E-2</v>
      </c>
      <c r="AD102" s="151">
        <f t="shared" si="117"/>
        <v>0.11189474308066141</v>
      </c>
      <c r="AE102" s="151">
        <f t="shared" si="117"/>
        <v>9.3148575827559657E-2</v>
      </c>
      <c r="AF102" s="151">
        <f t="shared" si="117"/>
        <v>0.1659252669039146</v>
      </c>
      <c r="AG102" s="151">
        <f t="shared" si="117"/>
        <v>0.21936542669584244</v>
      </c>
      <c r="AH102" s="151">
        <f t="shared" si="117"/>
        <v>0.1244249726177437</v>
      </c>
      <c r="AI102" s="151">
        <f t="shared" si="117"/>
        <v>0.15850023092748877</v>
      </c>
      <c r="AJ102" s="1139">
        <f t="shared" si="117"/>
        <v>-0.12036363636363637</v>
      </c>
      <c r="AK102" s="151">
        <f t="shared" si="117"/>
        <v>-0.18100611189468735</v>
      </c>
      <c r="AL102" s="151">
        <f t="shared" ref="AL102:BQ102" si="118">AL101/AL14</f>
        <v>-8.6971955981540644E-2</v>
      </c>
      <c r="AM102" s="1140">
        <f t="shared" si="118"/>
        <v>-3.0709600477042336E-2</v>
      </c>
      <c r="AN102" s="151">
        <f t="shared" si="118"/>
        <v>-9.6307023895727734E-2</v>
      </c>
      <c r="AO102" s="1139">
        <f t="shared" si="118"/>
        <v>2.7720739219712527E-2</v>
      </c>
      <c r="AP102" s="151">
        <f t="shared" si="118"/>
        <v>7.6906643879512931E-2</v>
      </c>
      <c r="AQ102" s="151">
        <f t="shared" si="118"/>
        <v>5.55926173004225E-3</v>
      </c>
      <c r="AR102" s="1140">
        <f t="shared" si="118"/>
        <v>7.674418604651163E-3</v>
      </c>
      <c r="AS102" s="151">
        <f t="shared" si="118"/>
        <v>3.0275123748129389E-2</v>
      </c>
      <c r="AT102" s="1139">
        <f t="shared" si="118"/>
        <v>1.6036184210526317E-2</v>
      </c>
      <c r="AU102" s="151">
        <f t="shared" si="118"/>
        <v>9.1992187500000003E-2</v>
      </c>
      <c r="AV102" s="151">
        <f t="shared" si="118"/>
        <v>7.3017122613658725E-2</v>
      </c>
      <c r="AW102" s="1140">
        <f t="shared" si="118"/>
        <v>9.1305250051877986E-3</v>
      </c>
      <c r="AX102" s="151">
        <f t="shared" si="118"/>
        <v>4.848119090726212E-2</v>
      </c>
      <c r="AY102" s="1139">
        <f t="shared" si="118"/>
        <v>7.366589327146171E-2</v>
      </c>
      <c r="AZ102" s="151">
        <f t="shared" si="118"/>
        <v>8.3117400837153674E-2</v>
      </c>
      <c r="BA102" s="151">
        <f t="shared" si="118"/>
        <v>5.5889939810834052E-2</v>
      </c>
      <c r="BB102" s="1140">
        <f t="shared" si="118"/>
        <v>3.5881435257410298E-2</v>
      </c>
      <c r="BC102" s="151">
        <f t="shared" si="118"/>
        <v>6.3069122516556289E-2</v>
      </c>
      <c r="BD102" s="1139">
        <f t="shared" si="118"/>
        <v>4.5484221980413492E-2</v>
      </c>
      <c r="BE102" s="151">
        <f t="shared" si="118"/>
        <v>3.6802890042899071E-2</v>
      </c>
      <c r="BF102" s="151">
        <f t="shared" si="118"/>
        <v>5.5918663761801018E-2</v>
      </c>
      <c r="BG102" s="1140">
        <f t="shared" si="118"/>
        <v>6.0904193019442492E-2</v>
      </c>
      <c r="BH102" s="151">
        <f t="shared" si="118"/>
        <v>4.9529384756657482E-2</v>
      </c>
      <c r="BI102" s="1139">
        <f t="shared" si="118"/>
        <v>6.0251798561151079E-2</v>
      </c>
      <c r="BJ102" s="151">
        <f t="shared" si="118"/>
        <v>6.0227272727272727E-2</v>
      </c>
      <c r="BK102" s="151">
        <f t="shared" si="118"/>
        <v>0.13320252888598214</v>
      </c>
      <c r="BL102" s="1140">
        <f t="shared" si="118"/>
        <v>0.13113948919449903</v>
      </c>
      <c r="BM102" s="151">
        <f t="shared" si="118"/>
        <v>9.5847375335580048E-2</v>
      </c>
      <c r="BN102" s="1139">
        <f t="shared" si="118"/>
        <v>3.3618581907090467E-2</v>
      </c>
      <c r="BO102" s="151">
        <f t="shared" si="118"/>
        <v>6.8965517241379309E-3</v>
      </c>
      <c r="BP102" s="151">
        <f t="shared" si="118"/>
        <v>3.0035335689045935E-2</v>
      </c>
      <c r="BQ102" s="1140">
        <f t="shared" si="118"/>
        <v>-5.0544323483670299E-3</v>
      </c>
      <c r="BR102" s="151">
        <f t="shared" ref="BR102:CQ102" si="119">BR101/BR14</f>
        <v>1.745291169863487E-2</v>
      </c>
      <c r="BS102" s="1339">
        <f t="shared" si="119"/>
        <v>-4.57069628363947E-2</v>
      </c>
      <c r="BT102" s="151">
        <f t="shared" si="119"/>
        <v>5.1857585139318887E-2</v>
      </c>
      <c r="BU102" s="151">
        <f t="shared" si="119"/>
        <v>0.10126582278481013</v>
      </c>
      <c r="BV102" s="1140">
        <f t="shared" si="119"/>
        <v>7.9622641509433961E-2</v>
      </c>
      <c r="BW102" s="151">
        <f t="shared" si="119"/>
        <v>4.9702758015787933E-2</v>
      </c>
      <c r="BX102" s="1139">
        <f t="shared" si="119"/>
        <v>2.7155963302752294E-2</v>
      </c>
      <c r="BY102" s="151">
        <f t="shared" si="119"/>
        <v>0.11513994910941476</v>
      </c>
      <c r="BZ102" s="151">
        <f t="shared" si="119"/>
        <v>0.10529556650246305</v>
      </c>
      <c r="CA102" s="1140">
        <f t="shared" si="119"/>
        <v>9.8627513565272898E-2</v>
      </c>
      <c r="CB102" s="151">
        <f t="shared" si="119"/>
        <v>8.8734693877551021E-2</v>
      </c>
      <c r="CC102" s="1139">
        <f t="shared" si="119"/>
        <v>8.2852735820344581E-2</v>
      </c>
      <c r="CD102" s="151">
        <f t="shared" si="119"/>
        <v>0.13126754836642066</v>
      </c>
      <c r="CE102" s="151">
        <f t="shared" si="119"/>
        <v>0.14547700333559571</v>
      </c>
      <c r="CF102" s="1140">
        <f t="shared" si="119"/>
        <v>0.12777734590663903</v>
      </c>
      <c r="CG102" s="151">
        <f t="shared" si="119"/>
        <v>0.12333228150781947</v>
      </c>
      <c r="CH102" s="1139">
        <f t="shared" si="119"/>
        <v>9.2198060227658696E-2</v>
      </c>
      <c r="CI102" s="151">
        <f t="shared" si="119"/>
        <v>0.14364852662221531</v>
      </c>
      <c r="CJ102" s="151">
        <f t="shared" si="119"/>
        <v>0.13869674847035815</v>
      </c>
      <c r="CK102" s="1140">
        <f t="shared" si="119"/>
        <v>0.13677359650524315</v>
      </c>
      <c r="CL102" s="151">
        <f t="shared" si="119"/>
        <v>0.12830624034255314</v>
      </c>
      <c r="CM102" s="1139">
        <f t="shared" si="119"/>
        <v>0.10173131569922664</v>
      </c>
      <c r="CN102" s="151">
        <f t="shared" si="119"/>
        <v>0.12856386536129871</v>
      </c>
      <c r="CO102" s="151">
        <f t="shared" si="119"/>
        <v>0.11522443792009661</v>
      </c>
      <c r="CP102" s="1140">
        <f t="shared" si="119"/>
        <v>0.11416072598991187</v>
      </c>
      <c r="CQ102" s="1140">
        <f t="shared" si="119"/>
        <v>0.11514348415770649</v>
      </c>
      <c r="CR102" s="75"/>
    </row>
    <row r="103" spans="1:96" ht="6.2" customHeight="1">
      <c r="A103" s="75"/>
      <c r="B103" s="115"/>
      <c r="C103" s="115"/>
      <c r="D103" s="75"/>
      <c r="E103" s="75"/>
      <c r="F103" s="151"/>
      <c r="G103" s="152"/>
      <c r="H103" s="151"/>
      <c r="I103" s="151"/>
      <c r="J103" s="152"/>
      <c r="K103" s="151"/>
      <c r="L103" s="151"/>
      <c r="M103" s="151"/>
      <c r="N103" s="151"/>
      <c r="O103" s="151"/>
      <c r="P103" s="151"/>
      <c r="Q103" s="152"/>
      <c r="R103" s="152"/>
      <c r="S103" s="152"/>
      <c r="T103" s="152"/>
      <c r="U103" s="152"/>
      <c r="V103" s="152"/>
      <c r="W103" s="152"/>
      <c r="X103" s="152"/>
      <c r="Y103" s="152"/>
      <c r="Z103" s="152"/>
      <c r="AA103" s="152"/>
      <c r="AB103" s="152"/>
      <c r="AC103" s="152"/>
      <c r="AD103" s="152"/>
      <c r="AE103" s="151"/>
      <c r="AF103" s="152"/>
      <c r="AG103" s="151"/>
      <c r="AH103" s="152"/>
      <c r="AI103" s="152"/>
      <c r="AJ103" s="1202"/>
      <c r="AK103" s="152"/>
      <c r="AL103" s="152"/>
      <c r="AM103" s="1141"/>
      <c r="AN103" s="152"/>
      <c r="AO103" s="1202"/>
      <c r="AP103" s="152"/>
      <c r="AQ103" s="152"/>
      <c r="AR103" s="1140"/>
      <c r="AS103" s="152"/>
      <c r="AT103" s="1202"/>
      <c r="AU103" s="152"/>
      <c r="AV103" s="152"/>
      <c r="AW103" s="1141"/>
      <c r="AX103" s="583"/>
      <c r="AY103" s="1202"/>
      <c r="AZ103" s="152"/>
      <c r="BA103" s="152"/>
      <c r="BB103" s="1141"/>
      <c r="BC103" s="583"/>
      <c r="BD103" s="1202"/>
      <c r="BE103" s="152"/>
      <c r="BF103" s="152"/>
      <c r="BG103" s="1141"/>
      <c r="BH103" s="152"/>
      <c r="BI103" s="1202"/>
      <c r="BJ103" s="152"/>
      <c r="BK103" s="152"/>
      <c r="BL103" s="1141"/>
      <c r="BM103" s="152"/>
      <c r="BN103" s="1202"/>
      <c r="BO103" s="152"/>
      <c r="BP103" s="152"/>
      <c r="BQ103" s="1141"/>
      <c r="BR103" s="152"/>
      <c r="BS103" s="1340"/>
      <c r="BT103" s="152"/>
      <c r="BU103" s="152"/>
      <c r="BV103" s="1141"/>
      <c r="BW103" s="152"/>
      <c r="BX103" s="1202"/>
      <c r="BY103" s="152"/>
      <c r="BZ103" s="152"/>
      <c r="CA103" s="1141"/>
      <c r="CB103" s="152"/>
      <c r="CC103" s="1202"/>
      <c r="CD103" s="152"/>
      <c r="CE103" s="152"/>
      <c r="CF103" s="1141"/>
      <c r="CG103" s="152"/>
      <c r="CH103" s="1202"/>
      <c r="CI103" s="152"/>
      <c r="CJ103" s="152"/>
      <c r="CK103" s="1141"/>
      <c r="CL103" s="152"/>
      <c r="CM103" s="1202"/>
      <c r="CN103" s="152"/>
      <c r="CO103" s="152"/>
      <c r="CP103" s="1141"/>
      <c r="CQ103" s="1141"/>
      <c r="CR103" s="75"/>
    </row>
    <row r="104" spans="1:96" ht="13.5" customHeight="1">
      <c r="A104" s="75" t="s">
        <v>766</v>
      </c>
      <c r="B104" s="115"/>
      <c r="C104" s="115"/>
      <c r="D104" s="75"/>
      <c r="E104" s="75"/>
      <c r="F104" s="151"/>
      <c r="G104" s="152"/>
      <c r="H104" s="151"/>
      <c r="I104" s="151"/>
      <c r="J104" s="152"/>
      <c r="K104" s="153">
        <f>K98/Operations!K195*1000</f>
        <v>21.584017124509455</v>
      </c>
      <c r="L104" s="153">
        <f>L98/Operations!L195*1000</f>
        <v>75.625680087051151</v>
      </c>
      <c r="M104" s="153">
        <f>M98/Operations!M195*1000</f>
        <v>95.102505694760822</v>
      </c>
      <c r="N104" s="153">
        <f>N98/Operations!N195*1000</f>
        <v>104.10857036623908</v>
      </c>
      <c r="O104" s="153">
        <f>O98/Operations!O195*1000</f>
        <v>73.45982450498461</v>
      </c>
      <c r="P104" s="153">
        <f>P98/Operations!P195*1000</f>
        <v>112.71450858034321</v>
      </c>
      <c r="Q104" s="153">
        <f>Q98/Operations!Q195*1000</f>
        <v>87.986812281063251</v>
      </c>
      <c r="R104" s="153">
        <f>R98/Operations!R195*1000</f>
        <v>32.230522945570975</v>
      </c>
      <c r="S104" s="153">
        <f>S98/Operations!S195*1000</f>
        <v>50.630378226936159</v>
      </c>
      <c r="T104" s="153">
        <f>T98/Operations!T195*1000</f>
        <v>71.657427656003662</v>
      </c>
      <c r="U104" s="153">
        <f>U98/Operations!U195*1000</f>
        <v>69.828230022404782</v>
      </c>
      <c r="V104" s="153">
        <f>V98/Operations!V195*1000</f>
        <v>88.194921070693212</v>
      </c>
      <c r="W104" s="153">
        <f>W98/Operations!W195*1000</f>
        <v>104.86486486486486</v>
      </c>
      <c r="X104" s="153">
        <f>X98/Operations!X195*1000</f>
        <v>68.599428338097184</v>
      </c>
      <c r="Y104" s="153">
        <f>Y98/Operations!Y195*1000</f>
        <v>83.487426035502963</v>
      </c>
      <c r="Z104" s="153">
        <f>Z98/Operations!Z195*1000</f>
        <v>68.016512679378806</v>
      </c>
      <c r="AA104" s="153">
        <f>AA98/Operations!AA195*1000</f>
        <v>71.039244186046517</v>
      </c>
      <c r="AB104" s="153">
        <f>AB98/Operations!AB195*1000</f>
        <v>72.482014388489205</v>
      </c>
      <c r="AC104" s="153">
        <f>AC98/Operations!AC195*1000</f>
        <v>40.617656931856331</v>
      </c>
      <c r="AD104" s="153">
        <f>AD98/Operations!AD195*1000</f>
        <v>62.508480709213444</v>
      </c>
      <c r="AE104" s="153">
        <f>AE98/Operations!AE195*1000</f>
        <v>48.434731246308331</v>
      </c>
      <c r="AF104" s="153">
        <f>AF98/Operations!AF195*1000</f>
        <v>136.26685592618878</v>
      </c>
      <c r="AG104" s="153">
        <f>AG98/Operations!AG195*1000</f>
        <v>226.17752215140681</v>
      </c>
      <c r="AH104" s="153">
        <f>AH98/Operations!AH195*1000</f>
        <v>101.71510242972845</v>
      </c>
      <c r="AI104" s="153">
        <f>AI98/Operations!AI195*1000</f>
        <v>129.66295811518324</v>
      </c>
      <c r="AJ104" s="914">
        <f>AJ98/Operations!AJ195*1000</f>
        <v>-151.53393244499534</v>
      </c>
      <c r="AK104" s="153">
        <f>AK98/Operations!AK195*1000</f>
        <v>-184.90822569680489</v>
      </c>
      <c r="AL104" s="153">
        <f>AL98/Operations!AL195*1000</f>
        <v>-99.086099086099082</v>
      </c>
      <c r="AM104" s="915">
        <f>AM98/Operations!AM195*1000</f>
        <v>-60.163300386764078</v>
      </c>
      <c r="AN104" s="153">
        <f>AN98/Operations!AN195*1000</f>
        <v>-115.14585141178826</v>
      </c>
      <c r="AO104" s="914">
        <f>AO98/Operations!AO195*1000</f>
        <v>-10.547742413027388</v>
      </c>
      <c r="AP104" s="153">
        <f>AP98/Operations!AP195*1000</f>
        <v>33.673469387755105</v>
      </c>
      <c r="AQ104" s="153">
        <f>AQ98/Operations!AQ195*1000</f>
        <v>-24.833543278747523</v>
      </c>
      <c r="AR104" s="915">
        <f>AR98/Operations!AR195*1000</f>
        <v>-24.657534246575342</v>
      </c>
      <c r="AS104" s="153">
        <f>AS98/Operations!AS195*1000</f>
        <v>-5.9150385373722889</v>
      </c>
      <c r="AT104" s="914">
        <f>AT98/Operations!AT195*1000</f>
        <v>-15.625</v>
      </c>
      <c r="AU104" s="153">
        <f>AU98/Operations!AU195*1000</f>
        <v>54.565296471444164</v>
      </c>
      <c r="AV104" s="153">
        <f>AV98/Operations!AV195*1000</f>
        <v>36.10304789550073</v>
      </c>
      <c r="AW104" s="915">
        <f>AW98/Operations!AW195*1000</f>
        <v>-23.06698652887987</v>
      </c>
      <c r="AX104" s="153">
        <f>AX98/Operations!AX195*1000</f>
        <v>12.717386419808566</v>
      </c>
      <c r="AY104" s="914">
        <f>AY98/Operations!AY195*1000</f>
        <v>38.475114719378752</v>
      </c>
      <c r="AZ104" s="153">
        <f>AZ98/Operations!AZ195*1000</f>
        <v>46.558704453441301</v>
      </c>
      <c r="BA104" s="153">
        <f>BA98/Operations!BA195*1000</f>
        <v>18.164794007490638</v>
      </c>
      <c r="BB104" s="915">
        <f>BB98/Operations!BB195*1000</f>
        <v>-1.9098548510313218</v>
      </c>
      <c r="BC104" s="153">
        <f>BC98/Operations!BC195*1000</f>
        <v>25.74275696622993</v>
      </c>
      <c r="BD104" s="914">
        <f>BD98/Operations!BD195*1000</f>
        <v>6.9166363305424099</v>
      </c>
      <c r="BE104" s="153">
        <f>BE98/Operations!BE195*1000</f>
        <v>-1.3343499809378574</v>
      </c>
      <c r="BF104" s="153">
        <f>BF98/Operations!BF195*1000</f>
        <v>12.215669755686605</v>
      </c>
      <c r="BG104" s="915">
        <f>BG98/Operations!BG195*1000</f>
        <v>18.318746183594545</v>
      </c>
      <c r="BH104" s="153">
        <f>BH98/Operations!BH195*1000</f>
        <v>8.7740797019753938</v>
      </c>
      <c r="BI104" s="914">
        <f>BI98/Operations!BI195*1000</f>
        <v>19.906323185011711</v>
      </c>
      <c r="BJ104" s="153">
        <f>BJ98/Operations!BJ195*1000</f>
        <v>19.884668920262477</v>
      </c>
      <c r="BK104" s="153">
        <f>BK98/Operations!BK195*1000</f>
        <v>88.701781868024284</v>
      </c>
      <c r="BL104" s="915">
        <f>BL98/Operations!BL195*1000</f>
        <v>86.633121855173925</v>
      </c>
      <c r="BM104" s="153">
        <f>BM98/Operations!BM195*1000</f>
        <v>52.997831677676366</v>
      </c>
      <c r="BN104" s="914">
        <f>BN98/Operations!BN195*1000</f>
        <v>-8.290660814435503</v>
      </c>
      <c r="BO104" s="153">
        <f>BO98/Operations!BO195*1000</f>
        <v>-29.47052947052947</v>
      </c>
      <c r="BP104" s="153">
        <f>BP98/Operations!BP195*1000</f>
        <v>-13.246753246753247</v>
      </c>
      <c r="BQ104" s="915">
        <f>BQ98/Operations!BQ195*1000</f>
        <v>-38.378378378378372</v>
      </c>
      <c r="BR104" s="153">
        <f>BR98/Operations!BR195*1000</f>
        <v>-22.037687639731715</v>
      </c>
      <c r="BS104" s="914">
        <f>BS98/Operations!BS195*1000</f>
        <v>-65.719855193539402</v>
      </c>
      <c r="BT104" s="153">
        <f>BT98/Operations!BT195*1000</f>
        <v>1.2863390789812195</v>
      </c>
      <c r="BU104" s="153">
        <f>BU98/Operations!BU195*1000</f>
        <v>39.006144803633454</v>
      </c>
      <c r="BV104" s="915">
        <f>BV98/Operations!BV195*1000</f>
        <v>23.354564755838638</v>
      </c>
      <c r="BW104" s="153">
        <f>BW98/Operations!BW195*1000</f>
        <v>0.20014677430115418</v>
      </c>
      <c r="BX104" s="914">
        <f>BX98/Operations!BX195*1000</f>
        <v>-17.227235438884332</v>
      </c>
      <c r="BY104" s="153">
        <f>BY98/Operations!BY195*1000</f>
        <v>62.858633281168487</v>
      </c>
      <c r="BZ104" s="153">
        <f>BZ98/Operations!BZ195*1000</f>
        <v>59.009483667017918</v>
      </c>
      <c r="CA104" s="915">
        <f>CA98/Operations!CA195*1000</f>
        <v>47.508391427833722</v>
      </c>
      <c r="CB104" s="153">
        <f>CB98/Operations!CB195*1000</f>
        <v>38.654353562005277</v>
      </c>
      <c r="CC104" s="914">
        <f>CC98/Operations!CC195*1000</f>
        <v>34.647005510784204</v>
      </c>
      <c r="CD104" s="153">
        <f>CD98/Operations!CD195*1000</f>
        <v>86.327800347499249</v>
      </c>
      <c r="CE104" s="153">
        <f>CE98/Operations!CE195*1000</f>
        <v>102.31030822542053</v>
      </c>
      <c r="CF104" s="915">
        <f>CF98/Operations!CF195*1000</f>
        <v>86.545709379507898</v>
      </c>
      <c r="CG104" s="153">
        <f>CG98/Operations!CG195*1000</f>
        <v>78.478649541041634</v>
      </c>
      <c r="CH104" s="914">
        <f>CH98/Operations!CH195*1000</f>
        <v>50.38407188241591</v>
      </c>
      <c r="CI104" s="153">
        <f>CI98/Operations!CI195*1000</f>
        <v>102.48599164001332</v>
      </c>
      <c r="CJ104" s="153">
        <f>CJ98/Operations!CJ195*1000</f>
        <v>97.06631068453953</v>
      </c>
      <c r="CK104" s="915">
        <f>CK98/Operations!CK195*1000</f>
        <v>93.339947786795705</v>
      </c>
      <c r="CL104" s="153">
        <f>CL98/Operations!CL195*1000</f>
        <v>86.256256599755133</v>
      </c>
      <c r="CM104" s="914">
        <f>CM98/Operations!CM195*1000</f>
        <v>55.301640564576516</v>
      </c>
      <c r="CN104" s="153">
        <f>CN98/Operations!CN195*1000</f>
        <v>83.093469250985308</v>
      </c>
      <c r="CO104" s="153">
        <f>CO98/Operations!CO195*1000</f>
        <v>69.439781789890333</v>
      </c>
      <c r="CP104" s="915">
        <f>CP98/Operations!CP195*1000</f>
        <v>67.857091858563507</v>
      </c>
      <c r="CQ104" s="915">
        <f>CQ98/Operations!CQ195*1000</f>
        <v>69.117407294018676</v>
      </c>
      <c r="CR104" s="75"/>
    </row>
    <row r="105" spans="1:96" ht="13.5" customHeight="1">
      <c r="A105" s="75" t="s">
        <v>772</v>
      </c>
      <c r="B105" s="115"/>
      <c r="C105" s="115"/>
      <c r="D105" s="75"/>
      <c r="E105" s="75"/>
      <c r="F105" s="151"/>
      <c r="G105" s="152"/>
      <c r="H105" s="151"/>
      <c r="I105" s="151"/>
      <c r="J105" s="152"/>
      <c r="K105" s="153">
        <f>K101/Operations!K195*1000</f>
        <v>39.065287192293972</v>
      </c>
      <c r="L105" s="153">
        <f>L101/Operations!L195*1000</f>
        <v>92.491838955386285</v>
      </c>
      <c r="M105" s="153">
        <f>M101/Operations!M195*1000</f>
        <v>113.3257403189066</v>
      </c>
      <c r="N105" s="153">
        <f>N101/Operations!N195*1000</f>
        <v>121.76984569622607</v>
      </c>
      <c r="O105" s="153">
        <f>O101/Operations!O195*1000</f>
        <v>91.009326044011573</v>
      </c>
      <c r="P105" s="153">
        <f>P101/Operations!P195*1000</f>
        <v>131.82527301092043</v>
      </c>
      <c r="Q105" s="153">
        <f>Q101/Operations!Q195*1000</f>
        <v>106.11992581908099</v>
      </c>
      <c r="R105" s="153">
        <f>R101/Operations!R195*1000</f>
        <v>51.013874066168619</v>
      </c>
      <c r="S105" s="153">
        <f>S101/Operations!S195*1000</f>
        <v>69.041424854912947</v>
      </c>
      <c r="T105" s="153">
        <f>T101/Operations!T195*1000</f>
        <v>90.271067487158632</v>
      </c>
      <c r="U105" s="153">
        <f>U101/Operations!U195*1000</f>
        <v>90.739357729648987</v>
      </c>
      <c r="V105" s="153">
        <f>V101/Operations!V195*1000</f>
        <v>107.75566231983527</v>
      </c>
      <c r="W105" s="153">
        <f>W101/Operations!W195*1000</f>
        <v>125.22522522522522</v>
      </c>
      <c r="X105" s="153">
        <f>X101/Operations!X195*1000</f>
        <v>89.424254797876685</v>
      </c>
      <c r="Y105" s="153">
        <f>Y101/Operations!Y195*1000</f>
        <v>103.87389053254438</v>
      </c>
      <c r="Z105" s="153">
        <f>Z101/Operations!Z195*1000</f>
        <v>89.836839001376049</v>
      </c>
      <c r="AA105" s="153">
        <f>AA101/Operations!AA195*1000</f>
        <v>92.478197674418595</v>
      </c>
      <c r="AB105" s="153">
        <f>AB101/Operations!AB195*1000</f>
        <v>94.7841726618705</v>
      </c>
      <c r="AC105" s="153">
        <f>AC101/Operations!AC195*1000</f>
        <v>66.297415240013422</v>
      </c>
      <c r="AD105" s="153">
        <f>AD101/Operations!AD195*1000</f>
        <v>85.395087973223582</v>
      </c>
      <c r="AE105" s="153">
        <f>AE101/Operations!AE195*1000</f>
        <v>71.470761961015938</v>
      </c>
      <c r="AF105" s="153">
        <f>AF101/Operations!AF195*1000</f>
        <v>158.8360539389638</v>
      </c>
      <c r="AG105" s="153">
        <f>AG101/Operations!AG195*1000</f>
        <v>249.33934400746153</v>
      </c>
      <c r="AH105" s="153">
        <f>AH101/Operations!AH195*1000</f>
        <v>135.30252501191043</v>
      </c>
      <c r="AI105" s="153">
        <f>AI101/Operations!AI195*1000</f>
        <v>154.40935863874344</v>
      </c>
      <c r="AJ105" s="914">
        <f>AJ101/Operations!AJ195*1000</f>
        <v>-102.57204834211342</v>
      </c>
      <c r="AK105" s="153">
        <f>AK101/Operations!AK195*1000</f>
        <v>-130.86335825968729</v>
      </c>
      <c r="AL105" s="153">
        <f>AL101/Operations!AL195*1000</f>
        <v>-58.922558922558927</v>
      </c>
      <c r="AM105" s="915">
        <f>AM101/Operations!AM195*1000</f>
        <v>-22.131499785131069</v>
      </c>
      <c r="AN105" s="153">
        <f>AN101/Operations!AN195*1000</f>
        <v>-71.023296175155195</v>
      </c>
      <c r="AO105" s="914">
        <f>AO101/Operations!AO195*1000</f>
        <v>19.985196150999258</v>
      </c>
      <c r="AP105" s="153">
        <f>AP101/Operations!AP195*1000</f>
        <v>61.224489795918366</v>
      </c>
      <c r="AQ105" s="153">
        <f>AQ101/Operations!AQ195*1000</f>
        <v>4.4988303041209283</v>
      </c>
      <c r="AR105" s="915">
        <f>AR101/Operations!AR195*1000</f>
        <v>6.0273972602739727</v>
      </c>
      <c r="AS105" s="153">
        <f>AS101/Operations!AS195*1000</f>
        <v>23.570532353468362</v>
      </c>
      <c r="AT105" s="914">
        <f>AT101/Operations!AT195*1000</f>
        <v>13.392857142857142</v>
      </c>
      <c r="AU105" s="153">
        <f>AU101/Operations!AU195*1000</f>
        <v>85.667515460167337</v>
      </c>
      <c r="AV105" s="153">
        <f>AV101/Operations!AV195*1000</f>
        <v>67.307692307692307</v>
      </c>
      <c r="AW105" s="915">
        <f>AW101/Operations!AW195*1000</f>
        <v>8.1195792581657127</v>
      </c>
      <c r="AX105" s="153">
        <f>AX101/Operations!AX195*1000</f>
        <v>43.32000179751045</v>
      </c>
      <c r="AY105" s="914">
        <f>AY101/Operations!AY195*1000</f>
        <v>67.243205082950936</v>
      </c>
      <c r="AZ105" s="153">
        <f>AZ101/Operations!AZ195*1000</f>
        <v>76.739050423260949</v>
      </c>
      <c r="BA105" s="153">
        <f>BA101/Operations!BA195*1000</f>
        <v>48.68913857677903</v>
      </c>
      <c r="BB105" s="915">
        <f>BB101/Operations!BB195*1000</f>
        <v>30.748663101604279</v>
      </c>
      <c r="BC105" s="153">
        <f>BC101/Operations!BC195*1000</f>
        <v>56.237313157409119</v>
      </c>
      <c r="BD105" s="914">
        <f>BD101/Operations!BD195*1000</f>
        <v>38.041499817983258</v>
      </c>
      <c r="BE105" s="153">
        <f>BE101/Operations!BE195*1000</f>
        <v>31.071292413267251</v>
      </c>
      <c r="BF105" s="153">
        <f>BF101/Operations!BF195*1000</f>
        <v>48.652064026958719</v>
      </c>
      <c r="BG105" s="915">
        <f>BG101/Operations!BG195*1000</f>
        <v>52.920822308162016</v>
      </c>
      <c r="BH105" s="153">
        <f>BH101/Operations!BH195*1000</f>
        <v>42.30184794862997</v>
      </c>
      <c r="BI105" s="914">
        <f>BI101/Operations!BI195*1000</f>
        <v>52.302888368462142</v>
      </c>
      <c r="BJ105" s="153">
        <f>BJ101/Operations!BJ195*1000</f>
        <v>52.694372638695562</v>
      </c>
      <c r="BK105" s="153">
        <f>BK101/Operations!BK195*1000</f>
        <v>119.63971020168395</v>
      </c>
      <c r="BL105" s="915">
        <f>BL101/Operations!BL195*1000</f>
        <v>116.82345219864362</v>
      </c>
      <c r="BM105" s="153">
        <f>BM101/Operations!BM195*1000</f>
        <v>84.614996722303459</v>
      </c>
      <c r="BN105" s="914">
        <f>BN101/Operations!BN195*1000</f>
        <v>26.822726164350161</v>
      </c>
      <c r="BO105" s="153">
        <f>BO101/Operations!BO195*1000</f>
        <v>4.9950049950049946</v>
      </c>
      <c r="BP105" s="153">
        <f>BP101/Operations!BP195*1000</f>
        <v>22.077922077922079</v>
      </c>
      <c r="BQ105" s="915">
        <f>BQ101/Operations!BQ195*1000</f>
        <v>-3.5135135135135136</v>
      </c>
      <c r="BR105" s="153">
        <f>BR101/Operations!BR195*1000</f>
        <v>12.903225806451612</v>
      </c>
      <c r="BS105" s="914">
        <f>BS101/Operations!BS195*1000</f>
        <v>-29.796714007240322</v>
      </c>
      <c r="BT105" s="153">
        <f>BT101/Operations!BT195*1000</f>
        <v>34.473887316696683</v>
      </c>
      <c r="BU105" s="153">
        <f>BU101/Operations!BU195*1000</f>
        <v>72.668982099919859</v>
      </c>
      <c r="BV105" s="915">
        <f>BV101/Operations!BV195*1000</f>
        <v>55.997876857749468</v>
      </c>
      <c r="BW105" s="153">
        <f>BW101/Operations!BW195*1000</f>
        <v>34.02495163119621</v>
      </c>
      <c r="BX105" s="914">
        <f>BX101/Operations!BX195*1000</f>
        <v>20.235165436149849</v>
      </c>
      <c r="BY105" s="153">
        <f>BY101/Operations!BY195*1000</f>
        <v>94.418362023995826</v>
      </c>
      <c r="BZ105" s="153">
        <f>BZ101/Operations!BZ195*1000</f>
        <v>90.094836670179134</v>
      </c>
      <c r="CA105" s="915">
        <f>CA101/Operations!CA195*1000</f>
        <v>79.783113865220756</v>
      </c>
      <c r="CB105" s="153">
        <f>CB101/Operations!CB195*1000</f>
        <v>71.701846965699218</v>
      </c>
      <c r="CC105" s="914">
        <f>CC101/Operations!CC195*1000</f>
        <v>70.436433530652749</v>
      </c>
      <c r="CD105" s="153">
        <f>CD101/Operations!CD195*1000</f>
        <v>118.16373233157101</v>
      </c>
      <c r="CE105" s="153">
        <f>CE101/Operations!CE195*1000</f>
        <v>132.64744185560107</v>
      </c>
      <c r="CF105" s="915">
        <f>CF101/Operations!CF195*1000</f>
        <v>114.09068553513941</v>
      </c>
      <c r="CG105" s="153">
        <f>CG101/Operations!CG195*1000</f>
        <v>109.71760546571473</v>
      </c>
      <c r="CH105" s="914">
        <f>CH101/Operations!CH195*1000</f>
        <v>83.314742940637018</v>
      </c>
      <c r="CI105" s="153">
        <f>CI101/Operations!CI195*1000</f>
        <v>131.68334768097185</v>
      </c>
      <c r="CJ105" s="153">
        <f>CJ101/Operations!CJ195*1000</f>
        <v>126.94562716144043</v>
      </c>
      <c r="CK105" s="915">
        <f>CK101/Operations!CK195*1000</f>
        <v>120.49250000983064</v>
      </c>
      <c r="CL105" s="153">
        <f>CL101/Operations!CL195*1000</f>
        <v>116.00253278047214</v>
      </c>
      <c r="CM105" s="914">
        <f>CM101/Operations!CM195*1000</f>
        <v>88.193973433549857</v>
      </c>
      <c r="CN105" s="153">
        <f>CN101/Operations!CN195*1000</f>
        <v>112.24501156658009</v>
      </c>
      <c r="CO105" s="153">
        <f>CO101/Operations!CO195*1000</f>
        <v>99.269790672978274</v>
      </c>
      <c r="CP105" s="915">
        <f>CP101/Operations!CP195*1000</f>
        <v>94.9724623877852</v>
      </c>
      <c r="CQ105" s="915">
        <f>CQ101/Operations!CQ195*1000</f>
        <v>98.820819042743821</v>
      </c>
      <c r="CR105" s="75"/>
    </row>
    <row r="106" spans="1:96" ht="6.2" customHeight="1">
      <c r="A106" s="75"/>
      <c r="B106" s="115"/>
      <c r="C106" s="115"/>
      <c r="D106" s="75"/>
      <c r="E106" s="75"/>
      <c r="F106" s="151"/>
      <c r="G106" s="152"/>
      <c r="H106" s="151"/>
      <c r="I106" s="151"/>
      <c r="J106" s="152"/>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914"/>
      <c r="AK106" s="153"/>
      <c r="AL106" s="153"/>
      <c r="AM106" s="915"/>
      <c r="AN106" s="153"/>
      <c r="AO106" s="914"/>
      <c r="AP106" s="153"/>
      <c r="AQ106" s="153"/>
      <c r="AR106" s="915"/>
      <c r="AS106" s="153"/>
      <c r="AT106" s="914"/>
      <c r="AU106" s="153"/>
      <c r="AV106" s="153"/>
      <c r="AW106" s="915"/>
      <c r="AX106" s="153"/>
      <c r="AY106" s="914"/>
      <c r="AZ106" s="153"/>
      <c r="BA106" s="153"/>
      <c r="BB106" s="915"/>
      <c r="BC106" s="153"/>
      <c r="BD106" s="914"/>
      <c r="BE106" s="153"/>
      <c r="BF106" s="153"/>
      <c r="BG106" s="915"/>
      <c r="BH106" s="153"/>
      <c r="BI106" s="914"/>
      <c r="BJ106" s="153"/>
      <c r="BK106" s="153"/>
      <c r="BL106" s="915"/>
      <c r="BM106" s="153"/>
      <c r="BN106" s="914"/>
      <c r="BO106" s="153"/>
      <c r="BP106" s="153"/>
      <c r="BQ106" s="915"/>
      <c r="BR106" s="153"/>
      <c r="BS106" s="914"/>
      <c r="BT106" s="153"/>
      <c r="BU106" s="153"/>
      <c r="BV106" s="915"/>
      <c r="BW106" s="153"/>
      <c r="BX106" s="914"/>
      <c r="BY106" s="153"/>
      <c r="BZ106" s="153"/>
      <c r="CA106" s="915"/>
      <c r="CB106" s="153"/>
      <c r="CC106" s="914"/>
      <c r="CD106" s="153"/>
      <c r="CE106" s="153"/>
      <c r="CF106" s="915"/>
      <c r="CG106" s="153"/>
      <c r="CH106" s="914"/>
      <c r="CI106" s="153"/>
      <c r="CJ106" s="153"/>
      <c r="CK106" s="915"/>
      <c r="CL106" s="153"/>
      <c r="CM106" s="914"/>
      <c r="CN106" s="153"/>
      <c r="CO106" s="153"/>
      <c r="CP106" s="915"/>
      <c r="CQ106" s="915"/>
      <c r="CR106" s="75"/>
    </row>
    <row r="107" spans="1:96" ht="13.5" customHeight="1">
      <c r="A107" s="93" t="s">
        <v>907</v>
      </c>
      <c r="B107" s="115"/>
      <c r="C107" s="115"/>
      <c r="D107" s="75"/>
      <c r="E107" s="75"/>
      <c r="F107" s="151"/>
      <c r="G107" s="152"/>
      <c r="H107" s="151"/>
      <c r="I107" s="151"/>
      <c r="J107" s="152"/>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3"/>
      <c r="AI107" s="153"/>
      <c r="AJ107" s="914"/>
      <c r="AK107" s="153"/>
      <c r="AL107" s="153"/>
      <c r="AM107" s="915"/>
      <c r="AN107" s="153"/>
      <c r="AO107" s="914"/>
      <c r="AP107" s="153"/>
      <c r="AQ107" s="153"/>
      <c r="AR107" s="915"/>
      <c r="AS107" s="153"/>
      <c r="AT107" s="914"/>
      <c r="AU107" s="153"/>
      <c r="AV107" s="153"/>
      <c r="AW107" s="915"/>
      <c r="AX107" s="153"/>
      <c r="AY107" s="914"/>
      <c r="AZ107" s="153"/>
      <c r="BA107" s="153"/>
      <c r="BB107" s="915"/>
      <c r="BC107" s="153"/>
      <c r="BD107" s="914"/>
      <c r="BE107" s="153"/>
      <c r="BF107" s="153"/>
      <c r="BG107" s="915"/>
      <c r="BH107" s="153"/>
      <c r="BI107" s="914"/>
      <c r="BJ107" s="153"/>
      <c r="BK107" s="153"/>
      <c r="BL107" s="915"/>
      <c r="BM107" s="153"/>
      <c r="BN107" s="914"/>
      <c r="BO107" s="153"/>
      <c r="BP107" s="153"/>
      <c r="BQ107" s="915"/>
      <c r="BR107" s="153"/>
      <c r="BS107" s="914"/>
      <c r="BT107" s="153"/>
      <c r="BU107" s="153"/>
      <c r="BV107" s="915"/>
      <c r="BW107" s="153"/>
      <c r="BX107" s="914"/>
      <c r="BY107" s="153"/>
      <c r="BZ107" s="153"/>
      <c r="CA107" s="915"/>
      <c r="CB107" s="153"/>
      <c r="CC107" s="914"/>
      <c r="CD107" s="153"/>
      <c r="CE107" s="153"/>
      <c r="CF107" s="915"/>
      <c r="CG107" s="153"/>
      <c r="CH107" s="914"/>
      <c r="CI107" s="153"/>
      <c r="CJ107" s="153"/>
      <c r="CK107" s="915"/>
      <c r="CL107" s="153"/>
      <c r="CM107" s="914"/>
      <c r="CN107" s="153"/>
      <c r="CO107" s="153"/>
      <c r="CP107" s="915"/>
      <c r="CQ107" s="915"/>
      <c r="CR107" s="75"/>
    </row>
    <row r="108" spans="1:96" ht="13.5" customHeight="1">
      <c r="A108" s="389" t="s">
        <v>903</v>
      </c>
      <c r="B108" s="115"/>
      <c r="C108" s="115"/>
      <c r="D108" s="75"/>
      <c r="E108" s="75"/>
      <c r="F108" s="151"/>
      <c r="G108" s="152"/>
      <c r="H108" s="151"/>
      <c r="I108" s="151"/>
      <c r="J108" s="152"/>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3"/>
      <c r="AI108" s="153"/>
      <c r="AJ108" s="914"/>
      <c r="AK108" s="153"/>
      <c r="AL108" s="153"/>
      <c r="AM108" s="915"/>
      <c r="AN108" s="153"/>
      <c r="AO108" s="914"/>
      <c r="AP108" s="153"/>
      <c r="AQ108" s="153"/>
      <c r="AR108" s="915"/>
      <c r="AS108" s="153"/>
      <c r="AT108" s="914"/>
      <c r="AU108" s="153"/>
      <c r="AV108" s="153"/>
      <c r="AW108" s="915"/>
      <c r="AX108" s="153"/>
      <c r="AY108" s="914"/>
      <c r="AZ108" s="153"/>
      <c r="BA108" s="153"/>
      <c r="BB108" s="915"/>
      <c r="BC108" s="153"/>
      <c r="BD108" s="914"/>
      <c r="BE108" s="1314">
        <v>0</v>
      </c>
      <c r="BF108" s="1314">
        <v>0</v>
      </c>
      <c r="BG108" s="1315">
        <v>0</v>
      </c>
      <c r="BH108" s="649">
        <v>0</v>
      </c>
      <c r="BI108" s="1326">
        <v>0</v>
      </c>
      <c r="BJ108" s="1314">
        <v>0</v>
      </c>
      <c r="BK108" s="1314">
        <v>0</v>
      </c>
      <c r="BL108" s="1315">
        <v>0</v>
      </c>
      <c r="BM108" s="649">
        <v>0</v>
      </c>
      <c r="BN108" s="1326">
        <v>0</v>
      </c>
      <c r="BO108" s="1314">
        <v>0</v>
      </c>
      <c r="BP108" s="1314">
        <v>0</v>
      </c>
      <c r="BQ108" s="1315">
        <v>0</v>
      </c>
      <c r="BR108" s="649">
        <v>0</v>
      </c>
      <c r="BS108" s="1326">
        <v>0</v>
      </c>
      <c r="BT108" s="1314">
        <v>0</v>
      </c>
      <c r="BU108" s="1314">
        <v>0</v>
      </c>
      <c r="BV108" s="1315">
        <v>0</v>
      </c>
      <c r="BW108" s="649">
        <v>0</v>
      </c>
      <c r="BX108" s="1326">
        <v>0</v>
      </c>
      <c r="BY108" s="1314">
        <v>0</v>
      </c>
      <c r="BZ108" s="1314">
        <v>0</v>
      </c>
      <c r="CA108" s="1315">
        <v>0</v>
      </c>
      <c r="CB108" s="649">
        <v>0</v>
      </c>
      <c r="CC108" s="1326">
        <v>0</v>
      </c>
      <c r="CD108" s="1314">
        <v>0</v>
      </c>
      <c r="CE108" s="1314">
        <v>0</v>
      </c>
      <c r="CF108" s="1315">
        <v>0</v>
      </c>
      <c r="CG108" s="649">
        <v>0</v>
      </c>
      <c r="CH108" s="1326">
        <v>0</v>
      </c>
      <c r="CI108" s="1314">
        <v>0</v>
      </c>
      <c r="CJ108" s="1314">
        <v>0</v>
      </c>
      <c r="CK108" s="1315">
        <v>0</v>
      </c>
      <c r="CL108" s="649">
        <v>0</v>
      </c>
      <c r="CM108" s="1326">
        <v>0</v>
      </c>
      <c r="CN108" s="1314">
        <v>0</v>
      </c>
      <c r="CO108" s="1314">
        <v>0</v>
      </c>
      <c r="CP108" s="1315">
        <v>0</v>
      </c>
      <c r="CQ108" s="1315">
        <v>0</v>
      </c>
      <c r="CR108" s="75"/>
    </row>
    <row r="109" spans="1:96" ht="13.5" customHeight="1">
      <c r="A109" s="389" t="s">
        <v>904</v>
      </c>
      <c r="B109" s="115"/>
      <c r="C109" s="115"/>
      <c r="D109" s="75"/>
      <c r="E109" s="75"/>
      <c r="F109" s="151"/>
      <c r="G109" s="152"/>
      <c r="H109" s="151"/>
      <c r="I109" s="151"/>
      <c r="J109" s="152"/>
      <c r="K109" s="153"/>
      <c r="L109" s="153"/>
      <c r="M109" s="153"/>
      <c r="N109" s="153"/>
      <c r="O109" s="153"/>
      <c r="P109" s="153"/>
      <c r="Q109" s="153"/>
      <c r="R109" s="153"/>
      <c r="S109" s="153"/>
      <c r="T109" s="153"/>
      <c r="U109" s="153"/>
      <c r="V109" s="153"/>
      <c r="W109" s="153"/>
      <c r="X109" s="153"/>
      <c r="Y109" s="153"/>
      <c r="Z109" s="153"/>
      <c r="AA109" s="153"/>
      <c r="AB109" s="153"/>
      <c r="AC109" s="153"/>
      <c r="AD109" s="153"/>
      <c r="AE109" s="153"/>
      <c r="AF109" s="153"/>
      <c r="AG109" s="153"/>
      <c r="AH109" s="153"/>
      <c r="AI109" s="153"/>
      <c r="AJ109" s="914"/>
      <c r="AK109" s="153"/>
      <c r="AL109" s="153"/>
      <c r="AM109" s="915"/>
      <c r="AN109" s="153"/>
      <c r="AO109" s="914"/>
      <c r="AP109" s="153"/>
      <c r="AQ109" s="153"/>
      <c r="AR109" s="915"/>
      <c r="AS109" s="153"/>
      <c r="AT109" s="914"/>
      <c r="AU109" s="153"/>
      <c r="AV109" s="153"/>
      <c r="AW109" s="915"/>
      <c r="AX109" s="153"/>
      <c r="AY109" s="914"/>
      <c r="AZ109" s="153"/>
      <c r="BA109" s="153"/>
      <c r="BB109" s="1287"/>
      <c r="BC109" s="153"/>
      <c r="BD109" s="914"/>
      <c r="BE109" s="1314">
        <v>3.4664285714285712</v>
      </c>
      <c r="BF109" s="1314">
        <v>3.4664285714285712</v>
      </c>
      <c r="BG109" s="1315">
        <v>3.4664285714285712</v>
      </c>
      <c r="BH109" s="649">
        <v>3.4664285714285712</v>
      </c>
      <c r="BI109" s="1326">
        <v>3.4664285714285712</v>
      </c>
      <c r="BJ109" s="1314">
        <v>3.4664285714285712</v>
      </c>
      <c r="BK109" s="1314">
        <v>3.4664285714285712</v>
      </c>
      <c r="BL109" s="1315">
        <v>3.4664285714285712</v>
      </c>
      <c r="BM109" s="649">
        <v>3.4664285714285712</v>
      </c>
      <c r="BN109" s="1316">
        <f>IF(Operations!BN216&gt;25.29,((Operations!BN216*12.495)-316)/Operations!BN216,0)</f>
        <v>0</v>
      </c>
      <c r="BO109" s="1317">
        <f>IF(Operations!BO216&gt;25.29,((Operations!BO216*12.495)-316)/Operations!BO216,0)</f>
        <v>0</v>
      </c>
      <c r="BP109" s="1317">
        <f>IF(Operations!BP216&gt;25.29,((Operations!BP216*12.495)-316)/Operations!BP216,0)</f>
        <v>0</v>
      </c>
      <c r="BQ109" s="1318">
        <f>IF(Operations!BQ216&gt;25.29,((Operations!BQ216*12.495)-316)/Operations!BQ216,0)</f>
        <v>0</v>
      </c>
      <c r="BR109" s="676">
        <f>IF(Operations!BR216&gt;25.29,((Operations!BR216*12.495)-316)/Operations!BR216,0)</f>
        <v>0</v>
      </c>
      <c r="BS109" s="1316">
        <f>IF(Operations!BS216&gt;25.29,((Operations!BS216*12.495)-316)/Operations!BS216,0)</f>
        <v>0</v>
      </c>
      <c r="BT109" s="1317">
        <f>IF(Operations!BT216&gt;25.29,((Operations!BT216*12.495)-316)/Operations!BT216,0)</f>
        <v>0</v>
      </c>
      <c r="BU109" s="1317">
        <f>IF(Operations!BU216&gt;25.29,((Operations!BU216*12.495)-316)/Operations!BU216,0)</f>
        <v>0</v>
      </c>
      <c r="BV109" s="1318">
        <f>IF(Operations!BV216&gt;25.29,((Operations!BV216*12.495)-316)/Operations!BV216,0)</f>
        <v>0</v>
      </c>
      <c r="BW109" s="676">
        <f>IF(Operations!BW216&gt;25.29,((Operations!BW216*12.495)-316)/Operations!BW216,0)</f>
        <v>0</v>
      </c>
      <c r="BX109" s="1316">
        <f>IF(Operations!BX216&gt;25.29,((Operations!BX216*12.495)-316)/Operations!BX216,0)</f>
        <v>0</v>
      </c>
      <c r="BY109" s="1317">
        <f>IF(Operations!BY216&gt;25.29,((Operations!BY216*12.495)-316)/Operations!BY216,0)</f>
        <v>0</v>
      </c>
      <c r="BZ109" s="1317">
        <f>IF(Operations!BZ216&gt;25.29,((Operations!BZ216*12.495)-316)/Operations!BZ216,0)</f>
        <v>0</v>
      </c>
      <c r="CA109" s="1318">
        <f>IF(Operations!CA216&gt;25.29,((Operations!CA216*12.495)-316)/Operations!CA216,0)</f>
        <v>1.9616666666666656</v>
      </c>
      <c r="CB109" s="676">
        <f>IF(Operations!CB216&gt;25.29,((Operations!CB216*12.495)-316)/Operations!CB216,0)</f>
        <v>1.9616666666666656</v>
      </c>
      <c r="CC109" s="1316"/>
      <c r="CD109" s="1317"/>
      <c r="CE109" s="1317"/>
      <c r="CF109" s="1318"/>
      <c r="CG109" s="676"/>
      <c r="CH109" s="1316"/>
      <c r="CI109" s="1317"/>
      <c r="CJ109" s="1317"/>
      <c r="CK109" s="1318"/>
      <c r="CL109" s="676"/>
      <c r="CM109" s="1316"/>
      <c r="CN109" s="1317"/>
      <c r="CO109" s="1317"/>
      <c r="CP109" s="1318"/>
      <c r="CQ109" s="1318"/>
      <c r="CR109" s="75"/>
    </row>
    <row r="110" spans="1:96" ht="6.2" customHeight="1">
      <c r="A110" s="75"/>
      <c r="B110" s="115"/>
      <c r="C110" s="115"/>
      <c r="D110" s="75"/>
      <c r="E110" s="75"/>
      <c r="F110" s="151"/>
      <c r="G110" s="152"/>
      <c r="H110" s="151"/>
      <c r="I110" s="151"/>
      <c r="J110" s="152"/>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914"/>
      <c r="AK110" s="153"/>
      <c r="AL110" s="153"/>
      <c r="AM110" s="915"/>
      <c r="AN110" s="153"/>
      <c r="AO110" s="914"/>
      <c r="AP110" s="153"/>
      <c r="AQ110" s="153"/>
      <c r="AR110" s="915"/>
      <c r="AS110" s="153"/>
      <c r="AT110" s="914"/>
      <c r="AU110" s="153"/>
      <c r="AV110" s="153"/>
      <c r="AW110" s="915"/>
      <c r="AX110" s="153"/>
      <c r="AY110" s="914"/>
      <c r="AZ110" s="153"/>
      <c r="BA110" s="153"/>
      <c r="BB110" s="915"/>
      <c r="BC110" s="153"/>
      <c r="BD110" s="914"/>
      <c r="BE110" s="153"/>
      <c r="BF110" s="153"/>
      <c r="BG110" s="915"/>
      <c r="BH110" s="153"/>
      <c r="BI110" s="914"/>
      <c r="BJ110" s="153"/>
      <c r="BK110" s="153"/>
      <c r="BL110" s="915"/>
      <c r="BM110" s="153"/>
      <c r="BN110" s="914"/>
      <c r="BO110" s="153"/>
      <c r="BP110" s="153"/>
      <c r="BQ110" s="915"/>
      <c r="BR110" s="153"/>
      <c r="BS110" s="914"/>
      <c r="BT110" s="153"/>
      <c r="BU110" s="153"/>
      <c r="BV110" s="915"/>
      <c r="BW110" s="153"/>
      <c r="BX110" s="914"/>
      <c r="BY110" s="153"/>
      <c r="BZ110" s="153"/>
      <c r="CA110" s="915"/>
      <c r="CB110" s="153"/>
      <c r="CC110" s="914"/>
      <c r="CD110" s="153"/>
      <c r="CE110" s="153"/>
      <c r="CF110" s="915"/>
      <c r="CG110" s="153"/>
      <c r="CH110" s="914"/>
      <c r="CI110" s="153"/>
      <c r="CJ110" s="153"/>
      <c r="CK110" s="915"/>
      <c r="CL110" s="153"/>
      <c r="CM110" s="914"/>
      <c r="CN110" s="153"/>
      <c r="CO110" s="153"/>
      <c r="CP110" s="915"/>
      <c r="CQ110" s="915"/>
      <c r="CR110" s="75"/>
    </row>
    <row r="111" spans="1:96" ht="13.5" customHeight="1">
      <c r="A111" s="389" t="s">
        <v>905</v>
      </c>
      <c r="B111" s="115"/>
      <c r="C111" s="115"/>
      <c r="D111" s="75"/>
      <c r="E111" s="75"/>
      <c r="F111" s="151"/>
      <c r="G111" s="152"/>
      <c r="H111" s="151"/>
      <c r="I111" s="151"/>
      <c r="J111" s="152"/>
      <c r="K111" s="153"/>
      <c r="L111" s="153"/>
      <c r="M111" s="153"/>
      <c r="N111" s="153"/>
      <c r="O111" s="153"/>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914"/>
      <c r="AK111" s="153"/>
      <c r="AL111" s="153"/>
      <c r="AM111" s="915"/>
      <c r="AN111" s="153"/>
      <c r="AO111" s="914"/>
      <c r="AP111" s="153"/>
      <c r="AQ111" s="153"/>
      <c r="AR111" s="915"/>
      <c r="AS111" s="153"/>
      <c r="AT111" s="914"/>
      <c r="AU111" s="153"/>
      <c r="AV111" s="153"/>
      <c r="AW111" s="915"/>
      <c r="AX111" s="153"/>
      <c r="AY111" s="914"/>
      <c r="AZ111" s="153"/>
      <c r="BA111" s="153"/>
      <c r="BB111" s="915"/>
      <c r="BC111" s="153"/>
      <c r="BD111" s="1316">
        <f>IF((BD59/BD77)&gt;((BD59+1.413+2.093)/(BD77+12.507+10.101945)),2.093,0)</f>
        <v>0</v>
      </c>
      <c r="BE111" s="1317">
        <f>IF((BE59/BE77)&gt;((BE59+1.413+2.093)/(BE77+12.507+10.101945)),2.093,0)</f>
        <v>0</v>
      </c>
      <c r="BF111" s="1317">
        <f>IF((BF59/BF77)&gt;((BF59+1.413+2.093)/(BF77+12.507+10.101945)),2.093,0)</f>
        <v>0</v>
      </c>
      <c r="BG111" s="1318">
        <f>IF((BG59/BG77)&gt;((BG59+1.413+2.093)/(BG77+12.507+10.101945)),2.093,0)</f>
        <v>2.093</v>
      </c>
      <c r="BH111" s="676">
        <f>IF((BH59/BH77)&gt;((BH59+5.653+8.372)/(BH77+12.507+10.101945)),8.372,0)</f>
        <v>0</v>
      </c>
      <c r="BI111" s="1316">
        <f>IF((BI59/BI77)&gt;((BI59+1.413+2.093)/(BI77+12.507+10.101945)),2.093,0)</f>
        <v>2.093</v>
      </c>
      <c r="BJ111" s="1314">
        <v>0</v>
      </c>
      <c r="BK111" s="1327"/>
      <c r="BL111" s="1287"/>
      <c r="BM111" s="390"/>
      <c r="BN111" s="1336"/>
      <c r="BO111" s="1327"/>
      <c r="BP111" s="1327"/>
      <c r="BQ111" s="1287"/>
      <c r="BR111" s="390"/>
      <c r="BS111" s="1336"/>
      <c r="BT111" s="1327"/>
      <c r="BU111" s="1327"/>
      <c r="BV111" s="1287"/>
      <c r="BW111" s="390"/>
      <c r="BX111" s="1336"/>
      <c r="BY111" s="1327"/>
      <c r="BZ111" s="1327"/>
      <c r="CA111" s="1287"/>
      <c r="CB111" s="390"/>
      <c r="CC111" s="1336"/>
      <c r="CD111" s="1327"/>
      <c r="CE111" s="1327"/>
      <c r="CF111" s="1287"/>
      <c r="CG111" s="390"/>
      <c r="CH111" s="1336"/>
      <c r="CI111" s="1327"/>
      <c r="CJ111" s="1327"/>
      <c r="CK111" s="1287"/>
      <c r="CL111" s="390"/>
      <c r="CM111" s="1336"/>
      <c r="CN111" s="1327"/>
      <c r="CO111" s="1327"/>
      <c r="CP111" s="1287"/>
      <c r="CQ111" s="1287"/>
      <c r="CR111" s="75"/>
    </row>
    <row r="112" spans="1:96" ht="13.5" customHeight="1">
      <c r="A112" s="389" t="s">
        <v>906</v>
      </c>
      <c r="B112" s="75"/>
      <c r="C112" s="75"/>
      <c r="D112" s="75"/>
      <c r="E112" s="75"/>
      <c r="F112" s="154"/>
      <c r="G112" s="190"/>
      <c r="H112" s="190"/>
      <c r="I112" s="190"/>
      <c r="J112" s="190"/>
      <c r="K112" s="190"/>
      <c r="L112" s="190"/>
      <c r="M112" s="190"/>
      <c r="N112" s="190"/>
      <c r="O112" s="190"/>
      <c r="P112" s="190"/>
      <c r="Q112" s="190"/>
      <c r="R112" s="190"/>
      <c r="S112" s="190"/>
      <c r="T112" s="190"/>
      <c r="U112" s="142"/>
      <c r="V112" s="142"/>
      <c r="W112" s="142"/>
      <c r="X112" s="142"/>
      <c r="Y112" s="142"/>
      <c r="Z112" s="142"/>
      <c r="AA112" s="142"/>
      <c r="AB112" s="142"/>
      <c r="AC112" s="142"/>
      <c r="AD112" s="142"/>
      <c r="AE112" s="142"/>
      <c r="AF112" s="142"/>
      <c r="AG112" s="142"/>
      <c r="AH112" s="142"/>
      <c r="AI112" s="142"/>
      <c r="AJ112" s="1132"/>
      <c r="AK112" s="85"/>
      <c r="AL112" s="85"/>
      <c r="AM112" s="1133"/>
      <c r="AN112" s="142"/>
      <c r="AO112" s="1132"/>
      <c r="AP112" s="85"/>
      <c r="AQ112" s="85"/>
      <c r="AR112" s="1133"/>
      <c r="AS112" s="142"/>
      <c r="AT112" s="1132"/>
      <c r="AU112" s="85"/>
      <c r="AV112" s="85"/>
      <c r="AW112" s="1133"/>
      <c r="AX112" s="142"/>
      <c r="AY112" s="1132"/>
      <c r="AZ112" s="85"/>
      <c r="BA112" s="85"/>
      <c r="BB112" s="1133"/>
      <c r="BC112" s="142"/>
      <c r="BD112" s="1316">
        <f>IF((BD59/BD77)&gt;((BD59+1.413+2.093)/(BD77+12.507+10.101945)),10.101945,0)</f>
        <v>0</v>
      </c>
      <c r="BE112" s="1317">
        <f>IF((BE59/BE77)&gt;((BE59+1.413+2.093)/(BE77+12.507+10.101945)),10.101945,0)</f>
        <v>0</v>
      </c>
      <c r="BF112" s="1317">
        <f>IF((BF59/BF77)&gt;((BF59+1.413+2.093)/(BF77+12.507+10.101945)),10.101945,0)</f>
        <v>0</v>
      </c>
      <c r="BG112" s="1318">
        <f>IF((BG59/BG77)&gt;((BG59+1.413+2.093)/(BG77+12.507+10.101945)),10.101945,0)</f>
        <v>10.101945000000001</v>
      </c>
      <c r="BH112" s="676">
        <f>IF((BH59/BH77)&gt;((BH59+5.653+8.372)/(BH77+12.507+10.101945)),10.101945,0)</f>
        <v>0</v>
      </c>
      <c r="BI112" s="1316">
        <f>IF((BI59/BI77)&gt;((BI59+1.413+2.093)/(BI77+12.507+10.101945)),10.101945,0)</f>
        <v>10.101945000000001</v>
      </c>
      <c r="BJ112" s="1314">
        <v>0</v>
      </c>
      <c r="BK112" s="1327"/>
      <c r="BL112" s="1287"/>
      <c r="BM112" s="390"/>
      <c r="BN112" s="1336"/>
      <c r="BO112" s="1327"/>
      <c r="BP112" s="1327"/>
      <c r="BQ112" s="1287"/>
      <c r="BR112" s="390"/>
      <c r="BS112" s="1336"/>
      <c r="BT112" s="1327"/>
      <c r="BU112" s="1327"/>
      <c r="BV112" s="1287"/>
      <c r="BW112" s="390"/>
      <c r="BX112" s="1336"/>
      <c r="BY112" s="1327"/>
      <c r="BZ112" s="1327"/>
      <c r="CA112" s="1287"/>
      <c r="CB112" s="390"/>
      <c r="CC112" s="1336"/>
      <c r="CD112" s="1327"/>
      <c r="CE112" s="1327"/>
      <c r="CF112" s="1287"/>
      <c r="CG112" s="390"/>
      <c r="CH112" s="1336"/>
      <c r="CI112" s="1327"/>
      <c r="CJ112" s="1327"/>
      <c r="CK112" s="1287"/>
      <c r="CL112" s="390"/>
      <c r="CM112" s="1336"/>
      <c r="CN112" s="1327"/>
      <c r="CO112" s="1327"/>
      <c r="CP112" s="1287"/>
      <c r="CQ112" s="1287"/>
      <c r="CR112" s="75"/>
    </row>
    <row r="113" spans="1:96" ht="6.2" customHeight="1">
      <c r="A113" s="388"/>
      <c r="B113" s="75"/>
      <c r="C113" s="75"/>
      <c r="D113" s="75"/>
      <c r="E113" s="75"/>
      <c r="F113" s="154"/>
      <c r="G113" s="190"/>
      <c r="H113" s="190"/>
      <c r="I113" s="190"/>
      <c r="J113" s="190"/>
      <c r="K113" s="190"/>
      <c r="L113" s="190"/>
      <c r="M113" s="190"/>
      <c r="N113" s="190"/>
      <c r="O113" s="190"/>
      <c r="P113" s="190"/>
      <c r="Q113" s="190"/>
      <c r="R113" s="190"/>
      <c r="S113" s="190"/>
      <c r="T113" s="190"/>
      <c r="U113" s="142"/>
      <c r="V113" s="142"/>
      <c r="W113" s="142"/>
      <c r="X113" s="142"/>
      <c r="Y113" s="142"/>
      <c r="Z113" s="142"/>
      <c r="AA113" s="142"/>
      <c r="AB113" s="142"/>
      <c r="AC113" s="142"/>
      <c r="AD113" s="142"/>
      <c r="AE113" s="142"/>
      <c r="AF113" s="142"/>
      <c r="AG113" s="142"/>
      <c r="AH113" s="142"/>
      <c r="AI113" s="142"/>
      <c r="AJ113" s="1132"/>
      <c r="AK113" s="85"/>
      <c r="AL113" s="85"/>
      <c r="AM113" s="1133"/>
      <c r="AN113" s="142"/>
      <c r="AO113" s="1132"/>
      <c r="AP113" s="85"/>
      <c r="AQ113" s="85"/>
      <c r="AR113" s="1133"/>
      <c r="AS113" s="142"/>
      <c r="AT113" s="1132"/>
      <c r="AU113" s="85"/>
      <c r="AV113" s="85"/>
      <c r="AW113" s="1133"/>
      <c r="AX113" s="142"/>
      <c r="AY113" s="1132"/>
      <c r="AZ113" s="85"/>
      <c r="BA113" s="85"/>
      <c r="BB113" s="1133"/>
      <c r="BC113" s="142"/>
      <c r="BD113" s="914"/>
      <c r="BE113" s="85"/>
      <c r="BF113" s="85"/>
      <c r="BG113" s="1133"/>
      <c r="BH113" s="142"/>
      <c r="BI113" s="1132"/>
      <c r="BJ113" s="85"/>
      <c r="BK113" s="85"/>
      <c r="BL113" s="1133"/>
      <c r="BM113" s="142"/>
      <c r="BN113" s="1132"/>
      <c r="BO113" s="85"/>
      <c r="BP113" s="85"/>
      <c r="BQ113" s="1133"/>
      <c r="BR113" s="142"/>
      <c r="BS113" s="1132"/>
      <c r="BT113" s="85"/>
      <c r="BU113" s="85"/>
      <c r="BV113" s="1133"/>
      <c r="BW113" s="142"/>
      <c r="BX113" s="1132"/>
      <c r="BY113" s="85"/>
      <c r="BZ113" s="85"/>
      <c r="CA113" s="1133"/>
      <c r="CB113" s="142"/>
      <c r="CC113" s="1132"/>
      <c r="CD113" s="85"/>
      <c r="CE113" s="85"/>
      <c r="CF113" s="1133"/>
      <c r="CG113" s="142"/>
      <c r="CH113" s="1132"/>
      <c r="CI113" s="85"/>
      <c r="CJ113" s="85"/>
      <c r="CK113" s="1133"/>
      <c r="CL113" s="142"/>
      <c r="CM113" s="1132"/>
      <c r="CN113" s="85"/>
      <c r="CO113" s="85"/>
      <c r="CP113" s="1133"/>
      <c r="CQ113" s="1133"/>
      <c r="CR113" s="75"/>
    </row>
    <row r="114" spans="1:96" ht="6.2" customHeight="1">
      <c r="A114" s="388"/>
      <c r="B114" s="75"/>
      <c r="C114" s="75"/>
      <c r="D114" s="75"/>
      <c r="E114" s="75"/>
      <c r="F114" s="154"/>
      <c r="G114" s="190"/>
      <c r="H114" s="190"/>
      <c r="I114" s="190"/>
      <c r="J114" s="190"/>
      <c r="K114" s="190"/>
      <c r="L114" s="190"/>
      <c r="M114" s="190"/>
      <c r="N114" s="190"/>
      <c r="O114" s="190"/>
      <c r="P114" s="190"/>
      <c r="Q114" s="190"/>
      <c r="R114" s="190"/>
      <c r="S114" s="190"/>
      <c r="T114" s="190"/>
      <c r="U114" s="142"/>
      <c r="V114" s="142"/>
      <c r="W114" s="142"/>
      <c r="X114" s="142"/>
      <c r="Y114" s="142"/>
      <c r="Z114" s="142"/>
      <c r="AA114" s="142"/>
      <c r="AB114" s="142"/>
      <c r="AC114" s="142"/>
      <c r="AD114" s="142"/>
      <c r="AE114" s="142"/>
      <c r="AF114" s="142"/>
      <c r="AG114" s="142"/>
      <c r="AH114" s="142"/>
      <c r="AI114" s="142"/>
      <c r="AJ114" s="1132"/>
      <c r="AK114" s="85"/>
      <c r="AL114" s="85"/>
      <c r="AM114" s="1133"/>
      <c r="AN114" s="142"/>
      <c r="AO114" s="1132"/>
      <c r="AP114" s="85"/>
      <c r="AQ114" s="85"/>
      <c r="AR114" s="1133"/>
      <c r="AS114" s="142"/>
      <c r="AT114" s="1132"/>
      <c r="AU114" s="85"/>
      <c r="AV114" s="85"/>
      <c r="AW114" s="1133"/>
      <c r="AX114" s="142"/>
      <c r="AY114" s="1132"/>
      <c r="AZ114" s="85"/>
      <c r="BA114" s="85"/>
      <c r="BB114" s="1133"/>
      <c r="BC114" s="142"/>
      <c r="BD114" s="914"/>
      <c r="BE114" s="85"/>
      <c r="BF114" s="85"/>
      <c r="BG114" s="1133"/>
      <c r="BH114" s="142"/>
      <c r="BI114" s="1132"/>
      <c r="BJ114" s="85"/>
      <c r="BK114" s="85"/>
      <c r="BL114" s="1133"/>
      <c r="BM114" s="142"/>
      <c r="BN114" s="1132"/>
      <c r="BO114" s="85"/>
      <c r="BP114" s="85"/>
      <c r="BQ114" s="1133"/>
      <c r="BR114" s="142"/>
      <c r="BS114" s="1132"/>
      <c r="BT114" s="85"/>
      <c r="BU114" s="85"/>
      <c r="BV114" s="1133"/>
      <c r="BW114" s="142"/>
      <c r="BX114" s="1132"/>
      <c r="BY114" s="85"/>
      <c r="BZ114" s="85"/>
      <c r="CA114" s="1133"/>
      <c r="CB114" s="142"/>
      <c r="CC114" s="1132"/>
      <c r="CD114" s="85"/>
      <c r="CE114" s="85"/>
      <c r="CF114" s="1133"/>
      <c r="CG114" s="142"/>
      <c r="CH114" s="1132"/>
      <c r="CI114" s="85"/>
      <c r="CJ114" s="85"/>
      <c r="CK114" s="1133"/>
      <c r="CL114" s="142"/>
      <c r="CM114" s="1132"/>
      <c r="CN114" s="85"/>
      <c r="CO114" s="85"/>
      <c r="CP114" s="1133"/>
      <c r="CQ114" s="1133"/>
      <c r="CR114" s="75"/>
    </row>
    <row r="115" spans="1:96" ht="13.5" customHeight="1">
      <c r="A115" s="132" t="s">
        <v>709</v>
      </c>
      <c r="B115" s="133"/>
      <c r="C115" s="134"/>
      <c r="D115" s="79"/>
      <c r="E115" s="79"/>
      <c r="F115" s="135"/>
      <c r="G115" s="135"/>
      <c r="H115" s="135"/>
      <c r="I115" s="135"/>
      <c r="J115" s="135"/>
      <c r="K115" s="135"/>
      <c r="L115" s="135"/>
      <c r="M115" s="135"/>
      <c r="N115" s="135"/>
      <c r="O115" s="135"/>
      <c r="P115" s="129"/>
      <c r="Q115" s="129"/>
      <c r="R115" s="129"/>
      <c r="S115" s="129"/>
      <c r="T115" s="129"/>
      <c r="U115" s="130"/>
      <c r="V115" s="130"/>
      <c r="W115" s="130"/>
      <c r="X115" s="130"/>
      <c r="Y115" s="129"/>
      <c r="Z115" s="129"/>
      <c r="AA115" s="129"/>
      <c r="AB115" s="129"/>
      <c r="AC115" s="129"/>
      <c r="AD115" s="129"/>
      <c r="AE115" s="129"/>
      <c r="AF115" s="129"/>
      <c r="AG115" s="129"/>
      <c r="AH115" s="129"/>
      <c r="AI115" s="129"/>
      <c r="AJ115" s="1203"/>
      <c r="AK115" s="135"/>
      <c r="AL115" s="135"/>
      <c r="AM115" s="1204"/>
      <c r="AN115" s="129"/>
      <c r="AO115" s="1203"/>
      <c r="AP115" s="135"/>
      <c r="AQ115" s="135"/>
      <c r="AR115" s="1204"/>
      <c r="AS115" s="129"/>
      <c r="AT115" s="1203"/>
      <c r="AU115" s="135"/>
      <c r="AV115" s="135"/>
      <c r="AW115" s="1204"/>
      <c r="AX115" s="129"/>
      <c r="AY115" s="1203"/>
      <c r="AZ115" s="135"/>
      <c r="BA115" s="135"/>
      <c r="BB115" s="1204"/>
      <c r="BC115" s="129"/>
      <c r="BD115" s="1203"/>
      <c r="BE115" s="135"/>
      <c r="BF115" s="139"/>
      <c r="BG115" s="1319"/>
      <c r="BH115" s="129"/>
      <c r="BI115" s="1203"/>
      <c r="BJ115" s="135"/>
      <c r="BK115" s="153"/>
      <c r="BL115" s="915"/>
      <c r="BM115" s="129"/>
      <c r="BN115" s="1203"/>
      <c r="BO115" s="135"/>
      <c r="BP115" s="135"/>
      <c r="BQ115" s="1204"/>
      <c r="BR115" s="129"/>
      <c r="BS115" s="1203"/>
      <c r="BT115" s="135"/>
      <c r="BU115" s="135"/>
      <c r="BV115" s="1204"/>
      <c r="BW115" s="129"/>
      <c r="BX115" s="1203"/>
      <c r="BY115" s="135"/>
      <c r="BZ115" s="135"/>
      <c r="CA115" s="1204"/>
      <c r="CB115" s="129"/>
      <c r="CC115" s="1203"/>
      <c r="CD115" s="135"/>
      <c r="CE115" s="135"/>
      <c r="CF115" s="1204"/>
      <c r="CG115" s="129"/>
      <c r="CH115" s="1203"/>
      <c r="CI115" s="135"/>
      <c r="CJ115" s="135"/>
      <c r="CK115" s="1204"/>
      <c r="CL115" s="129"/>
      <c r="CM115" s="1203"/>
      <c r="CN115" s="135"/>
      <c r="CO115" s="135"/>
      <c r="CP115" s="1204"/>
      <c r="CQ115" s="1204"/>
      <c r="CR115" s="75"/>
    </row>
    <row r="116" spans="1:96" ht="13.5" customHeight="1">
      <c r="A116" s="132" t="s">
        <v>773</v>
      </c>
      <c r="B116" s="133"/>
      <c r="C116" s="136"/>
      <c r="D116" s="137"/>
      <c r="E116" s="137"/>
      <c r="F116" s="135"/>
      <c r="G116" s="135"/>
      <c r="H116" s="135"/>
      <c r="I116" s="138"/>
      <c r="J116" s="138"/>
      <c r="K116" s="135"/>
      <c r="L116" s="135"/>
      <c r="M116" s="135"/>
      <c r="N116" s="135"/>
      <c r="O116" s="135"/>
      <c r="P116" s="135"/>
      <c r="Q116" s="135"/>
      <c r="R116" s="135"/>
      <c r="S116" s="135"/>
      <c r="T116" s="135"/>
      <c r="U116" s="139"/>
      <c r="V116" s="139"/>
      <c r="W116" s="139"/>
      <c r="X116" s="139"/>
      <c r="Y116" s="135"/>
      <c r="Z116" s="135"/>
      <c r="AA116" s="135"/>
      <c r="AB116" s="135"/>
      <c r="AC116" s="135"/>
      <c r="AD116" s="135"/>
      <c r="AE116" s="135"/>
      <c r="AF116" s="135"/>
      <c r="AG116" s="135"/>
      <c r="AH116" s="135"/>
      <c r="AI116" s="135"/>
      <c r="AJ116" s="1203"/>
      <c r="AK116" s="135"/>
      <c r="AL116" s="135"/>
      <c r="AM116" s="1204"/>
      <c r="AN116" s="135"/>
      <c r="AO116" s="1203"/>
      <c r="AP116" s="135"/>
      <c r="AQ116" s="135"/>
      <c r="AR116" s="1204"/>
      <c r="AS116" s="135"/>
      <c r="AT116" s="1203"/>
      <c r="AU116" s="135"/>
      <c r="AV116" s="135"/>
      <c r="AW116" s="1204"/>
      <c r="AX116" s="135"/>
      <c r="AY116" s="1203"/>
      <c r="AZ116" s="135"/>
      <c r="BA116" s="135"/>
      <c r="BB116" s="1204"/>
      <c r="BC116" s="135"/>
      <c r="BD116" s="1203"/>
      <c r="BE116" s="135"/>
      <c r="BF116" s="589"/>
      <c r="BG116" s="1320"/>
      <c r="BH116" s="135"/>
      <c r="BI116" s="1203"/>
      <c r="BJ116" s="135"/>
      <c r="BK116" s="153"/>
      <c r="BL116" s="915"/>
      <c r="BM116" s="135"/>
      <c r="BN116" s="1337"/>
      <c r="BO116" s="384"/>
      <c r="BP116" s="384"/>
      <c r="BQ116" s="1338"/>
      <c r="BR116" s="384"/>
      <c r="BS116" s="1337"/>
      <c r="BT116" s="135"/>
      <c r="BU116" s="135"/>
      <c r="BV116" s="1204"/>
      <c r="BW116" s="135"/>
      <c r="BX116" s="1203"/>
      <c r="BY116" s="135"/>
      <c r="BZ116" s="135"/>
      <c r="CA116" s="1204"/>
      <c r="CB116" s="135"/>
      <c r="CC116" s="1203"/>
      <c r="CD116" s="135"/>
      <c r="CE116" s="135"/>
      <c r="CF116" s="1204"/>
      <c r="CG116" s="135"/>
      <c r="CH116" s="1203"/>
      <c r="CI116" s="135"/>
      <c r="CJ116" s="135"/>
      <c r="CK116" s="1204"/>
      <c r="CL116" s="135"/>
      <c r="CM116" s="1203"/>
      <c r="CN116" s="135"/>
      <c r="CO116" s="135"/>
      <c r="CP116" s="1204"/>
      <c r="CQ116" s="1204"/>
      <c r="CR116" s="81"/>
    </row>
    <row r="117" spans="1:96" ht="13.5" customHeight="1" outlineLevel="1">
      <c r="A117" s="805"/>
      <c r="B117" s="806"/>
      <c r="C117" s="807"/>
      <c r="D117" s="895"/>
      <c r="E117" s="895"/>
      <c r="F117" s="896">
        <f>F$6</f>
        <v>2003</v>
      </c>
      <c r="G117" s="896"/>
      <c r="H117" s="896"/>
      <c r="I117" s="896"/>
      <c r="J117" s="808"/>
      <c r="K117" s="896">
        <f>K$6</f>
        <v>2004</v>
      </c>
      <c r="L117" s="896"/>
      <c r="M117" s="896"/>
      <c r="N117" s="896"/>
      <c r="O117" s="808"/>
      <c r="P117" s="896">
        <f>P$6</f>
        <v>2005</v>
      </c>
      <c r="Q117" s="896"/>
      <c r="R117" s="896"/>
      <c r="S117" s="896"/>
      <c r="T117" s="808"/>
      <c r="U117" s="896">
        <f>U$6</f>
        <v>2006</v>
      </c>
      <c r="V117" s="896"/>
      <c r="W117" s="896"/>
      <c r="X117" s="896"/>
      <c r="Y117" s="808"/>
      <c r="Z117" s="896">
        <f>Z$6</f>
        <v>2007</v>
      </c>
      <c r="AA117" s="896"/>
      <c r="AB117" s="896"/>
      <c r="AC117" s="896"/>
      <c r="AD117" s="808"/>
      <c r="AE117" s="896">
        <f>AE$6</f>
        <v>2008</v>
      </c>
      <c r="AF117" s="896"/>
      <c r="AG117" s="896"/>
      <c r="AH117" s="896"/>
      <c r="AI117" s="808"/>
      <c r="AJ117" s="1205">
        <f>AJ$6</f>
        <v>2009</v>
      </c>
      <c r="AK117" s="896"/>
      <c r="AL117" s="896"/>
      <c r="AM117" s="1206"/>
      <c r="AN117" s="808"/>
      <c r="AO117" s="1205">
        <f>AO$6</f>
        <v>2010</v>
      </c>
      <c r="AP117" s="896"/>
      <c r="AQ117" s="896"/>
      <c r="AR117" s="1206"/>
      <c r="AS117" s="808"/>
      <c r="AT117" s="1205">
        <f>AT$6</f>
        <v>2011</v>
      </c>
      <c r="AU117" s="896"/>
      <c r="AV117" s="896"/>
      <c r="AW117" s="1206"/>
      <c r="AX117" s="808"/>
      <c r="AY117" s="1205">
        <f>AY$6</f>
        <v>2012</v>
      </c>
      <c r="AZ117" s="896"/>
      <c r="BA117" s="896"/>
      <c r="BB117" s="1206"/>
      <c r="BC117" s="808"/>
      <c r="BD117" s="1205">
        <f>BD$6</f>
        <v>2013</v>
      </c>
      <c r="BE117" s="896"/>
      <c r="BF117" s="896"/>
      <c r="BG117" s="1206"/>
      <c r="BH117" s="808"/>
      <c r="BI117" s="1205">
        <f>BI$6</f>
        <v>2014</v>
      </c>
      <c r="BJ117" s="896"/>
      <c r="BK117" s="896"/>
      <c r="BL117" s="1206"/>
      <c r="BM117" s="808"/>
      <c r="BN117" s="1205">
        <f>BN$6</f>
        <v>2015</v>
      </c>
      <c r="BO117" s="896"/>
      <c r="BP117" s="896"/>
      <c r="BQ117" s="1206"/>
      <c r="BR117" s="808"/>
      <c r="BS117" s="1205">
        <f>BS$6</f>
        <v>2016</v>
      </c>
      <c r="BT117" s="896"/>
      <c r="BU117" s="896"/>
      <c r="BV117" s="1206"/>
      <c r="BW117" s="808"/>
      <c r="BX117" s="1205">
        <f>BX$6</f>
        <v>2017</v>
      </c>
      <c r="BY117" s="896"/>
      <c r="BZ117" s="896"/>
      <c r="CA117" s="1206"/>
      <c r="CB117" s="808"/>
      <c r="CC117" s="1205" t="str">
        <f>CC$6</f>
        <v>2018E</v>
      </c>
      <c r="CD117" s="896"/>
      <c r="CE117" s="896"/>
      <c r="CF117" s="1206"/>
      <c r="CG117" s="808"/>
      <c r="CH117" s="1205" t="str">
        <f>CH$6</f>
        <v>2019E</v>
      </c>
      <c r="CI117" s="896"/>
      <c r="CJ117" s="896"/>
      <c r="CK117" s="1206"/>
      <c r="CL117" s="808"/>
      <c r="CM117" s="1205" t="str">
        <f>CM$6</f>
        <v>2020E</v>
      </c>
      <c r="CN117" s="896"/>
      <c r="CO117" s="896"/>
      <c r="CP117" s="1206"/>
      <c r="CQ117" s="1385"/>
      <c r="CR117" s="75"/>
    </row>
    <row r="118" spans="1:96" ht="13.5" customHeight="1">
      <c r="A118" s="806" t="s">
        <v>774</v>
      </c>
      <c r="B118" s="806"/>
      <c r="C118" s="810"/>
      <c r="D118" s="895"/>
      <c r="E118" s="895"/>
      <c r="F118" s="897" t="s">
        <v>775</v>
      </c>
      <c r="G118" s="897" t="s">
        <v>776</v>
      </c>
      <c r="H118" s="897" t="s">
        <v>777</v>
      </c>
      <c r="I118" s="897" t="s">
        <v>778</v>
      </c>
      <c r="J118" s="811" t="s">
        <v>779</v>
      </c>
      <c r="K118" s="897" t="s">
        <v>775</v>
      </c>
      <c r="L118" s="897" t="s">
        <v>776</v>
      </c>
      <c r="M118" s="897" t="s">
        <v>777</v>
      </c>
      <c r="N118" s="897" t="s">
        <v>778</v>
      </c>
      <c r="O118" s="811" t="s">
        <v>780</v>
      </c>
      <c r="P118" s="897" t="s">
        <v>775</v>
      </c>
      <c r="Q118" s="897" t="s">
        <v>776</v>
      </c>
      <c r="R118" s="897" t="s">
        <v>777</v>
      </c>
      <c r="S118" s="897" t="s">
        <v>778</v>
      </c>
      <c r="T118" s="811" t="s">
        <v>781</v>
      </c>
      <c r="U118" s="897" t="str">
        <f t="shared" ref="U118:AZ118" si="120">U7</f>
        <v>1Q</v>
      </c>
      <c r="V118" s="897" t="str">
        <f t="shared" si="120"/>
        <v>2Q</v>
      </c>
      <c r="W118" s="897" t="str">
        <f t="shared" si="120"/>
        <v>3Q</v>
      </c>
      <c r="X118" s="897" t="str">
        <f t="shared" si="120"/>
        <v>4Q</v>
      </c>
      <c r="Y118" s="811">
        <f t="shared" si="120"/>
        <v>2006</v>
      </c>
      <c r="Z118" s="897" t="str">
        <f t="shared" si="120"/>
        <v>1Q</v>
      </c>
      <c r="AA118" s="897" t="str">
        <f t="shared" si="120"/>
        <v>2Q</v>
      </c>
      <c r="AB118" s="897" t="str">
        <f t="shared" si="120"/>
        <v>3Q</v>
      </c>
      <c r="AC118" s="897" t="str">
        <f t="shared" si="120"/>
        <v>4Q</v>
      </c>
      <c r="AD118" s="811">
        <f t="shared" si="120"/>
        <v>2007</v>
      </c>
      <c r="AE118" s="897" t="str">
        <f t="shared" si="120"/>
        <v>1Q</v>
      </c>
      <c r="AF118" s="897" t="str">
        <f t="shared" si="120"/>
        <v>2Q</v>
      </c>
      <c r="AG118" s="897" t="str">
        <f t="shared" si="120"/>
        <v>3Q</v>
      </c>
      <c r="AH118" s="897" t="str">
        <f t="shared" si="120"/>
        <v>4Q</v>
      </c>
      <c r="AI118" s="811">
        <f t="shared" si="120"/>
        <v>2008</v>
      </c>
      <c r="AJ118" s="1207" t="str">
        <f t="shared" si="120"/>
        <v>1Q</v>
      </c>
      <c r="AK118" s="897" t="str">
        <f t="shared" si="120"/>
        <v>2Q</v>
      </c>
      <c r="AL118" s="897" t="str">
        <f t="shared" si="120"/>
        <v>3Q</v>
      </c>
      <c r="AM118" s="1208" t="str">
        <f t="shared" si="120"/>
        <v>4Q</v>
      </c>
      <c r="AN118" s="811">
        <f t="shared" si="120"/>
        <v>2009</v>
      </c>
      <c r="AO118" s="1207" t="str">
        <f t="shared" si="120"/>
        <v>1Q</v>
      </c>
      <c r="AP118" s="897" t="str">
        <f t="shared" si="120"/>
        <v>2Q</v>
      </c>
      <c r="AQ118" s="897" t="str">
        <f t="shared" si="120"/>
        <v>3Q</v>
      </c>
      <c r="AR118" s="1208" t="str">
        <f t="shared" si="120"/>
        <v>4Q</v>
      </c>
      <c r="AS118" s="811">
        <f t="shared" si="120"/>
        <v>2010</v>
      </c>
      <c r="AT118" s="1207" t="str">
        <f t="shared" si="120"/>
        <v>1Q</v>
      </c>
      <c r="AU118" s="897" t="str">
        <f t="shared" si="120"/>
        <v>2Q</v>
      </c>
      <c r="AV118" s="897" t="str">
        <f t="shared" si="120"/>
        <v>3Q</v>
      </c>
      <c r="AW118" s="1208" t="str">
        <f t="shared" si="120"/>
        <v>4Q</v>
      </c>
      <c r="AX118" s="811">
        <f t="shared" si="120"/>
        <v>2011</v>
      </c>
      <c r="AY118" s="1207" t="str">
        <f t="shared" si="120"/>
        <v>1Q</v>
      </c>
      <c r="AZ118" s="897" t="str">
        <f t="shared" si="120"/>
        <v>2Q</v>
      </c>
      <c r="BA118" s="897" t="str">
        <f t="shared" ref="BA118:CF118" si="121">BA7</f>
        <v>3Q</v>
      </c>
      <c r="BB118" s="1208" t="str">
        <f t="shared" si="121"/>
        <v>4Q</v>
      </c>
      <c r="BC118" s="811">
        <f t="shared" si="121"/>
        <v>2012</v>
      </c>
      <c r="BD118" s="1207" t="str">
        <f t="shared" si="121"/>
        <v>1Q</v>
      </c>
      <c r="BE118" s="897" t="str">
        <f t="shared" si="121"/>
        <v>2Q</v>
      </c>
      <c r="BF118" s="897" t="str">
        <f t="shared" si="121"/>
        <v>3Q</v>
      </c>
      <c r="BG118" s="1208" t="str">
        <f t="shared" si="121"/>
        <v>4Q</v>
      </c>
      <c r="BH118" s="811">
        <f t="shared" si="121"/>
        <v>2013</v>
      </c>
      <c r="BI118" s="1207" t="str">
        <f t="shared" si="121"/>
        <v>1Q</v>
      </c>
      <c r="BJ118" s="897" t="str">
        <f t="shared" si="121"/>
        <v>2Q</v>
      </c>
      <c r="BK118" s="897" t="str">
        <f t="shared" si="121"/>
        <v>3Q</v>
      </c>
      <c r="BL118" s="1208" t="str">
        <f t="shared" si="121"/>
        <v>4Q</v>
      </c>
      <c r="BM118" s="811">
        <f t="shared" si="121"/>
        <v>2014</v>
      </c>
      <c r="BN118" s="1207" t="str">
        <f t="shared" si="121"/>
        <v>1Q</v>
      </c>
      <c r="BO118" s="897" t="str">
        <f t="shared" si="121"/>
        <v>2Q</v>
      </c>
      <c r="BP118" s="897" t="str">
        <f t="shared" si="121"/>
        <v>3Q</v>
      </c>
      <c r="BQ118" s="1208" t="str">
        <f t="shared" si="121"/>
        <v>4Q</v>
      </c>
      <c r="BR118" s="811">
        <f t="shared" si="121"/>
        <v>2015</v>
      </c>
      <c r="BS118" s="1207" t="str">
        <f t="shared" si="121"/>
        <v>1Q</v>
      </c>
      <c r="BT118" s="897" t="str">
        <f t="shared" si="121"/>
        <v>2Q</v>
      </c>
      <c r="BU118" s="897" t="str">
        <f t="shared" si="121"/>
        <v>3Q</v>
      </c>
      <c r="BV118" s="1208" t="str">
        <f t="shared" si="121"/>
        <v>4Q</v>
      </c>
      <c r="BW118" s="811">
        <f t="shared" si="121"/>
        <v>2016</v>
      </c>
      <c r="BX118" s="1207" t="str">
        <f t="shared" si="121"/>
        <v>1Q</v>
      </c>
      <c r="BY118" s="897" t="str">
        <f t="shared" si="121"/>
        <v>2Q</v>
      </c>
      <c r="BZ118" s="897" t="str">
        <f t="shared" si="121"/>
        <v>3Q</v>
      </c>
      <c r="CA118" s="1208" t="str">
        <f t="shared" si="121"/>
        <v>4Q</v>
      </c>
      <c r="CB118" s="811">
        <f t="shared" si="121"/>
        <v>2017</v>
      </c>
      <c r="CC118" s="1207" t="str">
        <f t="shared" si="121"/>
        <v>1QE</v>
      </c>
      <c r="CD118" s="897" t="str">
        <f t="shared" si="121"/>
        <v>2QE</v>
      </c>
      <c r="CE118" s="897" t="str">
        <f t="shared" si="121"/>
        <v>3QE</v>
      </c>
      <c r="CF118" s="1208" t="str">
        <f t="shared" si="121"/>
        <v>4QE</v>
      </c>
      <c r="CG118" s="811" t="str">
        <f t="shared" ref="CG118:CQ118" si="122">CG7</f>
        <v>2018E</v>
      </c>
      <c r="CH118" s="1207" t="str">
        <f t="shared" si="122"/>
        <v>1QE</v>
      </c>
      <c r="CI118" s="897" t="str">
        <f t="shared" si="122"/>
        <v>2QE</v>
      </c>
      <c r="CJ118" s="897" t="str">
        <f t="shared" si="122"/>
        <v>3QE</v>
      </c>
      <c r="CK118" s="1208" t="str">
        <f t="shared" si="122"/>
        <v>4QE</v>
      </c>
      <c r="CL118" s="811" t="str">
        <f t="shared" si="122"/>
        <v>2019E</v>
      </c>
      <c r="CM118" s="1207" t="str">
        <f t="shared" si="122"/>
        <v>1QE</v>
      </c>
      <c r="CN118" s="897" t="str">
        <f t="shared" si="122"/>
        <v>2QE</v>
      </c>
      <c r="CO118" s="897" t="str">
        <f t="shared" si="122"/>
        <v>3QE</v>
      </c>
      <c r="CP118" s="1208" t="str">
        <f t="shared" si="122"/>
        <v>4QE</v>
      </c>
      <c r="CQ118" s="1386" t="str">
        <f t="shared" si="122"/>
        <v>2020E</v>
      </c>
      <c r="CR118" s="75"/>
    </row>
    <row r="119" spans="1:96" ht="6.2" customHeight="1">
      <c r="A119" s="229"/>
      <c r="B119" s="75"/>
      <c r="C119" s="75"/>
      <c r="D119" s="75"/>
      <c r="E119" s="75"/>
      <c r="F119" s="85"/>
      <c r="G119" s="85"/>
      <c r="H119" s="85"/>
      <c r="I119" s="85"/>
      <c r="J119" s="85"/>
      <c r="K119" s="85"/>
      <c r="L119" s="85"/>
      <c r="M119" s="85"/>
      <c r="N119" s="155"/>
      <c r="O119" s="190"/>
      <c r="P119" s="142"/>
      <c r="Q119" s="142"/>
      <c r="R119" s="142"/>
      <c r="S119" s="142"/>
      <c r="T119" s="142"/>
      <c r="U119" s="142"/>
      <c r="V119" s="142"/>
      <c r="W119" s="142"/>
      <c r="X119" s="142"/>
      <c r="Y119" s="142"/>
      <c r="Z119" s="142"/>
      <c r="AA119" s="142"/>
      <c r="AB119" s="142"/>
      <c r="AC119" s="142"/>
      <c r="AD119" s="142"/>
      <c r="AE119" s="142"/>
      <c r="AF119" s="142"/>
      <c r="AG119" s="142"/>
      <c r="AH119" s="142"/>
      <c r="AI119" s="142"/>
      <c r="AJ119" s="1132"/>
      <c r="AK119" s="85"/>
      <c r="AL119" s="85"/>
      <c r="AM119" s="1133"/>
      <c r="AN119" s="142"/>
      <c r="AO119" s="1132"/>
      <c r="AP119" s="85"/>
      <c r="AQ119" s="85"/>
      <c r="AR119" s="1133"/>
      <c r="AS119" s="142"/>
      <c r="AT119" s="1132"/>
      <c r="AU119" s="85"/>
      <c r="AV119" s="1269"/>
      <c r="AW119" s="1133"/>
      <c r="AX119" s="142"/>
      <c r="AY119" s="1132"/>
      <c r="AZ119" s="85"/>
      <c r="BA119" s="85"/>
      <c r="BB119" s="1133"/>
      <c r="BC119" s="142"/>
      <c r="BD119" s="1132"/>
      <c r="BE119" s="85"/>
      <c r="BF119" s="85"/>
      <c r="BG119" s="1133"/>
      <c r="BH119" s="142"/>
      <c r="BI119" s="1132"/>
      <c r="BJ119" s="85"/>
      <c r="BK119" s="85"/>
      <c r="BL119" s="1133"/>
      <c r="BM119" s="142"/>
      <c r="BN119" s="1132"/>
      <c r="BO119" s="85"/>
      <c r="BP119" s="85"/>
      <c r="BQ119" s="1133"/>
      <c r="BR119" s="142"/>
      <c r="BS119" s="1132"/>
      <c r="BT119" s="85"/>
      <c r="BU119" s="85"/>
      <c r="BV119" s="1133"/>
      <c r="BW119" s="142"/>
      <c r="BX119" s="1132"/>
      <c r="BY119" s="85"/>
      <c r="BZ119" s="85"/>
      <c r="CA119" s="1133"/>
      <c r="CB119" s="142"/>
      <c r="CC119" s="1132"/>
      <c r="CD119" s="85"/>
      <c r="CE119" s="85"/>
      <c r="CF119" s="1133"/>
      <c r="CG119" s="142"/>
      <c r="CH119" s="1132"/>
      <c r="CI119" s="85"/>
      <c r="CJ119" s="85"/>
      <c r="CK119" s="1133"/>
      <c r="CL119" s="142"/>
      <c r="CM119" s="1132"/>
      <c r="CN119" s="85"/>
      <c r="CO119" s="85"/>
      <c r="CP119" s="1133"/>
      <c r="CQ119" s="1133"/>
      <c r="CR119" s="75"/>
    </row>
    <row r="120" spans="1:96" ht="13.5" customHeight="1">
      <c r="A120" s="229" t="s">
        <v>782</v>
      </c>
      <c r="B120" s="75"/>
      <c r="C120" s="75"/>
      <c r="D120" s="75"/>
      <c r="E120" s="75"/>
      <c r="F120" s="85"/>
      <c r="G120" s="85"/>
      <c r="H120" s="85"/>
      <c r="I120" s="85"/>
      <c r="J120" s="85"/>
      <c r="K120" s="85"/>
      <c r="L120" s="85"/>
      <c r="M120" s="85"/>
      <c r="N120" s="155"/>
      <c r="O120" s="190"/>
      <c r="P120" s="142"/>
      <c r="Q120" s="142"/>
      <c r="R120" s="142"/>
      <c r="S120" s="142"/>
      <c r="T120" s="142"/>
      <c r="U120" s="142"/>
      <c r="V120" s="142"/>
      <c r="W120" s="142"/>
      <c r="X120" s="142"/>
      <c r="Y120" s="142"/>
      <c r="Z120" s="142"/>
      <c r="AA120" s="142"/>
      <c r="AB120" s="142"/>
      <c r="AC120" s="142"/>
      <c r="AD120" s="142"/>
      <c r="AE120" s="142"/>
      <c r="AF120" s="142"/>
      <c r="AG120" s="142"/>
      <c r="AH120" s="142"/>
      <c r="AI120" s="142"/>
      <c r="AJ120" s="1132"/>
      <c r="AK120" s="85"/>
      <c r="AL120" s="85"/>
      <c r="AM120" s="1133"/>
      <c r="AN120" s="142"/>
      <c r="AO120" s="1132"/>
      <c r="AP120" s="85"/>
      <c r="AQ120" s="85"/>
      <c r="AR120" s="1133"/>
      <c r="AS120" s="142"/>
      <c r="AT120" s="1132"/>
      <c r="AU120" s="85"/>
      <c r="AV120" s="1269"/>
      <c r="AW120" s="1160"/>
      <c r="AX120" s="142"/>
      <c r="AY120" s="1132"/>
      <c r="AZ120" s="85"/>
      <c r="BA120" s="85"/>
      <c r="BB120" s="1133"/>
      <c r="BC120" s="142"/>
      <c r="BD120" s="1132"/>
      <c r="BE120" s="85"/>
      <c r="BF120" s="85"/>
      <c r="BG120" s="1133"/>
      <c r="BH120" s="142"/>
      <c r="BI120" s="1132"/>
      <c r="BJ120" s="85"/>
      <c r="BK120" s="85"/>
      <c r="BL120" s="1133"/>
      <c r="BM120" s="142"/>
      <c r="BN120" s="1132"/>
      <c r="BO120" s="85"/>
      <c r="BP120" s="85"/>
      <c r="BQ120" s="1133"/>
      <c r="BR120" s="142"/>
      <c r="BS120" s="1132"/>
      <c r="BT120" s="85"/>
      <c r="BU120" s="85"/>
      <c r="BV120" s="1133"/>
      <c r="BW120" s="142"/>
      <c r="BX120" s="1132"/>
      <c r="BY120" s="85"/>
      <c r="BZ120" s="85"/>
      <c r="CA120" s="1133"/>
      <c r="CB120" s="142"/>
      <c r="CC120" s="1132"/>
      <c r="CD120" s="85"/>
      <c r="CE120" s="85"/>
      <c r="CF120" s="1133"/>
      <c r="CG120" s="142"/>
      <c r="CH120" s="1132"/>
      <c r="CI120" s="85"/>
      <c r="CJ120" s="85"/>
      <c r="CK120" s="1133"/>
      <c r="CL120" s="142"/>
      <c r="CM120" s="1132"/>
      <c r="CN120" s="85"/>
      <c r="CO120" s="85"/>
      <c r="CP120" s="1133"/>
      <c r="CQ120" s="1133"/>
      <c r="CR120" s="75"/>
    </row>
    <row r="121" spans="1:96" ht="13.5" customHeight="1">
      <c r="A121" s="75"/>
      <c r="B121" s="75" t="s">
        <v>783</v>
      </c>
      <c r="C121" s="75"/>
      <c r="D121" s="75"/>
      <c r="E121" s="75"/>
      <c r="F121" s="650">
        <v>367</v>
      </c>
      <c r="G121" s="650">
        <v>145</v>
      </c>
      <c r="H121" s="650">
        <v>160</v>
      </c>
      <c r="I121" s="650">
        <v>316</v>
      </c>
      <c r="J121" s="109">
        <f>I121</f>
        <v>316</v>
      </c>
      <c r="K121" s="650">
        <v>764</v>
      </c>
      <c r="L121" s="650">
        <v>590</v>
      </c>
      <c r="M121" s="650">
        <v>1062</v>
      </c>
      <c r="N121" s="650">
        <v>1037</v>
      </c>
      <c r="O121" s="109">
        <f t="shared" ref="O121:O126" si="123">N121</f>
        <v>1037</v>
      </c>
      <c r="P121" s="650">
        <v>1147</v>
      </c>
      <c r="Q121" s="650">
        <v>1242</v>
      </c>
      <c r="R121" s="650">
        <v>1394</v>
      </c>
      <c r="S121" s="650">
        <v>1479</v>
      </c>
      <c r="T121" s="109">
        <f t="shared" ref="T121:T126" si="124">S121</f>
        <v>1479</v>
      </c>
      <c r="U121" s="650">
        <v>1471</v>
      </c>
      <c r="V121" s="650">
        <v>1477</v>
      </c>
      <c r="W121" s="650">
        <v>1410</v>
      </c>
      <c r="X121" s="650">
        <v>1422</v>
      </c>
      <c r="Y121" s="109">
        <f t="shared" ref="Y121:Y126" si="125">X121</f>
        <v>1422</v>
      </c>
      <c r="Z121" s="625">
        <v>1552</v>
      </c>
      <c r="AA121" s="650">
        <v>1103</v>
      </c>
      <c r="AB121" s="650">
        <v>1403</v>
      </c>
      <c r="AC121" s="650">
        <v>401</v>
      </c>
      <c r="AD121" s="109">
        <f t="shared" ref="AD121:AD126" si="126">AC121</f>
        <v>401</v>
      </c>
      <c r="AE121" s="650">
        <v>454</v>
      </c>
      <c r="AF121" s="650">
        <v>391</v>
      </c>
      <c r="AG121" s="650">
        <v>793</v>
      </c>
      <c r="AH121" s="650">
        <v>724</v>
      </c>
      <c r="AI121" s="109">
        <f t="shared" ref="AI121:AI126" si="127">AH121</f>
        <v>724</v>
      </c>
      <c r="AJ121" s="1187">
        <v>1131</v>
      </c>
      <c r="AK121" s="646">
        <v>1950</v>
      </c>
      <c r="AL121" s="646">
        <v>1543</v>
      </c>
      <c r="AM121" s="1188">
        <v>1218</v>
      </c>
      <c r="AN121" s="109">
        <f t="shared" ref="AN121:AN126" si="128">AM121</f>
        <v>1218</v>
      </c>
      <c r="AO121" s="1187">
        <v>1386</v>
      </c>
      <c r="AP121" s="646">
        <v>947</v>
      </c>
      <c r="AQ121" s="646">
        <v>643</v>
      </c>
      <c r="AR121" s="1188">
        <v>578</v>
      </c>
      <c r="AS121" s="109">
        <f t="shared" ref="AS121:AS126" si="129">AR121</f>
        <v>578</v>
      </c>
      <c r="AT121" s="1187">
        <v>421</v>
      </c>
      <c r="AU121" s="647">
        <v>393</v>
      </c>
      <c r="AV121" s="647">
        <v>270</v>
      </c>
      <c r="AW121" s="1188">
        <v>408</v>
      </c>
      <c r="AX121" s="109">
        <f t="shared" ref="AX121:AX126" si="130">AW121</f>
        <v>408</v>
      </c>
      <c r="AY121" s="1288">
        <v>652</v>
      </c>
      <c r="AZ121" s="646">
        <v>565</v>
      </c>
      <c r="BA121" s="646">
        <v>536</v>
      </c>
      <c r="BB121" s="1188">
        <v>570</v>
      </c>
      <c r="BC121" s="109">
        <f t="shared" ref="BC121:BC126" si="131">BB121</f>
        <v>570</v>
      </c>
      <c r="BD121" s="1187">
        <v>733</v>
      </c>
      <c r="BE121" s="646">
        <v>767</v>
      </c>
      <c r="BF121" s="646">
        <v>697</v>
      </c>
      <c r="BG121" s="1188">
        <v>604</v>
      </c>
      <c r="BH121" s="109">
        <f t="shared" ref="BH121:BH126" si="132">BG121</f>
        <v>604</v>
      </c>
      <c r="BI121" s="1187">
        <v>1099</v>
      </c>
      <c r="BJ121" s="646">
        <v>1471</v>
      </c>
      <c r="BK121" s="646">
        <v>1257</v>
      </c>
      <c r="BL121" s="1188">
        <v>1354</v>
      </c>
      <c r="BM121" s="109">
        <f t="shared" ref="BM121:BM126" si="133">BL121</f>
        <v>1354</v>
      </c>
      <c r="BN121" s="1187">
        <v>1266</v>
      </c>
      <c r="BO121" s="646">
        <v>1210</v>
      </c>
      <c r="BP121" s="647">
        <v>1165</v>
      </c>
      <c r="BQ121" s="1286">
        <v>755</v>
      </c>
      <c r="BR121" s="109">
        <f t="shared" ref="BR121:BR126" si="134">BQ121</f>
        <v>755</v>
      </c>
      <c r="BS121" s="918">
        <f>BS263</f>
        <v>705</v>
      </c>
      <c r="BT121" s="216">
        <f>BT263</f>
        <v>820</v>
      </c>
      <c r="BU121" s="216">
        <f>BU263</f>
        <v>1445</v>
      </c>
      <c r="BV121" s="919">
        <f>BV263</f>
        <v>1515</v>
      </c>
      <c r="BW121" s="109">
        <f t="shared" ref="BW121:BW126" si="135">BV121</f>
        <v>1515</v>
      </c>
      <c r="BX121" s="918">
        <f>BX263</f>
        <v>1326</v>
      </c>
      <c r="BY121" s="216">
        <f>BY263</f>
        <v>1522</v>
      </c>
      <c r="BZ121" s="216">
        <f>BZ263</f>
        <v>1694</v>
      </c>
      <c r="CA121" s="919">
        <f>CA263</f>
        <v>1553</v>
      </c>
      <c r="CB121" s="109">
        <f t="shared" ref="CB121:CB126" si="136">CA121</f>
        <v>1553</v>
      </c>
      <c r="CC121" s="918">
        <f>CC263</f>
        <v>1284.1190544180361</v>
      </c>
      <c r="CD121" s="216">
        <f>CD263</f>
        <v>1438.5773632061537</v>
      </c>
      <c r="CE121" s="216">
        <f>CE263</f>
        <v>1580.4610264687171</v>
      </c>
      <c r="CF121" s="919">
        <f>CF263</f>
        <v>1799.935359927933</v>
      </c>
      <c r="CG121" s="109">
        <f t="shared" ref="CG121:CG126" si="137">CF121</f>
        <v>1799.935359927933</v>
      </c>
      <c r="CH121" s="918">
        <f>CH263</f>
        <v>2127.5772709672055</v>
      </c>
      <c r="CI121" s="216">
        <f>CI263</f>
        <v>1759.9625462109548</v>
      </c>
      <c r="CJ121" s="216">
        <f>CJ263</f>
        <v>2579.253049384613</v>
      </c>
      <c r="CK121" s="919">
        <f>CK263</f>
        <v>2142.9895091421022</v>
      </c>
      <c r="CL121" s="109">
        <f t="shared" ref="CL121:CL126" si="138">CK121</f>
        <v>2142.9895091421022</v>
      </c>
      <c r="CM121" s="918">
        <f>CM263</f>
        <v>2819.5863531618711</v>
      </c>
      <c r="CN121" s="216">
        <f>CN263</f>
        <v>2088.7597268419022</v>
      </c>
      <c r="CO121" s="216">
        <f>CO263</f>
        <v>3113.3718796066751</v>
      </c>
      <c r="CP121" s="919">
        <f>CP263</f>
        <v>2477.0344010399399</v>
      </c>
      <c r="CQ121" s="919">
        <f t="shared" ref="CQ121:CQ126" si="139">CP121</f>
        <v>2477.0344010399399</v>
      </c>
      <c r="CR121" s="109"/>
    </row>
    <row r="122" spans="1:96" ht="13.5" customHeight="1">
      <c r="A122" s="75"/>
      <c r="B122" s="232" t="s">
        <v>784</v>
      </c>
      <c r="C122" s="75"/>
      <c r="D122" s="75"/>
      <c r="E122" s="75"/>
      <c r="F122" s="650">
        <v>959</v>
      </c>
      <c r="G122" s="650">
        <v>1233</v>
      </c>
      <c r="H122" s="650">
        <v>1126</v>
      </c>
      <c r="I122" s="650">
        <v>1096</v>
      </c>
      <c r="J122" s="650">
        <v>1096</v>
      </c>
      <c r="K122" s="650">
        <v>1302</v>
      </c>
      <c r="L122" s="650">
        <v>1463</v>
      </c>
      <c r="M122" s="650">
        <v>1560</v>
      </c>
      <c r="N122" s="650">
        <v>1592</v>
      </c>
      <c r="O122" s="109">
        <f t="shared" si="123"/>
        <v>1592</v>
      </c>
      <c r="P122" s="650">
        <v>1775</v>
      </c>
      <c r="Q122" s="650">
        <v>1570</v>
      </c>
      <c r="R122" s="650">
        <v>1504</v>
      </c>
      <c r="S122" s="650">
        <v>1516</v>
      </c>
      <c r="T122" s="109">
        <f t="shared" si="124"/>
        <v>1516</v>
      </c>
      <c r="U122" s="650">
        <v>1722</v>
      </c>
      <c r="V122" s="650">
        <v>1885</v>
      </c>
      <c r="W122" s="650">
        <v>1871</v>
      </c>
      <c r="X122" s="650">
        <f>1681+118</f>
        <v>1799</v>
      </c>
      <c r="Y122" s="109">
        <f t="shared" si="125"/>
        <v>1799</v>
      </c>
      <c r="Z122" s="650">
        <v>1835</v>
      </c>
      <c r="AA122" s="650">
        <v>2119</v>
      </c>
      <c r="AB122" s="650">
        <v>2168</v>
      </c>
      <c r="AC122" s="650">
        <v>1924</v>
      </c>
      <c r="AD122" s="109">
        <f t="shared" si="126"/>
        <v>1924</v>
      </c>
      <c r="AE122" s="650">
        <v>2292</v>
      </c>
      <c r="AF122" s="650">
        <v>3018</v>
      </c>
      <c r="AG122" s="650">
        <v>3124</v>
      </c>
      <c r="AH122" s="650">
        <v>2144</v>
      </c>
      <c r="AI122" s="109">
        <f t="shared" si="127"/>
        <v>2144</v>
      </c>
      <c r="AJ122" s="1187">
        <v>1406</v>
      </c>
      <c r="AK122" s="646">
        <v>1144</v>
      </c>
      <c r="AL122" s="646">
        <v>1502</v>
      </c>
      <c r="AM122" s="1188">
        <v>1423</v>
      </c>
      <c r="AN122" s="109">
        <f t="shared" si="128"/>
        <v>1423</v>
      </c>
      <c r="AO122" s="1187">
        <v>1811</v>
      </c>
      <c r="AP122" s="646">
        <v>2171</v>
      </c>
      <c r="AQ122" s="646">
        <v>2200</v>
      </c>
      <c r="AR122" s="1188">
        <f>2023-AR123</f>
        <v>1901</v>
      </c>
      <c r="AS122" s="109">
        <f t="shared" si="129"/>
        <v>1901</v>
      </c>
      <c r="AT122" s="1187">
        <v>2451</v>
      </c>
      <c r="AU122" s="647">
        <v>2544</v>
      </c>
      <c r="AV122" s="647">
        <v>2398</v>
      </c>
      <c r="AW122" s="1188">
        <f>1914+380</f>
        <v>2294</v>
      </c>
      <c r="AX122" s="109">
        <f t="shared" si="130"/>
        <v>2294</v>
      </c>
      <c r="AY122" s="1288">
        <v>2362</v>
      </c>
      <c r="AZ122" s="646">
        <v>2469</v>
      </c>
      <c r="BA122" s="646">
        <v>2239</v>
      </c>
      <c r="BB122" s="1188">
        <v>1872</v>
      </c>
      <c r="BC122" s="109">
        <f t="shared" si="131"/>
        <v>1872</v>
      </c>
      <c r="BD122" s="1187">
        <v>2274</v>
      </c>
      <c r="BE122" s="646">
        <v>2142</v>
      </c>
      <c r="BF122" s="646">
        <v>1957</v>
      </c>
      <c r="BG122" s="1188">
        <v>1818</v>
      </c>
      <c r="BH122" s="109">
        <f t="shared" si="132"/>
        <v>1818</v>
      </c>
      <c r="BI122" s="1187">
        <v>2064</v>
      </c>
      <c r="BJ122" s="646">
        <v>1957</v>
      </c>
      <c r="BK122" s="647">
        <v>1876</v>
      </c>
      <c r="BL122" s="1188">
        <v>1617</v>
      </c>
      <c r="BM122" s="109">
        <f t="shared" si="133"/>
        <v>1617</v>
      </c>
      <c r="BN122" s="1187">
        <v>1423</v>
      </c>
      <c r="BO122" s="646">
        <v>1270</v>
      </c>
      <c r="BP122" s="647">
        <v>1138</v>
      </c>
      <c r="BQ122" s="1286">
        <v>864</v>
      </c>
      <c r="BR122" s="109">
        <f t="shared" si="134"/>
        <v>864</v>
      </c>
      <c r="BS122" s="1288">
        <v>960</v>
      </c>
      <c r="BT122" s="647">
        <v>1091</v>
      </c>
      <c r="BU122" s="647">
        <v>1014</v>
      </c>
      <c r="BV122" s="1286">
        <v>976</v>
      </c>
      <c r="BW122" s="109">
        <f t="shared" si="135"/>
        <v>976</v>
      </c>
      <c r="BX122" s="1359">
        <v>1116</v>
      </c>
      <c r="BY122" s="1360">
        <v>1206</v>
      </c>
      <c r="BZ122" s="1360">
        <v>1317</v>
      </c>
      <c r="CA122" s="1188">
        <v>1173</v>
      </c>
      <c r="CB122" s="109">
        <f t="shared" si="136"/>
        <v>1173</v>
      </c>
      <c r="CC122" s="918">
        <f>2*(CC271)/(365/(CC14*4))-CA122-CA123-CC123</f>
        <v>1104.6368935011719</v>
      </c>
      <c r="CD122" s="216">
        <f>2*(CD271)/(365/(CD14*4))-CC122-CC123-CD123</f>
        <v>1490.9273880642008</v>
      </c>
      <c r="CE122" s="216">
        <f>2*(CE271)/(365/(CE14*4))-CD122-CD123-CE123</f>
        <v>1294.0211722460904</v>
      </c>
      <c r="CF122" s="919">
        <f>2*(CF271)/(365/(CF14*4))-CE122-CE123-CF123</f>
        <v>1491.664283688769</v>
      </c>
      <c r="CG122" s="109">
        <f t="shared" si="137"/>
        <v>1491.664283688769</v>
      </c>
      <c r="CH122" s="918">
        <f>2*(CH271)/(365/(CH14*4))-CF122-CF123-CH123</f>
        <v>1271.9704176248501</v>
      </c>
      <c r="CI122" s="216">
        <f>2*(CI271)/(365/(CI14*4))-CH122-CH123-CI123</f>
        <v>1729.2548821556206</v>
      </c>
      <c r="CJ122" s="216">
        <f>2*(CJ271)/(365/(CJ14*4))-CI122-CI123-CJ123</f>
        <v>1188.8629935159533</v>
      </c>
      <c r="CK122" s="919">
        <f>2*(CK271)/(365/(CK14*4))-CJ122-CJ123-CK123</f>
        <v>1670.2989491286849</v>
      </c>
      <c r="CL122" s="109">
        <f t="shared" si="138"/>
        <v>1670.2989491286849</v>
      </c>
      <c r="CM122" s="918">
        <f>2*(CM271)/(365/(CM14*4))-CK122-CK123-CM123</f>
        <v>967.84697048979842</v>
      </c>
      <c r="CN122" s="216">
        <f>2*(CN271)/(365/(CN14*4))-CM122-CM123-CN123</f>
        <v>1876.0105381195744</v>
      </c>
      <c r="CO122" s="216">
        <f>2*(CO271)/(365/(CO14*4))-CN122-CN123-CO123</f>
        <v>851.76010276423449</v>
      </c>
      <c r="CP122" s="919">
        <f>2*(CP271)/(365/(CP14*4))-CO122-CO123-CP123</f>
        <v>1829.5281132892806</v>
      </c>
      <c r="CQ122" s="919">
        <f t="shared" si="139"/>
        <v>1829.5281132892806</v>
      </c>
      <c r="CR122" s="109"/>
    </row>
    <row r="123" spans="1:96" ht="13.5" customHeight="1">
      <c r="A123" s="75"/>
      <c r="B123" s="232" t="s">
        <v>785</v>
      </c>
      <c r="C123" s="75"/>
      <c r="D123" s="75"/>
      <c r="E123" s="75"/>
      <c r="F123" s="650">
        <v>145</v>
      </c>
      <c r="G123" s="650">
        <v>118</v>
      </c>
      <c r="H123" s="650">
        <v>148</v>
      </c>
      <c r="I123" s="650">
        <v>123</v>
      </c>
      <c r="J123" s="650">
        <v>123</v>
      </c>
      <c r="K123" s="650">
        <v>102</v>
      </c>
      <c r="L123" s="650">
        <v>116</v>
      </c>
      <c r="M123" s="650">
        <v>111</v>
      </c>
      <c r="N123" s="650">
        <v>178</v>
      </c>
      <c r="O123" s="109">
        <f t="shared" si="123"/>
        <v>178</v>
      </c>
      <c r="P123" s="650">
        <v>136</v>
      </c>
      <c r="Q123" s="650">
        <v>135</v>
      </c>
      <c r="R123" s="650">
        <v>111</v>
      </c>
      <c r="S123" s="650">
        <v>82</v>
      </c>
      <c r="T123" s="109">
        <f t="shared" si="124"/>
        <v>82</v>
      </c>
      <c r="U123" s="650">
        <v>107</v>
      </c>
      <c r="V123" s="650">
        <v>131</v>
      </c>
      <c r="W123" s="650">
        <v>147</v>
      </c>
      <c r="X123" s="650">
        <v>0</v>
      </c>
      <c r="Y123" s="109">
        <f t="shared" si="125"/>
        <v>0</v>
      </c>
      <c r="Z123" s="650">
        <v>119</v>
      </c>
      <c r="AA123" s="650">
        <v>141</v>
      </c>
      <c r="AB123" s="650">
        <v>141</v>
      </c>
      <c r="AC123" s="650">
        <v>153</v>
      </c>
      <c r="AD123" s="109">
        <f t="shared" si="126"/>
        <v>153</v>
      </c>
      <c r="AE123" s="650">
        <v>106</v>
      </c>
      <c r="AF123" s="650">
        <v>165</v>
      </c>
      <c r="AG123" s="650">
        <v>163</v>
      </c>
      <c r="AH123" s="650">
        <v>144</v>
      </c>
      <c r="AI123" s="109">
        <f t="shared" si="127"/>
        <v>144</v>
      </c>
      <c r="AJ123" s="1187">
        <v>121</v>
      </c>
      <c r="AK123" s="646">
        <v>113</v>
      </c>
      <c r="AL123" s="646">
        <v>136</v>
      </c>
      <c r="AM123" s="1188">
        <v>144</v>
      </c>
      <c r="AN123" s="109">
        <f t="shared" si="128"/>
        <v>144</v>
      </c>
      <c r="AO123" s="1187">
        <v>151</v>
      </c>
      <c r="AP123" s="646">
        <v>191</v>
      </c>
      <c r="AQ123" s="646">
        <v>122</v>
      </c>
      <c r="AR123" s="919">
        <f>AQ123</f>
        <v>122</v>
      </c>
      <c r="AS123" s="109">
        <f t="shared" si="129"/>
        <v>122</v>
      </c>
      <c r="AT123" s="1187">
        <v>145</v>
      </c>
      <c r="AU123" s="647">
        <v>151</v>
      </c>
      <c r="AV123" s="647">
        <v>129</v>
      </c>
      <c r="AW123" s="1188">
        <v>132</v>
      </c>
      <c r="AX123" s="109">
        <f t="shared" si="130"/>
        <v>132</v>
      </c>
      <c r="AY123" s="1288">
        <v>156</v>
      </c>
      <c r="AZ123" s="646">
        <v>0</v>
      </c>
      <c r="BA123" s="646">
        <v>173</v>
      </c>
      <c r="BB123" s="1188">
        <v>218</v>
      </c>
      <c r="BC123" s="109">
        <f t="shared" si="131"/>
        <v>218</v>
      </c>
      <c r="BD123" s="1187">
        <v>0</v>
      </c>
      <c r="BE123" s="646">
        <v>0</v>
      </c>
      <c r="BF123" s="646">
        <v>0</v>
      </c>
      <c r="BG123" s="1188">
        <v>157</v>
      </c>
      <c r="BH123" s="109">
        <f t="shared" si="132"/>
        <v>157</v>
      </c>
      <c r="BI123" s="1187">
        <v>136</v>
      </c>
      <c r="BJ123" s="646">
        <v>114</v>
      </c>
      <c r="BK123" s="647">
        <v>182</v>
      </c>
      <c r="BL123" s="1286">
        <v>310</v>
      </c>
      <c r="BM123" s="109">
        <f t="shared" si="133"/>
        <v>310</v>
      </c>
      <c r="BN123" s="1187">
        <v>225</v>
      </c>
      <c r="BO123" s="647">
        <v>227</v>
      </c>
      <c r="BP123" s="647">
        <v>197</v>
      </c>
      <c r="BQ123" s="1286">
        <v>199</v>
      </c>
      <c r="BR123" s="109">
        <f t="shared" si="134"/>
        <v>199</v>
      </c>
      <c r="BS123" s="1288">
        <v>179</v>
      </c>
      <c r="BT123" s="647">
        <v>159</v>
      </c>
      <c r="BU123" s="647">
        <v>182</v>
      </c>
      <c r="BV123" s="1286">
        <v>272</v>
      </c>
      <c r="BW123" s="109">
        <f t="shared" si="135"/>
        <v>272</v>
      </c>
      <c r="BX123" s="1359">
        <v>283</v>
      </c>
      <c r="BY123" s="1360">
        <v>238</v>
      </c>
      <c r="BZ123" s="1360">
        <v>210</v>
      </c>
      <c r="CA123" s="1286">
        <v>206</v>
      </c>
      <c r="CB123" s="109">
        <f t="shared" si="136"/>
        <v>206</v>
      </c>
      <c r="CC123" s="918">
        <f>CA123</f>
        <v>206</v>
      </c>
      <c r="CD123" s="216">
        <f>CC123</f>
        <v>206</v>
      </c>
      <c r="CE123" s="216">
        <f>CD123</f>
        <v>206</v>
      </c>
      <c r="CF123" s="919">
        <f>CE123</f>
        <v>206</v>
      </c>
      <c r="CG123" s="109">
        <f t="shared" si="137"/>
        <v>206</v>
      </c>
      <c r="CH123" s="918">
        <f>CF123</f>
        <v>206</v>
      </c>
      <c r="CI123" s="216">
        <f>CH123</f>
        <v>206</v>
      </c>
      <c r="CJ123" s="216">
        <f>CI123</f>
        <v>206</v>
      </c>
      <c r="CK123" s="919">
        <f>CJ123</f>
        <v>206</v>
      </c>
      <c r="CL123" s="109">
        <f t="shared" si="138"/>
        <v>206</v>
      </c>
      <c r="CM123" s="918">
        <f>CK123</f>
        <v>206</v>
      </c>
      <c r="CN123" s="216">
        <f>CM123</f>
        <v>206</v>
      </c>
      <c r="CO123" s="216">
        <f>CN123</f>
        <v>206</v>
      </c>
      <c r="CP123" s="919">
        <f>CO123</f>
        <v>206</v>
      </c>
      <c r="CQ123" s="919">
        <f t="shared" si="139"/>
        <v>206</v>
      </c>
      <c r="CR123" s="109"/>
    </row>
    <row r="124" spans="1:96" ht="13.5" customHeight="1">
      <c r="A124" s="75"/>
      <c r="B124" s="232" t="s">
        <v>604</v>
      </c>
      <c r="C124" s="75"/>
      <c r="D124" s="75"/>
      <c r="E124" s="75"/>
      <c r="F124" s="650">
        <v>1077</v>
      </c>
      <c r="G124" s="650">
        <v>1468</v>
      </c>
      <c r="H124" s="650">
        <v>1394</v>
      </c>
      <c r="I124" s="650">
        <v>1283</v>
      </c>
      <c r="J124" s="109">
        <f>I124</f>
        <v>1283</v>
      </c>
      <c r="K124" s="627">
        <f>1180+72</f>
        <v>1252</v>
      </c>
      <c r="L124" s="627">
        <f>1332+116</f>
        <v>1448</v>
      </c>
      <c r="M124" s="627">
        <f>1251+122</f>
        <v>1373</v>
      </c>
      <c r="N124" s="627">
        <f>1197+108</f>
        <v>1305</v>
      </c>
      <c r="O124" s="109">
        <f t="shared" si="123"/>
        <v>1305</v>
      </c>
      <c r="P124" s="650">
        <f>1308+113</f>
        <v>1421</v>
      </c>
      <c r="Q124" s="650">
        <f>1428+116</f>
        <v>1544</v>
      </c>
      <c r="R124" s="650">
        <f>1341+101</f>
        <v>1442</v>
      </c>
      <c r="S124" s="650">
        <v>1466</v>
      </c>
      <c r="T124" s="109">
        <f t="shared" si="124"/>
        <v>1466</v>
      </c>
      <c r="U124" s="650">
        <v>1483</v>
      </c>
      <c r="V124" s="650">
        <v>1517</v>
      </c>
      <c r="W124" s="650">
        <v>1673</v>
      </c>
      <c r="X124" s="650">
        <v>1604</v>
      </c>
      <c r="Y124" s="109">
        <f t="shared" si="125"/>
        <v>1604</v>
      </c>
      <c r="Z124" s="650">
        <v>1618</v>
      </c>
      <c r="AA124" s="650">
        <v>2055</v>
      </c>
      <c r="AB124" s="650">
        <v>1826</v>
      </c>
      <c r="AC124" s="650">
        <v>2279</v>
      </c>
      <c r="AD124" s="109">
        <f t="shared" si="126"/>
        <v>2279</v>
      </c>
      <c r="AE124" s="650">
        <v>2339</v>
      </c>
      <c r="AF124" s="650">
        <v>2593</v>
      </c>
      <c r="AG124" s="650">
        <v>2669</v>
      </c>
      <c r="AH124" s="650">
        <v>2492</v>
      </c>
      <c r="AI124" s="109">
        <f t="shared" si="127"/>
        <v>2492</v>
      </c>
      <c r="AJ124" s="1187">
        <v>2080</v>
      </c>
      <c r="AK124" s="646">
        <v>1781</v>
      </c>
      <c r="AL124" s="646">
        <v>1677</v>
      </c>
      <c r="AM124" s="1188">
        <v>1679</v>
      </c>
      <c r="AN124" s="109">
        <f t="shared" si="128"/>
        <v>1679</v>
      </c>
      <c r="AO124" s="1187">
        <v>1647</v>
      </c>
      <c r="AP124" s="646">
        <v>2012</v>
      </c>
      <c r="AQ124" s="646">
        <v>2375</v>
      </c>
      <c r="AR124" s="1188">
        <v>2352</v>
      </c>
      <c r="AS124" s="109">
        <f t="shared" si="129"/>
        <v>2352</v>
      </c>
      <c r="AT124" s="1187">
        <v>2255</v>
      </c>
      <c r="AU124" s="647">
        <v>2698</v>
      </c>
      <c r="AV124" s="647">
        <v>2843</v>
      </c>
      <c r="AW124" s="1188">
        <v>2775</v>
      </c>
      <c r="AX124" s="109">
        <f t="shared" si="130"/>
        <v>2775</v>
      </c>
      <c r="AY124" s="1288">
        <v>2437</v>
      </c>
      <c r="AZ124" s="646">
        <v>2412</v>
      </c>
      <c r="BA124" s="646">
        <v>2525</v>
      </c>
      <c r="BB124" s="1188">
        <v>2503</v>
      </c>
      <c r="BC124" s="109">
        <f t="shared" si="131"/>
        <v>2503</v>
      </c>
      <c r="BD124" s="1187">
        <v>2316</v>
      </c>
      <c r="BE124" s="646">
        <v>2269</v>
      </c>
      <c r="BF124" s="646">
        <v>2480</v>
      </c>
      <c r="BG124" s="1188">
        <v>2688</v>
      </c>
      <c r="BH124" s="109">
        <f t="shared" si="132"/>
        <v>2688</v>
      </c>
      <c r="BI124" s="1187">
        <v>2411</v>
      </c>
      <c r="BJ124" s="646">
        <v>2337</v>
      </c>
      <c r="BK124" s="647">
        <v>2199</v>
      </c>
      <c r="BL124" s="1188">
        <v>2496</v>
      </c>
      <c r="BM124" s="109">
        <f t="shared" si="133"/>
        <v>2496</v>
      </c>
      <c r="BN124" s="1187">
        <v>2418</v>
      </c>
      <c r="BO124" s="647">
        <v>2330</v>
      </c>
      <c r="BP124" s="647">
        <v>2435</v>
      </c>
      <c r="BQ124" s="1286">
        <v>2074</v>
      </c>
      <c r="BR124" s="109">
        <f t="shared" si="134"/>
        <v>2074</v>
      </c>
      <c r="BS124" s="1187">
        <v>1801</v>
      </c>
      <c r="BT124" s="646">
        <v>1675</v>
      </c>
      <c r="BU124" s="646">
        <v>1742</v>
      </c>
      <c r="BV124" s="1286">
        <v>1573</v>
      </c>
      <c r="BW124" s="109">
        <f t="shared" si="135"/>
        <v>1573</v>
      </c>
      <c r="BX124" s="1359">
        <v>1718</v>
      </c>
      <c r="BY124" s="1360">
        <v>1727</v>
      </c>
      <c r="BZ124" s="1360">
        <v>1737</v>
      </c>
      <c r="CA124" s="1188">
        <v>1738</v>
      </c>
      <c r="CB124" s="109">
        <f t="shared" si="136"/>
        <v>1738</v>
      </c>
      <c r="CC124" s="918">
        <f>2*CC18/CC272*4-CA124</f>
        <v>1678.6027142388493</v>
      </c>
      <c r="CD124" s="216">
        <f>2*CD18/CD272*4-CC124</f>
        <v>1934.0666601333769</v>
      </c>
      <c r="CE124" s="216">
        <f>2*CE18/CE272*4-CD124</f>
        <v>1841.5859460627112</v>
      </c>
      <c r="CF124" s="919">
        <f>2*CF18/CF272*4-CE124</f>
        <v>2132.5493597966679</v>
      </c>
      <c r="CG124" s="109">
        <f t="shared" si="137"/>
        <v>2132.5493597966679</v>
      </c>
      <c r="CH124" s="918">
        <f>2*CH18/CH272*4-CF124</f>
        <v>1992.9000002695366</v>
      </c>
      <c r="CI124" s="216">
        <f>2*CI18/CI272*4-CH124</f>
        <v>2181.4604933735727</v>
      </c>
      <c r="CJ124" s="216">
        <f>2*CJ18/CJ272*4-CI124</f>
        <v>1915.4242639261802</v>
      </c>
      <c r="CK124" s="919">
        <f>2*CK18/CK272*4-CJ124</f>
        <v>2118.0389908046704</v>
      </c>
      <c r="CL124" s="109">
        <f t="shared" si="138"/>
        <v>2118.0389908046704</v>
      </c>
      <c r="CM124" s="918">
        <f>2*CM18/CM272*4-CK124</f>
        <v>1937.1789602654208</v>
      </c>
      <c r="CN124" s="216">
        <f>2*CN18/CN272*4-CM124</f>
        <v>2258.2274517783899</v>
      </c>
      <c r="CO124" s="216">
        <f>2*CO18/CO272*4-CN124</f>
        <v>1851.4574273784056</v>
      </c>
      <c r="CP124" s="919">
        <f>2*CP18/CP272*4-CO124</f>
        <v>1970.3104397362308</v>
      </c>
      <c r="CQ124" s="919">
        <f t="shared" si="139"/>
        <v>1970.3104397362308</v>
      </c>
      <c r="CR124" s="109"/>
    </row>
    <row r="125" spans="1:96" ht="13.5" customHeight="1">
      <c r="A125" s="75"/>
      <c r="B125" s="232" t="s">
        <v>786</v>
      </c>
      <c r="C125" s="75"/>
      <c r="D125" s="75"/>
      <c r="E125" s="75"/>
      <c r="F125" s="650">
        <v>227</v>
      </c>
      <c r="G125" s="650">
        <v>248</v>
      </c>
      <c r="H125" s="650">
        <v>203</v>
      </c>
      <c r="I125" s="650">
        <v>245</v>
      </c>
      <c r="J125" s="109">
        <f>I125</f>
        <v>245</v>
      </c>
      <c r="K125" s="650">
        <v>239</v>
      </c>
      <c r="L125" s="650">
        <v>245</v>
      </c>
      <c r="M125" s="627">
        <f>167-1</f>
        <v>166</v>
      </c>
      <c r="N125" s="650">
        <v>223</v>
      </c>
      <c r="O125" s="109">
        <f t="shared" si="123"/>
        <v>223</v>
      </c>
      <c r="P125" s="650">
        <f>176-5</f>
        <v>171</v>
      </c>
      <c r="Q125" s="650">
        <f>138-4</f>
        <v>134</v>
      </c>
      <c r="R125" s="650">
        <f>261-3</f>
        <v>258</v>
      </c>
      <c r="S125" s="650">
        <v>275</v>
      </c>
      <c r="T125" s="109">
        <f t="shared" si="124"/>
        <v>275</v>
      </c>
      <c r="U125" s="650">
        <v>257</v>
      </c>
      <c r="V125" s="650">
        <v>241</v>
      </c>
      <c r="W125" s="650">
        <v>167</v>
      </c>
      <c r="X125" s="650">
        <v>362</v>
      </c>
      <c r="Y125" s="109">
        <f t="shared" si="125"/>
        <v>362</v>
      </c>
      <c r="Z125" s="650">
        <v>345</v>
      </c>
      <c r="AA125" s="650">
        <v>306</v>
      </c>
      <c r="AB125" s="650">
        <v>318</v>
      </c>
      <c r="AC125" s="650">
        <v>151</v>
      </c>
      <c r="AD125" s="109">
        <f t="shared" si="126"/>
        <v>151</v>
      </c>
      <c r="AE125" s="650">
        <v>159</v>
      </c>
      <c r="AF125" s="650">
        <v>142</v>
      </c>
      <c r="AG125" s="650">
        <v>155</v>
      </c>
      <c r="AH125" s="650">
        <v>177</v>
      </c>
      <c r="AI125" s="109">
        <f t="shared" si="127"/>
        <v>177</v>
      </c>
      <c r="AJ125" s="1187">
        <v>305</v>
      </c>
      <c r="AK125" s="646">
        <v>290</v>
      </c>
      <c r="AL125" s="646">
        <v>142</v>
      </c>
      <c r="AM125" s="1188">
        <v>299</v>
      </c>
      <c r="AN125" s="109">
        <f t="shared" si="128"/>
        <v>299</v>
      </c>
      <c r="AO125" s="1187">
        <v>297</v>
      </c>
      <c r="AP125" s="646">
        <v>298</v>
      </c>
      <c r="AQ125" s="646">
        <v>303</v>
      </c>
      <c r="AR125" s="1188">
        <f>422-AR126</f>
        <v>198</v>
      </c>
      <c r="AS125" s="109">
        <f t="shared" si="129"/>
        <v>198</v>
      </c>
      <c r="AT125" s="1187">
        <v>127</v>
      </c>
      <c r="AU125" s="647">
        <v>131</v>
      </c>
      <c r="AV125" s="647">
        <v>128</v>
      </c>
      <c r="AW125" s="1188">
        <v>114</v>
      </c>
      <c r="AX125" s="109">
        <f t="shared" si="130"/>
        <v>114</v>
      </c>
      <c r="AY125" s="1288">
        <v>115</v>
      </c>
      <c r="AZ125" s="647">
        <v>116</v>
      </c>
      <c r="BA125" s="646">
        <v>119</v>
      </c>
      <c r="BB125" s="1188">
        <v>171</v>
      </c>
      <c r="BC125" s="109">
        <f t="shared" si="131"/>
        <v>171</v>
      </c>
      <c r="BD125" s="1187">
        <v>0</v>
      </c>
      <c r="BE125" s="646">
        <v>0</v>
      </c>
      <c r="BF125" s="646">
        <v>0</v>
      </c>
      <c r="BG125" s="1188">
        <v>576</v>
      </c>
      <c r="BH125" s="109">
        <f t="shared" si="132"/>
        <v>576</v>
      </c>
      <c r="BI125" s="1187">
        <v>499</v>
      </c>
      <c r="BJ125" s="646">
        <v>577</v>
      </c>
      <c r="BK125" s="647">
        <v>535</v>
      </c>
      <c r="BL125" s="1286">
        <v>602</v>
      </c>
      <c r="BM125" s="109">
        <f>BL125</f>
        <v>602</v>
      </c>
      <c r="BN125" s="1187">
        <v>362</v>
      </c>
      <c r="BO125" s="647">
        <v>353</v>
      </c>
      <c r="BP125" s="647">
        <v>412</v>
      </c>
      <c r="BQ125" s="1286">
        <v>0</v>
      </c>
      <c r="BR125" s="109">
        <f>BQ125</f>
        <v>0</v>
      </c>
      <c r="BS125" s="1288">
        <v>0</v>
      </c>
      <c r="BT125" s="647">
        <v>0</v>
      </c>
      <c r="BU125" s="647">
        <v>0</v>
      </c>
      <c r="BV125" s="1286">
        <v>0</v>
      </c>
      <c r="BW125" s="109">
        <f>BV125</f>
        <v>0</v>
      </c>
      <c r="BX125" s="1359">
        <v>0</v>
      </c>
      <c r="BY125" s="1360">
        <v>0</v>
      </c>
      <c r="BZ125" s="1360">
        <v>0</v>
      </c>
      <c r="CA125" s="1188">
        <v>0</v>
      </c>
      <c r="CB125" s="109">
        <f t="shared" si="136"/>
        <v>0</v>
      </c>
      <c r="CC125" s="918">
        <f>CB125-CC220</f>
        <v>0</v>
      </c>
      <c r="CD125" s="216">
        <f>CC125-CD220</f>
        <v>0</v>
      </c>
      <c r="CE125" s="216">
        <f>CD125-CE220</f>
        <v>0</v>
      </c>
      <c r="CF125" s="919">
        <f>CE125-CF220</f>
        <v>0</v>
      </c>
      <c r="CG125" s="109">
        <f t="shared" si="137"/>
        <v>0</v>
      </c>
      <c r="CH125" s="918">
        <f>CG125-CH220</f>
        <v>0</v>
      </c>
      <c r="CI125" s="216">
        <f>CH125-CI220</f>
        <v>0</v>
      </c>
      <c r="CJ125" s="216">
        <f>CI125-CJ220</f>
        <v>0</v>
      </c>
      <c r="CK125" s="919">
        <f>CJ125-CK220</f>
        <v>0</v>
      </c>
      <c r="CL125" s="109">
        <f t="shared" si="138"/>
        <v>0</v>
      </c>
      <c r="CM125" s="918">
        <f>CL125-CM220</f>
        <v>0</v>
      </c>
      <c r="CN125" s="216">
        <f>CM125-CN220</f>
        <v>0</v>
      </c>
      <c r="CO125" s="216">
        <f>CN125-CO220</f>
        <v>0</v>
      </c>
      <c r="CP125" s="919">
        <f>CO125-CP220</f>
        <v>0</v>
      </c>
      <c r="CQ125" s="919">
        <f t="shared" si="139"/>
        <v>0</v>
      </c>
      <c r="CR125" s="109"/>
    </row>
    <row r="126" spans="1:96" ht="13.5" customHeight="1">
      <c r="A126" s="75"/>
      <c r="B126" s="75" t="s">
        <v>787</v>
      </c>
      <c r="C126" s="75"/>
      <c r="D126" s="75"/>
      <c r="E126" s="75"/>
      <c r="F126" s="650">
        <v>33</v>
      </c>
      <c r="G126" s="650">
        <v>38</v>
      </c>
      <c r="H126" s="650">
        <v>35</v>
      </c>
      <c r="I126" s="650">
        <v>44</v>
      </c>
      <c r="J126" s="650">
        <v>44</v>
      </c>
      <c r="K126" s="650">
        <v>35</v>
      </c>
      <c r="L126" s="650">
        <v>28</v>
      </c>
      <c r="M126" s="650">
        <v>24</v>
      </c>
      <c r="N126" s="650">
        <v>16</v>
      </c>
      <c r="O126" s="109">
        <f t="shared" si="123"/>
        <v>16</v>
      </c>
      <c r="P126" s="650">
        <v>10</v>
      </c>
      <c r="Q126" s="650">
        <v>24</v>
      </c>
      <c r="R126" s="650">
        <v>16</v>
      </c>
      <c r="S126" s="650">
        <v>13</v>
      </c>
      <c r="T126" s="109">
        <f t="shared" si="124"/>
        <v>13</v>
      </c>
      <c r="U126" s="650">
        <v>6</v>
      </c>
      <c r="V126" s="650">
        <v>28</v>
      </c>
      <c r="W126" s="650">
        <v>17</v>
      </c>
      <c r="X126" s="650">
        <v>9</v>
      </c>
      <c r="Y126" s="109">
        <f t="shared" si="125"/>
        <v>9</v>
      </c>
      <c r="Z126" s="650">
        <v>31</v>
      </c>
      <c r="AA126" s="650">
        <v>32</v>
      </c>
      <c r="AB126" s="650">
        <v>29</v>
      </c>
      <c r="AC126" s="650">
        <v>51</v>
      </c>
      <c r="AD126" s="109">
        <f t="shared" si="126"/>
        <v>51</v>
      </c>
      <c r="AE126" s="650">
        <v>45</v>
      </c>
      <c r="AF126" s="650">
        <v>60</v>
      </c>
      <c r="AG126" s="650">
        <v>77</v>
      </c>
      <c r="AH126" s="650">
        <v>51</v>
      </c>
      <c r="AI126" s="109">
        <f t="shared" si="127"/>
        <v>51</v>
      </c>
      <c r="AJ126" s="1187">
        <v>50</v>
      </c>
      <c r="AK126" s="646">
        <f>129+51</f>
        <v>180</v>
      </c>
      <c r="AL126" s="646">
        <f>206+50</f>
        <v>256</v>
      </c>
      <c r="AM126" s="1188">
        <f>551-AM125</f>
        <v>252</v>
      </c>
      <c r="AN126" s="109">
        <f t="shared" si="128"/>
        <v>252</v>
      </c>
      <c r="AO126" s="1187">
        <f>21+87</f>
        <v>108</v>
      </c>
      <c r="AP126" s="646">
        <f>21+169</f>
        <v>190</v>
      </c>
      <c r="AQ126" s="646">
        <f>45+179</f>
        <v>224</v>
      </c>
      <c r="AR126" s="919">
        <f>AQ126</f>
        <v>224</v>
      </c>
      <c r="AS126" s="109">
        <f t="shared" si="129"/>
        <v>224</v>
      </c>
      <c r="AT126" s="1187">
        <f>66+72</f>
        <v>138</v>
      </c>
      <c r="AU126" s="647">
        <f>13+91</f>
        <v>104</v>
      </c>
      <c r="AV126" s="647">
        <f>75+11+80</f>
        <v>166</v>
      </c>
      <c r="AW126" s="1188">
        <f>7+44</f>
        <v>51</v>
      </c>
      <c r="AX126" s="109">
        <f t="shared" si="130"/>
        <v>51</v>
      </c>
      <c r="AY126" s="1288">
        <v>69</v>
      </c>
      <c r="AZ126" s="647">
        <v>63</v>
      </c>
      <c r="BA126" s="646">
        <v>54</v>
      </c>
      <c r="BB126" s="1188">
        <v>40</v>
      </c>
      <c r="BC126" s="109">
        <f t="shared" si="131"/>
        <v>40</v>
      </c>
      <c r="BD126" s="1187">
        <v>231</v>
      </c>
      <c r="BE126" s="646">
        <v>238</v>
      </c>
      <c r="BF126" s="646">
        <v>220</v>
      </c>
      <c r="BG126" s="1188">
        <f>185+50</f>
        <v>235</v>
      </c>
      <c r="BH126" s="109">
        <f t="shared" si="132"/>
        <v>235</v>
      </c>
      <c r="BI126" s="1187">
        <f>184+87</f>
        <v>271</v>
      </c>
      <c r="BJ126" s="646">
        <f>15+56</f>
        <v>71</v>
      </c>
      <c r="BK126" s="647">
        <f>14+38</f>
        <v>52</v>
      </c>
      <c r="BL126" s="1286">
        <f>37+15</f>
        <v>52</v>
      </c>
      <c r="BM126" s="109">
        <f t="shared" si="133"/>
        <v>52</v>
      </c>
      <c r="BN126" s="1187">
        <v>48</v>
      </c>
      <c r="BO126" s="647">
        <v>46</v>
      </c>
      <c r="BP126" s="647">
        <v>38</v>
      </c>
      <c r="BQ126" s="1286">
        <v>25</v>
      </c>
      <c r="BR126" s="109">
        <f t="shared" si="134"/>
        <v>25</v>
      </c>
      <c r="BS126" s="1187">
        <v>38</v>
      </c>
      <c r="BT126" s="646">
        <v>32</v>
      </c>
      <c r="BU126" s="646">
        <v>28</v>
      </c>
      <c r="BV126" s="1188">
        <v>20</v>
      </c>
      <c r="BW126" s="109">
        <f t="shared" si="135"/>
        <v>20</v>
      </c>
      <c r="BX126" s="1359">
        <v>35</v>
      </c>
      <c r="BY126" s="1360">
        <v>30</v>
      </c>
      <c r="BZ126" s="1360">
        <v>43</v>
      </c>
      <c r="CA126" s="1531">
        <v>85</v>
      </c>
      <c r="CB126" s="109">
        <f t="shared" si="136"/>
        <v>85</v>
      </c>
      <c r="CC126" s="918">
        <f>CA126</f>
        <v>85</v>
      </c>
      <c r="CD126" s="216">
        <f>CC126</f>
        <v>85</v>
      </c>
      <c r="CE126" s="216">
        <f>CD126</f>
        <v>85</v>
      </c>
      <c r="CF126" s="919">
        <f>CE126</f>
        <v>85</v>
      </c>
      <c r="CG126" s="109">
        <f t="shared" si="137"/>
        <v>85</v>
      </c>
      <c r="CH126" s="918">
        <f>CF126</f>
        <v>85</v>
      </c>
      <c r="CI126" s="216">
        <f>CH126</f>
        <v>85</v>
      </c>
      <c r="CJ126" s="216">
        <f>CI126</f>
        <v>85</v>
      </c>
      <c r="CK126" s="919">
        <f>CJ126</f>
        <v>85</v>
      </c>
      <c r="CL126" s="109">
        <f t="shared" si="138"/>
        <v>85</v>
      </c>
      <c r="CM126" s="918">
        <f>CK126</f>
        <v>85</v>
      </c>
      <c r="CN126" s="216">
        <f>CM126</f>
        <v>85</v>
      </c>
      <c r="CO126" s="216">
        <f>CN126</f>
        <v>85</v>
      </c>
      <c r="CP126" s="919">
        <f>CO126</f>
        <v>85</v>
      </c>
      <c r="CQ126" s="919">
        <f t="shared" si="139"/>
        <v>85</v>
      </c>
      <c r="CR126" s="109"/>
    </row>
    <row r="127" spans="1:96" ht="6.2" customHeight="1">
      <c r="A127" s="75"/>
      <c r="B127" s="75"/>
      <c r="C127" s="75"/>
      <c r="D127" s="75"/>
      <c r="E127" s="75"/>
      <c r="F127" s="234"/>
      <c r="G127" s="234"/>
      <c r="H127" s="234"/>
      <c r="I127" s="234"/>
      <c r="J127" s="234"/>
      <c r="K127" s="234"/>
      <c r="L127" s="234"/>
      <c r="M127" s="234"/>
      <c r="N127" s="234"/>
      <c r="O127" s="234"/>
      <c r="P127" s="234"/>
      <c r="Q127" s="234"/>
      <c r="R127" s="234"/>
      <c r="S127" s="234"/>
      <c r="T127" s="234"/>
      <c r="U127" s="234"/>
      <c r="V127" s="234"/>
      <c r="W127" s="234"/>
      <c r="X127" s="234"/>
      <c r="Y127" s="234"/>
      <c r="Z127" s="234"/>
      <c r="AA127" s="234"/>
      <c r="AB127" s="234"/>
      <c r="AC127" s="234"/>
      <c r="AD127" s="234"/>
      <c r="AE127" s="234"/>
      <c r="AF127" s="234"/>
      <c r="AG127" s="234"/>
      <c r="AH127" s="234"/>
      <c r="AI127" s="234"/>
      <c r="AJ127" s="1209"/>
      <c r="AK127" s="234"/>
      <c r="AL127" s="234"/>
      <c r="AM127" s="1210"/>
      <c r="AN127" s="234"/>
      <c r="AO127" s="1209"/>
      <c r="AP127" s="234"/>
      <c r="AQ127" s="234"/>
      <c r="AR127" s="1210"/>
      <c r="AS127" s="234"/>
      <c r="AT127" s="1209"/>
      <c r="AU127" s="234"/>
      <c r="AV127" s="234"/>
      <c r="AW127" s="1210"/>
      <c r="AX127" s="234"/>
      <c r="AY127" s="1289"/>
      <c r="AZ127" s="234"/>
      <c r="BA127" s="234"/>
      <c r="BB127" s="1210"/>
      <c r="BC127" s="234"/>
      <c r="BD127" s="1209"/>
      <c r="BE127" s="234"/>
      <c r="BF127" s="234"/>
      <c r="BG127" s="1210"/>
      <c r="BH127" s="234"/>
      <c r="BI127" s="1209"/>
      <c r="BJ127" s="234"/>
      <c r="BK127" s="234"/>
      <c r="BL127" s="1210"/>
      <c r="BM127" s="234"/>
      <c r="BN127" s="1209"/>
      <c r="BO127" s="235"/>
      <c r="BP127" s="235"/>
      <c r="BQ127" s="1210"/>
      <c r="BR127" s="234"/>
      <c r="BS127" s="1209"/>
      <c r="BT127" s="234"/>
      <c r="BU127" s="234"/>
      <c r="BV127" s="1210"/>
      <c r="BW127" s="234"/>
      <c r="BX127" s="1209"/>
      <c r="BY127" s="234"/>
      <c r="BZ127" s="234"/>
      <c r="CA127" s="1210"/>
      <c r="CB127" s="234"/>
      <c r="CC127" s="1209"/>
      <c r="CD127" s="234"/>
      <c r="CE127" s="234"/>
      <c r="CF127" s="1210"/>
      <c r="CG127" s="234"/>
      <c r="CH127" s="1209"/>
      <c r="CI127" s="234"/>
      <c r="CJ127" s="234"/>
      <c r="CK127" s="1210"/>
      <c r="CL127" s="234"/>
      <c r="CM127" s="1209"/>
      <c r="CN127" s="234"/>
      <c r="CO127" s="234"/>
      <c r="CP127" s="1210"/>
      <c r="CQ127" s="1210"/>
      <c r="CR127" s="109"/>
    </row>
    <row r="128" spans="1:96" ht="13.5" customHeight="1">
      <c r="A128" s="93"/>
      <c r="B128" s="93"/>
      <c r="C128" s="83" t="s">
        <v>788</v>
      </c>
      <c r="D128" s="93"/>
      <c r="E128" s="93"/>
      <c r="F128" s="149">
        <f t="shared" ref="F128:AK128" si="140">SUM(F121:F126)</f>
        <v>2808</v>
      </c>
      <c r="G128" s="149">
        <f t="shared" si="140"/>
        <v>3250</v>
      </c>
      <c r="H128" s="149">
        <f t="shared" si="140"/>
        <v>3066</v>
      </c>
      <c r="I128" s="149">
        <f t="shared" si="140"/>
        <v>3107</v>
      </c>
      <c r="J128" s="149">
        <f t="shared" si="140"/>
        <v>3107</v>
      </c>
      <c r="K128" s="149">
        <f t="shared" si="140"/>
        <v>3694</v>
      </c>
      <c r="L128" s="149">
        <f t="shared" si="140"/>
        <v>3890</v>
      </c>
      <c r="M128" s="149">
        <f t="shared" si="140"/>
        <v>4296</v>
      </c>
      <c r="N128" s="149">
        <f t="shared" si="140"/>
        <v>4351</v>
      </c>
      <c r="O128" s="149">
        <f t="shared" si="140"/>
        <v>4351</v>
      </c>
      <c r="P128" s="149">
        <f t="shared" si="140"/>
        <v>4660</v>
      </c>
      <c r="Q128" s="149">
        <f t="shared" si="140"/>
        <v>4649</v>
      </c>
      <c r="R128" s="149">
        <f t="shared" si="140"/>
        <v>4725</v>
      </c>
      <c r="S128" s="149">
        <f t="shared" si="140"/>
        <v>4831</v>
      </c>
      <c r="T128" s="149">
        <f t="shared" si="140"/>
        <v>4831</v>
      </c>
      <c r="U128" s="149">
        <f t="shared" si="140"/>
        <v>5046</v>
      </c>
      <c r="V128" s="149">
        <f t="shared" si="140"/>
        <v>5279</v>
      </c>
      <c r="W128" s="149">
        <f t="shared" si="140"/>
        <v>5285</v>
      </c>
      <c r="X128" s="149">
        <f t="shared" si="140"/>
        <v>5196</v>
      </c>
      <c r="Y128" s="149">
        <f t="shared" si="140"/>
        <v>5196</v>
      </c>
      <c r="Z128" s="149">
        <f t="shared" si="140"/>
        <v>5500</v>
      </c>
      <c r="AA128" s="149">
        <f t="shared" si="140"/>
        <v>5756</v>
      </c>
      <c r="AB128" s="149">
        <f t="shared" si="140"/>
        <v>5885</v>
      </c>
      <c r="AC128" s="149">
        <f t="shared" si="140"/>
        <v>4959</v>
      </c>
      <c r="AD128" s="149">
        <f t="shared" si="140"/>
        <v>4959</v>
      </c>
      <c r="AE128" s="149">
        <f t="shared" si="140"/>
        <v>5395</v>
      </c>
      <c r="AF128" s="149">
        <f t="shared" si="140"/>
        <v>6369</v>
      </c>
      <c r="AG128" s="149">
        <f t="shared" si="140"/>
        <v>6981</v>
      </c>
      <c r="AH128" s="149">
        <f t="shared" si="140"/>
        <v>5732</v>
      </c>
      <c r="AI128" s="149">
        <f t="shared" si="140"/>
        <v>5732</v>
      </c>
      <c r="AJ128" s="1137">
        <f t="shared" si="140"/>
        <v>5093</v>
      </c>
      <c r="AK128" s="149">
        <f t="shared" si="140"/>
        <v>5458</v>
      </c>
      <c r="AL128" s="149">
        <f t="shared" ref="AL128:BQ128" si="141">SUM(AL121:AL126)</f>
        <v>5256</v>
      </c>
      <c r="AM128" s="1142">
        <f t="shared" si="141"/>
        <v>5015</v>
      </c>
      <c r="AN128" s="149">
        <f t="shared" si="141"/>
        <v>5015</v>
      </c>
      <c r="AO128" s="1137">
        <f t="shared" si="141"/>
        <v>5400</v>
      </c>
      <c r="AP128" s="149">
        <f t="shared" si="141"/>
        <v>5809</v>
      </c>
      <c r="AQ128" s="149">
        <f t="shared" si="141"/>
        <v>5867</v>
      </c>
      <c r="AR128" s="1142">
        <f t="shared" si="141"/>
        <v>5375</v>
      </c>
      <c r="AS128" s="149">
        <f t="shared" si="141"/>
        <v>5375</v>
      </c>
      <c r="AT128" s="1137">
        <f t="shared" si="141"/>
        <v>5537</v>
      </c>
      <c r="AU128" s="149">
        <f t="shared" si="141"/>
        <v>6021</v>
      </c>
      <c r="AV128" s="149">
        <f t="shared" si="141"/>
        <v>5934</v>
      </c>
      <c r="AW128" s="1142">
        <f t="shared" si="141"/>
        <v>5774</v>
      </c>
      <c r="AX128" s="149">
        <f t="shared" si="141"/>
        <v>5774</v>
      </c>
      <c r="AY128" s="1290">
        <f t="shared" si="141"/>
        <v>5791</v>
      </c>
      <c r="AZ128" s="149">
        <f t="shared" si="141"/>
        <v>5625</v>
      </c>
      <c r="BA128" s="149">
        <f t="shared" si="141"/>
        <v>5646</v>
      </c>
      <c r="BB128" s="1142">
        <f t="shared" si="141"/>
        <v>5374</v>
      </c>
      <c r="BC128" s="149">
        <f t="shared" si="141"/>
        <v>5374</v>
      </c>
      <c r="BD128" s="1137">
        <f t="shared" si="141"/>
        <v>5554</v>
      </c>
      <c r="BE128" s="149">
        <f t="shared" si="141"/>
        <v>5416</v>
      </c>
      <c r="BF128" s="149">
        <f t="shared" si="141"/>
        <v>5354</v>
      </c>
      <c r="BG128" s="1142">
        <f t="shared" si="141"/>
        <v>6078</v>
      </c>
      <c r="BH128" s="149">
        <f t="shared" si="141"/>
        <v>6078</v>
      </c>
      <c r="BI128" s="1137">
        <f t="shared" si="141"/>
        <v>6480</v>
      </c>
      <c r="BJ128" s="149">
        <f t="shared" si="141"/>
        <v>6527</v>
      </c>
      <c r="BK128" s="149">
        <f t="shared" si="141"/>
        <v>6101</v>
      </c>
      <c r="BL128" s="1142">
        <f t="shared" si="141"/>
        <v>6431</v>
      </c>
      <c r="BM128" s="149">
        <f t="shared" si="141"/>
        <v>6431</v>
      </c>
      <c r="BN128" s="1137">
        <f t="shared" si="141"/>
        <v>5742</v>
      </c>
      <c r="BO128" s="150">
        <f t="shared" si="141"/>
        <v>5436</v>
      </c>
      <c r="BP128" s="150">
        <f t="shared" si="141"/>
        <v>5385</v>
      </c>
      <c r="BQ128" s="1142">
        <f t="shared" si="141"/>
        <v>3917</v>
      </c>
      <c r="BR128" s="149">
        <f t="shared" ref="BR128:CQ128" si="142">SUM(BR121:BR126)</f>
        <v>3917</v>
      </c>
      <c r="BS128" s="1137">
        <f t="shared" si="142"/>
        <v>3683</v>
      </c>
      <c r="BT128" s="149">
        <f t="shared" si="142"/>
        <v>3777</v>
      </c>
      <c r="BU128" s="149">
        <f t="shared" si="142"/>
        <v>4411</v>
      </c>
      <c r="BV128" s="1142">
        <f t="shared" si="142"/>
        <v>4356</v>
      </c>
      <c r="BW128" s="149">
        <f t="shared" si="142"/>
        <v>4356</v>
      </c>
      <c r="BX128" s="1137">
        <f t="shared" si="142"/>
        <v>4478</v>
      </c>
      <c r="BY128" s="149">
        <f t="shared" si="142"/>
        <v>4723</v>
      </c>
      <c r="BZ128" s="149">
        <f t="shared" si="142"/>
        <v>5001</v>
      </c>
      <c r="CA128" s="1142">
        <f t="shared" si="142"/>
        <v>4755</v>
      </c>
      <c r="CB128" s="149">
        <f t="shared" si="142"/>
        <v>4755</v>
      </c>
      <c r="CC128" s="1137">
        <f t="shared" si="142"/>
        <v>4358.3586621580571</v>
      </c>
      <c r="CD128" s="149">
        <f t="shared" si="142"/>
        <v>5154.571411403731</v>
      </c>
      <c r="CE128" s="149">
        <f t="shared" si="142"/>
        <v>5007.0681447775187</v>
      </c>
      <c r="CF128" s="1142">
        <f t="shared" si="142"/>
        <v>5715.1490034133694</v>
      </c>
      <c r="CG128" s="149">
        <f t="shared" si="142"/>
        <v>5715.1490034133694</v>
      </c>
      <c r="CH128" s="1137">
        <f t="shared" si="142"/>
        <v>5683.4476888615918</v>
      </c>
      <c r="CI128" s="149">
        <f t="shared" si="142"/>
        <v>5961.6779217401481</v>
      </c>
      <c r="CJ128" s="149">
        <f t="shared" si="142"/>
        <v>5974.540306826746</v>
      </c>
      <c r="CK128" s="1142">
        <f t="shared" si="142"/>
        <v>6222.3274490754575</v>
      </c>
      <c r="CL128" s="149">
        <f t="shared" si="142"/>
        <v>6222.3274490754575</v>
      </c>
      <c r="CM128" s="1137">
        <f t="shared" si="142"/>
        <v>6015.6122839170903</v>
      </c>
      <c r="CN128" s="149">
        <f t="shared" si="142"/>
        <v>6513.9977167398665</v>
      </c>
      <c r="CO128" s="149">
        <f t="shared" si="142"/>
        <v>6107.5894097493147</v>
      </c>
      <c r="CP128" s="1142">
        <f t="shared" si="142"/>
        <v>6567.8729540654513</v>
      </c>
      <c r="CQ128" s="1142">
        <f t="shared" si="142"/>
        <v>6567.8729540654513</v>
      </c>
      <c r="CR128" s="109"/>
    </row>
    <row r="129" spans="1:96" ht="6.2" customHeight="1">
      <c r="A129" s="75"/>
      <c r="B129" s="125"/>
      <c r="C129" s="75"/>
      <c r="D129" s="75"/>
      <c r="E129" s="75"/>
      <c r="F129" s="153"/>
      <c r="G129" s="153"/>
      <c r="H129" s="153"/>
      <c r="I129" s="153"/>
      <c r="J129" s="153"/>
      <c r="K129" s="153"/>
      <c r="L129" s="153"/>
      <c r="M129" s="153"/>
      <c r="N129" s="153"/>
      <c r="O129" s="153"/>
      <c r="P129" s="153"/>
      <c r="Q129" s="153"/>
      <c r="R129" s="153"/>
      <c r="S129" s="153"/>
      <c r="T129" s="153"/>
      <c r="U129" s="153"/>
      <c r="V129" s="153"/>
      <c r="W129" s="153"/>
      <c r="X129" s="153"/>
      <c r="Y129" s="153"/>
      <c r="Z129" s="153"/>
      <c r="AA129" s="153"/>
      <c r="AB129" s="153"/>
      <c r="AC129" s="153"/>
      <c r="AD129" s="153"/>
      <c r="AE129" s="153"/>
      <c r="AF129" s="153"/>
      <c r="AG129" s="153"/>
      <c r="AH129" s="153"/>
      <c r="AI129" s="153"/>
      <c r="AJ129" s="914"/>
      <c r="AK129" s="153"/>
      <c r="AL129" s="153"/>
      <c r="AM129" s="915"/>
      <c r="AN129" s="153"/>
      <c r="AO129" s="914"/>
      <c r="AP129" s="153"/>
      <c r="AQ129" s="153"/>
      <c r="AR129" s="915"/>
      <c r="AS129" s="153"/>
      <c r="AT129" s="914"/>
      <c r="AU129" s="153"/>
      <c r="AV129" s="153"/>
      <c r="AW129" s="915"/>
      <c r="AX129" s="153"/>
      <c r="AY129" s="1291"/>
      <c r="AZ129" s="153"/>
      <c r="BA129" s="153"/>
      <c r="BB129" s="915"/>
      <c r="BC129" s="153"/>
      <c r="BD129" s="914"/>
      <c r="BE129" s="153"/>
      <c r="BF129" s="153"/>
      <c r="BG129" s="915"/>
      <c r="BH129" s="153"/>
      <c r="BI129" s="914"/>
      <c r="BJ129" s="153"/>
      <c r="BK129" s="153"/>
      <c r="BL129" s="915"/>
      <c r="BM129" s="153"/>
      <c r="BN129" s="914"/>
      <c r="BO129" s="170"/>
      <c r="BP129" s="170"/>
      <c r="BQ129" s="915"/>
      <c r="BR129" s="153"/>
      <c r="BS129" s="914"/>
      <c r="BT129" s="153"/>
      <c r="BU129" s="153"/>
      <c r="BV129" s="915"/>
      <c r="BW129" s="153"/>
      <c r="BX129" s="914"/>
      <c r="BY129" s="153"/>
      <c r="BZ129" s="153"/>
      <c r="CA129" s="915"/>
      <c r="CB129" s="153"/>
      <c r="CC129" s="914"/>
      <c r="CD129" s="153"/>
      <c r="CE129" s="153"/>
      <c r="CF129" s="915"/>
      <c r="CG129" s="153"/>
      <c r="CH129" s="914"/>
      <c r="CI129" s="153"/>
      <c r="CJ129" s="153"/>
      <c r="CK129" s="915"/>
      <c r="CL129" s="153"/>
      <c r="CM129" s="914"/>
      <c r="CN129" s="153"/>
      <c r="CO129" s="153"/>
      <c r="CP129" s="915"/>
      <c r="CQ129" s="915"/>
      <c r="CR129" s="109"/>
    </row>
    <row r="130" spans="1:96" ht="13.5" customHeight="1">
      <c r="A130" s="75"/>
      <c r="B130" s="125" t="s">
        <v>789</v>
      </c>
      <c r="C130" s="75"/>
      <c r="D130" s="75"/>
      <c r="E130" s="75"/>
      <c r="F130" s="650">
        <v>339</v>
      </c>
      <c r="G130" s="650">
        <v>311</v>
      </c>
      <c r="H130" s="650">
        <v>303</v>
      </c>
      <c r="I130" s="650">
        <v>289</v>
      </c>
      <c r="J130" s="109">
        <f>I130</f>
        <v>289</v>
      </c>
      <c r="K130" s="650">
        <v>291</v>
      </c>
      <c r="L130" s="650">
        <v>282</v>
      </c>
      <c r="M130" s="650">
        <v>283</v>
      </c>
      <c r="N130" s="650">
        <v>283</v>
      </c>
      <c r="O130" s="109">
        <f>N130</f>
        <v>283</v>
      </c>
      <c r="P130" s="650">
        <v>286</v>
      </c>
      <c r="Q130" s="650">
        <v>292</v>
      </c>
      <c r="R130" s="650">
        <v>291</v>
      </c>
      <c r="S130" s="650">
        <v>288</v>
      </c>
      <c r="T130" s="109">
        <f>S130</f>
        <v>288</v>
      </c>
      <c r="U130" s="650">
        <v>285</v>
      </c>
      <c r="V130" s="650">
        <v>278</v>
      </c>
      <c r="W130" s="650">
        <v>284</v>
      </c>
      <c r="X130" s="650">
        <v>331</v>
      </c>
      <c r="Y130" s="109">
        <f>X130</f>
        <v>331</v>
      </c>
      <c r="Z130" s="650">
        <v>320</v>
      </c>
      <c r="AA130" s="650">
        <v>333</v>
      </c>
      <c r="AB130" s="650">
        <v>315</v>
      </c>
      <c r="AC130" s="650">
        <v>694</v>
      </c>
      <c r="AD130" s="109">
        <f t="shared" ref="AD130:AD137" si="143">AC130</f>
        <v>694</v>
      </c>
      <c r="AE130" s="650">
        <v>763</v>
      </c>
      <c r="AF130" s="650">
        <v>770</v>
      </c>
      <c r="AG130" s="650">
        <v>728</v>
      </c>
      <c r="AH130" s="650">
        <v>695</v>
      </c>
      <c r="AI130" s="109">
        <f t="shared" ref="AI130:AI137" si="144">AH130</f>
        <v>695</v>
      </c>
      <c r="AJ130" s="1187">
        <v>667</v>
      </c>
      <c r="AK130" s="646">
        <v>630</v>
      </c>
      <c r="AL130" s="646">
        <v>697</v>
      </c>
      <c r="AM130" s="1188">
        <v>695</v>
      </c>
      <c r="AN130" s="109">
        <f t="shared" ref="AN130:AN137" si="145">AM130</f>
        <v>695</v>
      </c>
      <c r="AO130" s="1187">
        <v>658</v>
      </c>
      <c r="AP130" s="646">
        <v>647</v>
      </c>
      <c r="AQ130" s="646">
        <v>674</v>
      </c>
      <c r="AR130" s="1188">
        <v>670</v>
      </c>
      <c r="AS130" s="109">
        <f t="shared" ref="AS130:AS137" si="146">AR130</f>
        <v>670</v>
      </c>
      <c r="AT130" s="1187">
        <v>694</v>
      </c>
      <c r="AU130" s="647">
        <v>687</v>
      </c>
      <c r="AV130" s="647">
        <v>685</v>
      </c>
      <c r="AW130" s="1188">
        <v>683</v>
      </c>
      <c r="AX130" s="109">
        <f t="shared" ref="AX130:AX137" si="147">AW130</f>
        <v>683</v>
      </c>
      <c r="AY130" s="1288">
        <v>668</v>
      </c>
      <c r="AZ130" s="646">
        <v>643</v>
      </c>
      <c r="BA130" s="646">
        <v>645</v>
      </c>
      <c r="BB130" s="1188">
        <v>609</v>
      </c>
      <c r="BC130" s="109">
        <f t="shared" ref="BC130:BC137" si="148">BB130</f>
        <v>609</v>
      </c>
      <c r="BD130" s="1187">
        <v>624</v>
      </c>
      <c r="BE130" s="646">
        <v>621</v>
      </c>
      <c r="BF130" s="646">
        <v>607</v>
      </c>
      <c r="BG130" s="1188">
        <v>621</v>
      </c>
      <c r="BH130" s="109">
        <f>BG130</f>
        <v>621</v>
      </c>
      <c r="BI130" s="1187">
        <v>607</v>
      </c>
      <c r="BJ130" s="646">
        <v>622</v>
      </c>
      <c r="BK130" s="646">
        <v>986</v>
      </c>
      <c r="BL130" s="1188">
        <v>939</v>
      </c>
      <c r="BM130" s="109">
        <f>BL130</f>
        <v>939</v>
      </c>
      <c r="BN130" s="1187">
        <f>578+336</f>
        <v>914</v>
      </c>
      <c r="BO130" s="647">
        <v>672</v>
      </c>
      <c r="BP130" s="647">
        <v>657</v>
      </c>
      <c r="BQ130" s="1286">
        <v>540</v>
      </c>
      <c r="BR130" s="109">
        <f>BQ130</f>
        <v>540</v>
      </c>
      <c r="BS130" s="1187">
        <v>540</v>
      </c>
      <c r="BT130" s="646">
        <v>534</v>
      </c>
      <c r="BU130" s="646">
        <v>538</v>
      </c>
      <c r="BV130" s="1188">
        <v>528</v>
      </c>
      <c r="BW130" s="109">
        <f>BV130</f>
        <v>528</v>
      </c>
      <c r="BX130" s="1361">
        <v>533</v>
      </c>
      <c r="BY130" s="1362">
        <v>548</v>
      </c>
      <c r="BZ130" s="1362">
        <v>470</v>
      </c>
      <c r="CA130" s="1188">
        <v>480</v>
      </c>
      <c r="CB130" s="109">
        <f t="shared" ref="CB130:CB137" si="149">CA130</f>
        <v>480</v>
      </c>
      <c r="CC130" s="918">
        <f>CA130</f>
        <v>480</v>
      </c>
      <c r="CD130" s="216">
        <f t="shared" ref="CD130:CF131" si="150">CC130</f>
        <v>480</v>
      </c>
      <c r="CE130" s="216">
        <f t="shared" si="150"/>
        <v>480</v>
      </c>
      <c r="CF130" s="919">
        <f t="shared" si="150"/>
        <v>480</v>
      </c>
      <c r="CG130" s="109">
        <f t="shared" ref="CG130:CG137" si="151">CF130</f>
        <v>480</v>
      </c>
      <c r="CH130" s="918">
        <f>CF130</f>
        <v>480</v>
      </c>
      <c r="CI130" s="216">
        <f t="shared" ref="CI130:CK131" si="152">CH130</f>
        <v>480</v>
      </c>
      <c r="CJ130" s="216">
        <f t="shared" si="152"/>
        <v>480</v>
      </c>
      <c r="CK130" s="919">
        <f t="shared" si="152"/>
        <v>480</v>
      </c>
      <c r="CL130" s="109">
        <f t="shared" ref="CL130:CL137" si="153">CK130</f>
        <v>480</v>
      </c>
      <c r="CM130" s="918">
        <f>CK130</f>
        <v>480</v>
      </c>
      <c r="CN130" s="216">
        <f t="shared" ref="CN130:CN131" si="154">CM130</f>
        <v>480</v>
      </c>
      <c r="CO130" s="216">
        <f t="shared" ref="CO130:CO131" si="155">CN130</f>
        <v>480</v>
      </c>
      <c r="CP130" s="919">
        <f t="shared" ref="CP130:CP131" si="156">CO130</f>
        <v>480</v>
      </c>
      <c r="CQ130" s="919">
        <f t="shared" ref="CQ130:CQ137" si="157">CP130</f>
        <v>480</v>
      </c>
      <c r="CR130" s="109"/>
    </row>
    <row r="131" spans="1:96" ht="13.5" customHeight="1">
      <c r="A131" s="75"/>
      <c r="B131" s="125" t="s">
        <v>790</v>
      </c>
      <c r="C131" s="75"/>
      <c r="D131" s="75"/>
      <c r="E131" s="75"/>
      <c r="F131" s="650">
        <v>6</v>
      </c>
      <c r="G131" s="650">
        <v>6</v>
      </c>
      <c r="H131" s="650">
        <v>6</v>
      </c>
      <c r="I131" s="109">
        <f>H131</f>
        <v>6</v>
      </c>
      <c r="J131" s="109">
        <f>I131</f>
        <v>6</v>
      </c>
      <c r="K131" s="650">
        <v>6</v>
      </c>
      <c r="L131" s="650">
        <v>7</v>
      </c>
      <c r="M131" s="650">
        <v>10</v>
      </c>
      <c r="N131" s="650">
        <v>19</v>
      </c>
      <c r="O131" s="109">
        <f>N131</f>
        <v>19</v>
      </c>
      <c r="P131" s="650">
        <v>20</v>
      </c>
      <c r="Q131" s="650">
        <v>20</v>
      </c>
      <c r="R131" s="650">
        <v>15</v>
      </c>
      <c r="S131" s="650">
        <v>15</v>
      </c>
      <c r="T131" s="109">
        <f>S131</f>
        <v>15</v>
      </c>
      <c r="U131" s="650">
        <v>4</v>
      </c>
      <c r="V131" s="650">
        <v>5</v>
      </c>
      <c r="W131" s="650">
        <v>4</v>
      </c>
      <c r="X131" s="650">
        <v>5</v>
      </c>
      <c r="Y131" s="109">
        <f>X131</f>
        <v>5</v>
      </c>
      <c r="Z131" s="650">
        <v>0</v>
      </c>
      <c r="AA131" s="109">
        <f>Z131</f>
        <v>0</v>
      </c>
      <c r="AB131" s="650">
        <v>0</v>
      </c>
      <c r="AC131" s="109">
        <f>AB131</f>
        <v>0</v>
      </c>
      <c r="AD131" s="109">
        <f t="shared" si="143"/>
        <v>0</v>
      </c>
      <c r="AE131" s="650">
        <v>0</v>
      </c>
      <c r="AF131" s="109">
        <f>AE131</f>
        <v>0</v>
      </c>
      <c r="AG131" s="109">
        <f>AF131</f>
        <v>0</v>
      </c>
      <c r="AH131" s="109">
        <f>AG131</f>
        <v>0</v>
      </c>
      <c r="AI131" s="109">
        <f t="shared" si="144"/>
        <v>0</v>
      </c>
      <c r="AJ131" s="918">
        <f>AH131</f>
        <v>0</v>
      </c>
      <c r="AK131" s="216">
        <f>AJ131</f>
        <v>0</v>
      </c>
      <c r="AL131" s="216">
        <f>AK131</f>
        <v>0</v>
      </c>
      <c r="AM131" s="919">
        <f>AL131</f>
        <v>0</v>
      </c>
      <c r="AN131" s="109">
        <f t="shared" si="145"/>
        <v>0</v>
      </c>
      <c r="AO131" s="918">
        <f>AM131</f>
        <v>0</v>
      </c>
      <c r="AP131" s="216">
        <f>AO131</f>
        <v>0</v>
      </c>
      <c r="AQ131" s="216">
        <f>AP131</f>
        <v>0</v>
      </c>
      <c r="AR131" s="919">
        <f>AQ131</f>
        <v>0</v>
      </c>
      <c r="AS131" s="109">
        <f t="shared" si="146"/>
        <v>0</v>
      </c>
      <c r="AT131" s="918">
        <f>AR131</f>
        <v>0</v>
      </c>
      <c r="AU131" s="216">
        <f>AT131</f>
        <v>0</v>
      </c>
      <c r="AV131" s="216">
        <f>AU131</f>
        <v>0</v>
      </c>
      <c r="AW131" s="919">
        <f>AV131</f>
        <v>0</v>
      </c>
      <c r="AX131" s="109">
        <f t="shared" si="147"/>
        <v>0</v>
      </c>
      <c r="AY131" s="1288">
        <v>0</v>
      </c>
      <c r="AZ131" s="647">
        <v>0</v>
      </c>
      <c r="BA131" s="216">
        <f>AZ131</f>
        <v>0</v>
      </c>
      <c r="BB131" s="919">
        <f>BA131</f>
        <v>0</v>
      </c>
      <c r="BC131" s="109">
        <f t="shared" si="148"/>
        <v>0</v>
      </c>
      <c r="BD131" s="1187">
        <v>0</v>
      </c>
      <c r="BE131" s="646">
        <v>0</v>
      </c>
      <c r="BF131" s="646">
        <v>0</v>
      </c>
      <c r="BG131" s="1188">
        <v>0</v>
      </c>
      <c r="BH131" s="109">
        <f>BG131</f>
        <v>0</v>
      </c>
      <c r="BI131" s="1187">
        <v>0</v>
      </c>
      <c r="BJ131" s="646">
        <v>0</v>
      </c>
      <c r="BK131" s="646">
        <v>0</v>
      </c>
      <c r="BL131" s="1188">
        <v>0</v>
      </c>
      <c r="BM131" s="109">
        <f>BL131</f>
        <v>0</v>
      </c>
      <c r="BN131" s="1187">
        <v>0</v>
      </c>
      <c r="BO131" s="646">
        <v>0</v>
      </c>
      <c r="BP131" s="646">
        <v>0</v>
      </c>
      <c r="BQ131" s="1188">
        <v>0</v>
      </c>
      <c r="BR131" s="109">
        <f>BQ131</f>
        <v>0</v>
      </c>
      <c r="BS131" s="1187">
        <v>0</v>
      </c>
      <c r="BT131" s="646">
        <v>0</v>
      </c>
      <c r="BU131" s="646">
        <v>0</v>
      </c>
      <c r="BV131" s="1188">
        <v>0</v>
      </c>
      <c r="BW131" s="109">
        <f>BV131</f>
        <v>0</v>
      </c>
      <c r="BX131" s="1361">
        <v>0</v>
      </c>
      <c r="BY131" s="1362">
        <v>0</v>
      </c>
      <c r="BZ131" s="1362">
        <v>0</v>
      </c>
      <c r="CA131" s="1188">
        <v>0</v>
      </c>
      <c r="CB131" s="109">
        <f t="shared" si="149"/>
        <v>0</v>
      </c>
      <c r="CC131" s="918">
        <f>CA131</f>
        <v>0</v>
      </c>
      <c r="CD131" s="216">
        <f t="shared" si="150"/>
        <v>0</v>
      </c>
      <c r="CE131" s="216">
        <f t="shared" si="150"/>
        <v>0</v>
      </c>
      <c r="CF131" s="919">
        <f t="shared" si="150"/>
        <v>0</v>
      </c>
      <c r="CG131" s="109">
        <f t="shared" si="151"/>
        <v>0</v>
      </c>
      <c r="CH131" s="918">
        <f>CF131</f>
        <v>0</v>
      </c>
      <c r="CI131" s="216">
        <f t="shared" si="152"/>
        <v>0</v>
      </c>
      <c r="CJ131" s="216">
        <f t="shared" si="152"/>
        <v>0</v>
      </c>
      <c r="CK131" s="919">
        <f t="shared" si="152"/>
        <v>0</v>
      </c>
      <c r="CL131" s="109">
        <f t="shared" si="153"/>
        <v>0</v>
      </c>
      <c r="CM131" s="918">
        <f>CK131</f>
        <v>0</v>
      </c>
      <c r="CN131" s="216">
        <f t="shared" si="154"/>
        <v>0</v>
      </c>
      <c r="CO131" s="216">
        <f t="shared" si="155"/>
        <v>0</v>
      </c>
      <c r="CP131" s="919">
        <f t="shared" si="156"/>
        <v>0</v>
      </c>
      <c r="CQ131" s="919">
        <f t="shared" si="157"/>
        <v>0</v>
      </c>
      <c r="CR131" s="109"/>
    </row>
    <row r="132" spans="1:96" ht="13.5" customHeight="1">
      <c r="A132" s="75"/>
      <c r="B132" s="232" t="s">
        <v>607</v>
      </c>
      <c r="C132" s="75"/>
      <c r="D132" s="75"/>
      <c r="E132" s="75"/>
      <c r="F132" s="650">
        <v>2958</v>
      </c>
      <c r="G132" s="650">
        <v>3497</v>
      </c>
      <c r="H132" s="650">
        <v>3367</v>
      </c>
      <c r="I132" s="650">
        <v>3415</v>
      </c>
      <c r="J132" s="650">
        <v>3415</v>
      </c>
      <c r="K132" s="650">
        <v>3398</v>
      </c>
      <c r="L132" s="650">
        <v>3403</v>
      </c>
      <c r="M132" s="650">
        <v>3514</v>
      </c>
      <c r="N132" s="650">
        <v>3627</v>
      </c>
      <c r="O132" s="109">
        <f>N132</f>
        <v>3627</v>
      </c>
      <c r="P132" s="650">
        <v>3651</v>
      </c>
      <c r="Q132" s="650">
        <v>3723</v>
      </c>
      <c r="R132" s="650">
        <v>3840</v>
      </c>
      <c r="S132" s="650">
        <v>4015</v>
      </c>
      <c r="T132" s="109">
        <f>S132</f>
        <v>4015</v>
      </c>
      <c r="U132" s="650">
        <v>4159</v>
      </c>
      <c r="V132" s="650">
        <v>4212</v>
      </c>
      <c r="W132" s="650">
        <v>4269</v>
      </c>
      <c r="X132" s="650">
        <v>4429</v>
      </c>
      <c r="Y132" s="109">
        <f>X132</f>
        <v>4429</v>
      </c>
      <c r="Z132" s="650">
        <v>4439</v>
      </c>
      <c r="AA132" s="650">
        <v>4932</v>
      </c>
      <c r="AB132" s="650">
        <v>4809</v>
      </c>
      <c r="AC132" s="650">
        <v>6688</v>
      </c>
      <c r="AD132" s="109">
        <f t="shared" si="143"/>
        <v>6688</v>
      </c>
      <c r="AE132" s="650">
        <v>6832</v>
      </c>
      <c r="AF132" s="650">
        <v>6890</v>
      </c>
      <c r="AG132" s="650">
        <v>6732</v>
      </c>
      <c r="AH132" s="650">
        <v>6676</v>
      </c>
      <c r="AI132" s="109">
        <f t="shared" si="144"/>
        <v>6676</v>
      </c>
      <c r="AJ132" s="1187">
        <v>6558</v>
      </c>
      <c r="AK132" s="646">
        <v>6740</v>
      </c>
      <c r="AL132" s="646">
        <v>6860</v>
      </c>
      <c r="AM132" s="1188">
        <v>6820</v>
      </c>
      <c r="AN132" s="109">
        <f t="shared" si="145"/>
        <v>6820</v>
      </c>
      <c r="AO132" s="1187">
        <v>6409</v>
      </c>
      <c r="AP132" s="646">
        <v>6203</v>
      </c>
      <c r="AQ132" s="646">
        <v>6390</v>
      </c>
      <c r="AR132" s="1188">
        <v>6486</v>
      </c>
      <c r="AS132" s="109">
        <f t="shared" si="146"/>
        <v>6486</v>
      </c>
      <c r="AT132" s="1187">
        <v>6627</v>
      </c>
      <c r="AU132" s="647">
        <v>6736</v>
      </c>
      <c r="AV132" s="647">
        <v>6588</v>
      </c>
      <c r="AW132" s="1188">
        <v>6579</v>
      </c>
      <c r="AX132" s="109">
        <f t="shared" si="147"/>
        <v>6579</v>
      </c>
      <c r="AY132" s="1288">
        <v>6401</v>
      </c>
      <c r="AZ132" s="646">
        <v>6316</v>
      </c>
      <c r="BA132" s="646">
        <v>6390</v>
      </c>
      <c r="BB132" s="1188">
        <v>6408</v>
      </c>
      <c r="BC132" s="109">
        <f t="shared" si="148"/>
        <v>6408</v>
      </c>
      <c r="BD132" s="1187">
        <v>6246</v>
      </c>
      <c r="BE132" s="646">
        <v>6156</v>
      </c>
      <c r="BF132" s="646">
        <v>6167</v>
      </c>
      <c r="BG132" s="1188">
        <v>5922</v>
      </c>
      <c r="BH132" s="109">
        <f t="shared" ref="BH132:BH137" si="158">BG132</f>
        <v>5922</v>
      </c>
      <c r="BI132" s="1187">
        <v>5791</v>
      </c>
      <c r="BJ132" s="646">
        <v>5736</v>
      </c>
      <c r="BK132" s="646">
        <v>4570</v>
      </c>
      <c r="BL132" s="1188">
        <v>4574</v>
      </c>
      <c r="BM132" s="109">
        <f t="shared" ref="BM132:BM137" si="159">BL132</f>
        <v>4574</v>
      </c>
      <c r="BN132" s="1187">
        <v>4354</v>
      </c>
      <c r="BO132" s="647">
        <v>4431</v>
      </c>
      <c r="BP132" s="647">
        <v>4415</v>
      </c>
      <c r="BQ132" s="1286">
        <v>4411</v>
      </c>
      <c r="BR132" s="109">
        <f t="shared" ref="BR132:BR137" si="160">BQ132</f>
        <v>4411</v>
      </c>
      <c r="BS132" s="1187">
        <v>4395</v>
      </c>
      <c r="BT132" s="646">
        <v>4306</v>
      </c>
      <c r="BU132" s="646">
        <v>4218</v>
      </c>
      <c r="BV132" s="1188">
        <v>3979</v>
      </c>
      <c r="BW132" s="109">
        <f t="shared" ref="BW132:BW137" si="161">BV132</f>
        <v>3979</v>
      </c>
      <c r="BX132" s="1361">
        <v>3880</v>
      </c>
      <c r="BY132" s="1362">
        <v>4010</v>
      </c>
      <c r="BZ132" s="1362">
        <v>4111</v>
      </c>
      <c r="CA132" s="1188">
        <v>4280</v>
      </c>
      <c r="CB132" s="109">
        <f t="shared" si="149"/>
        <v>4280</v>
      </c>
      <c r="CC132" s="918">
        <f>CA132-CC218-CC243</f>
        <v>4360.5</v>
      </c>
      <c r="CD132" s="216">
        <f>CC132-CD218-CD243</f>
        <v>4449</v>
      </c>
      <c r="CE132" s="216">
        <f>CD132-CE218-CE243</f>
        <v>4537.5</v>
      </c>
      <c r="CF132" s="919">
        <f>CE132-CF218-CF243</f>
        <v>4635</v>
      </c>
      <c r="CG132" s="109">
        <f t="shared" si="151"/>
        <v>4635</v>
      </c>
      <c r="CH132" s="918">
        <f>CF132-CH218-CH243</f>
        <v>4790.5</v>
      </c>
      <c r="CI132" s="216">
        <f>CH132-CI218-CI243</f>
        <v>4954</v>
      </c>
      <c r="CJ132" s="216">
        <f>CI132-CJ218-CJ243</f>
        <v>5117.5</v>
      </c>
      <c r="CK132" s="919">
        <f>CJ132-CK218-CK243</f>
        <v>5290</v>
      </c>
      <c r="CL132" s="109">
        <f t="shared" si="153"/>
        <v>5290</v>
      </c>
      <c r="CM132" s="918">
        <f>CK132-CM218-CM243</f>
        <v>5445.5</v>
      </c>
      <c r="CN132" s="216">
        <f>CM132-CN218-CN243</f>
        <v>5609</v>
      </c>
      <c r="CO132" s="216">
        <f>CN132-CO218-CO243</f>
        <v>5772.5</v>
      </c>
      <c r="CP132" s="919">
        <f>CO132-CP218-CP243</f>
        <v>5945</v>
      </c>
      <c r="CQ132" s="919">
        <f t="shared" si="157"/>
        <v>5945</v>
      </c>
      <c r="CR132" s="109"/>
    </row>
    <row r="133" spans="1:96" ht="13.5" customHeight="1">
      <c r="A133" s="75"/>
      <c r="B133" s="232" t="s">
        <v>791</v>
      </c>
      <c r="C133" s="75"/>
      <c r="D133" s="75"/>
      <c r="E133" s="75"/>
      <c r="F133" s="627">
        <f>1642+414</f>
        <v>2056</v>
      </c>
      <c r="G133" s="627">
        <f>1628+414</f>
        <v>2042</v>
      </c>
      <c r="H133" s="627">
        <f>1518+374</f>
        <v>1892</v>
      </c>
      <c r="I133" s="627">
        <f>8+440</f>
        <v>448</v>
      </c>
      <c r="J133" s="627">
        <f>8+440</f>
        <v>448</v>
      </c>
      <c r="K133" s="627">
        <f>7+440</f>
        <v>447</v>
      </c>
      <c r="L133" s="650">
        <v>440</v>
      </c>
      <c r="M133" s="650">
        <v>440</v>
      </c>
      <c r="N133" s="650">
        <v>2539</v>
      </c>
      <c r="O133" s="109">
        <f>N133</f>
        <v>2539</v>
      </c>
      <c r="P133" s="650">
        <v>2483</v>
      </c>
      <c r="Q133" s="650">
        <v>2430</v>
      </c>
      <c r="R133" s="650">
        <v>2377</v>
      </c>
      <c r="S133" s="650">
        <v>251</v>
      </c>
      <c r="T133" s="109">
        <f>S133</f>
        <v>251</v>
      </c>
      <c r="U133" s="650">
        <v>251</v>
      </c>
      <c r="V133" s="109">
        <f>U133</f>
        <v>251</v>
      </c>
      <c r="W133" s="650">
        <v>252</v>
      </c>
      <c r="X133" s="650">
        <v>330</v>
      </c>
      <c r="Y133" s="109">
        <f>X133</f>
        <v>330</v>
      </c>
      <c r="Z133" s="109">
        <f>385</f>
        <v>385</v>
      </c>
      <c r="AA133" s="650">
        <v>441</v>
      </c>
      <c r="AB133" s="650">
        <v>531</v>
      </c>
      <c r="AC133" s="650">
        <v>734</v>
      </c>
      <c r="AD133" s="109">
        <f t="shared" si="143"/>
        <v>734</v>
      </c>
      <c r="AE133" s="650">
        <v>799</v>
      </c>
      <c r="AF133" s="650">
        <v>871</v>
      </c>
      <c r="AG133" s="650">
        <v>252</v>
      </c>
      <c r="AH133" s="650">
        <v>16</v>
      </c>
      <c r="AI133" s="109">
        <f t="shared" si="144"/>
        <v>16</v>
      </c>
      <c r="AJ133" s="1187">
        <v>0</v>
      </c>
      <c r="AK133" s="216">
        <f>AJ133</f>
        <v>0</v>
      </c>
      <c r="AL133" s="216">
        <f>AK133</f>
        <v>0</v>
      </c>
      <c r="AM133" s="919">
        <f>AL133</f>
        <v>0</v>
      </c>
      <c r="AN133" s="109">
        <f t="shared" si="145"/>
        <v>0</v>
      </c>
      <c r="AO133" s="918">
        <f>AM133</f>
        <v>0</v>
      </c>
      <c r="AP133" s="216">
        <f>AO133</f>
        <v>0</v>
      </c>
      <c r="AQ133" s="216">
        <f>AP133</f>
        <v>0</v>
      </c>
      <c r="AR133" s="919">
        <f>AQ133</f>
        <v>0</v>
      </c>
      <c r="AS133" s="109">
        <f t="shared" si="146"/>
        <v>0</v>
      </c>
      <c r="AT133" s="918">
        <f>AR133</f>
        <v>0</v>
      </c>
      <c r="AU133" s="216">
        <f>AT133</f>
        <v>0</v>
      </c>
      <c r="AV133" s="216">
        <f>AU133</f>
        <v>0</v>
      </c>
      <c r="AW133" s="919">
        <f>AV133</f>
        <v>0</v>
      </c>
      <c r="AX133" s="109">
        <f t="shared" si="147"/>
        <v>0</v>
      </c>
      <c r="AY133" s="1288">
        <v>0</v>
      </c>
      <c r="AZ133" s="647">
        <v>0</v>
      </c>
      <c r="BA133" s="216">
        <f>AZ133</f>
        <v>0</v>
      </c>
      <c r="BB133" s="919">
        <f>BA133</f>
        <v>0</v>
      </c>
      <c r="BC133" s="109">
        <f t="shared" si="148"/>
        <v>0</v>
      </c>
      <c r="BD133" s="1187">
        <v>0</v>
      </c>
      <c r="BE133" s="646">
        <v>0</v>
      </c>
      <c r="BF133" s="646">
        <v>0</v>
      </c>
      <c r="BG133" s="1188">
        <v>0</v>
      </c>
      <c r="BH133" s="109">
        <f t="shared" si="158"/>
        <v>0</v>
      </c>
      <c r="BI133" s="1187">
        <v>0</v>
      </c>
      <c r="BJ133" s="646">
        <v>0</v>
      </c>
      <c r="BK133" s="646">
        <v>0</v>
      </c>
      <c r="BL133" s="1188">
        <v>0</v>
      </c>
      <c r="BM133" s="109">
        <f t="shared" si="159"/>
        <v>0</v>
      </c>
      <c r="BN133" s="1187">
        <v>0</v>
      </c>
      <c r="BO133" s="646">
        <v>0</v>
      </c>
      <c r="BP133" s="646">
        <v>0</v>
      </c>
      <c r="BQ133" s="1188">
        <v>0</v>
      </c>
      <c r="BR133" s="109">
        <f t="shared" si="160"/>
        <v>0</v>
      </c>
      <c r="BS133" s="1187">
        <v>0</v>
      </c>
      <c r="BT133" s="646">
        <v>0</v>
      </c>
      <c r="BU133" s="646">
        <v>0</v>
      </c>
      <c r="BV133" s="1188">
        <v>0</v>
      </c>
      <c r="BW133" s="109">
        <f t="shared" si="161"/>
        <v>0</v>
      </c>
      <c r="BX133" s="1361">
        <v>0</v>
      </c>
      <c r="BY133" s="1362">
        <v>0</v>
      </c>
      <c r="BZ133" s="1362">
        <v>0</v>
      </c>
      <c r="CA133" s="1188">
        <v>0</v>
      </c>
      <c r="CB133" s="109">
        <f t="shared" si="149"/>
        <v>0</v>
      </c>
      <c r="CC133" s="918">
        <f>CA133</f>
        <v>0</v>
      </c>
      <c r="CD133" s="216">
        <f t="shared" ref="CD133:CF136" si="162">CC133</f>
        <v>0</v>
      </c>
      <c r="CE133" s="216">
        <f t="shared" si="162"/>
        <v>0</v>
      </c>
      <c r="CF133" s="919">
        <f t="shared" si="162"/>
        <v>0</v>
      </c>
      <c r="CG133" s="109">
        <f t="shared" si="151"/>
        <v>0</v>
      </c>
      <c r="CH133" s="918">
        <f>CF133</f>
        <v>0</v>
      </c>
      <c r="CI133" s="216">
        <f t="shared" ref="CI133:CK137" si="163">CH133</f>
        <v>0</v>
      </c>
      <c r="CJ133" s="216">
        <f t="shared" si="163"/>
        <v>0</v>
      </c>
      <c r="CK133" s="919">
        <f t="shared" si="163"/>
        <v>0</v>
      </c>
      <c r="CL133" s="109">
        <f t="shared" si="153"/>
        <v>0</v>
      </c>
      <c r="CM133" s="918">
        <f>CK133</f>
        <v>0</v>
      </c>
      <c r="CN133" s="216">
        <f t="shared" ref="CN133:CN137" si="164">CM133</f>
        <v>0</v>
      </c>
      <c r="CO133" s="216">
        <f t="shared" ref="CO133:CO137" si="165">CN133</f>
        <v>0</v>
      </c>
      <c r="CP133" s="919">
        <f t="shared" ref="CP133:CP137" si="166">CO133</f>
        <v>0</v>
      </c>
      <c r="CQ133" s="919">
        <f t="shared" si="157"/>
        <v>0</v>
      </c>
      <c r="CR133" s="109"/>
    </row>
    <row r="134" spans="1:96" ht="13.5" customHeight="1">
      <c r="A134" s="75"/>
      <c r="B134" s="232" t="s">
        <v>792</v>
      </c>
      <c r="C134" s="75"/>
      <c r="D134" s="75"/>
      <c r="E134" s="75"/>
      <c r="F134" s="650">
        <v>0</v>
      </c>
      <c r="G134" s="650">
        <v>0</v>
      </c>
      <c r="H134" s="650">
        <v>0</v>
      </c>
      <c r="I134" s="650">
        <v>0</v>
      </c>
      <c r="J134" s="650">
        <v>0</v>
      </c>
      <c r="K134" s="650">
        <v>0</v>
      </c>
      <c r="L134" s="650">
        <v>0</v>
      </c>
      <c r="M134" s="650">
        <v>0</v>
      </c>
      <c r="N134" s="650">
        <v>0</v>
      </c>
      <c r="O134" s="650">
        <v>0</v>
      </c>
      <c r="P134" s="650">
        <v>0</v>
      </c>
      <c r="Q134" s="650">
        <v>0</v>
      </c>
      <c r="R134" s="650">
        <v>0</v>
      </c>
      <c r="S134" s="650">
        <v>0</v>
      </c>
      <c r="T134" s="650">
        <v>0</v>
      </c>
      <c r="U134" s="650">
        <v>0</v>
      </c>
      <c r="V134" s="650">
        <v>0</v>
      </c>
      <c r="W134" s="650">
        <v>0</v>
      </c>
      <c r="X134" s="650">
        <v>0</v>
      </c>
      <c r="Y134" s="650">
        <v>0</v>
      </c>
      <c r="Z134" s="650">
        <v>0</v>
      </c>
      <c r="AA134" s="650">
        <v>972</v>
      </c>
      <c r="AB134" s="650">
        <v>1155</v>
      </c>
      <c r="AC134" s="650">
        <v>1712</v>
      </c>
      <c r="AD134" s="109">
        <f t="shared" si="143"/>
        <v>1712</v>
      </c>
      <c r="AE134" s="650">
        <v>1635</v>
      </c>
      <c r="AF134" s="650">
        <v>1716</v>
      </c>
      <c r="AG134" s="650">
        <v>1726</v>
      </c>
      <c r="AH134" s="650">
        <v>1609</v>
      </c>
      <c r="AI134" s="109">
        <f t="shared" si="144"/>
        <v>1609</v>
      </c>
      <c r="AJ134" s="1187">
        <v>1588</v>
      </c>
      <c r="AK134" s="646">
        <f>1927-AK135</f>
        <v>1648</v>
      </c>
      <c r="AL134" s="646">
        <v>1702</v>
      </c>
      <c r="AM134" s="1188">
        <v>1725</v>
      </c>
      <c r="AN134" s="109">
        <f t="shared" si="145"/>
        <v>1725</v>
      </c>
      <c r="AO134" s="1187">
        <v>1754</v>
      </c>
      <c r="AP134" s="646">
        <v>1730</v>
      </c>
      <c r="AQ134" s="646">
        <v>1733</v>
      </c>
      <c r="AR134" s="1188">
        <f>2035-AR135</f>
        <v>1760</v>
      </c>
      <c r="AS134" s="109">
        <f t="shared" si="146"/>
        <v>1760</v>
      </c>
      <c r="AT134" s="1187">
        <v>1787</v>
      </c>
      <c r="AU134" s="647">
        <f>2066-AU135</f>
        <v>1792</v>
      </c>
      <c r="AV134" s="647">
        <v>1749</v>
      </c>
      <c r="AW134" s="1188">
        <f>2045-AW135</f>
        <v>1783</v>
      </c>
      <c r="AX134" s="109">
        <f t="shared" si="147"/>
        <v>1783</v>
      </c>
      <c r="AY134" s="1288">
        <v>1799</v>
      </c>
      <c r="AZ134" s="647">
        <v>1781</v>
      </c>
      <c r="BA134" s="646">
        <v>1814</v>
      </c>
      <c r="BB134" s="1188">
        <v>1822</v>
      </c>
      <c r="BC134" s="109">
        <f t="shared" si="148"/>
        <v>1822</v>
      </c>
      <c r="BD134" s="1187">
        <v>2057</v>
      </c>
      <c r="BE134" s="646">
        <v>2067</v>
      </c>
      <c r="BF134" s="646">
        <v>280</v>
      </c>
      <c r="BG134" s="1188">
        <f>271+4</f>
        <v>275</v>
      </c>
      <c r="BH134" s="109">
        <f t="shared" si="158"/>
        <v>275</v>
      </c>
      <c r="BI134" s="1187">
        <v>266</v>
      </c>
      <c r="BJ134" s="646">
        <v>266</v>
      </c>
      <c r="BK134" s="646">
        <v>205</v>
      </c>
      <c r="BL134" s="1188">
        <v>204</v>
      </c>
      <c r="BM134" s="109">
        <f t="shared" si="159"/>
        <v>204</v>
      </c>
      <c r="BN134" s="1187">
        <v>202</v>
      </c>
      <c r="BO134" s="647">
        <v>200</v>
      </c>
      <c r="BP134" s="647">
        <v>198</v>
      </c>
      <c r="BQ134" s="1286">
        <v>196</v>
      </c>
      <c r="BR134" s="109">
        <f t="shared" si="160"/>
        <v>196</v>
      </c>
      <c r="BS134" s="1187">
        <v>195</v>
      </c>
      <c r="BT134" s="646">
        <v>193</v>
      </c>
      <c r="BU134" s="646">
        <v>177</v>
      </c>
      <c r="BV134" s="1188">
        <v>175</v>
      </c>
      <c r="BW134" s="109">
        <f t="shared" si="161"/>
        <v>175</v>
      </c>
      <c r="BX134" s="1361">
        <v>173</v>
      </c>
      <c r="BY134" s="1362">
        <v>171</v>
      </c>
      <c r="BZ134" s="1362">
        <v>169</v>
      </c>
      <c r="CA134" s="1188">
        <v>167</v>
      </c>
      <c r="CB134" s="109">
        <f t="shared" si="149"/>
        <v>167</v>
      </c>
      <c r="CC134" s="918">
        <f>CA134</f>
        <v>167</v>
      </c>
      <c r="CD134" s="216">
        <f t="shared" si="162"/>
        <v>167</v>
      </c>
      <c r="CE134" s="216">
        <f t="shared" si="162"/>
        <v>167</v>
      </c>
      <c r="CF134" s="919">
        <f t="shared" si="162"/>
        <v>167</v>
      </c>
      <c r="CG134" s="109">
        <f t="shared" si="151"/>
        <v>167</v>
      </c>
      <c r="CH134" s="918">
        <f>CF134</f>
        <v>167</v>
      </c>
      <c r="CI134" s="216">
        <f t="shared" si="163"/>
        <v>167</v>
      </c>
      <c r="CJ134" s="216">
        <f t="shared" si="163"/>
        <v>167</v>
      </c>
      <c r="CK134" s="919">
        <f t="shared" si="163"/>
        <v>167</v>
      </c>
      <c r="CL134" s="109">
        <f t="shared" si="153"/>
        <v>167</v>
      </c>
      <c r="CM134" s="918">
        <f>CK134</f>
        <v>167</v>
      </c>
      <c r="CN134" s="216">
        <f t="shared" si="164"/>
        <v>167</v>
      </c>
      <c r="CO134" s="216">
        <f t="shared" si="165"/>
        <v>167</v>
      </c>
      <c r="CP134" s="919">
        <f t="shared" si="166"/>
        <v>167</v>
      </c>
      <c r="CQ134" s="919">
        <f t="shared" si="157"/>
        <v>167</v>
      </c>
      <c r="CR134" s="109"/>
    </row>
    <row r="135" spans="1:96" ht="13.5" customHeight="1">
      <c r="A135" s="75"/>
      <c r="B135" s="75" t="s">
        <v>793</v>
      </c>
      <c r="C135" s="81"/>
      <c r="D135" s="75"/>
      <c r="E135" s="75"/>
      <c r="F135" s="650">
        <v>0</v>
      </c>
      <c r="G135" s="650">
        <v>48</v>
      </c>
      <c r="H135" s="650">
        <v>39</v>
      </c>
      <c r="I135" s="650">
        <v>37</v>
      </c>
      <c r="J135" s="109">
        <f>I135</f>
        <v>37</v>
      </c>
      <c r="K135" s="650">
        <v>36</v>
      </c>
      <c r="L135" s="650">
        <v>34</v>
      </c>
      <c r="M135" s="650">
        <v>32</v>
      </c>
      <c r="N135" s="650">
        <v>37</v>
      </c>
      <c r="O135" s="109">
        <f>N135</f>
        <v>37</v>
      </c>
      <c r="P135" s="650">
        <v>36</v>
      </c>
      <c r="Q135" s="650">
        <v>34</v>
      </c>
      <c r="R135" s="650">
        <v>32</v>
      </c>
      <c r="S135" s="650">
        <v>29</v>
      </c>
      <c r="T135" s="109">
        <f>S135</f>
        <v>29</v>
      </c>
      <c r="U135" s="650">
        <v>28</v>
      </c>
      <c r="V135" s="650">
        <v>26</v>
      </c>
      <c r="W135" s="650">
        <v>23</v>
      </c>
      <c r="X135" s="650">
        <v>0</v>
      </c>
      <c r="Y135" s="109">
        <f>X135</f>
        <v>0</v>
      </c>
      <c r="Z135" s="109">
        <f>X135</f>
        <v>0</v>
      </c>
      <c r="AA135" s="650">
        <v>267</v>
      </c>
      <c r="AB135" s="650">
        <v>231</v>
      </c>
      <c r="AC135" s="650">
        <v>419</v>
      </c>
      <c r="AD135" s="109">
        <f t="shared" si="143"/>
        <v>419</v>
      </c>
      <c r="AE135" s="650">
        <v>352</v>
      </c>
      <c r="AF135" s="650">
        <v>276</v>
      </c>
      <c r="AG135" s="650">
        <v>297</v>
      </c>
      <c r="AH135" s="650">
        <v>282</v>
      </c>
      <c r="AI135" s="109">
        <f t="shared" si="144"/>
        <v>282</v>
      </c>
      <c r="AJ135" s="1187">
        <v>277</v>
      </c>
      <c r="AK135" s="646">
        <v>279</v>
      </c>
      <c r="AL135" s="646">
        <v>281</v>
      </c>
      <c r="AM135" s="1188">
        <v>281</v>
      </c>
      <c r="AN135" s="109">
        <f t="shared" si="145"/>
        <v>281</v>
      </c>
      <c r="AO135" s="1187">
        <v>281</v>
      </c>
      <c r="AP135" s="646">
        <v>276</v>
      </c>
      <c r="AQ135" s="646">
        <v>275</v>
      </c>
      <c r="AR135" s="919">
        <f>AQ135</f>
        <v>275</v>
      </c>
      <c r="AS135" s="109">
        <f t="shared" si="146"/>
        <v>275</v>
      </c>
      <c r="AT135" s="1187">
        <v>274</v>
      </c>
      <c r="AU135" s="1270">
        <f>AT135</f>
        <v>274</v>
      </c>
      <c r="AV135" s="647">
        <v>264</v>
      </c>
      <c r="AW135" s="1188">
        <v>262</v>
      </c>
      <c r="AX135" s="109">
        <f t="shared" si="147"/>
        <v>262</v>
      </c>
      <c r="AY135" s="1288">
        <v>261</v>
      </c>
      <c r="AZ135" s="647">
        <v>257</v>
      </c>
      <c r="BA135" s="646">
        <v>257</v>
      </c>
      <c r="BB135" s="1188">
        <v>253</v>
      </c>
      <c r="BC135" s="109">
        <f t="shared" si="148"/>
        <v>253</v>
      </c>
      <c r="BD135" s="1187">
        <v>0</v>
      </c>
      <c r="BE135" s="646">
        <v>0</v>
      </c>
      <c r="BF135" s="646">
        <v>0</v>
      </c>
      <c r="BG135" s="1188">
        <v>0</v>
      </c>
      <c r="BH135" s="231">
        <f t="shared" si="158"/>
        <v>0</v>
      </c>
      <c r="BI135" s="1187">
        <v>0</v>
      </c>
      <c r="BJ135" s="646">
        <v>0</v>
      </c>
      <c r="BK135" s="646">
        <v>0</v>
      </c>
      <c r="BL135" s="1188">
        <v>0</v>
      </c>
      <c r="BM135" s="109">
        <f t="shared" si="159"/>
        <v>0</v>
      </c>
      <c r="BN135" s="1187">
        <v>0</v>
      </c>
      <c r="BO135" s="646">
        <v>0</v>
      </c>
      <c r="BP135" s="646">
        <v>0</v>
      </c>
      <c r="BQ135" s="1188">
        <v>0</v>
      </c>
      <c r="BR135" s="109">
        <f t="shared" si="160"/>
        <v>0</v>
      </c>
      <c r="BS135" s="918">
        <v>0</v>
      </c>
      <c r="BT135" s="646">
        <v>0</v>
      </c>
      <c r="BU135" s="646">
        <v>0</v>
      </c>
      <c r="BV135" s="1188">
        <v>0</v>
      </c>
      <c r="BW135" s="109">
        <f t="shared" si="161"/>
        <v>0</v>
      </c>
      <c r="BX135" s="1361">
        <v>0</v>
      </c>
      <c r="BY135" s="1362">
        <v>0</v>
      </c>
      <c r="BZ135" s="1362">
        <v>0</v>
      </c>
      <c r="CA135" s="1188">
        <v>0</v>
      </c>
      <c r="CB135" s="109">
        <f t="shared" si="149"/>
        <v>0</v>
      </c>
      <c r="CC135" s="918">
        <f>CA135</f>
        <v>0</v>
      </c>
      <c r="CD135" s="216">
        <f t="shared" si="162"/>
        <v>0</v>
      </c>
      <c r="CE135" s="216">
        <f t="shared" si="162"/>
        <v>0</v>
      </c>
      <c r="CF135" s="919">
        <f t="shared" si="162"/>
        <v>0</v>
      </c>
      <c r="CG135" s="109">
        <f t="shared" si="151"/>
        <v>0</v>
      </c>
      <c r="CH135" s="918">
        <f>CF135</f>
        <v>0</v>
      </c>
      <c r="CI135" s="216">
        <f t="shared" si="163"/>
        <v>0</v>
      </c>
      <c r="CJ135" s="216">
        <f t="shared" si="163"/>
        <v>0</v>
      </c>
      <c r="CK135" s="919">
        <f t="shared" si="163"/>
        <v>0</v>
      </c>
      <c r="CL135" s="109">
        <f t="shared" si="153"/>
        <v>0</v>
      </c>
      <c r="CM135" s="918">
        <f>CK135</f>
        <v>0</v>
      </c>
      <c r="CN135" s="216">
        <f t="shared" si="164"/>
        <v>0</v>
      </c>
      <c r="CO135" s="216">
        <f t="shared" si="165"/>
        <v>0</v>
      </c>
      <c r="CP135" s="919">
        <f t="shared" si="166"/>
        <v>0</v>
      </c>
      <c r="CQ135" s="919">
        <f t="shared" si="157"/>
        <v>0</v>
      </c>
      <c r="CR135" s="109"/>
    </row>
    <row r="136" spans="1:96" ht="13.5" customHeight="1">
      <c r="A136" s="75"/>
      <c r="B136" s="75" t="s">
        <v>794</v>
      </c>
      <c r="C136" s="81"/>
      <c r="D136" s="75"/>
      <c r="E136" s="75"/>
      <c r="F136" s="650">
        <v>0</v>
      </c>
      <c r="G136" s="650">
        <v>0</v>
      </c>
      <c r="H136" s="650">
        <v>366</v>
      </c>
      <c r="I136" s="650">
        <v>365</v>
      </c>
      <c r="J136" s="109">
        <f>I136</f>
        <v>365</v>
      </c>
      <c r="K136" s="650">
        <v>327</v>
      </c>
      <c r="L136" s="650">
        <v>276</v>
      </c>
      <c r="M136" s="650">
        <v>185</v>
      </c>
      <c r="N136" s="650">
        <v>40</v>
      </c>
      <c r="O136" s="109">
        <f>N136</f>
        <v>40</v>
      </c>
      <c r="P136" s="650">
        <v>35</v>
      </c>
      <c r="Q136" s="650">
        <v>26</v>
      </c>
      <c r="R136" s="650">
        <v>11</v>
      </c>
      <c r="S136" s="650">
        <v>211</v>
      </c>
      <c r="T136" s="109">
        <f>S136</f>
        <v>211</v>
      </c>
      <c r="U136" s="650">
        <v>217</v>
      </c>
      <c r="V136" s="650">
        <v>204</v>
      </c>
      <c r="W136" s="650">
        <v>170</v>
      </c>
      <c r="X136" s="650">
        <v>103</v>
      </c>
      <c r="Y136" s="109">
        <f>X136</f>
        <v>103</v>
      </c>
      <c r="Z136" s="650">
        <v>86</v>
      </c>
      <c r="AA136" s="650">
        <v>19</v>
      </c>
      <c r="AB136" s="650">
        <v>9</v>
      </c>
      <c r="AC136" s="650">
        <v>16</v>
      </c>
      <c r="AD136" s="109">
        <f t="shared" si="143"/>
        <v>16</v>
      </c>
      <c r="AE136" s="650">
        <v>12</v>
      </c>
      <c r="AF136" s="650">
        <v>11</v>
      </c>
      <c r="AG136" s="650">
        <v>140</v>
      </c>
      <c r="AH136" s="650">
        <v>666</v>
      </c>
      <c r="AI136" s="109">
        <f t="shared" si="144"/>
        <v>666</v>
      </c>
      <c r="AJ136" s="1187">
        <v>719</v>
      </c>
      <c r="AK136" s="646">
        <v>665</v>
      </c>
      <c r="AL136" s="646">
        <v>732</v>
      </c>
      <c r="AM136" s="1188">
        <v>535</v>
      </c>
      <c r="AN136" s="109">
        <f t="shared" si="145"/>
        <v>535</v>
      </c>
      <c r="AO136" s="1187">
        <v>482</v>
      </c>
      <c r="AP136" s="646">
        <v>425</v>
      </c>
      <c r="AQ136" s="646">
        <v>401</v>
      </c>
      <c r="AR136" s="1188">
        <f>784-AR137</f>
        <v>471</v>
      </c>
      <c r="AS136" s="109">
        <f t="shared" si="146"/>
        <v>471</v>
      </c>
      <c r="AT136" s="1187">
        <v>513</v>
      </c>
      <c r="AU136" s="647">
        <v>513</v>
      </c>
      <c r="AV136" s="647">
        <v>400</v>
      </c>
      <c r="AW136" s="1188">
        <v>649</v>
      </c>
      <c r="AX136" s="109">
        <f t="shared" si="147"/>
        <v>649</v>
      </c>
      <c r="AY136" s="1288">
        <v>572</v>
      </c>
      <c r="AZ136" s="647">
        <v>472</v>
      </c>
      <c r="BA136" s="646">
        <v>363</v>
      </c>
      <c r="BB136" s="1188">
        <v>424</v>
      </c>
      <c r="BC136" s="109">
        <f t="shared" si="148"/>
        <v>424</v>
      </c>
      <c r="BD136" s="1288">
        <v>366</v>
      </c>
      <c r="BE136" s="647">
        <v>306</v>
      </c>
      <c r="BF136" s="647">
        <v>311</v>
      </c>
      <c r="BG136" s="1286">
        <v>16</v>
      </c>
      <c r="BH136" s="231">
        <f t="shared" si="158"/>
        <v>16</v>
      </c>
      <c r="BI136" s="1288">
        <v>20</v>
      </c>
      <c r="BJ136" s="647">
        <v>18</v>
      </c>
      <c r="BK136" s="647">
        <v>13</v>
      </c>
      <c r="BL136" s="1286">
        <v>46</v>
      </c>
      <c r="BM136" s="231">
        <f t="shared" si="159"/>
        <v>46</v>
      </c>
      <c r="BN136" s="1288">
        <v>216</v>
      </c>
      <c r="BO136" s="647">
        <v>365</v>
      </c>
      <c r="BP136" s="647">
        <v>421</v>
      </c>
      <c r="BQ136" s="1286">
        <v>15</v>
      </c>
      <c r="BR136" s="231">
        <f t="shared" si="160"/>
        <v>15</v>
      </c>
      <c r="BS136" s="1187">
        <v>7</v>
      </c>
      <c r="BT136" s="646">
        <v>14</v>
      </c>
      <c r="BU136" s="646">
        <v>6</v>
      </c>
      <c r="BV136" s="1188">
        <v>6</v>
      </c>
      <c r="BW136" s="231">
        <f t="shared" si="161"/>
        <v>6</v>
      </c>
      <c r="BX136" s="1359">
        <v>4</v>
      </c>
      <c r="BY136" s="1360">
        <v>4</v>
      </c>
      <c r="BZ136" s="1360">
        <v>0</v>
      </c>
      <c r="CA136" s="1286">
        <v>0</v>
      </c>
      <c r="CB136" s="231">
        <f t="shared" si="149"/>
        <v>0</v>
      </c>
      <c r="CC136" s="1371">
        <f>CA136</f>
        <v>0</v>
      </c>
      <c r="CD136" s="1270">
        <f>CC136</f>
        <v>0</v>
      </c>
      <c r="CE136" s="1270">
        <f>CD136</f>
        <v>0</v>
      </c>
      <c r="CF136" s="1293">
        <f t="shared" si="162"/>
        <v>0</v>
      </c>
      <c r="CG136" s="231">
        <f t="shared" si="151"/>
        <v>0</v>
      </c>
      <c r="CH136" s="1371">
        <f>CF136</f>
        <v>0</v>
      </c>
      <c r="CI136" s="1270">
        <f t="shared" si="163"/>
        <v>0</v>
      </c>
      <c r="CJ136" s="1270">
        <f t="shared" si="163"/>
        <v>0</v>
      </c>
      <c r="CK136" s="1293">
        <f t="shared" si="163"/>
        <v>0</v>
      </c>
      <c r="CL136" s="231">
        <f t="shared" si="153"/>
        <v>0</v>
      </c>
      <c r="CM136" s="1371">
        <f>CK136</f>
        <v>0</v>
      </c>
      <c r="CN136" s="1270">
        <f t="shared" si="164"/>
        <v>0</v>
      </c>
      <c r="CO136" s="1270">
        <f t="shared" si="165"/>
        <v>0</v>
      </c>
      <c r="CP136" s="1293">
        <f t="shared" si="166"/>
        <v>0</v>
      </c>
      <c r="CQ136" s="1293">
        <f t="shared" si="157"/>
        <v>0</v>
      </c>
      <c r="CR136" s="109"/>
    </row>
    <row r="137" spans="1:96" ht="13.5" customHeight="1">
      <c r="A137" s="75"/>
      <c r="B137" s="232" t="s">
        <v>613</v>
      </c>
      <c r="C137" s="81"/>
      <c r="D137" s="75"/>
      <c r="E137" s="75"/>
      <c r="F137" s="650">
        <v>158</v>
      </c>
      <c r="G137" s="650">
        <v>179</v>
      </c>
      <c r="H137" s="650">
        <v>202</v>
      </c>
      <c r="I137" s="650">
        <v>171</v>
      </c>
      <c r="J137" s="650">
        <v>171</v>
      </c>
      <c r="K137" s="650">
        <v>187</v>
      </c>
      <c r="L137" s="650">
        <v>184</v>
      </c>
      <c r="M137" s="650">
        <v>156</v>
      </c>
      <c r="N137" s="650">
        <v>168</v>
      </c>
      <c r="O137" s="109">
        <f>N137</f>
        <v>168</v>
      </c>
      <c r="P137" s="650">
        <v>166</v>
      </c>
      <c r="Q137" s="650">
        <v>176</v>
      </c>
      <c r="R137" s="650">
        <v>172</v>
      </c>
      <c r="S137" s="650">
        <v>182</v>
      </c>
      <c r="T137" s="109">
        <f>S137</f>
        <v>182</v>
      </c>
      <c r="U137" s="650">
        <v>180</v>
      </c>
      <c r="V137" s="650">
        <v>184</v>
      </c>
      <c r="W137" s="650">
        <v>175</v>
      </c>
      <c r="X137" s="650">
        <v>192</v>
      </c>
      <c r="Y137" s="109">
        <f>X137</f>
        <v>192</v>
      </c>
      <c r="Z137" s="650">
        <v>184</v>
      </c>
      <c r="AA137" s="650">
        <v>193</v>
      </c>
      <c r="AB137" s="650">
        <f>187+190</f>
        <v>377</v>
      </c>
      <c r="AC137" s="650">
        <f>233+177</f>
        <v>410</v>
      </c>
      <c r="AD137" s="109">
        <f t="shared" si="143"/>
        <v>410</v>
      </c>
      <c r="AE137" s="650">
        <f>195+194</f>
        <v>389</v>
      </c>
      <c r="AF137" s="650">
        <f>202+202</f>
        <v>404</v>
      </c>
      <c r="AG137" s="650">
        <f>552-AG136</f>
        <v>412</v>
      </c>
      <c r="AH137" s="650">
        <f>200+211</f>
        <v>411</v>
      </c>
      <c r="AI137" s="109">
        <f t="shared" si="144"/>
        <v>411</v>
      </c>
      <c r="AJ137" s="1187">
        <f>228+12</f>
        <v>240</v>
      </c>
      <c r="AK137" s="646">
        <f>305+12</f>
        <v>317</v>
      </c>
      <c r="AL137" s="646">
        <f>12+309</f>
        <v>321</v>
      </c>
      <c r="AM137" s="1188">
        <f>33+318</f>
        <v>351</v>
      </c>
      <c r="AN137" s="109">
        <f t="shared" si="145"/>
        <v>351</v>
      </c>
      <c r="AO137" s="1187">
        <f>298+45</f>
        <v>343</v>
      </c>
      <c r="AP137" s="646">
        <f>33+295</f>
        <v>328</v>
      </c>
      <c r="AQ137" s="646">
        <f>33+280</f>
        <v>313</v>
      </c>
      <c r="AR137" s="919">
        <f>AQ137</f>
        <v>313</v>
      </c>
      <c r="AS137" s="109">
        <f t="shared" si="146"/>
        <v>313</v>
      </c>
      <c r="AT137" s="1187">
        <v>336</v>
      </c>
      <c r="AU137" s="647">
        <f>735-AU136</f>
        <v>222</v>
      </c>
      <c r="AV137" s="647">
        <v>311</v>
      </c>
      <c r="AW137" s="1188">
        <f>41+302</f>
        <v>343</v>
      </c>
      <c r="AX137" s="109">
        <f t="shared" si="147"/>
        <v>343</v>
      </c>
      <c r="AY137" s="1288">
        <v>312</v>
      </c>
      <c r="AZ137" s="647">
        <v>310</v>
      </c>
      <c r="BA137" s="646">
        <v>381</v>
      </c>
      <c r="BB137" s="1188">
        <v>327</v>
      </c>
      <c r="BC137" s="109">
        <f t="shared" si="148"/>
        <v>327</v>
      </c>
      <c r="BD137" s="1288">
        <v>304</v>
      </c>
      <c r="BE137" s="647">
        <v>298</v>
      </c>
      <c r="BF137" s="647">
        <v>287</v>
      </c>
      <c r="BG137" s="1286">
        <v>231</v>
      </c>
      <c r="BH137" s="231">
        <f t="shared" si="158"/>
        <v>231</v>
      </c>
      <c r="BI137" s="1187">
        <v>230</v>
      </c>
      <c r="BJ137" s="646">
        <v>237</v>
      </c>
      <c r="BK137" s="647">
        <v>133</v>
      </c>
      <c r="BL137" s="1286">
        <v>120</v>
      </c>
      <c r="BM137" s="109">
        <f t="shared" si="159"/>
        <v>120</v>
      </c>
      <c r="BN137" s="1187">
        <v>116</v>
      </c>
      <c r="BO137" s="647">
        <v>109</v>
      </c>
      <c r="BP137" s="647">
        <v>115</v>
      </c>
      <c r="BQ137" s="1286">
        <v>111</v>
      </c>
      <c r="BR137" s="109">
        <f t="shared" si="160"/>
        <v>111</v>
      </c>
      <c r="BS137" s="1187">
        <v>116</v>
      </c>
      <c r="BT137" s="646">
        <v>117</v>
      </c>
      <c r="BU137" s="646">
        <v>117</v>
      </c>
      <c r="BV137" s="1188">
        <v>116</v>
      </c>
      <c r="BW137" s="109">
        <f t="shared" si="161"/>
        <v>116</v>
      </c>
      <c r="BX137" s="1359">
        <v>118</v>
      </c>
      <c r="BY137" s="1360">
        <v>124</v>
      </c>
      <c r="BZ137" s="1360">
        <v>127</v>
      </c>
      <c r="CA137" s="1188">
        <v>180</v>
      </c>
      <c r="CB137" s="109">
        <f t="shared" si="149"/>
        <v>180</v>
      </c>
      <c r="CC137" s="918">
        <f>CA137</f>
        <v>180</v>
      </c>
      <c r="CD137" s="216">
        <f>CC137</f>
        <v>180</v>
      </c>
      <c r="CE137" s="216">
        <f>CD137</f>
        <v>180</v>
      </c>
      <c r="CF137" s="919">
        <f>CE137</f>
        <v>180</v>
      </c>
      <c r="CG137" s="109">
        <f t="shared" si="151"/>
        <v>180</v>
      </c>
      <c r="CH137" s="918">
        <f>CF137</f>
        <v>180</v>
      </c>
      <c r="CI137" s="216">
        <f t="shared" si="163"/>
        <v>180</v>
      </c>
      <c r="CJ137" s="216">
        <f t="shared" si="163"/>
        <v>180</v>
      </c>
      <c r="CK137" s="919">
        <f t="shared" si="163"/>
        <v>180</v>
      </c>
      <c r="CL137" s="109">
        <f t="shared" si="153"/>
        <v>180</v>
      </c>
      <c r="CM137" s="918">
        <f>CK137</f>
        <v>180</v>
      </c>
      <c r="CN137" s="216">
        <f t="shared" si="164"/>
        <v>180</v>
      </c>
      <c r="CO137" s="216">
        <f t="shared" si="165"/>
        <v>180</v>
      </c>
      <c r="CP137" s="919">
        <f t="shared" si="166"/>
        <v>180</v>
      </c>
      <c r="CQ137" s="919">
        <f t="shared" si="157"/>
        <v>180</v>
      </c>
      <c r="CR137" s="109"/>
    </row>
    <row r="138" spans="1:96" ht="6.2" customHeight="1">
      <c r="A138" s="75"/>
      <c r="B138" s="232"/>
      <c r="C138" s="81"/>
      <c r="D138" s="75"/>
      <c r="E138" s="75"/>
      <c r="F138" s="234"/>
      <c r="G138" s="234"/>
      <c r="H138" s="234"/>
      <c r="I138" s="234"/>
      <c r="J138" s="234"/>
      <c r="K138" s="234"/>
      <c r="L138" s="234"/>
      <c r="M138" s="234"/>
      <c r="N138" s="234"/>
      <c r="O138" s="234"/>
      <c r="P138" s="234"/>
      <c r="Q138" s="234"/>
      <c r="R138" s="234"/>
      <c r="S138" s="234"/>
      <c r="T138" s="234"/>
      <c r="U138" s="234"/>
      <c r="V138" s="234"/>
      <c r="W138" s="234"/>
      <c r="X138" s="234"/>
      <c r="Y138" s="234"/>
      <c r="Z138" s="234"/>
      <c r="AA138" s="234"/>
      <c r="AB138" s="234"/>
      <c r="AC138" s="234"/>
      <c r="AD138" s="234"/>
      <c r="AE138" s="234"/>
      <c r="AF138" s="234"/>
      <c r="AG138" s="234"/>
      <c r="AH138" s="234"/>
      <c r="AI138" s="234"/>
      <c r="AJ138" s="1209"/>
      <c r="AK138" s="234"/>
      <c r="AL138" s="234"/>
      <c r="AM138" s="1210"/>
      <c r="AN138" s="234"/>
      <c r="AO138" s="1209"/>
      <c r="AP138" s="234"/>
      <c r="AQ138" s="234"/>
      <c r="AR138" s="1210"/>
      <c r="AS138" s="234"/>
      <c r="AT138" s="1209"/>
      <c r="AU138" s="235"/>
      <c r="AV138" s="235"/>
      <c r="AW138" s="1210"/>
      <c r="AX138" s="234"/>
      <c r="AY138" s="1289"/>
      <c r="AZ138" s="234"/>
      <c r="BA138" s="234"/>
      <c r="BB138" s="1210"/>
      <c r="BC138" s="234"/>
      <c r="BD138" s="1209"/>
      <c r="BE138" s="234"/>
      <c r="BF138" s="234"/>
      <c r="BG138" s="1210"/>
      <c r="BH138" s="235"/>
      <c r="BI138" s="1209"/>
      <c r="BJ138" s="234"/>
      <c r="BK138" s="234"/>
      <c r="BL138" s="1210"/>
      <c r="BM138" s="234"/>
      <c r="BN138" s="1209"/>
      <c r="BO138" s="234"/>
      <c r="BP138" s="234"/>
      <c r="BQ138" s="1210"/>
      <c r="BR138" s="234"/>
      <c r="BS138" s="1209"/>
      <c r="BT138" s="234"/>
      <c r="BU138" s="234"/>
      <c r="BV138" s="1210"/>
      <c r="BW138" s="234"/>
      <c r="BX138" s="1209"/>
      <c r="BY138" s="234"/>
      <c r="BZ138" s="234"/>
      <c r="CA138" s="1210"/>
      <c r="CB138" s="234"/>
      <c r="CC138" s="1209"/>
      <c r="CD138" s="234"/>
      <c r="CE138" s="234"/>
      <c r="CF138" s="1210"/>
      <c r="CG138" s="234"/>
      <c r="CH138" s="1209"/>
      <c r="CI138" s="234"/>
      <c r="CJ138" s="234"/>
      <c r="CK138" s="1210"/>
      <c r="CL138" s="234"/>
      <c r="CM138" s="1209"/>
      <c r="CN138" s="234"/>
      <c r="CO138" s="234"/>
      <c r="CP138" s="1210"/>
      <c r="CQ138" s="1210"/>
      <c r="CR138" s="109"/>
    </row>
    <row r="139" spans="1:96" ht="13.5" customHeight="1">
      <c r="A139" s="75"/>
      <c r="B139" s="115"/>
      <c r="C139" s="236" t="s">
        <v>795</v>
      </c>
      <c r="D139" s="75"/>
      <c r="E139" s="75"/>
      <c r="F139" s="149">
        <f t="shared" ref="F139:AK139" si="167">SUM(F128:F137)</f>
        <v>8325</v>
      </c>
      <c r="G139" s="149">
        <f t="shared" si="167"/>
        <v>9333</v>
      </c>
      <c r="H139" s="149">
        <f t="shared" si="167"/>
        <v>9241</v>
      </c>
      <c r="I139" s="149">
        <f t="shared" si="167"/>
        <v>7838</v>
      </c>
      <c r="J139" s="149">
        <f t="shared" si="167"/>
        <v>7838</v>
      </c>
      <c r="K139" s="149">
        <f t="shared" si="167"/>
        <v>8386</v>
      </c>
      <c r="L139" s="149">
        <f t="shared" si="167"/>
        <v>8516</v>
      </c>
      <c r="M139" s="149">
        <f t="shared" si="167"/>
        <v>8916</v>
      </c>
      <c r="N139" s="149">
        <f t="shared" si="167"/>
        <v>11064</v>
      </c>
      <c r="O139" s="149">
        <f t="shared" si="167"/>
        <v>11064</v>
      </c>
      <c r="P139" s="149">
        <f t="shared" si="167"/>
        <v>11337</v>
      </c>
      <c r="Q139" s="149">
        <f t="shared" si="167"/>
        <v>11350</v>
      </c>
      <c r="R139" s="149">
        <f t="shared" si="167"/>
        <v>11463</v>
      </c>
      <c r="S139" s="149">
        <f t="shared" si="167"/>
        <v>9822</v>
      </c>
      <c r="T139" s="149">
        <f t="shared" si="167"/>
        <v>9822</v>
      </c>
      <c r="U139" s="149">
        <f t="shared" si="167"/>
        <v>10170</v>
      </c>
      <c r="V139" s="149">
        <f t="shared" si="167"/>
        <v>10439</v>
      </c>
      <c r="W139" s="149">
        <f t="shared" si="167"/>
        <v>10462</v>
      </c>
      <c r="X139" s="149">
        <f t="shared" si="167"/>
        <v>10586</v>
      </c>
      <c r="Y139" s="149">
        <f t="shared" si="167"/>
        <v>10586</v>
      </c>
      <c r="Z139" s="149">
        <f t="shared" si="167"/>
        <v>10914</v>
      </c>
      <c r="AA139" s="149">
        <f t="shared" si="167"/>
        <v>12913</v>
      </c>
      <c r="AB139" s="149">
        <f t="shared" si="167"/>
        <v>13312</v>
      </c>
      <c r="AC139" s="149">
        <f t="shared" si="167"/>
        <v>15632</v>
      </c>
      <c r="AD139" s="149">
        <f t="shared" si="167"/>
        <v>15632</v>
      </c>
      <c r="AE139" s="149">
        <f t="shared" si="167"/>
        <v>16177</v>
      </c>
      <c r="AF139" s="149">
        <f t="shared" si="167"/>
        <v>17307</v>
      </c>
      <c r="AG139" s="149">
        <f t="shared" si="167"/>
        <v>17268</v>
      </c>
      <c r="AH139" s="149">
        <f t="shared" si="167"/>
        <v>16087</v>
      </c>
      <c r="AI139" s="149">
        <f t="shared" si="167"/>
        <v>16087</v>
      </c>
      <c r="AJ139" s="1137">
        <f t="shared" si="167"/>
        <v>15142</v>
      </c>
      <c r="AK139" s="149">
        <f t="shared" si="167"/>
        <v>15737</v>
      </c>
      <c r="AL139" s="149">
        <f t="shared" ref="AL139:BQ139" si="168">SUM(AL128:AL137)</f>
        <v>15849</v>
      </c>
      <c r="AM139" s="1142">
        <f t="shared" si="168"/>
        <v>15422</v>
      </c>
      <c r="AN139" s="149">
        <f t="shared" si="168"/>
        <v>15422</v>
      </c>
      <c r="AO139" s="1137">
        <f t="shared" si="168"/>
        <v>15327</v>
      </c>
      <c r="AP139" s="149">
        <f t="shared" si="168"/>
        <v>15418</v>
      </c>
      <c r="AQ139" s="149">
        <f t="shared" si="168"/>
        <v>15653</v>
      </c>
      <c r="AR139" s="1142">
        <f t="shared" si="168"/>
        <v>15350</v>
      </c>
      <c r="AS139" s="149">
        <f t="shared" si="168"/>
        <v>15350</v>
      </c>
      <c r="AT139" s="1137">
        <f t="shared" si="168"/>
        <v>15768</v>
      </c>
      <c r="AU139" s="150">
        <f t="shared" si="168"/>
        <v>16245</v>
      </c>
      <c r="AV139" s="150">
        <f t="shared" si="168"/>
        <v>15931</v>
      </c>
      <c r="AW139" s="1142">
        <f t="shared" si="168"/>
        <v>16073</v>
      </c>
      <c r="AX139" s="149">
        <f t="shared" si="168"/>
        <v>16073</v>
      </c>
      <c r="AY139" s="1290">
        <f t="shared" si="168"/>
        <v>15804</v>
      </c>
      <c r="AZ139" s="149">
        <f t="shared" si="168"/>
        <v>15404</v>
      </c>
      <c r="BA139" s="149">
        <f t="shared" si="168"/>
        <v>15496</v>
      </c>
      <c r="BB139" s="1142">
        <f t="shared" si="168"/>
        <v>15217</v>
      </c>
      <c r="BC139" s="149">
        <f t="shared" si="168"/>
        <v>15217</v>
      </c>
      <c r="BD139" s="1137">
        <f t="shared" si="168"/>
        <v>15151</v>
      </c>
      <c r="BE139" s="149">
        <f t="shared" si="168"/>
        <v>14864</v>
      </c>
      <c r="BF139" s="149">
        <f t="shared" si="168"/>
        <v>13006</v>
      </c>
      <c r="BG139" s="1142">
        <f t="shared" si="168"/>
        <v>13143</v>
      </c>
      <c r="BH139" s="150">
        <f t="shared" si="168"/>
        <v>13143</v>
      </c>
      <c r="BI139" s="1137">
        <f t="shared" si="168"/>
        <v>13394</v>
      </c>
      <c r="BJ139" s="149">
        <f t="shared" si="168"/>
        <v>13406</v>
      </c>
      <c r="BK139" s="149">
        <f t="shared" si="168"/>
        <v>12008</v>
      </c>
      <c r="BL139" s="1142">
        <f t="shared" si="168"/>
        <v>12314</v>
      </c>
      <c r="BM139" s="149">
        <f t="shared" si="168"/>
        <v>12314</v>
      </c>
      <c r="BN139" s="1137">
        <f t="shared" si="168"/>
        <v>11544</v>
      </c>
      <c r="BO139" s="149">
        <f t="shared" si="168"/>
        <v>11213</v>
      </c>
      <c r="BP139" s="149">
        <f t="shared" si="168"/>
        <v>11191</v>
      </c>
      <c r="BQ139" s="1142">
        <f t="shared" si="168"/>
        <v>9190</v>
      </c>
      <c r="BR139" s="149">
        <f t="shared" ref="BR139:CQ139" si="169">SUM(BR128:BR137)</f>
        <v>9190</v>
      </c>
      <c r="BS139" s="1137">
        <f t="shared" si="169"/>
        <v>8936</v>
      </c>
      <c r="BT139" s="149">
        <f t="shared" si="169"/>
        <v>8941</v>
      </c>
      <c r="BU139" s="149">
        <f t="shared" si="169"/>
        <v>9467</v>
      </c>
      <c r="BV139" s="1142">
        <f t="shared" si="169"/>
        <v>9160</v>
      </c>
      <c r="BW139" s="149">
        <f t="shared" si="169"/>
        <v>9160</v>
      </c>
      <c r="BX139" s="1137">
        <f t="shared" si="169"/>
        <v>9186</v>
      </c>
      <c r="BY139" s="149">
        <f t="shared" si="169"/>
        <v>9580</v>
      </c>
      <c r="BZ139" s="149">
        <f t="shared" si="169"/>
        <v>9878</v>
      </c>
      <c r="CA139" s="1142">
        <f t="shared" si="169"/>
        <v>9862</v>
      </c>
      <c r="CB139" s="149">
        <f t="shared" si="169"/>
        <v>9862</v>
      </c>
      <c r="CC139" s="1137">
        <f t="shared" si="169"/>
        <v>9545.858662158058</v>
      </c>
      <c r="CD139" s="149">
        <f t="shared" si="169"/>
        <v>10430.571411403731</v>
      </c>
      <c r="CE139" s="149">
        <f t="shared" si="169"/>
        <v>10371.568144777519</v>
      </c>
      <c r="CF139" s="1142">
        <f t="shared" si="169"/>
        <v>11177.149003413369</v>
      </c>
      <c r="CG139" s="149">
        <f t="shared" si="169"/>
        <v>11177.149003413369</v>
      </c>
      <c r="CH139" s="1137">
        <f t="shared" si="169"/>
        <v>11300.947688861592</v>
      </c>
      <c r="CI139" s="149">
        <f t="shared" si="169"/>
        <v>11742.677921740149</v>
      </c>
      <c r="CJ139" s="149">
        <f t="shared" si="169"/>
        <v>11919.040306826746</v>
      </c>
      <c r="CK139" s="1142">
        <f t="shared" si="169"/>
        <v>12339.327449075457</v>
      </c>
      <c r="CL139" s="149">
        <f t="shared" si="169"/>
        <v>12339.327449075457</v>
      </c>
      <c r="CM139" s="1137">
        <f t="shared" si="169"/>
        <v>12288.112283917089</v>
      </c>
      <c r="CN139" s="149">
        <f t="shared" si="169"/>
        <v>12949.997716739867</v>
      </c>
      <c r="CO139" s="149">
        <f t="shared" si="169"/>
        <v>12707.089409749315</v>
      </c>
      <c r="CP139" s="1142">
        <f t="shared" si="169"/>
        <v>13339.872954065451</v>
      </c>
      <c r="CQ139" s="1142">
        <f t="shared" si="169"/>
        <v>13339.872954065451</v>
      </c>
      <c r="CR139" s="109"/>
    </row>
    <row r="140" spans="1:96" ht="6.2" customHeight="1">
      <c r="A140" s="75"/>
      <c r="B140" s="125"/>
      <c r="C140" s="75"/>
      <c r="D140" s="75"/>
      <c r="E140" s="75"/>
      <c r="F140" s="145"/>
      <c r="G140" s="145"/>
      <c r="H140" s="154"/>
      <c r="I140" s="154"/>
      <c r="J140" s="154"/>
      <c r="K140" s="154"/>
      <c r="L140" s="154"/>
      <c r="M140" s="154"/>
      <c r="N140" s="154"/>
      <c r="O140" s="154"/>
      <c r="P140" s="154"/>
      <c r="Q140" s="154"/>
      <c r="R140" s="154"/>
      <c r="S140" s="154"/>
      <c r="T140" s="154"/>
      <c r="U140" s="154"/>
      <c r="V140" s="154"/>
      <c r="W140" s="154"/>
      <c r="X140" s="154"/>
      <c r="Y140" s="154"/>
      <c r="Z140" s="154"/>
      <c r="AA140" s="154"/>
      <c r="AB140" s="154"/>
      <c r="AC140" s="154"/>
      <c r="AD140" s="154"/>
      <c r="AE140" s="154"/>
      <c r="AF140" s="154"/>
      <c r="AG140" s="154"/>
      <c r="AH140" s="154"/>
      <c r="AI140" s="154"/>
      <c r="AJ140" s="1163"/>
      <c r="AK140" s="154"/>
      <c r="AL140" s="154"/>
      <c r="AM140" s="1164"/>
      <c r="AN140" s="154"/>
      <c r="AO140" s="1163"/>
      <c r="AP140" s="154"/>
      <c r="AQ140" s="154"/>
      <c r="AR140" s="1164"/>
      <c r="AS140" s="154"/>
      <c r="AT140" s="1163"/>
      <c r="AU140" s="206"/>
      <c r="AV140" s="206"/>
      <c r="AW140" s="1164"/>
      <c r="AX140" s="154"/>
      <c r="AY140" s="1292"/>
      <c r="AZ140" s="154"/>
      <c r="BA140" s="154"/>
      <c r="BB140" s="1164"/>
      <c r="BC140" s="154"/>
      <c r="BD140" s="1163"/>
      <c r="BE140" s="154"/>
      <c r="BF140" s="154"/>
      <c r="BG140" s="1164"/>
      <c r="BH140" s="206"/>
      <c r="BI140" s="1163"/>
      <c r="BJ140" s="154"/>
      <c r="BK140" s="154"/>
      <c r="BL140" s="1164"/>
      <c r="BM140" s="154"/>
      <c r="BN140" s="1163"/>
      <c r="BO140" s="154"/>
      <c r="BP140" s="154"/>
      <c r="BQ140" s="1164"/>
      <c r="BR140" s="154"/>
      <c r="BS140" s="1345"/>
      <c r="BT140" s="154"/>
      <c r="BU140" s="154"/>
      <c r="BV140" s="1164"/>
      <c r="BW140" s="154"/>
      <c r="BX140" s="1163"/>
      <c r="BY140" s="154"/>
      <c r="BZ140" s="154"/>
      <c r="CA140" s="1164"/>
      <c r="CB140" s="154"/>
      <c r="CC140" s="1163"/>
      <c r="CD140" s="154"/>
      <c r="CE140" s="154"/>
      <c r="CF140" s="1164"/>
      <c r="CG140" s="154"/>
      <c r="CH140" s="1163"/>
      <c r="CI140" s="154"/>
      <c r="CJ140" s="154"/>
      <c r="CK140" s="1164"/>
      <c r="CL140" s="154"/>
      <c r="CM140" s="1163"/>
      <c r="CN140" s="154"/>
      <c r="CO140" s="154"/>
      <c r="CP140" s="1164"/>
      <c r="CQ140" s="1164"/>
      <c r="CR140" s="109"/>
    </row>
    <row r="141" spans="1:96" ht="13.5" customHeight="1">
      <c r="A141" s="93" t="s">
        <v>796</v>
      </c>
      <c r="B141" s="125"/>
      <c r="C141" s="75"/>
      <c r="D141" s="75"/>
      <c r="E141" s="75"/>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c r="AB141" s="154"/>
      <c r="AC141" s="154"/>
      <c r="AD141" s="154"/>
      <c r="AE141" s="154"/>
      <c r="AF141" s="154"/>
      <c r="AG141" s="154"/>
      <c r="AH141" s="154"/>
      <c r="AI141" s="154"/>
      <c r="AJ141" s="1163"/>
      <c r="AK141" s="154"/>
      <c r="AL141" s="154"/>
      <c r="AM141" s="1164"/>
      <c r="AN141" s="154"/>
      <c r="AO141" s="1163"/>
      <c r="AP141" s="154"/>
      <c r="AQ141" s="154"/>
      <c r="AR141" s="1164"/>
      <c r="AS141" s="154"/>
      <c r="AT141" s="1163"/>
      <c r="AU141" s="206"/>
      <c r="AV141" s="206"/>
      <c r="AW141" s="1164"/>
      <c r="AX141" s="154"/>
      <c r="AY141" s="1163"/>
      <c r="AZ141" s="154"/>
      <c r="BA141" s="154"/>
      <c r="BB141" s="1164"/>
      <c r="BC141" s="154"/>
      <c r="BD141" s="1163"/>
      <c r="BE141" s="154"/>
      <c r="BF141" s="581"/>
      <c r="BG141" s="1164"/>
      <c r="BH141" s="154"/>
      <c r="BI141" s="1163"/>
      <c r="BJ141" s="154"/>
      <c r="BK141" s="206"/>
      <c r="BL141" s="1164"/>
      <c r="BM141" s="154"/>
      <c r="BN141" s="1163"/>
      <c r="BO141" s="154"/>
      <c r="BP141" s="154"/>
      <c r="BQ141" s="1164"/>
      <c r="BR141" s="154"/>
      <c r="BS141" s="1349"/>
      <c r="BT141" s="154"/>
      <c r="BU141" s="154"/>
      <c r="BV141" s="1164"/>
      <c r="BW141" s="154"/>
      <c r="BX141" s="1163"/>
      <c r="BY141" s="154"/>
      <c r="BZ141" s="154"/>
      <c r="CA141" s="1164"/>
      <c r="CB141" s="154"/>
      <c r="CC141" s="1163"/>
      <c r="CD141" s="154"/>
      <c r="CE141" s="154"/>
      <c r="CF141" s="1164"/>
      <c r="CG141" s="154"/>
      <c r="CH141" s="1163"/>
      <c r="CI141" s="154"/>
      <c r="CJ141" s="154"/>
      <c r="CK141" s="1164"/>
      <c r="CL141" s="154"/>
      <c r="CM141" s="1163"/>
      <c r="CN141" s="154"/>
      <c r="CO141" s="154"/>
      <c r="CP141" s="1164"/>
      <c r="CQ141" s="1164"/>
      <c r="CR141" s="109"/>
    </row>
    <row r="142" spans="1:96" ht="13.5" customHeight="1">
      <c r="A142" s="75"/>
      <c r="B142" s="232" t="s">
        <v>797</v>
      </c>
      <c r="C142" s="75"/>
      <c r="D142" s="75"/>
      <c r="E142" s="75"/>
      <c r="F142" s="650">
        <v>788</v>
      </c>
      <c r="G142" s="650">
        <v>934</v>
      </c>
      <c r="H142" s="650">
        <v>940</v>
      </c>
      <c r="I142" s="650">
        <v>969</v>
      </c>
      <c r="J142" s="650">
        <v>969</v>
      </c>
      <c r="K142" s="650">
        <v>1036</v>
      </c>
      <c r="L142" s="650">
        <v>1145</v>
      </c>
      <c r="M142" s="650">
        <v>1261</v>
      </c>
      <c r="N142" s="650">
        <v>1227</v>
      </c>
      <c r="O142" s="109">
        <f t="shared" ref="O142:O150" si="170">N142</f>
        <v>1227</v>
      </c>
      <c r="P142" s="650">
        <v>1207</v>
      </c>
      <c r="Q142" s="650">
        <v>1130</v>
      </c>
      <c r="R142" s="650">
        <v>1126</v>
      </c>
      <c r="S142" s="650">
        <v>1208</v>
      </c>
      <c r="T142" s="109">
        <f t="shared" ref="T142:T150" si="171">S142</f>
        <v>1208</v>
      </c>
      <c r="U142" s="650">
        <v>1194</v>
      </c>
      <c r="V142" s="650">
        <v>1225</v>
      </c>
      <c r="W142" s="650">
        <v>1286</v>
      </c>
      <c r="X142" s="650">
        <v>1254</v>
      </c>
      <c r="Y142" s="109">
        <f t="shared" ref="Y142:Y150" si="172">X142</f>
        <v>1254</v>
      </c>
      <c r="Z142" s="650">
        <v>1354</v>
      </c>
      <c r="AA142" s="650">
        <v>1555</v>
      </c>
      <c r="AB142" s="650">
        <v>1577</v>
      </c>
      <c r="AC142" s="650">
        <v>1668</v>
      </c>
      <c r="AD142" s="109">
        <f t="shared" ref="AD142:AD150" si="173">AC142</f>
        <v>1668</v>
      </c>
      <c r="AE142" s="650">
        <v>1903</v>
      </c>
      <c r="AF142" s="650">
        <v>2269</v>
      </c>
      <c r="AG142" s="650">
        <v>2154</v>
      </c>
      <c r="AH142" s="650">
        <v>1440</v>
      </c>
      <c r="AI142" s="109">
        <f t="shared" ref="AI142:AI150" si="174">AH142</f>
        <v>1440</v>
      </c>
      <c r="AJ142" s="1187">
        <v>1181</v>
      </c>
      <c r="AK142" s="646">
        <v>986</v>
      </c>
      <c r="AL142" s="646">
        <v>1408</v>
      </c>
      <c r="AM142" s="1188">
        <v>1396</v>
      </c>
      <c r="AN142" s="109">
        <f t="shared" ref="AN142:AN150" si="175">AM142</f>
        <v>1396</v>
      </c>
      <c r="AO142" s="1187">
        <v>1585</v>
      </c>
      <c r="AP142" s="646">
        <v>1836</v>
      </c>
      <c r="AQ142" s="646">
        <v>2014</v>
      </c>
      <c r="AR142" s="1188">
        <f>1804-AR143</f>
        <v>1766</v>
      </c>
      <c r="AS142" s="109">
        <f t="shared" ref="AS142:AS150" si="176">AR142</f>
        <v>1766</v>
      </c>
      <c r="AT142" s="1187">
        <v>2044</v>
      </c>
      <c r="AU142" s="647">
        <v>2077</v>
      </c>
      <c r="AV142" s="647">
        <v>2070</v>
      </c>
      <c r="AW142" s="1188">
        <v>1977</v>
      </c>
      <c r="AX142" s="109">
        <f t="shared" ref="AX142:AX150" si="177">AW142</f>
        <v>1977</v>
      </c>
      <c r="AY142" s="1288">
        <v>1906</v>
      </c>
      <c r="AZ142" s="647">
        <v>1920</v>
      </c>
      <c r="BA142" s="646">
        <v>1864</v>
      </c>
      <c r="BB142" s="1188">
        <v>1744</v>
      </c>
      <c r="BC142" s="109">
        <f t="shared" ref="BC142:BC150" si="178">BB142</f>
        <v>1744</v>
      </c>
      <c r="BD142" s="1187">
        <v>1788</v>
      </c>
      <c r="BE142" s="646">
        <v>1650</v>
      </c>
      <c r="BF142" s="646">
        <v>1630</v>
      </c>
      <c r="BG142" s="1286">
        <v>1681</v>
      </c>
      <c r="BH142" s="109">
        <f t="shared" ref="BH142:BH150" si="179">BG142</f>
        <v>1681</v>
      </c>
      <c r="BI142" s="1187">
        <v>1890</v>
      </c>
      <c r="BJ142" s="646">
        <v>2186</v>
      </c>
      <c r="BK142" s="647">
        <v>1941</v>
      </c>
      <c r="BL142" s="1286">
        <v>1871</v>
      </c>
      <c r="BM142" s="109">
        <f t="shared" ref="BM142:BM150" si="180">BL142</f>
        <v>1871</v>
      </c>
      <c r="BN142" s="1187">
        <v>1702</v>
      </c>
      <c r="BO142" s="647">
        <v>1678</v>
      </c>
      <c r="BP142" s="647">
        <v>1742</v>
      </c>
      <c r="BQ142" s="1188">
        <v>1412</v>
      </c>
      <c r="BR142" s="109">
        <f t="shared" ref="BR142:BR150" si="181">BQ142</f>
        <v>1412</v>
      </c>
      <c r="BS142" s="1288">
        <v>1375</v>
      </c>
      <c r="BT142" s="647">
        <v>1542</v>
      </c>
      <c r="BU142" s="647">
        <v>1566</v>
      </c>
      <c r="BV142" s="1286">
        <v>1602</v>
      </c>
      <c r="BW142" s="109">
        <f t="shared" ref="BW142:BW150" si="182">BV142</f>
        <v>1602</v>
      </c>
      <c r="BX142" s="1359">
        <v>1828</v>
      </c>
      <c r="BY142" s="1360">
        <v>1948</v>
      </c>
      <c r="BZ142" s="1360">
        <v>2018</v>
      </c>
      <c r="CA142" s="1188">
        <v>2096</v>
      </c>
      <c r="CB142" s="109">
        <f t="shared" ref="CB142:CB150" si="183">CA142</f>
        <v>2096</v>
      </c>
      <c r="CC142" s="918">
        <f>2*(CC273)/(365/(CC18*4))-CB142-CB143-CC143</f>
        <v>1716.4111196764429</v>
      </c>
      <c r="CD142" s="216">
        <f>2*(CD273)/(365/(CD18*4))-CC142-CC143-CD143</f>
        <v>2323.2738875239806</v>
      </c>
      <c r="CE142" s="216">
        <f>2*(CE273)/(365/(CE18*4))-CD142-CD143-CE143</f>
        <v>1905.3358082116242</v>
      </c>
      <c r="CF142" s="919">
        <f>2*(CF273)/(365/(CF18*4))-CE142-CE143-CF143</f>
        <v>2418.5651232150453</v>
      </c>
      <c r="CG142" s="109">
        <f t="shared" ref="CG142:CG150" si="184">CF142</f>
        <v>2418.5651232150453</v>
      </c>
      <c r="CH142" s="918">
        <f>2*(CH273)/(365/(CH18*4))-CG142-CG143-CH143</f>
        <v>2403.059215807722</v>
      </c>
      <c r="CI142" s="216">
        <f>2*(CI273)/(365/(CI18*4))-CH142-CH143-CI143</f>
        <v>2477.4847556376021</v>
      </c>
      <c r="CJ142" s="216">
        <f>2*(CJ273)/(365/(CJ18*4))-CI142-CI143-CJ143</f>
        <v>2309.7299148247444</v>
      </c>
      <c r="CK142" s="919">
        <f>2*(CK273)/(365/(CK18*4))-CJ142-CJ143-CK143</f>
        <v>2401.0855527205281</v>
      </c>
      <c r="CL142" s="109">
        <f t="shared" ref="CL142:CL150" si="185">CK142</f>
        <v>2401.0855527205281</v>
      </c>
      <c r="CM142" s="918">
        <f>2*(CM273)/(365/(CM18*4))-CL142-CL143-CM143</f>
        <v>2190.2362855961551</v>
      </c>
      <c r="CN142" s="216">
        <f>2*(CN273)/(365/(CN18*4))-CM142-CM143-CN143</f>
        <v>2564.9234136171121</v>
      </c>
      <c r="CO142" s="216">
        <f>2*(CO273)/(365/(CO18*4))-CN142-CN143-CO143</f>
        <v>2090.0537706913242</v>
      </c>
      <c r="CP142" s="919">
        <f>2*(CP273)/(365/(CP18*4))-CO142-CO143-CP143</f>
        <v>2499.4929742304726</v>
      </c>
      <c r="CQ142" s="919">
        <f t="shared" ref="CQ142:CQ150" si="186">CP142</f>
        <v>2499.4929742304726</v>
      </c>
      <c r="CR142" s="109"/>
    </row>
    <row r="143" spans="1:96" ht="13.5" customHeight="1">
      <c r="A143" s="75"/>
      <c r="B143" s="232" t="s">
        <v>798</v>
      </c>
      <c r="C143" s="75"/>
      <c r="D143" s="75"/>
      <c r="E143" s="75"/>
      <c r="F143" s="650">
        <v>104</v>
      </c>
      <c r="G143" s="650">
        <v>105</v>
      </c>
      <c r="H143" s="650">
        <v>72</v>
      </c>
      <c r="I143" s="650">
        <v>58</v>
      </c>
      <c r="J143" s="109">
        <f>I143</f>
        <v>58</v>
      </c>
      <c r="K143" s="650">
        <v>71</v>
      </c>
      <c r="L143" s="650">
        <v>67</v>
      </c>
      <c r="M143" s="650">
        <v>70</v>
      </c>
      <c r="N143" s="650">
        <v>58</v>
      </c>
      <c r="O143" s="109">
        <f t="shared" si="170"/>
        <v>58</v>
      </c>
      <c r="P143" s="650">
        <v>73</v>
      </c>
      <c r="Q143" s="650">
        <v>67</v>
      </c>
      <c r="R143" s="650">
        <v>65</v>
      </c>
      <c r="S143" s="650">
        <v>48</v>
      </c>
      <c r="T143" s="109">
        <f t="shared" si="171"/>
        <v>48</v>
      </c>
      <c r="U143" s="650">
        <v>73</v>
      </c>
      <c r="V143" s="650">
        <v>73</v>
      </c>
      <c r="W143" s="650">
        <v>69</v>
      </c>
      <c r="X143" s="650">
        <v>59</v>
      </c>
      <c r="Y143" s="109">
        <f t="shared" si="172"/>
        <v>59</v>
      </c>
      <c r="Z143" s="650">
        <v>79</v>
      </c>
      <c r="AA143" s="650">
        <v>71</v>
      </c>
      <c r="AB143" s="650">
        <v>79</v>
      </c>
      <c r="AC143" s="650">
        <v>62</v>
      </c>
      <c r="AD143" s="109">
        <f t="shared" si="173"/>
        <v>62</v>
      </c>
      <c r="AE143" s="650">
        <v>70</v>
      </c>
      <c r="AF143" s="650">
        <v>88</v>
      </c>
      <c r="AG143" s="650">
        <v>92</v>
      </c>
      <c r="AH143" s="650">
        <v>43</v>
      </c>
      <c r="AI143" s="109">
        <f t="shared" si="174"/>
        <v>43</v>
      </c>
      <c r="AJ143" s="1187">
        <v>60</v>
      </c>
      <c r="AK143" s="646">
        <v>87</v>
      </c>
      <c r="AL143" s="646">
        <v>82</v>
      </c>
      <c r="AM143" s="1188">
        <v>61</v>
      </c>
      <c r="AN143" s="109">
        <f t="shared" si="175"/>
        <v>61</v>
      </c>
      <c r="AO143" s="1187">
        <v>68</v>
      </c>
      <c r="AP143" s="646">
        <v>65</v>
      </c>
      <c r="AQ143" s="646">
        <v>38</v>
      </c>
      <c r="AR143" s="919">
        <f>AQ143</f>
        <v>38</v>
      </c>
      <c r="AS143" s="109">
        <f t="shared" si="176"/>
        <v>38</v>
      </c>
      <c r="AT143" s="1187">
        <v>83</v>
      </c>
      <c r="AU143" s="647">
        <v>76</v>
      </c>
      <c r="AV143" s="647">
        <v>91</v>
      </c>
      <c r="AW143" s="1188">
        <v>86</v>
      </c>
      <c r="AX143" s="109">
        <f t="shared" si="177"/>
        <v>86</v>
      </c>
      <c r="AY143" s="1288">
        <v>107</v>
      </c>
      <c r="AZ143" s="647">
        <v>110</v>
      </c>
      <c r="BA143" s="646">
        <v>84</v>
      </c>
      <c r="BB143" s="1188">
        <v>56</v>
      </c>
      <c r="BC143" s="109">
        <f t="shared" si="178"/>
        <v>56</v>
      </c>
      <c r="BD143" s="1288">
        <v>91</v>
      </c>
      <c r="BE143" s="647">
        <v>93</v>
      </c>
      <c r="BF143" s="647">
        <v>93</v>
      </c>
      <c r="BG143" s="1286">
        <v>73</v>
      </c>
      <c r="BH143" s="109">
        <f t="shared" si="179"/>
        <v>73</v>
      </c>
      <c r="BI143" s="1187">
        <v>110</v>
      </c>
      <c r="BJ143" s="646">
        <v>108</v>
      </c>
      <c r="BK143" s="647">
        <v>131</v>
      </c>
      <c r="BL143" s="1286">
        <v>131</v>
      </c>
      <c r="BM143" s="109">
        <f t="shared" si="180"/>
        <v>131</v>
      </c>
      <c r="BN143" s="1187">
        <v>135</v>
      </c>
      <c r="BO143" s="647">
        <v>133</v>
      </c>
      <c r="BP143" s="647">
        <v>139</v>
      </c>
      <c r="BQ143" s="1188">
        <v>81</v>
      </c>
      <c r="BR143" s="109">
        <f t="shared" si="181"/>
        <v>81</v>
      </c>
      <c r="BS143" s="1288">
        <v>88</v>
      </c>
      <c r="BT143" s="647">
        <v>89</v>
      </c>
      <c r="BU143" s="647">
        <v>89</v>
      </c>
      <c r="BV143" s="1286">
        <v>66</v>
      </c>
      <c r="BW143" s="109">
        <f t="shared" si="182"/>
        <v>66</v>
      </c>
      <c r="BX143" s="1359">
        <v>83</v>
      </c>
      <c r="BY143" s="1360">
        <v>77</v>
      </c>
      <c r="BZ143" s="1360">
        <v>79</v>
      </c>
      <c r="CA143" s="1286">
        <v>74</v>
      </c>
      <c r="CB143" s="109">
        <f t="shared" si="183"/>
        <v>74</v>
      </c>
      <c r="CC143" s="918">
        <f>CA143</f>
        <v>74</v>
      </c>
      <c r="CD143" s="216">
        <f t="shared" ref="CD143:CF146" si="187">CC143</f>
        <v>74</v>
      </c>
      <c r="CE143" s="216">
        <f t="shared" si="187"/>
        <v>74</v>
      </c>
      <c r="CF143" s="919">
        <f t="shared" si="187"/>
        <v>74</v>
      </c>
      <c r="CG143" s="109">
        <f t="shared" si="184"/>
        <v>74</v>
      </c>
      <c r="CH143" s="918">
        <f>CF143</f>
        <v>74</v>
      </c>
      <c r="CI143" s="216">
        <f t="shared" ref="CI143:CK146" si="188">CH143</f>
        <v>74</v>
      </c>
      <c r="CJ143" s="216">
        <f t="shared" si="188"/>
        <v>74</v>
      </c>
      <c r="CK143" s="919">
        <f t="shared" si="188"/>
        <v>74</v>
      </c>
      <c r="CL143" s="109">
        <f t="shared" si="185"/>
        <v>74</v>
      </c>
      <c r="CM143" s="918">
        <f>CK143</f>
        <v>74</v>
      </c>
      <c r="CN143" s="216">
        <f t="shared" ref="CN143:CN146" si="189">CM143</f>
        <v>74</v>
      </c>
      <c r="CO143" s="216">
        <f t="shared" ref="CO143:CO146" si="190">CN143</f>
        <v>74</v>
      </c>
      <c r="CP143" s="919">
        <f t="shared" ref="CP143:CP146" si="191">CO143</f>
        <v>74</v>
      </c>
      <c r="CQ143" s="919">
        <f t="shared" si="186"/>
        <v>74</v>
      </c>
      <c r="CR143" s="109"/>
    </row>
    <row r="144" spans="1:96" ht="13.5" customHeight="1">
      <c r="A144" s="75"/>
      <c r="B144" s="232" t="s">
        <v>799</v>
      </c>
      <c r="C144" s="75"/>
      <c r="D144" s="75"/>
      <c r="E144" s="75"/>
      <c r="F144" s="650">
        <v>0</v>
      </c>
      <c r="G144" s="650">
        <v>0</v>
      </c>
      <c r="H144" s="650">
        <v>0</v>
      </c>
      <c r="I144" s="650">
        <v>0</v>
      </c>
      <c r="J144" s="650">
        <v>0</v>
      </c>
      <c r="K144" s="650">
        <v>0</v>
      </c>
      <c r="L144" s="650">
        <v>0</v>
      </c>
      <c r="M144" s="650">
        <v>0</v>
      </c>
      <c r="N144" s="650">
        <v>78</v>
      </c>
      <c r="O144" s="109">
        <f t="shared" si="170"/>
        <v>78</v>
      </c>
      <c r="P144" s="650">
        <v>27</v>
      </c>
      <c r="Q144" s="650">
        <v>105</v>
      </c>
      <c r="R144" s="650">
        <v>98</v>
      </c>
      <c r="S144" s="650">
        <v>115</v>
      </c>
      <c r="T144" s="109">
        <f t="shared" si="171"/>
        <v>115</v>
      </c>
      <c r="U144" s="650">
        <v>99</v>
      </c>
      <c r="V144" s="650">
        <v>102</v>
      </c>
      <c r="W144" s="650">
        <v>120</v>
      </c>
      <c r="X144" s="650">
        <v>66</v>
      </c>
      <c r="Y144" s="109">
        <f t="shared" si="172"/>
        <v>66</v>
      </c>
      <c r="Z144" s="650">
        <v>79</v>
      </c>
      <c r="AA144" s="650">
        <v>129</v>
      </c>
      <c r="AB144" s="650">
        <v>127</v>
      </c>
      <c r="AC144" s="650">
        <v>53</v>
      </c>
      <c r="AD144" s="109">
        <f t="shared" si="173"/>
        <v>53</v>
      </c>
      <c r="AE144" s="650">
        <v>98</v>
      </c>
      <c r="AF144" s="650">
        <v>48</v>
      </c>
      <c r="AG144" s="650">
        <v>44</v>
      </c>
      <c r="AH144" s="650">
        <v>11</v>
      </c>
      <c r="AI144" s="109">
        <f t="shared" si="174"/>
        <v>11</v>
      </c>
      <c r="AJ144" s="1187">
        <v>12</v>
      </c>
      <c r="AK144" s="646">
        <v>10</v>
      </c>
      <c r="AL144" s="646">
        <v>1</v>
      </c>
      <c r="AM144" s="1188">
        <v>23</v>
      </c>
      <c r="AN144" s="109">
        <f t="shared" si="175"/>
        <v>23</v>
      </c>
      <c r="AO144" s="1187">
        <v>14</v>
      </c>
      <c r="AP144" s="646">
        <v>13</v>
      </c>
      <c r="AQ144" s="646">
        <v>84</v>
      </c>
      <c r="AR144" s="919">
        <f>AQ144</f>
        <v>84</v>
      </c>
      <c r="AS144" s="109">
        <f t="shared" si="176"/>
        <v>84</v>
      </c>
      <c r="AT144" s="1187">
        <v>19</v>
      </c>
      <c r="AU144" s="647">
        <v>34</v>
      </c>
      <c r="AV144" s="647">
        <v>52</v>
      </c>
      <c r="AW144" s="1188">
        <v>24</v>
      </c>
      <c r="AX144" s="109">
        <f t="shared" si="177"/>
        <v>24</v>
      </c>
      <c r="AY144" s="1288">
        <v>57</v>
      </c>
      <c r="AZ144" s="647">
        <v>56</v>
      </c>
      <c r="BA144" s="646">
        <v>49</v>
      </c>
      <c r="BB144" s="1188">
        <v>15</v>
      </c>
      <c r="BC144" s="109">
        <f t="shared" si="178"/>
        <v>15</v>
      </c>
      <c r="BD144" s="1288">
        <v>48</v>
      </c>
      <c r="BE144" s="647">
        <v>47</v>
      </c>
      <c r="BF144" s="646">
        <v>56</v>
      </c>
      <c r="BG144" s="1286">
        <v>0</v>
      </c>
      <c r="BH144" s="109">
        <f t="shared" si="179"/>
        <v>0</v>
      </c>
      <c r="BI144" s="1187">
        <v>26</v>
      </c>
      <c r="BJ144" s="646">
        <v>44</v>
      </c>
      <c r="BK144" s="647">
        <v>26</v>
      </c>
      <c r="BL144" s="1286">
        <v>0</v>
      </c>
      <c r="BM144" s="109">
        <f t="shared" si="180"/>
        <v>0</v>
      </c>
      <c r="BN144" s="1187">
        <v>32</v>
      </c>
      <c r="BO144" s="647">
        <v>12</v>
      </c>
      <c r="BP144" s="647">
        <v>9</v>
      </c>
      <c r="BQ144" s="1188">
        <v>0</v>
      </c>
      <c r="BR144" s="109">
        <f t="shared" si="181"/>
        <v>0</v>
      </c>
      <c r="BS144" s="1187">
        <v>26</v>
      </c>
      <c r="BT144" s="647">
        <v>0</v>
      </c>
      <c r="BU144" s="647">
        <v>0</v>
      </c>
      <c r="BV144" s="1286">
        <v>0</v>
      </c>
      <c r="BW144" s="109">
        <f t="shared" si="182"/>
        <v>0</v>
      </c>
      <c r="BX144" s="1359">
        <v>0</v>
      </c>
      <c r="BY144" s="1360">
        <v>0</v>
      </c>
      <c r="BZ144" s="1360">
        <v>0</v>
      </c>
      <c r="CA144" s="1188">
        <v>0</v>
      </c>
      <c r="CB144" s="109">
        <f t="shared" si="183"/>
        <v>0</v>
      </c>
      <c r="CC144" s="918">
        <f>CA144</f>
        <v>0</v>
      </c>
      <c r="CD144" s="216">
        <f t="shared" si="187"/>
        <v>0</v>
      </c>
      <c r="CE144" s="216">
        <f t="shared" si="187"/>
        <v>0</v>
      </c>
      <c r="CF144" s="919">
        <f t="shared" si="187"/>
        <v>0</v>
      </c>
      <c r="CG144" s="109">
        <f t="shared" si="184"/>
        <v>0</v>
      </c>
      <c r="CH144" s="918">
        <f>CF144</f>
        <v>0</v>
      </c>
      <c r="CI144" s="216">
        <f t="shared" si="188"/>
        <v>0</v>
      </c>
      <c r="CJ144" s="216">
        <f t="shared" si="188"/>
        <v>0</v>
      </c>
      <c r="CK144" s="919">
        <f t="shared" si="188"/>
        <v>0</v>
      </c>
      <c r="CL144" s="109">
        <f t="shared" si="185"/>
        <v>0</v>
      </c>
      <c r="CM144" s="918">
        <f>CK144</f>
        <v>0</v>
      </c>
      <c r="CN144" s="216">
        <f t="shared" si="189"/>
        <v>0</v>
      </c>
      <c r="CO144" s="216">
        <f t="shared" si="190"/>
        <v>0</v>
      </c>
      <c r="CP144" s="919">
        <f t="shared" si="191"/>
        <v>0</v>
      </c>
      <c r="CQ144" s="919">
        <f t="shared" si="186"/>
        <v>0</v>
      </c>
      <c r="CR144" s="109"/>
    </row>
    <row r="145" spans="1:96" ht="13.5" customHeight="1">
      <c r="A145" s="75"/>
      <c r="B145" s="232" t="s">
        <v>800</v>
      </c>
      <c r="C145" s="75"/>
      <c r="D145" s="75"/>
      <c r="E145" s="75"/>
      <c r="F145" s="650">
        <v>265</v>
      </c>
      <c r="G145" s="650">
        <v>342</v>
      </c>
      <c r="H145" s="650">
        <v>420</v>
      </c>
      <c r="I145" s="650">
        <v>650</v>
      </c>
      <c r="J145" s="650">
        <v>650</v>
      </c>
      <c r="K145" s="650">
        <v>585</v>
      </c>
      <c r="L145" s="650">
        <v>602</v>
      </c>
      <c r="M145" s="650">
        <v>670</v>
      </c>
      <c r="N145" s="650">
        <v>807</v>
      </c>
      <c r="O145" s="109">
        <f t="shared" si="170"/>
        <v>807</v>
      </c>
      <c r="P145" s="650">
        <v>697</v>
      </c>
      <c r="Q145" s="650">
        <v>722</v>
      </c>
      <c r="R145" s="650">
        <v>742</v>
      </c>
      <c r="S145" s="650">
        <v>912</v>
      </c>
      <c r="T145" s="109">
        <f t="shared" si="171"/>
        <v>912</v>
      </c>
      <c r="U145" s="650">
        <v>920</v>
      </c>
      <c r="V145" s="650">
        <v>1008</v>
      </c>
      <c r="W145" s="650">
        <v>1102</v>
      </c>
      <c r="X145" s="650">
        <v>1028</v>
      </c>
      <c r="Y145" s="109">
        <f t="shared" si="172"/>
        <v>1028</v>
      </c>
      <c r="Z145" s="109">
        <f>991</f>
        <v>991</v>
      </c>
      <c r="AA145" s="650">
        <v>1049</v>
      </c>
      <c r="AB145" s="650">
        <v>1100</v>
      </c>
      <c r="AC145" s="650">
        <v>995</v>
      </c>
      <c r="AD145" s="109">
        <f t="shared" si="173"/>
        <v>995</v>
      </c>
      <c r="AE145" s="650">
        <v>955</v>
      </c>
      <c r="AF145" s="650">
        <v>1040</v>
      </c>
      <c r="AG145" s="650">
        <v>950</v>
      </c>
      <c r="AH145" s="650">
        <v>967</v>
      </c>
      <c r="AI145" s="109">
        <f t="shared" si="174"/>
        <v>967</v>
      </c>
      <c r="AJ145" s="1187">
        <v>825</v>
      </c>
      <c r="AK145" s="646">
        <v>787</v>
      </c>
      <c r="AL145" s="646">
        <v>770</v>
      </c>
      <c r="AM145" s="1188">
        <v>854</v>
      </c>
      <c r="AN145" s="109">
        <f t="shared" si="175"/>
        <v>854</v>
      </c>
      <c r="AO145" s="1187">
        <v>711</v>
      </c>
      <c r="AP145" s="646">
        <v>754</v>
      </c>
      <c r="AQ145" s="646">
        <v>731</v>
      </c>
      <c r="AR145" s="1188">
        <v>938</v>
      </c>
      <c r="AS145" s="109">
        <f t="shared" si="176"/>
        <v>938</v>
      </c>
      <c r="AT145" s="1187">
        <v>952</v>
      </c>
      <c r="AU145" s="647">
        <v>1001</v>
      </c>
      <c r="AV145" s="647">
        <v>1005</v>
      </c>
      <c r="AW145" s="1188">
        <v>1003</v>
      </c>
      <c r="AX145" s="109">
        <f t="shared" si="177"/>
        <v>1003</v>
      </c>
      <c r="AY145" s="1288">
        <v>994</v>
      </c>
      <c r="AZ145" s="647">
        <v>1019</v>
      </c>
      <c r="BA145" s="646">
        <v>1048</v>
      </c>
      <c r="BB145" s="1188">
        <v>977</v>
      </c>
      <c r="BC145" s="109">
        <f t="shared" si="178"/>
        <v>977</v>
      </c>
      <c r="BD145" s="1288">
        <v>947</v>
      </c>
      <c r="BE145" s="647">
        <v>950</v>
      </c>
      <c r="BF145" s="647">
        <v>965</v>
      </c>
      <c r="BG145" s="1286">
        <v>974</v>
      </c>
      <c r="BH145" s="109">
        <f t="shared" si="179"/>
        <v>974</v>
      </c>
      <c r="BI145" s="1187">
        <v>977</v>
      </c>
      <c r="BJ145" s="646">
        <v>998</v>
      </c>
      <c r="BK145" s="647">
        <f>925</f>
        <v>925</v>
      </c>
      <c r="BL145" s="1286">
        <v>1003</v>
      </c>
      <c r="BM145" s="109">
        <f t="shared" si="180"/>
        <v>1003</v>
      </c>
      <c r="BN145" s="1187">
        <v>856</v>
      </c>
      <c r="BO145" s="647">
        <v>879</v>
      </c>
      <c r="BP145" s="647">
        <v>919</v>
      </c>
      <c r="BQ145" s="1188">
        <v>462</v>
      </c>
      <c r="BR145" s="109">
        <f t="shared" si="181"/>
        <v>462</v>
      </c>
      <c r="BS145" s="1187">
        <v>488</v>
      </c>
      <c r="BT145" s="647">
        <v>455</v>
      </c>
      <c r="BU145" s="647">
        <v>464</v>
      </c>
      <c r="BV145" s="1286">
        <v>400</v>
      </c>
      <c r="BW145" s="109">
        <f t="shared" si="182"/>
        <v>400</v>
      </c>
      <c r="BX145" s="1359">
        <v>320</v>
      </c>
      <c r="BY145" s="1360">
        <v>338</v>
      </c>
      <c r="BZ145" s="1360">
        <v>333</v>
      </c>
      <c r="CA145" s="1188">
        <v>347</v>
      </c>
      <c r="CB145" s="109">
        <f t="shared" si="183"/>
        <v>347</v>
      </c>
      <c r="CC145" s="918">
        <f>CA145</f>
        <v>347</v>
      </c>
      <c r="CD145" s="216">
        <f t="shared" si="187"/>
        <v>347</v>
      </c>
      <c r="CE145" s="216">
        <f t="shared" si="187"/>
        <v>347</v>
      </c>
      <c r="CF145" s="919">
        <f t="shared" si="187"/>
        <v>347</v>
      </c>
      <c r="CG145" s="109">
        <f t="shared" si="184"/>
        <v>347</v>
      </c>
      <c r="CH145" s="918">
        <f>CF145</f>
        <v>347</v>
      </c>
      <c r="CI145" s="216">
        <f t="shared" si="188"/>
        <v>347</v>
      </c>
      <c r="CJ145" s="216">
        <f t="shared" si="188"/>
        <v>347</v>
      </c>
      <c r="CK145" s="919">
        <f t="shared" si="188"/>
        <v>347</v>
      </c>
      <c r="CL145" s="109">
        <f t="shared" si="185"/>
        <v>347</v>
      </c>
      <c r="CM145" s="918">
        <f>CK145</f>
        <v>347</v>
      </c>
      <c r="CN145" s="216">
        <f t="shared" si="189"/>
        <v>347</v>
      </c>
      <c r="CO145" s="216">
        <f t="shared" si="190"/>
        <v>347</v>
      </c>
      <c r="CP145" s="919">
        <f t="shared" si="191"/>
        <v>347</v>
      </c>
      <c r="CQ145" s="919">
        <f t="shared" si="186"/>
        <v>347</v>
      </c>
      <c r="CR145" s="109"/>
    </row>
    <row r="146" spans="1:96" ht="13.5" customHeight="1">
      <c r="A146" s="75"/>
      <c r="B146" s="232" t="s">
        <v>801</v>
      </c>
      <c r="C146" s="75"/>
      <c r="D146" s="75"/>
      <c r="E146" s="75"/>
      <c r="F146" s="650">
        <v>307</v>
      </c>
      <c r="G146" s="650">
        <v>349</v>
      </c>
      <c r="H146" s="650">
        <v>344</v>
      </c>
      <c r="I146" s="650">
        <v>360</v>
      </c>
      <c r="J146" s="109">
        <f>I146</f>
        <v>360</v>
      </c>
      <c r="K146" s="650">
        <v>382</v>
      </c>
      <c r="L146" s="650">
        <v>416</v>
      </c>
      <c r="M146" s="650">
        <v>332</v>
      </c>
      <c r="N146" s="650">
        <v>320</v>
      </c>
      <c r="O146" s="109">
        <f t="shared" si="170"/>
        <v>320</v>
      </c>
      <c r="P146" s="650">
        <v>280</v>
      </c>
      <c r="Q146" s="650">
        <v>52</v>
      </c>
      <c r="R146" s="650">
        <v>129</v>
      </c>
      <c r="S146" s="650">
        <v>186</v>
      </c>
      <c r="T146" s="109">
        <f t="shared" si="171"/>
        <v>186</v>
      </c>
      <c r="U146" s="650">
        <v>239</v>
      </c>
      <c r="V146" s="650">
        <v>162</v>
      </c>
      <c r="W146" s="650">
        <v>123</v>
      </c>
      <c r="X146" s="650">
        <v>182</v>
      </c>
      <c r="Y146" s="109">
        <f t="shared" si="172"/>
        <v>182</v>
      </c>
      <c r="Z146" s="650">
        <v>166</v>
      </c>
      <c r="AA146" s="650">
        <v>198</v>
      </c>
      <c r="AB146" s="650">
        <v>145</v>
      </c>
      <c r="AC146" s="650">
        <v>95</v>
      </c>
      <c r="AD146" s="109">
        <f t="shared" si="173"/>
        <v>95</v>
      </c>
      <c r="AE146" s="650">
        <v>215</v>
      </c>
      <c r="AF146" s="650">
        <v>282</v>
      </c>
      <c r="AG146" s="650">
        <v>354</v>
      </c>
      <c r="AH146" s="650">
        <v>203</v>
      </c>
      <c r="AI146" s="109">
        <f t="shared" si="174"/>
        <v>203</v>
      </c>
      <c r="AJ146" s="1187">
        <v>237</v>
      </c>
      <c r="AK146" s="646">
        <v>226</v>
      </c>
      <c r="AL146" s="646">
        <v>135</v>
      </c>
      <c r="AM146" s="1188">
        <v>89</v>
      </c>
      <c r="AN146" s="109">
        <f t="shared" si="175"/>
        <v>89</v>
      </c>
      <c r="AO146" s="1187">
        <v>133</v>
      </c>
      <c r="AP146" s="646">
        <v>159</v>
      </c>
      <c r="AQ146" s="646">
        <v>112</v>
      </c>
      <c r="AR146" s="1188">
        <f>189-AR148</f>
        <v>113</v>
      </c>
      <c r="AS146" s="109">
        <f t="shared" si="176"/>
        <v>113</v>
      </c>
      <c r="AT146" s="1187">
        <v>133</v>
      </c>
      <c r="AU146" s="647">
        <v>151</v>
      </c>
      <c r="AV146" s="647">
        <v>128</v>
      </c>
      <c r="AW146" s="1188">
        <v>118</v>
      </c>
      <c r="AX146" s="109">
        <f t="shared" si="177"/>
        <v>118</v>
      </c>
      <c r="AY146" s="1288">
        <v>195</v>
      </c>
      <c r="AZ146" s="647">
        <v>152</v>
      </c>
      <c r="BA146" s="646">
        <v>149</v>
      </c>
      <c r="BB146" s="1188">
        <v>146</v>
      </c>
      <c r="BC146" s="109">
        <f t="shared" si="178"/>
        <v>146</v>
      </c>
      <c r="BD146" s="1288">
        <v>147</v>
      </c>
      <c r="BE146" s="647">
        <v>151</v>
      </c>
      <c r="BF146" s="647">
        <v>140</v>
      </c>
      <c r="BG146" s="1286">
        <v>140</v>
      </c>
      <c r="BH146" s="109">
        <f t="shared" si="179"/>
        <v>140</v>
      </c>
      <c r="BI146" s="1187">
        <v>135</v>
      </c>
      <c r="BJ146" s="646">
        <v>113</v>
      </c>
      <c r="BK146" s="647">
        <v>118</v>
      </c>
      <c r="BL146" s="1286">
        <v>134</v>
      </c>
      <c r="BM146" s="109">
        <f t="shared" si="180"/>
        <v>134</v>
      </c>
      <c r="BN146" s="1187">
        <v>133</v>
      </c>
      <c r="BO146" s="647">
        <v>126</v>
      </c>
      <c r="BP146" s="647">
        <v>89</v>
      </c>
      <c r="BQ146" s="1188">
        <v>99</v>
      </c>
      <c r="BR146" s="109">
        <f t="shared" si="181"/>
        <v>99</v>
      </c>
      <c r="BS146" s="1187">
        <v>104</v>
      </c>
      <c r="BT146" s="647">
        <v>109</v>
      </c>
      <c r="BU146" s="647">
        <v>108</v>
      </c>
      <c r="BV146" s="1286">
        <v>128</v>
      </c>
      <c r="BW146" s="109">
        <f t="shared" si="182"/>
        <v>128</v>
      </c>
      <c r="BX146" s="1359">
        <v>140</v>
      </c>
      <c r="BY146" s="1360">
        <v>140</v>
      </c>
      <c r="BZ146" s="1360">
        <v>157</v>
      </c>
      <c r="CA146" s="1286">
        <v>132</v>
      </c>
      <c r="CB146" s="109">
        <f t="shared" si="183"/>
        <v>132</v>
      </c>
      <c r="CC146" s="918">
        <f>CA146</f>
        <v>132</v>
      </c>
      <c r="CD146" s="216">
        <f t="shared" si="187"/>
        <v>132</v>
      </c>
      <c r="CE146" s="216">
        <f t="shared" si="187"/>
        <v>132</v>
      </c>
      <c r="CF146" s="919">
        <f t="shared" si="187"/>
        <v>132</v>
      </c>
      <c r="CG146" s="109">
        <f t="shared" si="184"/>
        <v>132</v>
      </c>
      <c r="CH146" s="918">
        <f>CF146</f>
        <v>132</v>
      </c>
      <c r="CI146" s="216">
        <f t="shared" si="188"/>
        <v>132</v>
      </c>
      <c r="CJ146" s="216">
        <f t="shared" si="188"/>
        <v>132</v>
      </c>
      <c r="CK146" s="919">
        <f t="shared" si="188"/>
        <v>132</v>
      </c>
      <c r="CL146" s="109">
        <f t="shared" si="185"/>
        <v>132</v>
      </c>
      <c r="CM146" s="918">
        <f>CK146</f>
        <v>132</v>
      </c>
      <c r="CN146" s="216">
        <f t="shared" si="189"/>
        <v>132</v>
      </c>
      <c r="CO146" s="216">
        <f t="shared" si="190"/>
        <v>132</v>
      </c>
      <c r="CP146" s="919">
        <f t="shared" si="191"/>
        <v>132</v>
      </c>
      <c r="CQ146" s="919">
        <f t="shared" si="186"/>
        <v>132</v>
      </c>
      <c r="CR146" s="109"/>
    </row>
    <row r="147" spans="1:96" ht="13.5" customHeight="1">
      <c r="A147" s="75"/>
      <c r="B147" s="232" t="s">
        <v>802</v>
      </c>
      <c r="C147" s="75"/>
      <c r="D147" s="75"/>
      <c r="E147" s="75"/>
      <c r="F147" s="650">
        <v>0</v>
      </c>
      <c r="G147" s="650">
        <v>0</v>
      </c>
      <c r="H147" s="650">
        <v>0</v>
      </c>
      <c r="I147" s="650">
        <v>0</v>
      </c>
      <c r="J147" s="650">
        <v>0</v>
      </c>
      <c r="K147" s="650">
        <v>0</v>
      </c>
      <c r="L147" s="650">
        <v>0</v>
      </c>
      <c r="M147" s="650">
        <v>0</v>
      </c>
      <c r="N147" s="627">
        <f>4+4</f>
        <v>8</v>
      </c>
      <c r="O147" s="109">
        <f t="shared" si="170"/>
        <v>8</v>
      </c>
      <c r="P147" s="650">
        <v>0</v>
      </c>
      <c r="Q147" s="650">
        <v>0</v>
      </c>
      <c r="R147" s="650">
        <v>0</v>
      </c>
      <c r="S147" s="650">
        <v>0</v>
      </c>
      <c r="T147" s="109">
        <f t="shared" si="171"/>
        <v>0</v>
      </c>
      <c r="U147" s="650">
        <v>0</v>
      </c>
      <c r="V147" s="650">
        <v>0</v>
      </c>
      <c r="W147" s="650">
        <v>0</v>
      </c>
      <c r="X147" s="109">
        <f>W147</f>
        <v>0</v>
      </c>
      <c r="Y147" s="109">
        <f t="shared" si="172"/>
        <v>0</v>
      </c>
      <c r="Z147" s="109">
        <f>X147</f>
        <v>0</v>
      </c>
      <c r="AA147" s="109">
        <f>Z147</f>
        <v>0</v>
      </c>
      <c r="AB147" s="109">
        <f>AA147</f>
        <v>0</v>
      </c>
      <c r="AC147" s="109">
        <f>AB147</f>
        <v>0</v>
      </c>
      <c r="AD147" s="109">
        <f t="shared" si="173"/>
        <v>0</v>
      </c>
      <c r="AE147" s="650">
        <v>0</v>
      </c>
      <c r="AF147" s="109">
        <f>AE147</f>
        <v>0</v>
      </c>
      <c r="AG147" s="109">
        <f>AF147</f>
        <v>0</v>
      </c>
      <c r="AH147" s="109">
        <f>AG147</f>
        <v>0</v>
      </c>
      <c r="AI147" s="109">
        <f t="shared" si="174"/>
        <v>0</v>
      </c>
      <c r="AJ147" s="918">
        <f>AH147</f>
        <v>0</v>
      </c>
      <c r="AK147" s="216">
        <f>AJ147</f>
        <v>0</v>
      </c>
      <c r="AL147" s="216">
        <f>AK147</f>
        <v>0</v>
      </c>
      <c r="AM147" s="919">
        <f>AL147</f>
        <v>0</v>
      </c>
      <c r="AN147" s="109">
        <f t="shared" si="175"/>
        <v>0</v>
      </c>
      <c r="AO147" s="918">
        <f>AM147</f>
        <v>0</v>
      </c>
      <c r="AP147" s="216">
        <f>AO147</f>
        <v>0</v>
      </c>
      <c r="AQ147" s="216">
        <f>AP147</f>
        <v>0</v>
      </c>
      <c r="AR147" s="919">
        <f>AQ147</f>
        <v>0</v>
      </c>
      <c r="AS147" s="109">
        <f t="shared" si="176"/>
        <v>0</v>
      </c>
      <c r="AT147" s="918">
        <f>AR147</f>
        <v>0</v>
      </c>
      <c r="AU147" s="216">
        <f>AT147</f>
        <v>0</v>
      </c>
      <c r="AV147" s="216">
        <f>AU147</f>
        <v>0</v>
      </c>
      <c r="AW147" s="919">
        <f>AV147</f>
        <v>0</v>
      </c>
      <c r="AX147" s="109">
        <f t="shared" si="177"/>
        <v>0</v>
      </c>
      <c r="AY147" s="1288">
        <v>0</v>
      </c>
      <c r="AZ147" s="646">
        <v>0</v>
      </c>
      <c r="BA147" s="646">
        <v>0</v>
      </c>
      <c r="BB147" s="1188">
        <v>0</v>
      </c>
      <c r="BC147" s="109">
        <f t="shared" si="178"/>
        <v>0</v>
      </c>
      <c r="BD147" s="1288">
        <v>0</v>
      </c>
      <c r="BE147" s="647">
        <v>0</v>
      </c>
      <c r="BF147" s="647">
        <v>0</v>
      </c>
      <c r="BG147" s="1286">
        <v>0</v>
      </c>
      <c r="BH147" s="109">
        <f t="shared" si="179"/>
        <v>0</v>
      </c>
      <c r="BI147" s="1187">
        <v>0</v>
      </c>
      <c r="BJ147" s="646">
        <v>0</v>
      </c>
      <c r="BK147" s="647">
        <v>0</v>
      </c>
      <c r="BL147" s="1286">
        <v>0</v>
      </c>
      <c r="BM147" s="109">
        <f t="shared" si="180"/>
        <v>0</v>
      </c>
      <c r="BN147" s="1187">
        <v>0</v>
      </c>
      <c r="BO147" s="646">
        <v>0</v>
      </c>
      <c r="BP147" s="647">
        <v>0</v>
      </c>
      <c r="BQ147" s="1286">
        <v>0</v>
      </c>
      <c r="BR147" s="109">
        <f t="shared" si="181"/>
        <v>0</v>
      </c>
      <c r="BS147" s="1187">
        <v>0</v>
      </c>
      <c r="BT147" s="647">
        <v>0</v>
      </c>
      <c r="BU147" s="647">
        <v>0</v>
      </c>
      <c r="BV147" s="1286">
        <v>0</v>
      </c>
      <c r="BW147" s="109">
        <f t="shared" si="182"/>
        <v>0</v>
      </c>
      <c r="BX147" s="1359">
        <v>0</v>
      </c>
      <c r="BY147" s="1360">
        <v>0</v>
      </c>
      <c r="BZ147" s="1360">
        <v>0</v>
      </c>
      <c r="CA147" s="1188">
        <v>0</v>
      </c>
      <c r="CB147" s="109">
        <f t="shared" si="183"/>
        <v>0</v>
      </c>
      <c r="CC147" s="918">
        <f>CA147-Pension!$Q$61/4-OPEB!$Q$61/4</f>
        <v>11.672893750000007</v>
      </c>
      <c r="CD147" s="216">
        <f>CC147-Pension!$Q$61/4-OPEB!$Q$61/4</f>
        <v>23.345787500000014</v>
      </c>
      <c r="CE147" s="216">
        <f>CD147-Pension!$Q$61/4-OPEB!$Q$61/4</f>
        <v>35.018681250000022</v>
      </c>
      <c r="CF147" s="919">
        <f>CE147-Pension!$Q$61/4-OPEB!$Q$61/4</f>
        <v>46.691575000000029</v>
      </c>
      <c r="CG147" s="109">
        <f t="shared" si="184"/>
        <v>46.691575000000029</v>
      </c>
      <c r="CH147" s="918">
        <f>CF147-Pension!$R$61/4-OPEB!$R$61/4</f>
        <v>58.44614634687504</v>
      </c>
      <c r="CI147" s="216">
        <f>CH147-Pension!$R$61/4-OPEB!$R$61/4</f>
        <v>70.20071769375005</v>
      </c>
      <c r="CJ147" s="216">
        <f>CI147-Pension!$R$61/4-OPEB!$R$61/4</f>
        <v>81.955289040625061</v>
      </c>
      <c r="CK147" s="919">
        <f>CJ147-Pension!$R$61/4-OPEB!$R$61/4</f>
        <v>93.709860387500072</v>
      </c>
      <c r="CL147" s="109">
        <f t="shared" si="185"/>
        <v>93.709860387500072</v>
      </c>
      <c r="CM147" s="918">
        <f>CK147-Pension!$S$61/4-OPEB!$S$61/4</f>
        <v>105.60735915647976</v>
      </c>
      <c r="CN147" s="216">
        <f>CM147-Pension!$S$61/4-OPEB!$S$61/4</f>
        <v>117.50485792545945</v>
      </c>
      <c r="CO147" s="216">
        <f>CN147-Pension!$S$61/4-OPEB!$S$61/4</f>
        <v>129.40235669443913</v>
      </c>
      <c r="CP147" s="919">
        <f>CO147-Pension!$S$61/4-OPEB!$S$61/4</f>
        <v>141.29985546341882</v>
      </c>
      <c r="CQ147" s="919">
        <f t="shared" si="186"/>
        <v>141.29985546341882</v>
      </c>
      <c r="CR147" s="109"/>
    </row>
    <row r="148" spans="1:96" ht="13.5" customHeight="1">
      <c r="A148" s="75"/>
      <c r="B148" s="232" t="s">
        <v>803</v>
      </c>
      <c r="C148" s="75"/>
      <c r="D148" s="75"/>
      <c r="E148" s="75"/>
      <c r="F148" s="650">
        <v>40</v>
      </c>
      <c r="G148" s="650">
        <v>39</v>
      </c>
      <c r="H148" s="650">
        <v>49</v>
      </c>
      <c r="I148" s="650">
        <v>50</v>
      </c>
      <c r="J148" s="650">
        <v>50</v>
      </c>
      <c r="K148" s="650">
        <v>45</v>
      </c>
      <c r="L148" s="650">
        <v>34</v>
      </c>
      <c r="M148" s="650">
        <v>43</v>
      </c>
      <c r="N148" s="650">
        <v>29</v>
      </c>
      <c r="O148" s="109">
        <f t="shared" si="170"/>
        <v>29</v>
      </c>
      <c r="P148" s="650">
        <v>32</v>
      </c>
      <c r="Q148" s="650">
        <v>32</v>
      </c>
      <c r="R148" s="650">
        <v>30</v>
      </c>
      <c r="S148" s="650">
        <v>31</v>
      </c>
      <c r="T148" s="109">
        <f t="shared" si="171"/>
        <v>31</v>
      </c>
      <c r="U148" s="650">
        <v>37</v>
      </c>
      <c r="V148" s="650">
        <v>39</v>
      </c>
      <c r="W148" s="650">
        <v>42</v>
      </c>
      <c r="X148" s="650">
        <v>31</v>
      </c>
      <c r="Y148" s="109">
        <f t="shared" si="172"/>
        <v>31</v>
      </c>
      <c r="Z148" s="650">
        <v>46</v>
      </c>
      <c r="AA148" s="650">
        <v>46</v>
      </c>
      <c r="AB148" s="650">
        <v>68</v>
      </c>
      <c r="AC148" s="650">
        <v>20</v>
      </c>
      <c r="AD148" s="109">
        <f t="shared" si="173"/>
        <v>20</v>
      </c>
      <c r="AE148" s="650">
        <v>44</v>
      </c>
      <c r="AF148" s="650">
        <v>36</v>
      </c>
      <c r="AG148" s="650">
        <v>39</v>
      </c>
      <c r="AH148" s="650">
        <v>33</v>
      </c>
      <c r="AI148" s="109">
        <f t="shared" si="174"/>
        <v>33</v>
      </c>
      <c r="AJ148" s="1187">
        <v>43</v>
      </c>
      <c r="AK148" s="646">
        <v>35</v>
      </c>
      <c r="AL148" s="646">
        <v>51</v>
      </c>
      <c r="AM148" s="1188">
        <v>32</v>
      </c>
      <c r="AN148" s="109">
        <f t="shared" si="175"/>
        <v>32</v>
      </c>
      <c r="AO148" s="1187">
        <v>52</v>
      </c>
      <c r="AP148" s="646">
        <v>44</v>
      </c>
      <c r="AQ148" s="646">
        <v>76</v>
      </c>
      <c r="AR148" s="919">
        <f>AQ148</f>
        <v>76</v>
      </c>
      <c r="AS148" s="109">
        <f t="shared" si="176"/>
        <v>76</v>
      </c>
      <c r="AT148" s="1187">
        <v>75</v>
      </c>
      <c r="AU148" s="647">
        <v>43</v>
      </c>
      <c r="AV148" s="647">
        <v>75</v>
      </c>
      <c r="AW148" s="1188">
        <v>41</v>
      </c>
      <c r="AX148" s="109">
        <f t="shared" si="177"/>
        <v>41</v>
      </c>
      <c r="AY148" s="1288">
        <v>78</v>
      </c>
      <c r="AZ148" s="647">
        <v>48</v>
      </c>
      <c r="BA148" s="646">
        <v>72</v>
      </c>
      <c r="BB148" s="1188">
        <v>50</v>
      </c>
      <c r="BC148" s="109">
        <f t="shared" si="178"/>
        <v>50</v>
      </c>
      <c r="BD148" s="1288">
        <v>64</v>
      </c>
      <c r="BE148" s="647">
        <v>55</v>
      </c>
      <c r="BF148" s="647">
        <v>80</v>
      </c>
      <c r="BG148" s="1286">
        <v>54</v>
      </c>
      <c r="BH148" s="109">
        <f t="shared" si="179"/>
        <v>54</v>
      </c>
      <c r="BI148" s="1187">
        <v>78</v>
      </c>
      <c r="BJ148" s="646">
        <v>52</v>
      </c>
      <c r="BK148" s="647">
        <v>73</v>
      </c>
      <c r="BL148" s="1286">
        <v>52</v>
      </c>
      <c r="BM148" s="109">
        <f t="shared" si="180"/>
        <v>52</v>
      </c>
      <c r="BN148" s="1187">
        <v>73</v>
      </c>
      <c r="BO148" s="647">
        <v>52</v>
      </c>
      <c r="BP148" s="647">
        <v>73</v>
      </c>
      <c r="BQ148" s="1188">
        <v>49</v>
      </c>
      <c r="BR148" s="109">
        <f t="shared" si="181"/>
        <v>49</v>
      </c>
      <c r="BS148" s="1187">
        <v>67</v>
      </c>
      <c r="BT148" s="647">
        <v>46</v>
      </c>
      <c r="BU148" s="647">
        <v>78</v>
      </c>
      <c r="BV148" s="1286">
        <v>85</v>
      </c>
      <c r="BW148" s="109">
        <f t="shared" si="182"/>
        <v>85</v>
      </c>
      <c r="BX148" s="1359">
        <v>66</v>
      </c>
      <c r="BY148" s="1360">
        <v>73</v>
      </c>
      <c r="BZ148" s="1360">
        <v>62</v>
      </c>
      <c r="CA148" s="1286">
        <v>69</v>
      </c>
      <c r="CB148" s="109">
        <f t="shared" si="183"/>
        <v>69</v>
      </c>
      <c r="CC148" s="918">
        <f>CA148</f>
        <v>69</v>
      </c>
      <c r="CD148" s="216">
        <f>CC148</f>
        <v>69</v>
      </c>
      <c r="CE148" s="216">
        <f>CD148</f>
        <v>69</v>
      </c>
      <c r="CF148" s="919">
        <f>CE148</f>
        <v>69</v>
      </c>
      <c r="CG148" s="109">
        <f t="shared" si="184"/>
        <v>69</v>
      </c>
      <c r="CH148" s="918">
        <f>CF148</f>
        <v>69</v>
      </c>
      <c r="CI148" s="216">
        <f>CH148</f>
        <v>69</v>
      </c>
      <c r="CJ148" s="216">
        <f>CI148</f>
        <v>69</v>
      </c>
      <c r="CK148" s="919">
        <f>CJ148</f>
        <v>69</v>
      </c>
      <c r="CL148" s="109">
        <f t="shared" si="185"/>
        <v>69</v>
      </c>
      <c r="CM148" s="918">
        <f>CK148</f>
        <v>69</v>
      </c>
      <c r="CN148" s="216">
        <f>CM148</f>
        <v>69</v>
      </c>
      <c r="CO148" s="216">
        <f>CN148</f>
        <v>69</v>
      </c>
      <c r="CP148" s="919">
        <f>CO148</f>
        <v>69</v>
      </c>
      <c r="CQ148" s="919">
        <f t="shared" si="186"/>
        <v>69</v>
      </c>
      <c r="CR148" s="109"/>
    </row>
    <row r="149" spans="1:96" ht="13.5" customHeight="1">
      <c r="A149" s="75"/>
      <c r="B149" s="75" t="s">
        <v>804</v>
      </c>
      <c r="C149" s="75"/>
      <c r="D149" s="75"/>
      <c r="E149" s="75"/>
      <c r="F149" s="650">
        <v>26</v>
      </c>
      <c r="G149" s="650">
        <v>37</v>
      </c>
      <c r="H149" s="650">
        <v>28</v>
      </c>
      <c r="I149" s="650">
        <v>43</v>
      </c>
      <c r="J149" s="109">
        <f>I149</f>
        <v>43</v>
      </c>
      <c r="K149" s="650">
        <v>313</v>
      </c>
      <c r="L149" s="650">
        <v>63</v>
      </c>
      <c r="M149" s="650">
        <v>73</v>
      </c>
      <c r="N149" s="650">
        <v>8</v>
      </c>
      <c r="O149" s="109">
        <f t="shared" si="170"/>
        <v>8</v>
      </c>
      <c r="P149" s="650">
        <v>8</v>
      </c>
      <c r="Q149" s="650">
        <v>8</v>
      </c>
      <c r="R149" s="650">
        <v>17</v>
      </c>
      <c r="S149" s="650">
        <v>249</v>
      </c>
      <c r="T149" s="109">
        <f t="shared" si="171"/>
        <v>249</v>
      </c>
      <c r="U149" s="650">
        <v>175</v>
      </c>
      <c r="V149" s="650">
        <v>134</v>
      </c>
      <c r="W149" s="650">
        <v>26</v>
      </c>
      <c r="X149" s="650">
        <v>82</v>
      </c>
      <c r="Y149" s="109">
        <f t="shared" si="172"/>
        <v>82</v>
      </c>
      <c r="Z149" s="650">
        <v>32</v>
      </c>
      <c r="AA149" s="650">
        <v>49</v>
      </c>
      <c r="AB149" s="650">
        <v>68</v>
      </c>
      <c r="AC149" s="650">
        <v>110</v>
      </c>
      <c r="AD149" s="109">
        <f t="shared" si="173"/>
        <v>110</v>
      </c>
      <c r="AE149" s="650">
        <v>110</v>
      </c>
      <c r="AF149" s="650">
        <v>110</v>
      </c>
      <c r="AG149" s="650">
        <v>61</v>
      </c>
      <c r="AH149" s="650">
        <v>81</v>
      </c>
      <c r="AI149" s="109">
        <f t="shared" si="174"/>
        <v>81</v>
      </c>
      <c r="AJ149" s="1187">
        <v>81</v>
      </c>
      <c r="AK149" s="646">
        <v>18</v>
      </c>
      <c r="AL149" s="646">
        <v>19</v>
      </c>
      <c r="AM149" s="1188">
        <v>19</v>
      </c>
      <c r="AN149" s="109">
        <f t="shared" si="175"/>
        <v>19</v>
      </c>
      <c r="AO149" s="1187">
        <v>21</v>
      </c>
      <c r="AP149" s="646">
        <v>21</v>
      </c>
      <c r="AQ149" s="646">
        <v>20</v>
      </c>
      <c r="AR149" s="1188">
        <f>216-AR144</f>
        <v>132</v>
      </c>
      <c r="AS149" s="109">
        <f t="shared" si="176"/>
        <v>132</v>
      </c>
      <c r="AT149" s="1187">
        <v>217</v>
      </c>
      <c r="AU149" s="647">
        <v>217</v>
      </c>
      <c r="AV149" s="647">
        <v>217</v>
      </c>
      <c r="AW149" s="1188">
        <v>20</v>
      </c>
      <c r="AX149" s="109">
        <f t="shared" si="177"/>
        <v>20</v>
      </c>
      <c r="AY149" s="1288">
        <v>315</v>
      </c>
      <c r="AZ149" s="646">
        <v>5</v>
      </c>
      <c r="BA149" s="646">
        <v>1</v>
      </c>
      <c r="BB149" s="1188">
        <v>2</v>
      </c>
      <c r="BC149" s="109">
        <f t="shared" si="178"/>
        <v>2</v>
      </c>
      <c r="BD149" s="1288">
        <v>2</v>
      </c>
      <c r="BE149" s="647">
        <v>322</v>
      </c>
      <c r="BF149" s="647">
        <v>322</v>
      </c>
      <c r="BG149" s="1188">
        <v>323</v>
      </c>
      <c r="BH149" s="109">
        <f t="shared" si="179"/>
        <v>323</v>
      </c>
      <c r="BI149" s="1187">
        <v>323</v>
      </c>
      <c r="BJ149" s="646">
        <v>20</v>
      </c>
      <c r="BK149" s="646">
        <v>336</v>
      </c>
      <c r="BL149" s="1286">
        <v>378</v>
      </c>
      <c r="BM149" s="109">
        <f t="shared" si="180"/>
        <v>378</v>
      </c>
      <c r="BN149" s="1187">
        <v>378</v>
      </c>
      <c r="BO149" s="646">
        <v>362</v>
      </c>
      <c r="BP149" s="646">
        <v>362</v>
      </c>
      <c r="BQ149" s="1188">
        <v>45</v>
      </c>
      <c r="BR149" s="109">
        <f t="shared" si="181"/>
        <v>45</v>
      </c>
      <c r="BS149" s="1187">
        <v>45</v>
      </c>
      <c r="BT149" s="646">
        <v>82</v>
      </c>
      <c r="BU149" s="646">
        <v>92</v>
      </c>
      <c r="BV149" s="1188">
        <v>50</v>
      </c>
      <c r="BW149" s="109">
        <f t="shared" si="182"/>
        <v>50</v>
      </c>
      <c r="BX149" s="1361">
        <v>281</v>
      </c>
      <c r="BY149" s="1362">
        <v>175</v>
      </c>
      <c r="BZ149" s="1362">
        <v>3</v>
      </c>
      <c r="CA149" s="1188">
        <v>3</v>
      </c>
      <c r="CB149" s="109">
        <f t="shared" si="183"/>
        <v>3</v>
      </c>
      <c r="CC149" s="918">
        <f>'debt schedule'!CD203</f>
        <v>0</v>
      </c>
      <c r="CD149" s="216">
        <f>'debt schedule'!CE203</f>
        <v>0</v>
      </c>
      <c r="CE149" s="216">
        <f>'debt schedule'!CF203</f>
        <v>0</v>
      </c>
      <c r="CF149" s="919">
        <f>'debt schedule'!CG203</f>
        <v>0</v>
      </c>
      <c r="CG149" s="109">
        <f t="shared" si="184"/>
        <v>0</v>
      </c>
      <c r="CH149" s="918">
        <f>'debt schedule'!CI203</f>
        <v>0</v>
      </c>
      <c r="CI149" s="216">
        <f>'debt schedule'!CJ203</f>
        <v>0</v>
      </c>
      <c r="CJ149" s="216">
        <f>'debt schedule'!CK203</f>
        <v>0</v>
      </c>
      <c r="CK149" s="919">
        <f>'debt schedule'!CL203</f>
        <v>0</v>
      </c>
      <c r="CL149" s="109">
        <f t="shared" si="185"/>
        <v>0</v>
      </c>
      <c r="CM149" s="918">
        <f>'debt schedule'!CN203</f>
        <v>0</v>
      </c>
      <c r="CN149" s="216">
        <f>'debt schedule'!CO203</f>
        <v>0</v>
      </c>
      <c r="CO149" s="216">
        <f>'debt schedule'!CP203</f>
        <v>0</v>
      </c>
      <c r="CP149" s="919">
        <f>'debt schedule'!CQ203</f>
        <v>0</v>
      </c>
      <c r="CQ149" s="919">
        <f t="shared" si="186"/>
        <v>0</v>
      </c>
      <c r="CR149" s="109"/>
    </row>
    <row r="150" spans="1:96" ht="13.5" customHeight="1">
      <c r="A150" s="75"/>
      <c r="B150" s="75" t="s">
        <v>805</v>
      </c>
      <c r="C150" s="75"/>
      <c r="D150" s="75"/>
      <c r="E150" s="75"/>
      <c r="F150" s="650">
        <v>0</v>
      </c>
      <c r="G150" s="650">
        <v>0</v>
      </c>
      <c r="H150" s="650">
        <v>0</v>
      </c>
      <c r="I150" s="650">
        <v>0</v>
      </c>
      <c r="J150" s="650">
        <v>0</v>
      </c>
      <c r="K150" s="650">
        <v>0</v>
      </c>
      <c r="L150" s="650">
        <v>0</v>
      </c>
      <c r="M150" s="650">
        <v>0</v>
      </c>
      <c r="N150" s="650">
        <v>0</v>
      </c>
      <c r="O150" s="109">
        <f t="shared" si="170"/>
        <v>0</v>
      </c>
      <c r="P150" s="650">
        <v>0</v>
      </c>
      <c r="Q150" s="650">
        <v>0</v>
      </c>
      <c r="R150" s="650">
        <v>0</v>
      </c>
      <c r="S150" s="650">
        <v>0</v>
      </c>
      <c r="T150" s="109">
        <f t="shared" si="171"/>
        <v>0</v>
      </c>
      <c r="U150" s="650">
        <v>0</v>
      </c>
      <c r="V150" s="650">
        <v>0</v>
      </c>
      <c r="W150" s="650">
        <v>0</v>
      </c>
      <c r="X150" s="650">
        <v>0</v>
      </c>
      <c r="Y150" s="109">
        <f t="shared" si="172"/>
        <v>0</v>
      </c>
      <c r="Z150" s="650">
        <v>0</v>
      </c>
      <c r="AA150" s="650">
        <v>0</v>
      </c>
      <c r="AB150" s="650">
        <v>0</v>
      </c>
      <c r="AC150" s="650">
        <v>0</v>
      </c>
      <c r="AD150" s="109">
        <f t="shared" si="173"/>
        <v>0</v>
      </c>
      <c r="AE150" s="650">
        <v>0</v>
      </c>
      <c r="AF150" s="650">
        <v>0</v>
      </c>
      <c r="AG150" s="650">
        <v>0</v>
      </c>
      <c r="AH150" s="650">
        <v>0</v>
      </c>
      <c r="AI150" s="109">
        <f t="shared" si="174"/>
        <v>0</v>
      </c>
      <c r="AJ150" s="1187">
        <v>0</v>
      </c>
      <c r="AK150" s="646">
        <v>0</v>
      </c>
      <c r="AL150" s="646">
        <v>0</v>
      </c>
      <c r="AM150" s="1188">
        <v>0</v>
      </c>
      <c r="AN150" s="109">
        <f t="shared" si="175"/>
        <v>0</v>
      </c>
      <c r="AO150" s="1187">
        <v>0</v>
      </c>
      <c r="AP150" s="646">
        <v>0</v>
      </c>
      <c r="AQ150" s="646">
        <v>0</v>
      </c>
      <c r="AR150" s="1188">
        <v>0</v>
      </c>
      <c r="AS150" s="109">
        <f t="shared" si="176"/>
        <v>0</v>
      </c>
      <c r="AT150" s="1187">
        <v>0</v>
      </c>
      <c r="AU150" s="646">
        <v>0</v>
      </c>
      <c r="AV150" s="647">
        <v>75</v>
      </c>
      <c r="AW150" s="1188">
        <v>380</v>
      </c>
      <c r="AX150" s="109">
        <f t="shared" si="177"/>
        <v>380</v>
      </c>
      <c r="AY150" s="1288">
        <v>0</v>
      </c>
      <c r="AZ150" s="647">
        <v>0</v>
      </c>
      <c r="BA150" s="647">
        <v>0</v>
      </c>
      <c r="BB150" s="1286">
        <v>0</v>
      </c>
      <c r="BC150" s="109">
        <f t="shared" si="178"/>
        <v>0</v>
      </c>
      <c r="BD150" s="1288">
        <v>0</v>
      </c>
      <c r="BE150" s="646">
        <v>0</v>
      </c>
      <c r="BF150" s="646">
        <v>0</v>
      </c>
      <c r="BG150" s="1188">
        <v>0</v>
      </c>
      <c r="BH150" s="109">
        <f t="shared" si="179"/>
        <v>0</v>
      </c>
      <c r="BI150" s="1187">
        <v>0</v>
      </c>
      <c r="BJ150" s="646">
        <v>0</v>
      </c>
      <c r="BK150" s="646">
        <v>0</v>
      </c>
      <c r="BL150" s="1188">
        <v>0</v>
      </c>
      <c r="BM150" s="109">
        <f t="shared" si="180"/>
        <v>0</v>
      </c>
      <c r="BN150" s="1187">
        <v>0</v>
      </c>
      <c r="BO150" s="646">
        <v>0</v>
      </c>
      <c r="BP150" s="646">
        <v>0</v>
      </c>
      <c r="BQ150" s="1188">
        <v>0</v>
      </c>
      <c r="BR150" s="109">
        <f t="shared" si="181"/>
        <v>0</v>
      </c>
      <c r="BS150" s="1187">
        <v>0</v>
      </c>
      <c r="BT150" s="646">
        <v>0</v>
      </c>
      <c r="BU150" s="646">
        <v>0</v>
      </c>
      <c r="BV150" s="1188">
        <v>0</v>
      </c>
      <c r="BW150" s="109">
        <f t="shared" si="182"/>
        <v>0</v>
      </c>
      <c r="BX150" s="1361">
        <v>0</v>
      </c>
      <c r="BY150" s="1362">
        <v>0</v>
      </c>
      <c r="BZ150" s="216">
        <v>0</v>
      </c>
      <c r="CA150" s="1188">
        <v>0</v>
      </c>
      <c r="CB150" s="109">
        <f t="shared" si="183"/>
        <v>0</v>
      </c>
      <c r="CC150" s="918">
        <f>CC14*4*CC278</f>
        <v>0</v>
      </c>
      <c r="CD150" s="216">
        <f>CD14*4*CD278</f>
        <v>0</v>
      </c>
      <c r="CE150" s="216">
        <f>CE14*4*CE278</f>
        <v>0</v>
      </c>
      <c r="CF150" s="919">
        <f>CF14*4*CF278</f>
        <v>0</v>
      </c>
      <c r="CG150" s="109">
        <f t="shared" si="184"/>
        <v>0</v>
      </c>
      <c r="CH150" s="918">
        <f>CH14*4*CH278</f>
        <v>0</v>
      </c>
      <c r="CI150" s="216">
        <f>CI14*4*CI278</f>
        <v>0</v>
      </c>
      <c r="CJ150" s="216">
        <f>CJ14*4*CJ278</f>
        <v>0</v>
      </c>
      <c r="CK150" s="919">
        <f>CK14*4*CK278</f>
        <v>0</v>
      </c>
      <c r="CL150" s="109">
        <f t="shared" si="185"/>
        <v>0</v>
      </c>
      <c r="CM150" s="918">
        <f>CM14*4*CM278</f>
        <v>0</v>
      </c>
      <c r="CN150" s="216">
        <f>CN14*4*CN278</f>
        <v>0</v>
      </c>
      <c r="CO150" s="216">
        <f>CO14*4*CO278</f>
        <v>0</v>
      </c>
      <c r="CP150" s="919">
        <f>CP14*4*CP278</f>
        <v>0</v>
      </c>
      <c r="CQ150" s="919">
        <f t="shared" si="186"/>
        <v>0</v>
      </c>
      <c r="CR150" s="109"/>
    </row>
    <row r="151" spans="1:96" ht="6.2" customHeight="1">
      <c r="A151" s="75"/>
      <c r="B151" s="75"/>
      <c r="C151" s="75"/>
      <c r="D151" s="75"/>
      <c r="E151" s="75"/>
      <c r="F151" s="234"/>
      <c r="G151" s="234"/>
      <c r="H151" s="234"/>
      <c r="I151" s="234"/>
      <c r="J151" s="234"/>
      <c r="K151" s="234"/>
      <c r="L151" s="234"/>
      <c r="M151" s="234"/>
      <c r="N151" s="234"/>
      <c r="O151" s="234"/>
      <c r="P151" s="234"/>
      <c r="Q151" s="234"/>
      <c r="R151" s="234"/>
      <c r="S151" s="234"/>
      <c r="T151" s="234"/>
      <c r="U151" s="234"/>
      <c r="V151" s="234"/>
      <c r="W151" s="234"/>
      <c r="X151" s="234"/>
      <c r="Y151" s="234"/>
      <c r="Z151" s="234"/>
      <c r="AA151" s="234"/>
      <c r="AB151" s="234"/>
      <c r="AC151" s="234"/>
      <c r="AD151" s="234"/>
      <c r="AE151" s="234"/>
      <c r="AF151" s="234"/>
      <c r="AG151" s="234"/>
      <c r="AH151" s="234"/>
      <c r="AI151" s="234"/>
      <c r="AJ151" s="1209"/>
      <c r="AK151" s="234"/>
      <c r="AL151" s="234"/>
      <c r="AM151" s="1210"/>
      <c r="AN151" s="234"/>
      <c r="AO151" s="1209"/>
      <c r="AP151" s="234"/>
      <c r="AQ151" s="234"/>
      <c r="AR151" s="1210"/>
      <c r="AS151" s="234"/>
      <c r="AT151" s="1209"/>
      <c r="AU151" s="235"/>
      <c r="AV151" s="235"/>
      <c r="AW151" s="1210"/>
      <c r="AX151" s="234"/>
      <c r="AY151" s="1289"/>
      <c r="AZ151" s="234"/>
      <c r="BA151" s="234"/>
      <c r="BB151" s="1210"/>
      <c r="BC151" s="234"/>
      <c r="BD151" s="1209"/>
      <c r="BE151" s="234"/>
      <c r="BF151" s="234"/>
      <c r="BG151" s="1210"/>
      <c r="BH151" s="234"/>
      <c r="BI151" s="1209"/>
      <c r="BJ151" s="234"/>
      <c r="BK151" s="234"/>
      <c r="BL151" s="1210"/>
      <c r="BM151" s="234"/>
      <c r="BN151" s="1209"/>
      <c r="BO151" s="234"/>
      <c r="BP151" s="234"/>
      <c r="BQ151" s="1210"/>
      <c r="BR151" s="234"/>
      <c r="BS151" s="1209"/>
      <c r="BT151" s="234"/>
      <c r="BU151" s="234"/>
      <c r="BV151" s="1210"/>
      <c r="BW151" s="234"/>
      <c r="BX151" s="1209"/>
      <c r="BY151" s="234"/>
      <c r="BZ151" s="234"/>
      <c r="CA151" s="1210"/>
      <c r="CB151" s="234"/>
      <c r="CC151" s="1209"/>
      <c r="CD151" s="234"/>
      <c r="CE151" s="234"/>
      <c r="CF151" s="1210"/>
      <c r="CG151" s="234"/>
      <c r="CH151" s="1209"/>
      <c r="CI151" s="234"/>
      <c r="CJ151" s="234"/>
      <c r="CK151" s="1210"/>
      <c r="CL151" s="1210"/>
      <c r="CM151" s="1209"/>
      <c r="CN151" s="234"/>
      <c r="CO151" s="234"/>
      <c r="CP151" s="1210"/>
      <c r="CQ151" s="1210"/>
      <c r="CR151" s="109"/>
    </row>
    <row r="152" spans="1:96" ht="13.5" customHeight="1">
      <c r="A152" s="75"/>
      <c r="B152" s="125"/>
      <c r="C152" s="75" t="s">
        <v>806</v>
      </c>
      <c r="D152" s="75"/>
      <c r="E152" s="75"/>
      <c r="F152" s="149">
        <f t="shared" ref="F152:S152" si="192">SUM(F142:F150)</f>
        <v>1530</v>
      </c>
      <c r="G152" s="149">
        <f t="shared" si="192"/>
        <v>1806</v>
      </c>
      <c r="H152" s="149">
        <f t="shared" si="192"/>
        <v>1853</v>
      </c>
      <c r="I152" s="149">
        <f t="shared" si="192"/>
        <v>2130</v>
      </c>
      <c r="J152" s="149">
        <f t="shared" si="192"/>
        <v>2130</v>
      </c>
      <c r="K152" s="149">
        <f t="shared" si="192"/>
        <v>2432</v>
      </c>
      <c r="L152" s="149">
        <f t="shared" si="192"/>
        <v>2327</v>
      </c>
      <c r="M152" s="149">
        <f t="shared" si="192"/>
        <v>2449</v>
      </c>
      <c r="N152" s="149">
        <f t="shared" si="192"/>
        <v>2535</v>
      </c>
      <c r="O152" s="149">
        <f t="shared" si="192"/>
        <v>2535</v>
      </c>
      <c r="P152" s="149">
        <f t="shared" si="192"/>
        <v>2324</v>
      </c>
      <c r="Q152" s="149">
        <f t="shared" si="192"/>
        <v>2116</v>
      </c>
      <c r="R152" s="149">
        <f t="shared" si="192"/>
        <v>2207</v>
      </c>
      <c r="S152" s="149">
        <f t="shared" si="192"/>
        <v>2749</v>
      </c>
      <c r="T152" s="149">
        <f>S152</f>
        <v>2749</v>
      </c>
      <c r="U152" s="149">
        <f>SUM(U142:U150)</f>
        <v>2737</v>
      </c>
      <c r="V152" s="149">
        <f>SUM(V142:V150)</f>
        <v>2743</v>
      </c>
      <c r="W152" s="149">
        <f>SUM(W142:W150)</f>
        <v>2768</v>
      </c>
      <c r="X152" s="149">
        <f>SUM(X142:X150)</f>
        <v>2702</v>
      </c>
      <c r="Y152" s="149">
        <f>X152</f>
        <v>2702</v>
      </c>
      <c r="Z152" s="149">
        <f>SUM(Z142:Z150)</f>
        <v>2747</v>
      </c>
      <c r="AA152" s="149">
        <f>SUM(AA142:AA150)</f>
        <v>3097</v>
      </c>
      <c r="AB152" s="149">
        <f>SUM(AB142:AB150)</f>
        <v>3164</v>
      </c>
      <c r="AC152" s="149">
        <f>SUM(AC142:AC150)</f>
        <v>3003</v>
      </c>
      <c r="AD152" s="149">
        <f>AC152</f>
        <v>3003</v>
      </c>
      <c r="AE152" s="149">
        <f>SUM(AE142:AE150)</f>
        <v>3395</v>
      </c>
      <c r="AF152" s="149">
        <f>SUM(AF142:AF150)</f>
        <v>3873</v>
      </c>
      <c r="AG152" s="149">
        <f>SUM(AG142:AG150)</f>
        <v>3694</v>
      </c>
      <c r="AH152" s="149">
        <f>SUM(AH142:AH150)</f>
        <v>2778</v>
      </c>
      <c r="AI152" s="149">
        <f>AH152</f>
        <v>2778</v>
      </c>
      <c r="AJ152" s="1137">
        <f>SUM(AJ142:AJ150)</f>
        <v>2439</v>
      </c>
      <c r="AK152" s="149">
        <f>SUM(AK142:AK150)</f>
        <v>2149</v>
      </c>
      <c r="AL152" s="149">
        <f>SUM(AL142:AL150)</f>
        <v>2466</v>
      </c>
      <c r="AM152" s="1142">
        <f>SUM(AM142:AM150)</f>
        <v>2474</v>
      </c>
      <c r="AN152" s="149">
        <f>AM152</f>
        <v>2474</v>
      </c>
      <c r="AO152" s="1137">
        <f>SUM(AO142:AO150)</f>
        <v>2584</v>
      </c>
      <c r="AP152" s="149">
        <f>SUM(AP142:AP150)</f>
        <v>2892</v>
      </c>
      <c r="AQ152" s="149">
        <f>SUM(AQ142:AQ150)</f>
        <v>3075</v>
      </c>
      <c r="AR152" s="1142">
        <f>SUM(AR142:AR150)</f>
        <v>3147</v>
      </c>
      <c r="AS152" s="149">
        <f>AR152</f>
        <v>3147</v>
      </c>
      <c r="AT152" s="1137">
        <f>SUM(AT142:AT150)</f>
        <v>3523</v>
      </c>
      <c r="AU152" s="150">
        <f>SUM(AU142:AU150)</f>
        <v>3599</v>
      </c>
      <c r="AV152" s="150">
        <f>SUM(AV142:AV150)</f>
        <v>3713</v>
      </c>
      <c r="AW152" s="1142">
        <f>SUM(AW142:AW150)</f>
        <v>3649</v>
      </c>
      <c r="AX152" s="149">
        <f>AW152</f>
        <v>3649</v>
      </c>
      <c r="AY152" s="1290">
        <f>SUM(AY142:AY150)</f>
        <v>3652</v>
      </c>
      <c r="AZ152" s="149">
        <f>SUM(AZ142:AZ150)</f>
        <v>3310</v>
      </c>
      <c r="BA152" s="149">
        <f>SUM(BA142:BA150)</f>
        <v>3267</v>
      </c>
      <c r="BB152" s="1142">
        <f>SUM(BB142:BB150)</f>
        <v>2990</v>
      </c>
      <c r="BC152" s="149">
        <f>BB152</f>
        <v>2990</v>
      </c>
      <c r="BD152" s="1137">
        <f>SUM(BD142:BD150)</f>
        <v>3087</v>
      </c>
      <c r="BE152" s="149">
        <f>SUM(BE142:BE150)</f>
        <v>3268</v>
      </c>
      <c r="BF152" s="149">
        <f>SUM(BF142:BF150)</f>
        <v>3286</v>
      </c>
      <c r="BG152" s="1142">
        <f>SUM(BG142:BG150)</f>
        <v>3245</v>
      </c>
      <c r="BH152" s="149">
        <f>BG152</f>
        <v>3245</v>
      </c>
      <c r="BI152" s="1137">
        <f>SUM(BI142:BI150)</f>
        <v>3539</v>
      </c>
      <c r="BJ152" s="149">
        <f>SUM(BJ142:BJ150)</f>
        <v>3521</v>
      </c>
      <c r="BK152" s="149">
        <f>SUM(BK142:BK150)</f>
        <v>3550</v>
      </c>
      <c r="BL152" s="1142">
        <f>SUM(BL142:BL150)</f>
        <v>3569</v>
      </c>
      <c r="BM152" s="149">
        <f>BL152</f>
        <v>3569</v>
      </c>
      <c r="BN152" s="1137">
        <f>SUM(BN142:BN150)</f>
        <v>3309</v>
      </c>
      <c r="BO152" s="149">
        <f>SUM(BO142:BO150)</f>
        <v>3242</v>
      </c>
      <c r="BP152" s="149">
        <f>SUM(BP142:BP150)</f>
        <v>3333</v>
      </c>
      <c r="BQ152" s="1142">
        <f>SUM(BQ142:BQ150)</f>
        <v>2148</v>
      </c>
      <c r="BR152" s="149">
        <f>BQ152</f>
        <v>2148</v>
      </c>
      <c r="BS152" s="1137">
        <f>SUM(BS142:BS150)</f>
        <v>2193</v>
      </c>
      <c r="BT152" s="149">
        <f>SUM(BT142:BT150)</f>
        <v>2323</v>
      </c>
      <c r="BU152" s="149">
        <f>SUM(BU142:BU150)</f>
        <v>2397</v>
      </c>
      <c r="BV152" s="1142">
        <f>SUM(BV142:BV150)</f>
        <v>2331</v>
      </c>
      <c r="BW152" s="149">
        <f>BV152</f>
        <v>2331</v>
      </c>
      <c r="BX152" s="1137">
        <f>SUM(BX142:BX150)</f>
        <v>2718</v>
      </c>
      <c r="BY152" s="149">
        <f>SUM(BY142:BY150)</f>
        <v>2751</v>
      </c>
      <c r="BZ152" s="149">
        <f>SUM(BZ142:BZ150)</f>
        <v>2652</v>
      </c>
      <c r="CA152" s="1142">
        <f>SUM(CA142:CA150)</f>
        <v>2721</v>
      </c>
      <c r="CB152" s="149">
        <f>CA152</f>
        <v>2721</v>
      </c>
      <c r="CC152" s="1137">
        <f>SUM(CC142:CC150)</f>
        <v>2350.0840134264431</v>
      </c>
      <c r="CD152" s="149">
        <f>SUM(CD142:CD150)</f>
        <v>2968.6196750239806</v>
      </c>
      <c r="CE152" s="149">
        <f>SUM(CE142:CE150)</f>
        <v>2562.3544894616243</v>
      </c>
      <c r="CF152" s="1142">
        <f>SUM(CF142:CF150)</f>
        <v>3087.2566982150452</v>
      </c>
      <c r="CG152" s="149">
        <f>CF152</f>
        <v>3087.2566982150452</v>
      </c>
      <c r="CH152" s="1137">
        <f>SUM(CH142:CH150)</f>
        <v>3083.5053621545972</v>
      </c>
      <c r="CI152" s="149">
        <f>SUM(CI142:CI150)</f>
        <v>3169.6854733313521</v>
      </c>
      <c r="CJ152" s="149">
        <f>SUM(CJ142:CJ150)</f>
        <v>3013.6852038653692</v>
      </c>
      <c r="CK152" s="1142">
        <f>SUM(CK142:CK150)</f>
        <v>3116.7954131080282</v>
      </c>
      <c r="CL152" s="1142">
        <f>CK152</f>
        <v>3116.7954131080282</v>
      </c>
      <c r="CM152" s="1137">
        <f>SUM(CM142:CM150)</f>
        <v>2917.8436447526346</v>
      </c>
      <c r="CN152" s="149">
        <f>SUM(CN142:CN150)</f>
        <v>3304.4282715425716</v>
      </c>
      <c r="CO152" s="149">
        <f>SUM(CO142:CO150)</f>
        <v>2841.4561273857635</v>
      </c>
      <c r="CP152" s="1142">
        <f>SUM(CP142:CP150)</f>
        <v>3262.7928296938912</v>
      </c>
      <c r="CQ152" s="1142">
        <f>CP152</f>
        <v>3262.7928296938912</v>
      </c>
      <c r="CR152" s="109"/>
    </row>
    <row r="153" spans="1:96" ht="6.2" customHeight="1">
      <c r="A153" s="75"/>
      <c r="B153" s="125"/>
      <c r="C153" s="75"/>
      <c r="D153" s="75"/>
      <c r="E153" s="75"/>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154"/>
      <c r="AB153" s="154"/>
      <c r="AC153" s="154"/>
      <c r="AD153" s="154"/>
      <c r="AE153" s="154"/>
      <c r="AF153" s="154"/>
      <c r="AG153" s="154"/>
      <c r="AH153" s="154"/>
      <c r="AI153" s="154"/>
      <c r="AJ153" s="1163"/>
      <c r="AK153" s="154"/>
      <c r="AL153" s="154"/>
      <c r="AM153" s="1164"/>
      <c r="AN153" s="154"/>
      <c r="AO153" s="1163"/>
      <c r="AP153" s="154"/>
      <c r="AQ153" s="154"/>
      <c r="AR153" s="1164"/>
      <c r="AS153" s="154"/>
      <c r="AT153" s="1163"/>
      <c r="AU153" s="154"/>
      <c r="AV153" s="154"/>
      <c r="AW153" s="1164"/>
      <c r="AX153" s="154"/>
      <c r="AY153" s="1292"/>
      <c r="AZ153" s="154"/>
      <c r="BA153" s="154"/>
      <c r="BB153" s="1164"/>
      <c r="BC153" s="154"/>
      <c r="BD153" s="1163"/>
      <c r="BE153" s="154"/>
      <c r="BF153" s="154"/>
      <c r="BG153" s="1164"/>
      <c r="BH153" s="154"/>
      <c r="BI153" s="1163"/>
      <c r="BJ153" s="154"/>
      <c r="BK153" s="154"/>
      <c r="BL153" s="1328"/>
      <c r="BM153" s="154"/>
      <c r="BN153" s="1163"/>
      <c r="BO153" s="154"/>
      <c r="BP153" s="154"/>
      <c r="BQ153" s="1164"/>
      <c r="BR153" s="154"/>
      <c r="BS153" s="1350"/>
      <c r="BT153" s="154"/>
      <c r="BU153" s="154"/>
      <c r="BV153" s="1164"/>
      <c r="BW153" s="154"/>
      <c r="BX153" s="1163"/>
      <c r="BY153" s="154"/>
      <c r="BZ153" s="154"/>
      <c r="CA153" s="1164"/>
      <c r="CB153" s="154"/>
      <c r="CC153" s="1163"/>
      <c r="CD153" s="154"/>
      <c r="CE153" s="154"/>
      <c r="CF153" s="1164"/>
      <c r="CG153" s="154"/>
      <c r="CH153" s="1163"/>
      <c r="CI153" s="154"/>
      <c r="CJ153" s="154"/>
      <c r="CK153" s="1164"/>
      <c r="CL153" s="1164"/>
      <c r="CM153" s="1163"/>
      <c r="CN153" s="154"/>
      <c r="CO153" s="154"/>
      <c r="CP153" s="1164"/>
      <c r="CQ153" s="1164"/>
      <c r="CR153" s="109"/>
    </row>
    <row r="154" spans="1:96" ht="13.5" customHeight="1">
      <c r="A154" s="75"/>
      <c r="B154" s="75" t="s">
        <v>807</v>
      </c>
      <c r="C154" s="81"/>
      <c r="D154" s="75"/>
      <c r="E154" s="75"/>
      <c r="F154" s="650">
        <v>1408</v>
      </c>
      <c r="G154" s="650">
        <v>1846</v>
      </c>
      <c r="H154" s="650">
        <v>1853</v>
      </c>
      <c r="I154" s="650">
        <v>1890</v>
      </c>
      <c r="J154" s="109">
        <f t="shared" ref="J154:J159" si="193">I154</f>
        <v>1890</v>
      </c>
      <c r="K154" s="650">
        <v>1628</v>
      </c>
      <c r="L154" s="650">
        <v>1599</v>
      </c>
      <c r="M154" s="650">
        <v>1569</v>
      </c>
      <c r="N154" s="650">
        <v>1363</v>
      </c>
      <c r="O154" s="109">
        <f t="shared" ref="O154:O159" si="194">N154</f>
        <v>1363</v>
      </c>
      <c r="P154" s="650">
        <v>1362</v>
      </c>
      <c r="Q154" s="650">
        <v>1355</v>
      </c>
      <c r="R154" s="650">
        <v>1366</v>
      </c>
      <c r="S154" s="650">
        <v>1363</v>
      </c>
      <c r="T154" s="109">
        <f t="shared" ref="T154:T159" si="195">S154</f>
        <v>1363</v>
      </c>
      <c r="U154" s="650">
        <v>1359</v>
      </c>
      <c r="V154" s="650">
        <v>1331</v>
      </c>
      <c r="W154" s="650">
        <v>1327</v>
      </c>
      <c r="X154" s="650">
        <v>943</v>
      </c>
      <c r="Y154" s="109">
        <f t="shared" ref="Y154:Y159" si="196">X154</f>
        <v>943</v>
      </c>
      <c r="Z154" s="650">
        <v>940</v>
      </c>
      <c r="AA154" s="650">
        <v>2125</v>
      </c>
      <c r="AB154" s="650">
        <v>2103</v>
      </c>
      <c r="AC154" s="650">
        <v>3147</v>
      </c>
      <c r="AD154" s="109">
        <f t="shared" ref="AD154:AD159" si="197">AC154</f>
        <v>3147</v>
      </c>
      <c r="AE154" s="650">
        <v>3142</v>
      </c>
      <c r="AF154" s="650">
        <v>3110</v>
      </c>
      <c r="AG154" s="650">
        <v>3120</v>
      </c>
      <c r="AH154" s="650">
        <v>3064</v>
      </c>
      <c r="AI154" s="109">
        <f t="shared" ref="AI154:AI159" si="198">AH154</f>
        <v>3064</v>
      </c>
      <c r="AJ154" s="1187">
        <v>3043</v>
      </c>
      <c r="AK154" s="646">
        <v>3333</v>
      </c>
      <c r="AL154" s="646">
        <v>3346</v>
      </c>
      <c r="AM154" s="1188">
        <v>3345</v>
      </c>
      <c r="AN154" s="109">
        <f t="shared" ref="AN154:AN159" si="199">AM154</f>
        <v>3345</v>
      </c>
      <c r="AO154" s="1187">
        <v>3651</v>
      </c>
      <c r="AP154" s="646">
        <v>3639</v>
      </c>
      <c r="AQ154" s="646">
        <v>3639</v>
      </c>
      <c r="AR154" s="1188">
        <v>3517</v>
      </c>
      <c r="AS154" s="109">
        <f t="shared" ref="AS154:AS159" si="200">AR154</f>
        <v>3517</v>
      </c>
      <c r="AT154" s="1187">
        <v>3518</v>
      </c>
      <c r="AU154" s="647">
        <v>3684</v>
      </c>
      <c r="AV154" s="647">
        <v>3641</v>
      </c>
      <c r="AW154" s="1188">
        <v>3828</v>
      </c>
      <c r="AX154" s="109">
        <f t="shared" ref="AX154:AX159" si="201">AW154</f>
        <v>3828</v>
      </c>
      <c r="AY154" s="1288">
        <v>3802</v>
      </c>
      <c r="AZ154" s="646">
        <v>3801</v>
      </c>
      <c r="BA154" s="646">
        <v>3939</v>
      </c>
      <c r="BB154" s="1188">
        <v>3936</v>
      </c>
      <c r="BC154" s="109">
        <f t="shared" ref="BC154:BC159" si="202">BB154</f>
        <v>3936</v>
      </c>
      <c r="BD154" s="1187">
        <v>3932</v>
      </c>
      <c r="BE154" s="646">
        <v>3611</v>
      </c>
      <c r="BF154" s="646">
        <v>3618</v>
      </c>
      <c r="BG154" s="1188">
        <v>3616</v>
      </c>
      <c r="BH154" s="109">
        <f t="shared" ref="BH154:BH159" si="203">BG154</f>
        <v>3616</v>
      </c>
      <c r="BI154" s="1187">
        <v>3615</v>
      </c>
      <c r="BJ154" s="646">
        <v>3605</v>
      </c>
      <c r="BK154" s="646">
        <v>3162</v>
      </c>
      <c r="BL154" s="1188">
        <v>3120</v>
      </c>
      <c r="BM154" s="109">
        <f t="shared" ref="BM154:BM159" si="204">BL154</f>
        <v>3120</v>
      </c>
      <c r="BN154" s="1187">
        <v>3124</v>
      </c>
      <c r="BO154" s="646">
        <v>3124</v>
      </c>
      <c r="BP154" s="646">
        <v>3127</v>
      </c>
      <c r="BQ154" s="1188">
        <v>3116</v>
      </c>
      <c r="BR154" s="109">
        <f t="shared" ref="BR154:BR159" si="205">BQ154</f>
        <v>3116</v>
      </c>
      <c r="BS154" s="1187">
        <v>3076</v>
      </c>
      <c r="BT154" s="646">
        <v>3058</v>
      </c>
      <c r="BU154" s="646">
        <v>2988</v>
      </c>
      <c r="BV154" s="1188">
        <v>2981</v>
      </c>
      <c r="BW154" s="109">
        <f t="shared" ref="BW154:BW159" si="206">BV154</f>
        <v>2981</v>
      </c>
      <c r="BX154" s="1359">
        <v>2752</v>
      </c>
      <c r="BY154" s="1360">
        <v>2752</v>
      </c>
      <c r="BZ154" s="1360">
        <v>2896</v>
      </c>
      <c r="CA154" s="1188">
        <v>2700</v>
      </c>
      <c r="CB154" s="109">
        <f t="shared" ref="CB154:CB159" si="207">CA154</f>
        <v>2700</v>
      </c>
      <c r="CC154" s="918">
        <f>'debt schedule'!CD204</f>
        <v>2703</v>
      </c>
      <c r="CD154" s="216">
        <f>'debt schedule'!CE204</f>
        <v>2703</v>
      </c>
      <c r="CE154" s="216">
        <f>'debt schedule'!CF204</f>
        <v>2703</v>
      </c>
      <c r="CF154" s="919">
        <f>'debt schedule'!CG204</f>
        <v>2703</v>
      </c>
      <c r="CG154" s="109">
        <f t="shared" ref="CG154:CG159" si="208">CF154</f>
        <v>2703</v>
      </c>
      <c r="CH154" s="918">
        <f>'debt schedule'!CI204</f>
        <v>2703</v>
      </c>
      <c r="CI154" s="216">
        <f>'debt schedule'!CJ204</f>
        <v>2703</v>
      </c>
      <c r="CJ154" s="216">
        <f>'debt schedule'!CK204</f>
        <v>2703</v>
      </c>
      <c r="CK154" s="919">
        <f>'debt schedule'!CL204</f>
        <v>2703</v>
      </c>
      <c r="CL154" s="919">
        <f t="shared" ref="CL154:CL159" si="209">CK154</f>
        <v>2703</v>
      </c>
      <c r="CM154" s="918">
        <f>'debt schedule'!CN204</f>
        <v>2703</v>
      </c>
      <c r="CN154" s="216">
        <f>'debt schedule'!CO204</f>
        <v>2703</v>
      </c>
      <c r="CO154" s="216">
        <f>'debt schedule'!CP204</f>
        <v>2703</v>
      </c>
      <c r="CP154" s="919">
        <f>'debt schedule'!CQ204</f>
        <v>2703</v>
      </c>
      <c r="CQ154" s="919">
        <f t="shared" ref="CQ154:CQ159" si="210">CP154</f>
        <v>2703</v>
      </c>
      <c r="CR154" s="109"/>
    </row>
    <row r="155" spans="1:96" ht="13.5" customHeight="1">
      <c r="A155" s="75"/>
      <c r="B155" s="75" t="s">
        <v>802</v>
      </c>
      <c r="C155" s="81"/>
      <c r="D155" s="75"/>
      <c r="E155" s="75"/>
      <c r="F155" s="650">
        <v>184</v>
      </c>
      <c r="G155" s="650">
        <v>169</v>
      </c>
      <c r="H155" s="650">
        <v>2</v>
      </c>
      <c r="I155" s="650">
        <v>6</v>
      </c>
      <c r="J155" s="109">
        <f t="shared" si="193"/>
        <v>6</v>
      </c>
      <c r="K155" s="650">
        <v>4</v>
      </c>
      <c r="L155" s="650">
        <v>5</v>
      </c>
      <c r="M155" s="650">
        <v>5</v>
      </c>
      <c r="N155" s="650">
        <v>598</v>
      </c>
      <c r="O155" s="109">
        <f t="shared" si="194"/>
        <v>598</v>
      </c>
      <c r="P155" s="650">
        <v>653</v>
      </c>
      <c r="Q155" s="650">
        <v>663</v>
      </c>
      <c r="R155" s="650">
        <v>699</v>
      </c>
      <c r="S155" s="650">
        <v>0</v>
      </c>
      <c r="T155" s="109">
        <f t="shared" si="195"/>
        <v>0</v>
      </c>
      <c r="U155" s="650">
        <v>0</v>
      </c>
      <c r="V155" s="650">
        <v>0</v>
      </c>
      <c r="W155" s="650">
        <v>0</v>
      </c>
      <c r="X155" s="109">
        <f>W155</f>
        <v>0</v>
      </c>
      <c r="Y155" s="109">
        <f t="shared" si="196"/>
        <v>0</v>
      </c>
      <c r="Z155" s="109">
        <f>X155</f>
        <v>0</v>
      </c>
      <c r="AA155" s="650">
        <v>135</v>
      </c>
      <c r="AB155" s="650">
        <v>128</v>
      </c>
      <c r="AC155" s="650">
        <v>162</v>
      </c>
      <c r="AD155" s="109">
        <f t="shared" si="197"/>
        <v>162</v>
      </c>
      <c r="AE155" s="650">
        <v>186</v>
      </c>
      <c r="AF155" s="650">
        <v>245</v>
      </c>
      <c r="AG155" s="650">
        <v>16</v>
      </c>
      <c r="AH155" s="650">
        <v>9</v>
      </c>
      <c r="AI155" s="109">
        <f t="shared" si="198"/>
        <v>9</v>
      </c>
      <c r="AJ155" s="1187">
        <v>0</v>
      </c>
      <c r="AK155" s="216">
        <f t="shared" ref="AK155:AM156" si="211">AJ155</f>
        <v>0</v>
      </c>
      <c r="AL155" s="216">
        <f t="shared" si="211"/>
        <v>0</v>
      </c>
      <c r="AM155" s="919">
        <f t="shared" si="211"/>
        <v>0</v>
      </c>
      <c r="AN155" s="109">
        <f t="shared" si="199"/>
        <v>0</v>
      </c>
      <c r="AO155" s="918">
        <f>AM155</f>
        <v>0</v>
      </c>
      <c r="AP155" s="216">
        <f t="shared" ref="AP155:AR156" si="212">AO155</f>
        <v>0</v>
      </c>
      <c r="AQ155" s="216">
        <f t="shared" si="212"/>
        <v>0</v>
      </c>
      <c r="AR155" s="919">
        <f t="shared" si="212"/>
        <v>0</v>
      </c>
      <c r="AS155" s="109">
        <f t="shared" si="200"/>
        <v>0</v>
      </c>
      <c r="AT155" s="918">
        <f>AR155</f>
        <v>0</v>
      </c>
      <c r="AU155" s="216">
        <f t="shared" ref="AU155:AW156" si="213">AT155</f>
        <v>0</v>
      </c>
      <c r="AV155" s="216">
        <f t="shared" si="213"/>
        <v>0</v>
      </c>
      <c r="AW155" s="919">
        <f t="shared" si="213"/>
        <v>0</v>
      </c>
      <c r="AX155" s="109">
        <f t="shared" si="201"/>
        <v>0</v>
      </c>
      <c r="AY155" s="1288">
        <v>0</v>
      </c>
      <c r="AZ155" s="647">
        <v>0</v>
      </c>
      <c r="BA155" s="647">
        <v>0</v>
      </c>
      <c r="BB155" s="1293">
        <f>BA155</f>
        <v>0</v>
      </c>
      <c r="BC155" s="109">
        <f t="shared" si="202"/>
        <v>0</v>
      </c>
      <c r="BD155" s="1187">
        <v>0</v>
      </c>
      <c r="BE155" s="646">
        <v>0</v>
      </c>
      <c r="BF155" s="646">
        <v>0</v>
      </c>
      <c r="BG155" s="1188">
        <v>0</v>
      </c>
      <c r="BH155" s="109">
        <f t="shared" si="203"/>
        <v>0</v>
      </c>
      <c r="BI155" s="1288">
        <v>0</v>
      </c>
      <c r="BJ155" s="647">
        <v>0</v>
      </c>
      <c r="BK155" s="647">
        <v>0</v>
      </c>
      <c r="BL155" s="1286">
        <v>0</v>
      </c>
      <c r="BM155" s="231">
        <f t="shared" si="204"/>
        <v>0</v>
      </c>
      <c r="BN155" s="1288">
        <v>0</v>
      </c>
      <c r="BO155" s="647">
        <v>16</v>
      </c>
      <c r="BP155" s="647">
        <v>10</v>
      </c>
      <c r="BQ155" s="1286">
        <v>29</v>
      </c>
      <c r="BR155" s="231">
        <f t="shared" si="205"/>
        <v>29</v>
      </c>
      <c r="BS155" s="1288">
        <v>29</v>
      </c>
      <c r="BT155" s="647">
        <v>28</v>
      </c>
      <c r="BU155" s="647">
        <v>28</v>
      </c>
      <c r="BV155" s="1286">
        <v>28</v>
      </c>
      <c r="BW155" s="231">
        <f t="shared" si="206"/>
        <v>28</v>
      </c>
      <c r="BX155" s="1359">
        <v>28</v>
      </c>
      <c r="BY155" s="1360">
        <v>28</v>
      </c>
      <c r="BZ155" s="1360">
        <v>29</v>
      </c>
      <c r="CA155" s="1286">
        <v>6</v>
      </c>
      <c r="CB155" s="231">
        <f t="shared" si="207"/>
        <v>6</v>
      </c>
      <c r="CC155" s="1371">
        <f>CA155</f>
        <v>6</v>
      </c>
      <c r="CD155" s="1270">
        <f t="shared" ref="CD155:CF156" si="214">CC155</f>
        <v>6</v>
      </c>
      <c r="CE155" s="1270">
        <f t="shared" si="214"/>
        <v>6</v>
      </c>
      <c r="CF155" s="1293">
        <f t="shared" si="214"/>
        <v>6</v>
      </c>
      <c r="CG155" s="231">
        <f t="shared" si="208"/>
        <v>6</v>
      </c>
      <c r="CH155" s="1371">
        <f>CF155</f>
        <v>6</v>
      </c>
      <c r="CI155" s="1270">
        <f t="shared" ref="CI155:CK156" si="215">CH155</f>
        <v>6</v>
      </c>
      <c r="CJ155" s="1270">
        <f t="shared" si="215"/>
        <v>6</v>
      </c>
      <c r="CK155" s="1293">
        <f t="shared" si="215"/>
        <v>6</v>
      </c>
      <c r="CL155" s="1293">
        <f t="shared" si="209"/>
        <v>6</v>
      </c>
      <c r="CM155" s="1371">
        <f>CK155</f>
        <v>6</v>
      </c>
      <c r="CN155" s="1270">
        <f t="shared" ref="CN155:CN156" si="216">CM155</f>
        <v>6</v>
      </c>
      <c r="CO155" s="1270">
        <f t="shared" ref="CO155:CO156" si="217">CN155</f>
        <v>6</v>
      </c>
      <c r="CP155" s="1293">
        <f t="shared" ref="CP155:CP156" si="218">CO155</f>
        <v>6</v>
      </c>
      <c r="CQ155" s="1293">
        <f t="shared" si="210"/>
        <v>6</v>
      </c>
      <c r="CR155" s="109"/>
    </row>
    <row r="156" spans="1:96" ht="13.5" customHeight="1">
      <c r="A156" s="75"/>
      <c r="B156" s="75" t="s">
        <v>808</v>
      </c>
      <c r="C156" s="81"/>
      <c r="D156" s="75"/>
      <c r="E156" s="75"/>
      <c r="F156" s="650">
        <v>0</v>
      </c>
      <c r="G156" s="650">
        <v>0</v>
      </c>
      <c r="H156" s="650">
        <v>0</v>
      </c>
      <c r="I156" s="109">
        <f>H156</f>
        <v>0</v>
      </c>
      <c r="J156" s="109">
        <f t="shared" si="193"/>
        <v>0</v>
      </c>
      <c r="K156" s="650">
        <v>0</v>
      </c>
      <c r="L156" s="650">
        <v>0</v>
      </c>
      <c r="M156" s="650">
        <v>0</v>
      </c>
      <c r="N156" s="650">
        <v>0</v>
      </c>
      <c r="O156" s="109">
        <f t="shared" si="194"/>
        <v>0</v>
      </c>
      <c r="P156" s="650">
        <v>0</v>
      </c>
      <c r="Q156" s="650">
        <v>0</v>
      </c>
      <c r="R156" s="109"/>
      <c r="S156" s="650">
        <v>0</v>
      </c>
      <c r="T156" s="109">
        <f t="shared" si="195"/>
        <v>0</v>
      </c>
      <c r="U156" s="650">
        <v>0</v>
      </c>
      <c r="V156" s="650">
        <v>0</v>
      </c>
      <c r="W156" s="650">
        <v>0</v>
      </c>
      <c r="X156" s="109">
        <f>W156</f>
        <v>0</v>
      </c>
      <c r="Y156" s="109">
        <f t="shared" si="196"/>
        <v>0</v>
      </c>
      <c r="Z156" s="109">
        <f>X156</f>
        <v>0</v>
      </c>
      <c r="AA156" s="109">
        <f>Z156</f>
        <v>0</v>
      </c>
      <c r="AB156" s="109">
        <f>AA156</f>
        <v>0</v>
      </c>
      <c r="AC156" s="109">
        <f>AB156</f>
        <v>0</v>
      </c>
      <c r="AD156" s="109">
        <f t="shared" si="197"/>
        <v>0</v>
      </c>
      <c r="AE156" s="650">
        <v>0</v>
      </c>
      <c r="AF156" s="109">
        <f>AE156</f>
        <v>0</v>
      </c>
      <c r="AG156" s="109">
        <f>AF156</f>
        <v>0</v>
      </c>
      <c r="AH156" s="109">
        <f>AG156</f>
        <v>0</v>
      </c>
      <c r="AI156" s="109">
        <f t="shared" si="198"/>
        <v>0</v>
      </c>
      <c r="AJ156" s="918">
        <f>AH156</f>
        <v>0</v>
      </c>
      <c r="AK156" s="216">
        <f t="shared" si="211"/>
        <v>0</v>
      </c>
      <c r="AL156" s="216">
        <f t="shared" si="211"/>
        <v>0</v>
      </c>
      <c r="AM156" s="919">
        <f t="shared" si="211"/>
        <v>0</v>
      </c>
      <c r="AN156" s="109">
        <f t="shared" si="199"/>
        <v>0</v>
      </c>
      <c r="AO156" s="918">
        <f>AM156</f>
        <v>0</v>
      </c>
      <c r="AP156" s="216">
        <f t="shared" si="212"/>
        <v>0</v>
      </c>
      <c r="AQ156" s="216">
        <f t="shared" si="212"/>
        <v>0</v>
      </c>
      <c r="AR156" s="919">
        <f t="shared" si="212"/>
        <v>0</v>
      </c>
      <c r="AS156" s="109">
        <f t="shared" si="200"/>
        <v>0</v>
      </c>
      <c r="AT156" s="918">
        <f>AR156</f>
        <v>0</v>
      </c>
      <c r="AU156" s="216">
        <f t="shared" si="213"/>
        <v>0</v>
      </c>
      <c r="AV156" s="216">
        <f t="shared" si="213"/>
        <v>0</v>
      </c>
      <c r="AW156" s="919">
        <f t="shared" si="213"/>
        <v>0</v>
      </c>
      <c r="AX156" s="109">
        <f t="shared" si="201"/>
        <v>0</v>
      </c>
      <c r="AY156" s="1288">
        <v>0</v>
      </c>
      <c r="AZ156" s="647">
        <v>0</v>
      </c>
      <c r="BA156" s="647">
        <v>0</v>
      </c>
      <c r="BB156" s="1293">
        <f>BA156</f>
        <v>0</v>
      </c>
      <c r="BC156" s="109">
        <f t="shared" si="202"/>
        <v>0</v>
      </c>
      <c r="BD156" s="1187">
        <v>0</v>
      </c>
      <c r="BE156" s="646">
        <v>0</v>
      </c>
      <c r="BF156" s="646">
        <v>0</v>
      </c>
      <c r="BG156" s="1188">
        <v>0</v>
      </c>
      <c r="BH156" s="109">
        <f t="shared" si="203"/>
        <v>0</v>
      </c>
      <c r="BI156" s="1187">
        <v>0</v>
      </c>
      <c r="BJ156" s="646">
        <v>0</v>
      </c>
      <c r="BK156" s="646">
        <v>0</v>
      </c>
      <c r="BL156" s="1286">
        <v>0</v>
      </c>
      <c r="BM156" s="109">
        <f t="shared" si="204"/>
        <v>0</v>
      </c>
      <c r="BN156" s="1187">
        <v>0</v>
      </c>
      <c r="BO156" s="646">
        <v>0</v>
      </c>
      <c r="BP156" s="647">
        <v>0</v>
      </c>
      <c r="BQ156" s="1286">
        <v>0</v>
      </c>
      <c r="BR156" s="109">
        <f t="shared" si="205"/>
        <v>0</v>
      </c>
      <c r="BS156" s="1187">
        <f>BQ156</f>
        <v>0</v>
      </c>
      <c r="BT156" s="646">
        <f t="shared" ref="BT156:BU156" si="219">BS156</f>
        <v>0</v>
      </c>
      <c r="BU156" s="646">
        <f t="shared" si="219"/>
        <v>0</v>
      </c>
      <c r="BV156" s="1188">
        <v>0</v>
      </c>
      <c r="BW156" s="109">
        <f t="shared" si="206"/>
        <v>0</v>
      </c>
      <c r="BX156" s="1359">
        <v>0</v>
      </c>
      <c r="BY156" s="1360">
        <v>0</v>
      </c>
      <c r="BZ156" s="1360">
        <v>0</v>
      </c>
      <c r="CA156" s="1188">
        <v>0</v>
      </c>
      <c r="CB156" s="109">
        <f t="shared" si="207"/>
        <v>0</v>
      </c>
      <c r="CC156" s="918">
        <f>CA156</f>
        <v>0</v>
      </c>
      <c r="CD156" s="216">
        <f t="shared" si="214"/>
        <v>0</v>
      </c>
      <c r="CE156" s="216">
        <f t="shared" si="214"/>
        <v>0</v>
      </c>
      <c r="CF156" s="919">
        <f t="shared" si="214"/>
        <v>0</v>
      </c>
      <c r="CG156" s="109">
        <f t="shared" si="208"/>
        <v>0</v>
      </c>
      <c r="CH156" s="918">
        <f>CF156</f>
        <v>0</v>
      </c>
      <c r="CI156" s="216">
        <f t="shared" si="215"/>
        <v>0</v>
      </c>
      <c r="CJ156" s="216">
        <f t="shared" si="215"/>
        <v>0</v>
      </c>
      <c r="CK156" s="919">
        <f t="shared" si="215"/>
        <v>0</v>
      </c>
      <c r="CL156" s="919">
        <f t="shared" si="209"/>
        <v>0</v>
      </c>
      <c r="CM156" s="918">
        <f>CK156</f>
        <v>0</v>
      </c>
      <c r="CN156" s="216">
        <f t="shared" si="216"/>
        <v>0</v>
      </c>
      <c r="CO156" s="216">
        <f t="shared" si="217"/>
        <v>0</v>
      </c>
      <c r="CP156" s="919">
        <f t="shared" si="218"/>
        <v>0</v>
      </c>
      <c r="CQ156" s="919">
        <f t="shared" si="210"/>
        <v>0</v>
      </c>
      <c r="CR156" s="109"/>
    </row>
    <row r="157" spans="1:96" ht="13.5" customHeight="1">
      <c r="A157" s="75"/>
      <c r="B157" s="75" t="s">
        <v>809</v>
      </c>
      <c r="C157" s="81"/>
      <c r="D157" s="75"/>
      <c r="E157" s="75"/>
      <c r="F157" s="650">
        <v>2638</v>
      </c>
      <c r="G157" s="650">
        <v>2975</v>
      </c>
      <c r="H157" s="650">
        <v>3539</v>
      </c>
      <c r="I157" s="650">
        <v>2382</v>
      </c>
      <c r="J157" s="109">
        <f t="shared" si="193"/>
        <v>2382</v>
      </c>
      <c r="K157" s="650">
        <v>2432</v>
      </c>
      <c r="L157" s="650">
        <v>2447</v>
      </c>
      <c r="M157" s="650">
        <v>2384</v>
      </c>
      <c r="N157" s="650">
        <v>2125</v>
      </c>
      <c r="O157" s="109">
        <f t="shared" si="194"/>
        <v>2125</v>
      </c>
      <c r="P157" s="650">
        <v>2106</v>
      </c>
      <c r="Q157" s="650">
        <v>2076</v>
      </c>
      <c r="R157" s="650">
        <v>2024</v>
      </c>
      <c r="S157" s="650">
        <v>2008</v>
      </c>
      <c r="T157" s="109">
        <f t="shared" si="195"/>
        <v>2008</v>
      </c>
      <c r="U157" s="650">
        <v>1989</v>
      </c>
      <c r="V157" s="650">
        <v>1944</v>
      </c>
      <c r="W157" s="650">
        <v>1786</v>
      </c>
      <c r="X157" s="650">
        <v>2174</v>
      </c>
      <c r="Y157" s="109">
        <f t="shared" si="196"/>
        <v>2174</v>
      </c>
      <c r="Z157" s="109">
        <f>2136</f>
        <v>2136</v>
      </c>
      <c r="AA157" s="650">
        <v>2152</v>
      </c>
      <c r="AB157" s="650">
        <v>2111</v>
      </c>
      <c r="AC157" s="650">
        <v>3187</v>
      </c>
      <c r="AD157" s="109">
        <f t="shared" si="197"/>
        <v>3187</v>
      </c>
      <c r="AE157" s="650">
        <v>3078</v>
      </c>
      <c r="AF157" s="650">
        <v>3016</v>
      </c>
      <c r="AG157" s="650">
        <v>3542</v>
      </c>
      <c r="AH157" s="650">
        <v>4767</v>
      </c>
      <c r="AI157" s="109">
        <f t="shared" si="198"/>
        <v>4767</v>
      </c>
      <c r="AJ157" s="1187">
        <v>4675</v>
      </c>
      <c r="AK157" s="646">
        <v>4720</v>
      </c>
      <c r="AL157" s="646">
        <v>4593</v>
      </c>
      <c r="AM157" s="1188">
        <v>4143</v>
      </c>
      <c r="AN157" s="109">
        <f t="shared" si="199"/>
        <v>4143</v>
      </c>
      <c r="AO157" s="1187">
        <v>4104</v>
      </c>
      <c r="AP157" s="646">
        <v>3986</v>
      </c>
      <c r="AQ157" s="646">
        <v>3937</v>
      </c>
      <c r="AR157" s="1188">
        <v>4365</v>
      </c>
      <c r="AS157" s="109">
        <f t="shared" si="200"/>
        <v>4365</v>
      </c>
      <c r="AT157" s="1187">
        <v>4352</v>
      </c>
      <c r="AU157" s="647">
        <v>4283</v>
      </c>
      <c r="AV157" s="647">
        <v>3942</v>
      </c>
      <c r="AW157" s="1188">
        <v>4600</v>
      </c>
      <c r="AX157" s="109">
        <f t="shared" si="201"/>
        <v>4600</v>
      </c>
      <c r="AY157" s="1288">
        <v>4403</v>
      </c>
      <c r="AZ157" s="646">
        <v>4287</v>
      </c>
      <c r="BA157" s="646">
        <v>3989</v>
      </c>
      <c r="BB157" s="1188">
        <v>4416</v>
      </c>
      <c r="BC157" s="109">
        <f t="shared" si="202"/>
        <v>4416</v>
      </c>
      <c r="BD157" s="1187">
        <v>4263</v>
      </c>
      <c r="BE157" s="646">
        <v>4122</v>
      </c>
      <c r="BF157" s="646">
        <v>3919</v>
      </c>
      <c r="BG157" s="1286">
        <v>2064</v>
      </c>
      <c r="BH157" s="231">
        <f>BG157</f>
        <v>2064</v>
      </c>
      <c r="BI157" s="1288">
        <v>1964</v>
      </c>
      <c r="BJ157" s="647">
        <v>1841</v>
      </c>
      <c r="BK157" s="647">
        <v>554</v>
      </c>
      <c r="BL157" s="1286">
        <v>1117</v>
      </c>
      <c r="BM157" s="231">
        <f>BL157</f>
        <v>1117</v>
      </c>
      <c r="BN157" s="1288">
        <v>1033</v>
      </c>
      <c r="BO157" s="647">
        <v>952</v>
      </c>
      <c r="BP157" s="647">
        <v>1156</v>
      </c>
      <c r="BQ157" s="1286">
        <v>1101</v>
      </c>
      <c r="BR157" s="231">
        <f>BQ157</f>
        <v>1101</v>
      </c>
      <c r="BS157" s="1288">
        <v>1317</v>
      </c>
      <c r="BT157" s="647">
        <v>1260</v>
      </c>
      <c r="BU157" s="647">
        <v>1097</v>
      </c>
      <c r="BV157" s="1286">
        <v>1216</v>
      </c>
      <c r="BW157" s="231">
        <f>BV157</f>
        <v>1216</v>
      </c>
      <c r="BX157" s="1359">
        <v>1180</v>
      </c>
      <c r="BY157" s="1360">
        <v>1151</v>
      </c>
      <c r="BZ157" s="1360">
        <v>1119</v>
      </c>
      <c r="CA157" s="1286">
        <v>759</v>
      </c>
      <c r="CB157" s="231">
        <f t="shared" si="207"/>
        <v>759</v>
      </c>
      <c r="CC157" s="1371">
        <f>CB157+Pension!$Q$66/4+OPEB!$Q$66/4</f>
        <v>725.64887499999998</v>
      </c>
      <c r="CD157" s="1270">
        <f>CC157+Pension!$Q$66/4+OPEB!$Q$66/4</f>
        <v>692.29774999999995</v>
      </c>
      <c r="CE157" s="1270">
        <f>CD157+Pension!$Q$66/4+OPEB!$Q$66/4</f>
        <v>658.94662499999993</v>
      </c>
      <c r="CF157" s="1293">
        <f>CE157+Pension!$Q$66/4+OPEB!$Q$66/4</f>
        <v>625.5954999999999</v>
      </c>
      <c r="CG157" s="231">
        <f t="shared" si="208"/>
        <v>625.5954999999999</v>
      </c>
      <c r="CH157" s="1371">
        <f>CG157+Pension!$R$66/4+OPEB!$R$66/4</f>
        <v>592.01101043749986</v>
      </c>
      <c r="CI157" s="1270">
        <f>CH157+Pension!$R$66/4+OPEB!$R$66/4</f>
        <v>558.42652087499982</v>
      </c>
      <c r="CJ157" s="1270">
        <f>CI157+Pension!$R$66/4+OPEB!$R$66/4</f>
        <v>524.84203131249978</v>
      </c>
      <c r="CK157" s="1293">
        <f>CJ157+Pension!$R$66/4+OPEB!$R$66/4</f>
        <v>491.25754174999975</v>
      </c>
      <c r="CL157" s="1293">
        <f t="shared" si="209"/>
        <v>491.25754174999975</v>
      </c>
      <c r="CM157" s="1270">
        <f>CL157+Pension!$S$66/4+OPEB!$S$66/4</f>
        <v>457.26468812434348</v>
      </c>
      <c r="CN157" s="1270">
        <f>CM157+Pension!$S$66/4+OPEB!$S$66/4</f>
        <v>423.27183449868721</v>
      </c>
      <c r="CO157" s="1270">
        <f>CN157+Pension!$S$66/4+OPEB!$S$66/4</f>
        <v>389.27898087303095</v>
      </c>
      <c r="CP157" s="1293">
        <f>CO157+Pension!$S$66/4+OPEB!$S$66/4</f>
        <v>355.28612724737468</v>
      </c>
      <c r="CQ157" s="1293">
        <f t="shared" si="210"/>
        <v>355.28612724737468</v>
      </c>
      <c r="CR157" s="109"/>
    </row>
    <row r="158" spans="1:96" ht="13.5" customHeight="1">
      <c r="A158" s="75"/>
      <c r="B158" s="75" t="s">
        <v>605</v>
      </c>
      <c r="C158" s="81"/>
      <c r="D158" s="75"/>
      <c r="E158" s="75"/>
      <c r="F158" s="650">
        <v>0</v>
      </c>
      <c r="G158" s="650">
        <v>0</v>
      </c>
      <c r="H158" s="650">
        <v>0</v>
      </c>
      <c r="I158" s="650">
        <v>0</v>
      </c>
      <c r="J158" s="109">
        <f t="shared" si="193"/>
        <v>0</v>
      </c>
      <c r="K158" s="650">
        <v>0</v>
      </c>
      <c r="L158" s="650">
        <v>0</v>
      </c>
      <c r="M158" s="650">
        <v>0</v>
      </c>
      <c r="N158" s="650">
        <v>0</v>
      </c>
      <c r="O158" s="109">
        <f t="shared" si="194"/>
        <v>0</v>
      </c>
      <c r="P158" s="650">
        <v>0</v>
      </c>
      <c r="Q158" s="650">
        <v>0</v>
      </c>
      <c r="R158" s="650">
        <v>0</v>
      </c>
      <c r="S158" s="650">
        <v>0</v>
      </c>
      <c r="T158" s="109">
        <f t="shared" si="195"/>
        <v>0</v>
      </c>
      <c r="U158" s="650">
        <v>0</v>
      </c>
      <c r="V158" s="650">
        <v>0</v>
      </c>
      <c r="W158" s="650">
        <v>0</v>
      </c>
      <c r="X158" s="109">
        <f>W158</f>
        <v>0</v>
      </c>
      <c r="Y158" s="109">
        <f t="shared" si="196"/>
        <v>0</v>
      </c>
      <c r="Z158" s="109">
        <f>X158</f>
        <v>0</v>
      </c>
      <c r="AA158" s="109">
        <f>Z158</f>
        <v>0</v>
      </c>
      <c r="AB158" s="109">
        <f>AA158</f>
        <v>0</v>
      </c>
      <c r="AC158" s="109">
        <f>AB158</f>
        <v>0</v>
      </c>
      <c r="AD158" s="109">
        <f t="shared" si="197"/>
        <v>0</v>
      </c>
      <c r="AE158" s="650">
        <v>0</v>
      </c>
      <c r="AF158" s="109">
        <f>AE158</f>
        <v>0</v>
      </c>
      <c r="AG158" s="109">
        <f>AF158</f>
        <v>0</v>
      </c>
      <c r="AH158" s="109">
        <f>AG158</f>
        <v>0</v>
      </c>
      <c r="AI158" s="109">
        <f t="shared" si="198"/>
        <v>0</v>
      </c>
      <c r="AJ158" s="918">
        <f>AH158</f>
        <v>0</v>
      </c>
      <c r="AK158" s="216">
        <f>AJ158</f>
        <v>0</v>
      </c>
      <c r="AL158" s="216">
        <f>AK158</f>
        <v>0</v>
      </c>
      <c r="AM158" s="919">
        <f>AL158</f>
        <v>0</v>
      </c>
      <c r="AN158" s="109">
        <f t="shared" si="199"/>
        <v>0</v>
      </c>
      <c r="AO158" s="918">
        <f>AM158</f>
        <v>0</v>
      </c>
      <c r="AP158" s="216">
        <f>AO158</f>
        <v>0</v>
      </c>
      <c r="AQ158" s="216">
        <f>AP158</f>
        <v>0</v>
      </c>
      <c r="AR158" s="919">
        <f>AQ158</f>
        <v>0</v>
      </c>
      <c r="AS158" s="109">
        <f t="shared" si="200"/>
        <v>0</v>
      </c>
      <c r="AT158" s="918">
        <f>AR158</f>
        <v>0</v>
      </c>
      <c r="AU158" s="216">
        <f>AT158</f>
        <v>0</v>
      </c>
      <c r="AV158" s="216">
        <f>AU158</f>
        <v>0</v>
      </c>
      <c r="AW158" s="919">
        <f>AV158</f>
        <v>0</v>
      </c>
      <c r="AX158" s="109">
        <f t="shared" si="201"/>
        <v>0</v>
      </c>
      <c r="AY158" s="1288">
        <v>0</v>
      </c>
      <c r="AZ158" s="647">
        <v>0</v>
      </c>
      <c r="BA158" s="216">
        <f>AZ158</f>
        <v>0</v>
      </c>
      <c r="BB158" s="919">
        <f>BA158</f>
        <v>0</v>
      </c>
      <c r="BC158" s="109">
        <f t="shared" si="202"/>
        <v>0</v>
      </c>
      <c r="BD158" s="1187">
        <v>0</v>
      </c>
      <c r="BE158" s="646">
        <v>0</v>
      </c>
      <c r="BF158" s="646">
        <v>0</v>
      </c>
      <c r="BG158" s="1188">
        <v>0</v>
      </c>
      <c r="BH158" s="109">
        <f t="shared" si="203"/>
        <v>0</v>
      </c>
      <c r="BI158" s="1187">
        <v>0</v>
      </c>
      <c r="BJ158" s="646">
        <v>0</v>
      </c>
      <c r="BK158" s="646">
        <v>0</v>
      </c>
      <c r="BL158" s="1188">
        <v>0</v>
      </c>
      <c r="BM158" s="109">
        <f t="shared" si="204"/>
        <v>0</v>
      </c>
      <c r="BN158" s="1187">
        <v>0</v>
      </c>
      <c r="BO158" s="646">
        <v>0</v>
      </c>
      <c r="BP158" s="647">
        <v>0</v>
      </c>
      <c r="BQ158" s="1286">
        <v>0</v>
      </c>
      <c r="BR158" s="109">
        <f t="shared" si="205"/>
        <v>0</v>
      </c>
      <c r="BS158" s="1187">
        <f>BQ158</f>
        <v>0</v>
      </c>
      <c r="BT158" s="646">
        <f t="shared" ref="BT158:BU158" si="220">BS158</f>
        <v>0</v>
      </c>
      <c r="BU158" s="646">
        <f t="shared" si="220"/>
        <v>0</v>
      </c>
      <c r="BV158" s="1188">
        <v>0</v>
      </c>
      <c r="BW158" s="109">
        <f t="shared" si="206"/>
        <v>0</v>
      </c>
      <c r="BX158" s="1359">
        <v>0</v>
      </c>
      <c r="BY158" s="1360">
        <v>0</v>
      </c>
      <c r="BZ158" s="1360">
        <v>0</v>
      </c>
      <c r="CA158" s="1188">
        <v>0</v>
      </c>
      <c r="CB158" s="109">
        <f t="shared" si="207"/>
        <v>0</v>
      </c>
      <c r="CC158" s="918">
        <f>CC219</f>
        <v>15</v>
      </c>
      <c r="CD158" s="216">
        <f>+CC158+CD219</f>
        <v>30</v>
      </c>
      <c r="CE158" s="216">
        <f t="shared" ref="CE158:CF158" si="221">+CD158+CE219</f>
        <v>45</v>
      </c>
      <c r="CF158" s="919">
        <f t="shared" si="221"/>
        <v>60</v>
      </c>
      <c r="CG158" s="109">
        <f t="shared" si="208"/>
        <v>60</v>
      </c>
      <c r="CH158" s="918">
        <f t="shared" ref="CH158:CK158" si="222">+CG158+CH219</f>
        <v>75</v>
      </c>
      <c r="CI158" s="216">
        <f t="shared" si="222"/>
        <v>90</v>
      </c>
      <c r="CJ158" s="216">
        <f t="shared" si="222"/>
        <v>105</v>
      </c>
      <c r="CK158" s="919">
        <f t="shared" si="222"/>
        <v>120</v>
      </c>
      <c r="CL158" s="919">
        <f t="shared" si="209"/>
        <v>120</v>
      </c>
      <c r="CM158" s="918">
        <f t="shared" ref="CM158:CP158" si="223">+CL158+CM219</f>
        <v>135</v>
      </c>
      <c r="CN158" s="216">
        <f t="shared" si="223"/>
        <v>150</v>
      </c>
      <c r="CO158" s="216">
        <f t="shared" si="223"/>
        <v>165</v>
      </c>
      <c r="CP158" s="919">
        <f t="shared" si="223"/>
        <v>180</v>
      </c>
      <c r="CQ158" s="919">
        <f t="shared" si="210"/>
        <v>180</v>
      </c>
      <c r="CR158" s="109"/>
    </row>
    <row r="159" spans="1:96" ht="13.5" customHeight="1">
      <c r="A159" s="75"/>
      <c r="B159" s="75" t="s">
        <v>623</v>
      </c>
      <c r="C159" s="81"/>
      <c r="D159" s="75"/>
      <c r="E159" s="75"/>
      <c r="F159" s="650">
        <v>336</v>
      </c>
      <c r="G159" s="650">
        <v>362</v>
      </c>
      <c r="H159" s="650">
        <v>349</v>
      </c>
      <c r="I159" s="650">
        <v>337</v>
      </c>
      <c r="J159" s="109">
        <f t="shared" si="193"/>
        <v>337</v>
      </c>
      <c r="K159" s="650">
        <v>312</v>
      </c>
      <c r="L159" s="650">
        <v>312</v>
      </c>
      <c r="M159" s="650">
        <v>323</v>
      </c>
      <c r="N159" s="650">
        <v>341</v>
      </c>
      <c r="O159" s="109">
        <f t="shared" si="194"/>
        <v>341</v>
      </c>
      <c r="P159" s="650">
        <v>334</v>
      </c>
      <c r="Q159" s="650">
        <v>349</v>
      </c>
      <c r="R159" s="650">
        <v>339</v>
      </c>
      <c r="S159" s="650">
        <v>346</v>
      </c>
      <c r="T159" s="109">
        <f t="shared" si="195"/>
        <v>346</v>
      </c>
      <c r="U159" s="650">
        <v>349</v>
      </c>
      <c r="V159" s="650">
        <v>357</v>
      </c>
      <c r="W159" s="650">
        <v>355</v>
      </c>
      <c r="X159" s="650">
        <v>364</v>
      </c>
      <c r="Y159" s="109">
        <f t="shared" si="196"/>
        <v>364</v>
      </c>
      <c r="Z159" s="650">
        <v>401</v>
      </c>
      <c r="AA159" s="650">
        <v>410</v>
      </c>
      <c r="AB159" s="650">
        <v>420</v>
      </c>
      <c r="AC159" s="650">
        <v>514</v>
      </c>
      <c r="AD159" s="109">
        <f t="shared" si="197"/>
        <v>514</v>
      </c>
      <c r="AE159" s="650">
        <v>498</v>
      </c>
      <c r="AF159" s="650">
        <v>529</v>
      </c>
      <c r="AG159" s="650">
        <v>561</v>
      </c>
      <c r="AH159" s="650">
        <v>410</v>
      </c>
      <c r="AI159" s="109">
        <f t="shared" si="198"/>
        <v>410</v>
      </c>
      <c r="AJ159" s="1187">
        <v>406</v>
      </c>
      <c r="AK159" s="646">
        <v>406</v>
      </c>
      <c r="AL159" s="646">
        <v>405</v>
      </c>
      <c r="AM159" s="1188">
        <v>481</v>
      </c>
      <c r="AN159" s="109">
        <f t="shared" si="199"/>
        <v>481</v>
      </c>
      <c r="AO159" s="1187">
        <v>431</v>
      </c>
      <c r="AP159" s="646">
        <v>451</v>
      </c>
      <c r="AQ159" s="646">
        <v>483</v>
      </c>
      <c r="AR159" s="1188">
        <v>469</v>
      </c>
      <c r="AS159" s="109">
        <f t="shared" si="200"/>
        <v>469</v>
      </c>
      <c r="AT159" s="1187">
        <v>466</v>
      </c>
      <c r="AU159" s="647">
        <v>463</v>
      </c>
      <c r="AV159" s="647">
        <v>465</v>
      </c>
      <c r="AW159" s="1188">
        <v>495</v>
      </c>
      <c r="AX159" s="109">
        <f t="shared" si="201"/>
        <v>495</v>
      </c>
      <c r="AY159" s="1288">
        <v>486</v>
      </c>
      <c r="AZ159" s="646">
        <v>473</v>
      </c>
      <c r="BA159" s="646">
        <v>438</v>
      </c>
      <c r="BB159" s="1188">
        <v>397</v>
      </c>
      <c r="BC159" s="109">
        <f t="shared" si="202"/>
        <v>397</v>
      </c>
      <c r="BD159" s="1187">
        <v>398</v>
      </c>
      <c r="BE159" s="646">
        <v>389</v>
      </c>
      <c r="BF159" s="646">
        <v>408</v>
      </c>
      <c r="BG159" s="1188">
        <f>445+424</f>
        <v>869</v>
      </c>
      <c r="BH159" s="109">
        <f t="shared" si="203"/>
        <v>869</v>
      </c>
      <c r="BI159" s="1187">
        <f>403+422</f>
        <v>825</v>
      </c>
      <c r="BJ159" s="646">
        <f>506+419</f>
        <v>925</v>
      </c>
      <c r="BK159" s="646">
        <v>799</v>
      </c>
      <c r="BL159" s="1188">
        <v>708</v>
      </c>
      <c r="BM159" s="109">
        <f t="shared" si="204"/>
        <v>708</v>
      </c>
      <c r="BN159" s="1187">
        <f>7+403</f>
        <v>410</v>
      </c>
      <c r="BO159" s="646">
        <v>398</v>
      </c>
      <c r="BP159" s="647">
        <v>393</v>
      </c>
      <c r="BQ159" s="1286">
        <v>359</v>
      </c>
      <c r="BR159" s="109">
        <f t="shared" si="205"/>
        <v>359</v>
      </c>
      <c r="BS159" s="1187">
        <v>378</v>
      </c>
      <c r="BT159" s="647">
        <v>358</v>
      </c>
      <c r="BU159" s="647">
        <v>355</v>
      </c>
      <c r="BV159" s="1286">
        <v>329</v>
      </c>
      <c r="BW159" s="109">
        <f t="shared" si="206"/>
        <v>329</v>
      </c>
      <c r="BX159" s="1359">
        <v>334</v>
      </c>
      <c r="BY159" s="1360">
        <v>343</v>
      </c>
      <c r="BZ159" s="1360">
        <v>374</v>
      </c>
      <c r="CA159" s="1286">
        <f>361-CA155</f>
        <v>355</v>
      </c>
      <c r="CB159" s="109">
        <f t="shared" si="207"/>
        <v>355</v>
      </c>
      <c r="CC159" s="918">
        <f>CA159</f>
        <v>355</v>
      </c>
      <c r="CD159" s="216">
        <f t="shared" ref="CD159:CF159" si="224">CC159</f>
        <v>355</v>
      </c>
      <c r="CE159" s="216">
        <f t="shared" si="224"/>
        <v>355</v>
      </c>
      <c r="CF159" s="919">
        <f t="shared" si="224"/>
        <v>355</v>
      </c>
      <c r="CG159" s="109">
        <f t="shared" si="208"/>
        <v>355</v>
      </c>
      <c r="CH159" s="918">
        <f>CF159</f>
        <v>355</v>
      </c>
      <c r="CI159" s="216">
        <f t="shared" ref="CI159:CK159" si="225">CH159</f>
        <v>355</v>
      </c>
      <c r="CJ159" s="216">
        <f t="shared" si="225"/>
        <v>355</v>
      </c>
      <c r="CK159" s="919">
        <f t="shared" si="225"/>
        <v>355</v>
      </c>
      <c r="CL159" s="919">
        <f t="shared" si="209"/>
        <v>355</v>
      </c>
      <c r="CM159" s="918">
        <f>CK159</f>
        <v>355</v>
      </c>
      <c r="CN159" s="216">
        <f t="shared" ref="CN159" si="226">CM159</f>
        <v>355</v>
      </c>
      <c r="CO159" s="216">
        <f t="shared" ref="CO159" si="227">CN159</f>
        <v>355</v>
      </c>
      <c r="CP159" s="919">
        <f t="shared" ref="CP159" si="228">CO159</f>
        <v>355</v>
      </c>
      <c r="CQ159" s="919">
        <f t="shared" si="210"/>
        <v>355</v>
      </c>
      <c r="CR159" s="109"/>
    </row>
    <row r="160" spans="1:96" ht="6.2" customHeight="1">
      <c r="A160" s="75"/>
      <c r="B160" s="75"/>
      <c r="C160" s="81"/>
      <c r="D160" s="75"/>
      <c r="E160" s="75"/>
      <c r="F160" s="234"/>
      <c r="G160" s="234"/>
      <c r="H160" s="234"/>
      <c r="I160" s="234"/>
      <c r="J160" s="234"/>
      <c r="K160" s="234"/>
      <c r="L160" s="234"/>
      <c r="M160" s="234"/>
      <c r="N160" s="234"/>
      <c r="O160" s="234"/>
      <c r="P160" s="234"/>
      <c r="Q160" s="234"/>
      <c r="R160" s="234"/>
      <c r="S160" s="234"/>
      <c r="T160" s="234"/>
      <c r="U160" s="234"/>
      <c r="V160" s="234"/>
      <c r="W160" s="234"/>
      <c r="X160" s="234"/>
      <c r="Y160" s="234"/>
      <c r="Z160" s="234"/>
      <c r="AA160" s="234"/>
      <c r="AB160" s="234"/>
      <c r="AC160" s="234"/>
      <c r="AD160" s="234"/>
      <c r="AE160" s="234"/>
      <c r="AF160" s="234"/>
      <c r="AG160" s="234"/>
      <c r="AH160" s="234"/>
      <c r="AI160" s="234"/>
      <c r="AJ160" s="1209"/>
      <c r="AK160" s="234"/>
      <c r="AL160" s="234"/>
      <c r="AM160" s="1210"/>
      <c r="AN160" s="234"/>
      <c r="AO160" s="1209"/>
      <c r="AP160" s="234"/>
      <c r="AQ160" s="234"/>
      <c r="AR160" s="1210"/>
      <c r="AS160" s="234"/>
      <c r="AT160" s="1209"/>
      <c r="AU160" s="235"/>
      <c r="AV160" s="235"/>
      <c r="AW160" s="1210"/>
      <c r="AX160" s="234"/>
      <c r="AY160" s="1289"/>
      <c r="AZ160" s="234"/>
      <c r="BA160" s="234"/>
      <c r="BB160" s="1210"/>
      <c r="BC160" s="234"/>
      <c r="BD160" s="1209"/>
      <c r="BE160" s="234"/>
      <c r="BF160" s="234"/>
      <c r="BG160" s="1210"/>
      <c r="BH160" s="234"/>
      <c r="BI160" s="1209"/>
      <c r="BJ160" s="234"/>
      <c r="BK160" s="234"/>
      <c r="BL160" s="1210"/>
      <c r="BM160" s="234"/>
      <c r="BN160" s="1209"/>
      <c r="BO160" s="234"/>
      <c r="BP160" s="234"/>
      <c r="BQ160" s="1210"/>
      <c r="BR160" s="234"/>
      <c r="BS160" s="1209"/>
      <c r="BT160" s="234"/>
      <c r="BU160" s="234"/>
      <c r="BV160" s="1210"/>
      <c r="BW160" s="234"/>
      <c r="BX160" s="1209"/>
      <c r="BY160" s="234"/>
      <c r="BZ160" s="234"/>
      <c r="CA160" s="1210"/>
      <c r="CB160" s="234"/>
      <c r="CC160" s="1209"/>
      <c r="CD160" s="234"/>
      <c r="CE160" s="234"/>
      <c r="CF160" s="1210"/>
      <c r="CG160" s="234"/>
      <c r="CH160" s="1209"/>
      <c r="CI160" s="234"/>
      <c r="CJ160" s="234"/>
      <c r="CK160" s="1210"/>
      <c r="CL160" s="234"/>
      <c r="CM160" s="1209"/>
      <c r="CN160" s="234"/>
      <c r="CO160" s="234"/>
      <c r="CP160" s="1210"/>
      <c r="CQ160" s="1210"/>
      <c r="CR160" s="109"/>
    </row>
    <row r="161" spans="1:96" ht="13.5" customHeight="1">
      <c r="A161" s="75"/>
      <c r="B161" s="115"/>
      <c r="C161" s="237" t="s">
        <v>933</v>
      </c>
      <c r="D161" s="75"/>
      <c r="E161" s="75"/>
      <c r="F161" s="238">
        <f t="shared" ref="F161:AK161" si="229">SUM(F152:F159)</f>
        <v>6096</v>
      </c>
      <c r="G161" s="238">
        <f t="shared" si="229"/>
        <v>7158</v>
      </c>
      <c r="H161" s="238">
        <f t="shared" si="229"/>
        <v>7596</v>
      </c>
      <c r="I161" s="238">
        <f t="shared" si="229"/>
        <v>6745</v>
      </c>
      <c r="J161" s="238">
        <f t="shared" si="229"/>
        <v>6745</v>
      </c>
      <c r="K161" s="238">
        <f t="shared" si="229"/>
        <v>6808</v>
      </c>
      <c r="L161" s="238">
        <f t="shared" si="229"/>
        <v>6690</v>
      </c>
      <c r="M161" s="238">
        <f t="shared" si="229"/>
        <v>6730</v>
      </c>
      <c r="N161" s="238">
        <f t="shared" si="229"/>
        <v>6962</v>
      </c>
      <c r="O161" s="238">
        <f t="shared" si="229"/>
        <v>6962</v>
      </c>
      <c r="P161" s="238">
        <f t="shared" si="229"/>
        <v>6779</v>
      </c>
      <c r="Q161" s="238">
        <f t="shared" si="229"/>
        <v>6559</v>
      </c>
      <c r="R161" s="238">
        <f t="shared" si="229"/>
        <v>6635</v>
      </c>
      <c r="S161" s="238">
        <f t="shared" si="229"/>
        <v>6466</v>
      </c>
      <c r="T161" s="238">
        <f t="shared" si="229"/>
        <v>6466</v>
      </c>
      <c r="U161" s="238">
        <f t="shared" si="229"/>
        <v>6434</v>
      </c>
      <c r="V161" s="238">
        <f t="shared" si="229"/>
        <v>6375</v>
      </c>
      <c r="W161" s="238">
        <f t="shared" si="229"/>
        <v>6236</v>
      </c>
      <c r="X161" s="238">
        <f t="shared" si="229"/>
        <v>6183</v>
      </c>
      <c r="Y161" s="238">
        <f t="shared" si="229"/>
        <v>6183</v>
      </c>
      <c r="Z161" s="238">
        <f t="shared" si="229"/>
        <v>6224</v>
      </c>
      <c r="AA161" s="238">
        <f t="shared" si="229"/>
        <v>7919</v>
      </c>
      <c r="AB161" s="238">
        <f t="shared" si="229"/>
        <v>7926</v>
      </c>
      <c r="AC161" s="238">
        <f t="shared" si="229"/>
        <v>10013</v>
      </c>
      <c r="AD161" s="238">
        <f t="shared" si="229"/>
        <v>10013</v>
      </c>
      <c r="AE161" s="238">
        <f t="shared" si="229"/>
        <v>10299</v>
      </c>
      <c r="AF161" s="238">
        <f t="shared" si="229"/>
        <v>10773</v>
      </c>
      <c r="AG161" s="238">
        <f t="shared" si="229"/>
        <v>10933</v>
      </c>
      <c r="AH161" s="238">
        <f t="shared" si="229"/>
        <v>11028</v>
      </c>
      <c r="AI161" s="238">
        <f t="shared" si="229"/>
        <v>11028</v>
      </c>
      <c r="AJ161" s="1211">
        <f t="shared" si="229"/>
        <v>10563</v>
      </c>
      <c r="AK161" s="1212">
        <f t="shared" si="229"/>
        <v>10608</v>
      </c>
      <c r="AL161" s="1212">
        <f t="shared" ref="AL161:BQ161" si="230">SUM(AL152:AL159)</f>
        <v>10810</v>
      </c>
      <c r="AM161" s="1213">
        <f t="shared" si="230"/>
        <v>10443</v>
      </c>
      <c r="AN161" s="238">
        <f t="shared" si="230"/>
        <v>10443</v>
      </c>
      <c r="AO161" s="1211">
        <f t="shared" si="230"/>
        <v>10770</v>
      </c>
      <c r="AP161" s="1212">
        <f t="shared" si="230"/>
        <v>10968</v>
      </c>
      <c r="AQ161" s="1212">
        <f t="shared" si="230"/>
        <v>11134</v>
      </c>
      <c r="AR161" s="1213">
        <f t="shared" si="230"/>
        <v>11498</v>
      </c>
      <c r="AS161" s="238">
        <f t="shared" si="230"/>
        <v>11498</v>
      </c>
      <c r="AT161" s="1211">
        <f t="shared" si="230"/>
        <v>11859</v>
      </c>
      <c r="AU161" s="1212">
        <f t="shared" si="230"/>
        <v>12029</v>
      </c>
      <c r="AV161" s="1212">
        <f t="shared" si="230"/>
        <v>11761</v>
      </c>
      <c r="AW161" s="1213">
        <f t="shared" si="230"/>
        <v>12572</v>
      </c>
      <c r="AX161" s="238">
        <f t="shared" si="230"/>
        <v>12572</v>
      </c>
      <c r="AY161" s="1211">
        <f t="shared" si="230"/>
        <v>12343</v>
      </c>
      <c r="AZ161" s="1212">
        <f t="shared" si="230"/>
        <v>11871</v>
      </c>
      <c r="BA161" s="1212">
        <f t="shared" si="230"/>
        <v>11633</v>
      </c>
      <c r="BB161" s="1213">
        <f t="shared" si="230"/>
        <v>11739</v>
      </c>
      <c r="BC161" s="238">
        <f t="shared" si="230"/>
        <v>11739</v>
      </c>
      <c r="BD161" s="1211">
        <f t="shared" si="230"/>
        <v>11680</v>
      </c>
      <c r="BE161" s="1212">
        <f t="shared" si="230"/>
        <v>11390</v>
      </c>
      <c r="BF161" s="1212">
        <f t="shared" si="230"/>
        <v>11231</v>
      </c>
      <c r="BG161" s="1213">
        <f t="shared" si="230"/>
        <v>9794</v>
      </c>
      <c r="BH161" s="238">
        <f t="shared" si="230"/>
        <v>9794</v>
      </c>
      <c r="BI161" s="1211">
        <f t="shared" si="230"/>
        <v>9943</v>
      </c>
      <c r="BJ161" s="1212">
        <f t="shared" si="230"/>
        <v>9892</v>
      </c>
      <c r="BK161" s="1212">
        <f t="shared" si="230"/>
        <v>8065</v>
      </c>
      <c r="BL161" s="1213">
        <f t="shared" si="230"/>
        <v>8514</v>
      </c>
      <c r="BM161" s="238">
        <f t="shared" si="230"/>
        <v>8514</v>
      </c>
      <c r="BN161" s="1211">
        <f t="shared" si="230"/>
        <v>7876</v>
      </c>
      <c r="BO161" s="1212">
        <f t="shared" si="230"/>
        <v>7732</v>
      </c>
      <c r="BP161" s="1212">
        <f t="shared" si="230"/>
        <v>8019</v>
      </c>
      <c r="BQ161" s="1213">
        <f t="shared" si="230"/>
        <v>6753</v>
      </c>
      <c r="BR161" s="238">
        <f t="shared" ref="BR161:CQ161" si="231">SUM(BR152:BR159)</f>
        <v>6753</v>
      </c>
      <c r="BS161" s="1211">
        <f t="shared" si="231"/>
        <v>6993</v>
      </c>
      <c r="BT161" s="1212">
        <f t="shared" si="231"/>
        <v>7027</v>
      </c>
      <c r="BU161" s="1212">
        <f t="shared" si="231"/>
        <v>6865</v>
      </c>
      <c r="BV161" s="1213">
        <f t="shared" si="231"/>
        <v>6885</v>
      </c>
      <c r="BW161" s="238">
        <f t="shared" si="231"/>
        <v>6885</v>
      </c>
      <c r="BX161" s="1211">
        <f t="shared" si="231"/>
        <v>7012</v>
      </c>
      <c r="BY161" s="1212">
        <f t="shared" si="231"/>
        <v>7025</v>
      </c>
      <c r="BZ161" s="1212">
        <f t="shared" si="231"/>
        <v>7070</v>
      </c>
      <c r="CA161" s="1213">
        <f t="shared" si="231"/>
        <v>6541</v>
      </c>
      <c r="CB161" s="238">
        <f t="shared" si="231"/>
        <v>6541</v>
      </c>
      <c r="CC161" s="1211">
        <f t="shared" si="231"/>
        <v>6154.7328884264434</v>
      </c>
      <c r="CD161" s="1212">
        <f t="shared" si="231"/>
        <v>6754.9174250239803</v>
      </c>
      <c r="CE161" s="1212">
        <f t="shared" si="231"/>
        <v>6330.3011144616239</v>
      </c>
      <c r="CF161" s="1213">
        <f t="shared" si="231"/>
        <v>6836.8521982150451</v>
      </c>
      <c r="CG161" s="238">
        <f t="shared" si="231"/>
        <v>6836.8521982150451</v>
      </c>
      <c r="CH161" s="1211">
        <f t="shared" si="231"/>
        <v>6814.5163725920975</v>
      </c>
      <c r="CI161" s="1212">
        <f t="shared" si="231"/>
        <v>6882.1119942063524</v>
      </c>
      <c r="CJ161" s="1212">
        <f t="shared" si="231"/>
        <v>6707.5272351778685</v>
      </c>
      <c r="CK161" s="1213">
        <f t="shared" si="231"/>
        <v>6792.0529548580271</v>
      </c>
      <c r="CL161" s="238">
        <f t="shared" si="231"/>
        <v>6792.0529548580271</v>
      </c>
      <c r="CM161" s="1211">
        <f t="shared" si="231"/>
        <v>6574.1083328769782</v>
      </c>
      <c r="CN161" s="1212">
        <f t="shared" si="231"/>
        <v>6941.7001060412586</v>
      </c>
      <c r="CO161" s="1212">
        <f t="shared" si="231"/>
        <v>6459.7351082587948</v>
      </c>
      <c r="CP161" s="1213">
        <f t="shared" si="231"/>
        <v>6862.0789569412664</v>
      </c>
      <c r="CQ161" s="1213">
        <f t="shared" si="231"/>
        <v>6862.0789569412664</v>
      </c>
      <c r="CR161" s="109"/>
    </row>
    <row r="162" spans="1:96" ht="6.2" customHeight="1">
      <c r="A162" s="75"/>
      <c r="B162" s="115"/>
      <c r="C162" s="81"/>
      <c r="D162" s="75"/>
      <c r="E162" s="75"/>
      <c r="F162" s="153"/>
      <c r="G162" s="153"/>
      <c r="H162" s="153"/>
      <c r="I162" s="154"/>
      <c r="J162" s="154"/>
      <c r="K162" s="154"/>
      <c r="L162" s="154"/>
      <c r="M162" s="154"/>
      <c r="N162" s="154"/>
      <c r="O162" s="154"/>
      <c r="P162" s="154"/>
      <c r="Q162" s="154"/>
      <c r="R162" s="154"/>
      <c r="S162" s="154"/>
      <c r="T162" s="154"/>
      <c r="U162" s="154"/>
      <c r="V162" s="154"/>
      <c r="W162" s="154"/>
      <c r="X162" s="154"/>
      <c r="Y162" s="154"/>
      <c r="Z162" s="154"/>
      <c r="AA162" s="154"/>
      <c r="AB162" s="154"/>
      <c r="AC162" s="154"/>
      <c r="AD162" s="154"/>
      <c r="AE162" s="154"/>
      <c r="AF162" s="154"/>
      <c r="AG162" s="154"/>
      <c r="AH162" s="154"/>
      <c r="AI162" s="154"/>
      <c r="AJ162" s="1163"/>
      <c r="AK162" s="154"/>
      <c r="AL162" s="154"/>
      <c r="AM162" s="1164"/>
      <c r="AN162" s="154"/>
      <c r="AO162" s="1163"/>
      <c r="AP162" s="154"/>
      <c r="AQ162" s="154"/>
      <c r="AR162" s="1164"/>
      <c r="AS162" s="154"/>
      <c r="AT162" s="1163"/>
      <c r="AU162" s="154"/>
      <c r="AV162" s="154"/>
      <c r="AW162" s="1164"/>
      <c r="AX162" s="154"/>
      <c r="AY162" s="1292"/>
      <c r="AZ162" s="154"/>
      <c r="BA162" s="154"/>
      <c r="BB162" s="1164"/>
      <c r="BC162" s="154"/>
      <c r="BD162" s="1163"/>
      <c r="BE162" s="154"/>
      <c r="BF162" s="154"/>
      <c r="BG162" s="1164"/>
      <c r="BH162" s="154"/>
      <c r="BI162" s="1163"/>
      <c r="BJ162" s="154"/>
      <c r="BK162" s="154"/>
      <c r="BL162" s="1164"/>
      <c r="BM162" s="154"/>
      <c r="BN162" s="1163"/>
      <c r="BO162" s="154"/>
      <c r="BP162" s="154"/>
      <c r="BQ162" s="1164"/>
      <c r="BR162" s="154"/>
      <c r="BS162" s="1345"/>
      <c r="BT162" s="154"/>
      <c r="BU162" s="154"/>
      <c r="BV162" s="1164"/>
      <c r="BW162" s="154"/>
      <c r="BX162" s="1163"/>
      <c r="BY162" s="154"/>
      <c r="BZ162" s="154"/>
      <c r="CA162" s="1164"/>
      <c r="CB162" s="154"/>
      <c r="CC162" s="1163"/>
      <c r="CD162" s="154"/>
      <c r="CE162" s="154"/>
      <c r="CF162" s="1164"/>
      <c r="CG162" s="154"/>
      <c r="CH162" s="1163"/>
      <c r="CI162" s="154"/>
      <c r="CJ162" s="154"/>
      <c r="CK162" s="1164"/>
      <c r="CL162" s="154"/>
      <c r="CM162" s="1163"/>
      <c r="CN162" s="154"/>
      <c r="CO162" s="154"/>
      <c r="CP162" s="1164"/>
      <c r="CQ162" s="1164"/>
      <c r="CR162" s="109"/>
    </row>
    <row r="163" spans="1:96" ht="13.5" customHeight="1">
      <c r="A163" s="75"/>
      <c r="B163" s="75" t="s">
        <v>810</v>
      </c>
      <c r="C163" s="81"/>
      <c r="D163" s="75"/>
      <c r="E163" s="75"/>
      <c r="F163" s="650">
        <v>242</v>
      </c>
      <c r="G163" s="650">
        <v>242</v>
      </c>
      <c r="H163" s="650">
        <v>231</v>
      </c>
      <c r="I163" s="650">
        <v>226</v>
      </c>
      <c r="J163" s="109">
        <f t="shared" ref="J163:J169" si="232">+I163</f>
        <v>226</v>
      </c>
      <c r="K163" s="650">
        <v>222</v>
      </c>
      <c r="L163" s="650">
        <v>218</v>
      </c>
      <c r="M163" s="650">
        <v>216</v>
      </c>
      <c r="N163" s="650">
        <v>216</v>
      </c>
      <c r="O163" s="109">
        <f t="shared" ref="O163:O169" si="233">N163</f>
        <v>216</v>
      </c>
      <c r="P163" s="650">
        <v>216</v>
      </c>
      <c r="Q163" s="650">
        <v>216</v>
      </c>
      <c r="R163" s="650">
        <v>216</v>
      </c>
      <c r="S163" s="650">
        <v>216</v>
      </c>
      <c r="T163" s="109">
        <f t="shared" ref="T163:T169" si="234">S163</f>
        <v>216</v>
      </c>
      <c r="U163" s="650">
        <v>216</v>
      </c>
      <c r="V163" s="650">
        <v>0</v>
      </c>
      <c r="W163" s="650">
        <v>0</v>
      </c>
      <c r="X163" s="109">
        <f>W163</f>
        <v>0</v>
      </c>
      <c r="Y163" s="109">
        <f>X163</f>
        <v>0</v>
      </c>
      <c r="Z163" s="650">
        <v>0</v>
      </c>
      <c r="AA163" s="109">
        <f>Z163</f>
        <v>0</v>
      </c>
      <c r="AB163" s="109">
        <f>AA163</f>
        <v>0</v>
      </c>
      <c r="AC163" s="109">
        <f>AB163</f>
        <v>0</v>
      </c>
      <c r="AD163" s="109">
        <f>AC163</f>
        <v>0</v>
      </c>
      <c r="AE163" s="109">
        <f>AC163</f>
        <v>0</v>
      </c>
      <c r="AF163" s="109">
        <f>AE163</f>
        <v>0</v>
      </c>
      <c r="AG163" s="109">
        <f>AF163</f>
        <v>0</v>
      </c>
      <c r="AH163" s="109">
        <f>AG163</f>
        <v>0</v>
      </c>
      <c r="AI163" s="109">
        <f>AH163</f>
        <v>0</v>
      </c>
      <c r="AJ163" s="918">
        <f>AH163</f>
        <v>0</v>
      </c>
      <c r="AK163" s="216">
        <f>AJ163</f>
        <v>0</v>
      </c>
      <c r="AL163" s="216">
        <f>AK163</f>
        <v>0</v>
      </c>
      <c r="AM163" s="919">
        <f>AL163</f>
        <v>0</v>
      </c>
      <c r="AN163" s="109">
        <f>AM163</f>
        <v>0</v>
      </c>
      <c r="AO163" s="918">
        <f>AM163</f>
        <v>0</v>
      </c>
      <c r="AP163" s="216">
        <f>AO163</f>
        <v>0</v>
      </c>
      <c r="AQ163" s="646">
        <v>0</v>
      </c>
      <c r="AR163" s="919">
        <f>AQ163</f>
        <v>0</v>
      </c>
      <c r="AS163" s="109">
        <f>AR163</f>
        <v>0</v>
      </c>
      <c r="AT163" s="918">
        <f>AR163</f>
        <v>0</v>
      </c>
      <c r="AU163" s="216">
        <f>AT163</f>
        <v>0</v>
      </c>
      <c r="AV163" s="216">
        <f>AU163</f>
        <v>0</v>
      </c>
      <c r="AW163" s="919">
        <f>AV163</f>
        <v>0</v>
      </c>
      <c r="AX163" s="109">
        <f>AW163</f>
        <v>0</v>
      </c>
      <c r="AY163" s="1288">
        <v>0</v>
      </c>
      <c r="AZ163" s="647">
        <v>0</v>
      </c>
      <c r="BA163" s="216">
        <f>AZ163</f>
        <v>0</v>
      </c>
      <c r="BB163" s="1188">
        <v>0</v>
      </c>
      <c r="BC163" s="109">
        <f t="shared" ref="BC163:BC169" si="235">BB163</f>
        <v>0</v>
      </c>
      <c r="BD163" s="1187">
        <v>0</v>
      </c>
      <c r="BE163" s="646">
        <v>0</v>
      </c>
      <c r="BF163" s="646">
        <v>0</v>
      </c>
      <c r="BG163" s="1188">
        <v>0</v>
      </c>
      <c r="BH163" s="109">
        <f t="shared" ref="BH163:BH169" si="236">BG163</f>
        <v>0</v>
      </c>
      <c r="BI163" s="1187">
        <v>0</v>
      </c>
      <c r="BJ163" s="646">
        <v>0</v>
      </c>
      <c r="BK163" s="646">
        <v>0</v>
      </c>
      <c r="BL163" s="1188">
        <v>0</v>
      </c>
      <c r="BM163" s="109">
        <f>BL163</f>
        <v>0</v>
      </c>
      <c r="BN163" s="1187">
        <v>0</v>
      </c>
      <c r="BO163" s="647">
        <v>0</v>
      </c>
      <c r="BP163" s="647">
        <v>0</v>
      </c>
      <c r="BQ163" s="1286">
        <v>0</v>
      </c>
      <c r="BR163" s="109">
        <f>BQ163</f>
        <v>0</v>
      </c>
      <c r="BS163" s="1288">
        <v>0</v>
      </c>
      <c r="BT163" s="647">
        <v>0</v>
      </c>
      <c r="BU163" s="647">
        <v>0</v>
      </c>
      <c r="BV163" s="1286">
        <v>0</v>
      </c>
      <c r="BW163" s="109">
        <f>BV163</f>
        <v>0</v>
      </c>
      <c r="BX163" s="1363">
        <f>BW163</f>
        <v>0</v>
      </c>
      <c r="BY163" s="1364">
        <v>0</v>
      </c>
      <c r="BZ163" s="1364">
        <v>0</v>
      </c>
      <c r="CA163" s="1188">
        <v>0</v>
      </c>
      <c r="CB163" s="109">
        <f t="shared" ref="CB163:CB170" si="237">CA163</f>
        <v>0</v>
      </c>
      <c r="CC163" s="918">
        <f>CA163</f>
        <v>0</v>
      </c>
      <c r="CD163" s="216">
        <f t="shared" ref="CD163:CF164" si="238">CC163</f>
        <v>0</v>
      </c>
      <c r="CE163" s="216">
        <f t="shared" si="238"/>
        <v>0</v>
      </c>
      <c r="CF163" s="919">
        <f t="shared" si="238"/>
        <v>0</v>
      </c>
      <c r="CG163" s="109">
        <f t="shared" ref="CG163:CG170" si="239">CF163</f>
        <v>0</v>
      </c>
      <c r="CH163" s="918">
        <f>CF163</f>
        <v>0</v>
      </c>
      <c r="CI163" s="216">
        <f t="shared" ref="CI163:CK164" si="240">CH163</f>
        <v>0</v>
      </c>
      <c r="CJ163" s="216">
        <f t="shared" si="240"/>
        <v>0</v>
      </c>
      <c r="CK163" s="919">
        <f t="shared" si="240"/>
        <v>0</v>
      </c>
      <c r="CL163" s="109">
        <f t="shared" ref="CL163:CL170" si="241">CK163</f>
        <v>0</v>
      </c>
      <c r="CM163" s="918">
        <f>CK163</f>
        <v>0</v>
      </c>
      <c r="CN163" s="216">
        <f t="shared" ref="CN163:CN164" si="242">CM163</f>
        <v>0</v>
      </c>
      <c r="CO163" s="216">
        <f t="shared" ref="CO163:CO164" si="243">CN163</f>
        <v>0</v>
      </c>
      <c r="CP163" s="919">
        <f t="shared" ref="CP163:CP164" si="244">CO163</f>
        <v>0</v>
      </c>
      <c r="CQ163" s="919">
        <f t="shared" ref="CQ163:CQ170" si="245">CP163</f>
        <v>0</v>
      </c>
      <c r="CR163" s="109"/>
    </row>
    <row r="164" spans="1:96" ht="13.5" customHeight="1">
      <c r="A164" s="75"/>
      <c r="B164" s="75" t="s">
        <v>811</v>
      </c>
      <c r="C164" s="81"/>
      <c r="D164" s="75"/>
      <c r="E164" s="75"/>
      <c r="F164" s="650">
        <v>103</v>
      </c>
      <c r="G164" s="650">
        <v>103</v>
      </c>
      <c r="H164" s="650">
        <v>103</v>
      </c>
      <c r="I164" s="650">
        <v>104</v>
      </c>
      <c r="J164" s="109">
        <f t="shared" si="232"/>
        <v>104</v>
      </c>
      <c r="K164" s="650">
        <v>113</v>
      </c>
      <c r="L164" s="650">
        <v>113</v>
      </c>
      <c r="M164" s="650">
        <v>114</v>
      </c>
      <c r="N164" s="650">
        <v>114</v>
      </c>
      <c r="O164" s="109">
        <f t="shared" si="233"/>
        <v>114</v>
      </c>
      <c r="P164" s="650">
        <v>114</v>
      </c>
      <c r="Q164" s="650">
        <v>114</v>
      </c>
      <c r="R164" s="650">
        <v>115</v>
      </c>
      <c r="S164" s="650">
        <v>115</v>
      </c>
      <c r="T164" s="109">
        <f t="shared" si="234"/>
        <v>115</v>
      </c>
      <c r="U164" s="650">
        <v>115</v>
      </c>
      <c r="V164" s="650">
        <v>124</v>
      </c>
      <c r="W164" s="650">
        <v>124</v>
      </c>
      <c r="X164" s="650">
        <v>124</v>
      </c>
      <c r="Y164" s="109">
        <f t="shared" ref="Y164:Y169" si="246">X164</f>
        <v>124</v>
      </c>
      <c r="Z164" s="650">
        <v>124</v>
      </c>
      <c r="AA164" s="650">
        <v>124</v>
      </c>
      <c r="AB164" s="650">
        <v>124</v>
      </c>
      <c r="AC164" s="650">
        <v>124</v>
      </c>
      <c r="AD164" s="109">
        <f t="shared" ref="AD164:AD169" si="247">AC164</f>
        <v>124</v>
      </c>
      <c r="AE164" s="650">
        <v>124</v>
      </c>
      <c r="AF164" s="650">
        <v>124</v>
      </c>
      <c r="AG164" s="650">
        <v>124</v>
      </c>
      <c r="AH164" s="650">
        <v>124</v>
      </c>
      <c r="AI164" s="109">
        <f t="shared" ref="AI164:AI169" si="248">AH164</f>
        <v>124</v>
      </c>
      <c r="AJ164" s="1187">
        <v>124</v>
      </c>
      <c r="AK164" s="646">
        <v>151</v>
      </c>
      <c r="AL164" s="646">
        <v>151</v>
      </c>
      <c r="AM164" s="1188">
        <v>151</v>
      </c>
      <c r="AN164" s="109">
        <f t="shared" ref="AN164:AN169" si="249">AM164</f>
        <v>151</v>
      </c>
      <c r="AO164" s="1187">
        <v>151</v>
      </c>
      <c r="AP164" s="646">
        <v>151</v>
      </c>
      <c r="AQ164" s="646">
        <v>151</v>
      </c>
      <c r="AR164" s="919">
        <f>AQ164</f>
        <v>151</v>
      </c>
      <c r="AS164" s="109">
        <f>AR164</f>
        <v>151</v>
      </c>
      <c r="AT164" s="1187">
        <v>151</v>
      </c>
      <c r="AU164" s="647">
        <v>151</v>
      </c>
      <c r="AV164" s="647">
        <v>151</v>
      </c>
      <c r="AW164" s="919">
        <f>AV164</f>
        <v>151</v>
      </c>
      <c r="AX164" s="109">
        <f>AW164</f>
        <v>151</v>
      </c>
      <c r="AY164" s="1288">
        <v>151</v>
      </c>
      <c r="AZ164" s="647">
        <v>151</v>
      </c>
      <c r="BA164" s="646">
        <v>151</v>
      </c>
      <c r="BB164" s="1188">
        <v>151</v>
      </c>
      <c r="BC164" s="109">
        <f t="shared" si="235"/>
        <v>151</v>
      </c>
      <c r="BD164" s="1288">
        <v>151</v>
      </c>
      <c r="BE164" s="647">
        <v>151</v>
      </c>
      <c r="BF164" s="647">
        <v>151</v>
      </c>
      <c r="BG164" s="1286">
        <v>151</v>
      </c>
      <c r="BH164" s="109">
        <f t="shared" si="236"/>
        <v>151</v>
      </c>
      <c r="BI164" s="1187">
        <v>151</v>
      </c>
      <c r="BJ164" s="646">
        <v>151</v>
      </c>
      <c r="BK164" s="647">
        <v>151</v>
      </c>
      <c r="BL164" s="1286">
        <v>151</v>
      </c>
      <c r="BM164" s="109">
        <f>BL164</f>
        <v>151</v>
      </c>
      <c r="BN164" s="1187">
        <v>151</v>
      </c>
      <c r="BO164" s="647">
        <v>151</v>
      </c>
      <c r="BP164" s="647">
        <v>151</v>
      </c>
      <c r="BQ164" s="1286">
        <v>151</v>
      </c>
      <c r="BR164" s="109">
        <f>BQ164</f>
        <v>151</v>
      </c>
      <c r="BS164" s="1288">
        <v>151</v>
      </c>
      <c r="BT164" s="647">
        <v>151</v>
      </c>
      <c r="BU164" s="647">
        <v>176</v>
      </c>
      <c r="BV164" s="1286">
        <v>176</v>
      </c>
      <c r="BW164" s="109">
        <f>BV164</f>
        <v>176</v>
      </c>
      <c r="BX164" s="1363">
        <v>176</v>
      </c>
      <c r="BY164" s="1364">
        <v>176</v>
      </c>
      <c r="BZ164" s="1364">
        <v>176</v>
      </c>
      <c r="CA164" s="1286">
        <v>176</v>
      </c>
      <c r="CB164" s="109">
        <f t="shared" si="237"/>
        <v>176</v>
      </c>
      <c r="CC164" s="918">
        <f>CA164</f>
        <v>176</v>
      </c>
      <c r="CD164" s="216">
        <f t="shared" si="238"/>
        <v>176</v>
      </c>
      <c r="CE164" s="216">
        <f t="shared" si="238"/>
        <v>176</v>
      </c>
      <c r="CF164" s="919">
        <f t="shared" si="238"/>
        <v>176</v>
      </c>
      <c r="CG164" s="109">
        <f t="shared" si="239"/>
        <v>176</v>
      </c>
      <c r="CH164" s="918">
        <f>CF164</f>
        <v>176</v>
      </c>
      <c r="CI164" s="216">
        <f t="shared" si="240"/>
        <v>176</v>
      </c>
      <c r="CJ164" s="216">
        <f t="shared" si="240"/>
        <v>176</v>
      </c>
      <c r="CK164" s="919">
        <f t="shared" si="240"/>
        <v>176</v>
      </c>
      <c r="CL164" s="109">
        <f t="shared" si="241"/>
        <v>176</v>
      </c>
      <c r="CM164" s="918">
        <f>CK164</f>
        <v>176</v>
      </c>
      <c r="CN164" s="216">
        <f t="shared" si="242"/>
        <v>176</v>
      </c>
      <c r="CO164" s="216">
        <f t="shared" si="243"/>
        <v>176</v>
      </c>
      <c r="CP164" s="919">
        <f t="shared" si="244"/>
        <v>176</v>
      </c>
      <c r="CQ164" s="109">
        <f t="shared" si="245"/>
        <v>176</v>
      </c>
      <c r="CR164" s="918"/>
    </row>
    <row r="165" spans="1:96" ht="13.5" customHeight="1">
      <c r="A165" s="75"/>
      <c r="B165" s="75" t="s">
        <v>812</v>
      </c>
      <c r="C165" s="81"/>
      <c r="D165" s="75"/>
      <c r="E165" s="75"/>
      <c r="F165" s="650">
        <v>2692</v>
      </c>
      <c r="G165" s="650">
        <v>2695</v>
      </c>
      <c r="H165" s="650">
        <v>2679</v>
      </c>
      <c r="I165" s="650">
        <v>2687</v>
      </c>
      <c r="J165" s="109">
        <f t="shared" si="232"/>
        <v>2687</v>
      </c>
      <c r="K165" s="650">
        <v>3012</v>
      </c>
      <c r="L165" s="650">
        <v>3004</v>
      </c>
      <c r="M165" s="650">
        <v>3023</v>
      </c>
      <c r="N165" s="650">
        <v>3041</v>
      </c>
      <c r="O165" s="109">
        <f t="shared" si="233"/>
        <v>3041</v>
      </c>
      <c r="P165" s="650">
        <v>3048</v>
      </c>
      <c r="Q165" s="650">
        <v>3049</v>
      </c>
      <c r="R165" s="650">
        <v>3060</v>
      </c>
      <c r="S165" s="650">
        <v>3061</v>
      </c>
      <c r="T165" s="109">
        <f t="shared" si="234"/>
        <v>3061</v>
      </c>
      <c r="U165" s="650">
        <v>3061</v>
      </c>
      <c r="V165" s="650">
        <v>2946</v>
      </c>
      <c r="W165" s="650">
        <v>2942</v>
      </c>
      <c r="X165" s="650">
        <v>2942</v>
      </c>
      <c r="Y165" s="109">
        <f t="shared" si="246"/>
        <v>2942</v>
      </c>
      <c r="Z165" s="650">
        <v>2949</v>
      </c>
      <c r="AA165" s="650">
        <v>2954</v>
      </c>
      <c r="AB165" s="650">
        <v>2951</v>
      </c>
      <c r="AC165" s="650">
        <v>2955</v>
      </c>
      <c r="AD165" s="109">
        <f t="shared" si="247"/>
        <v>2955</v>
      </c>
      <c r="AE165" s="650">
        <v>2962</v>
      </c>
      <c r="AF165" s="650">
        <v>2972</v>
      </c>
      <c r="AG165" s="650">
        <v>2982</v>
      </c>
      <c r="AH165" s="650">
        <v>2986</v>
      </c>
      <c r="AI165" s="109">
        <f t="shared" si="248"/>
        <v>2986</v>
      </c>
      <c r="AJ165" s="1187">
        <v>2998</v>
      </c>
      <c r="AK165" s="646">
        <v>3637</v>
      </c>
      <c r="AL165" s="646">
        <v>3648</v>
      </c>
      <c r="AM165" s="1188">
        <v>3652</v>
      </c>
      <c r="AN165" s="109">
        <f t="shared" si="249"/>
        <v>3652</v>
      </c>
      <c r="AO165" s="1187">
        <v>3653</v>
      </c>
      <c r="AP165" s="646">
        <v>3637</v>
      </c>
      <c r="AQ165" s="646">
        <v>3645</v>
      </c>
      <c r="AR165" s="919">
        <f>AQ165+AR246</f>
        <v>3647</v>
      </c>
      <c r="AS165" s="109">
        <f t="shared" ref="AS165:AS170" si="250">AR165</f>
        <v>3647</v>
      </c>
      <c r="AT165" s="1187">
        <v>3654</v>
      </c>
      <c r="AU165" s="647">
        <v>3635</v>
      </c>
      <c r="AV165" s="647">
        <v>3643</v>
      </c>
      <c r="AW165" s="1188">
        <v>3650</v>
      </c>
      <c r="AX165" s="109">
        <f t="shared" ref="AX165:AX170" si="251">AW165</f>
        <v>3650</v>
      </c>
      <c r="AY165" s="1288">
        <v>3658</v>
      </c>
      <c r="AZ165" s="647">
        <v>3633</v>
      </c>
      <c r="BA165" s="646">
        <v>3642</v>
      </c>
      <c r="BB165" s="1188">
        <v>3652</v>
      </c>
      <c r="BC165" s="109">
        <f t="shared" si="235"/>
        <v>3652</v>
      </c>
      <c r="BD165" s="1288">
        <v>3693</v>
      </c>
      <c r="BE165" s="647">
        <v>3656</v>
      </c>
      <c r="BF165" s="647">
        <v>3665</v>
      </c>
      <c r="BG165" s="1286">
        <v>3667</v>
      </c>
      <c r="BH165" s="109">
        <f t="shared" si="236"/>
        <v>3667</v>
      </c>
      <c r="BI165" s="1187">
        <v>3675</v>
      </c>
      <c r="BJ165" s="646">
        <v>3638</v>
      </c>
      <c r="BK165" s="647">
        <v>3623</v>
      </c>
      <c r="BL165" s="1286">
        <f>3623</f>
        <v>3623</v>
      </c>
      <c r="BM165" s="109">
        <f t="shared" ref="BM165:BM170" si="252">BL165</f>
        <v>3623</v>
      </c>
      <c r="BN165" s="1187">
        <v>3633</v>
      </c>
      <c r="BO165" s="647">
        <v>3596</v>
      </c>
      <c r="BP165" s="647">
        <v>3598</v>
      </c>
      <c r="BQ165" s="1286">
        <v>3603</v>
      </c>
      <c r="BR165" s="109">
        <f t="shared" ref="BR165:BR170" si="253">BQ165</f>
        <v>3603</v>
      </c>
      <c r="BS165" s="1288">
        <v>3594</v>
      </c>
      <c r="BT165" s="647">
        <v>3555</v>
      </c>
      <c r="BU165" s="647">
        <v>4092</v>
      </c>
      <c r="BV165" s="1286">
        <v>4027</v>
      </c>
      <c r="BW165" s="109">
        <f t="shared" ref="BW165:BW170" si="254">BV165</f>
        <v>4027</v>
      </c>
      <c r="BX165" s="1363">
        <v>3969</v>
      </c>
      <c r="BY165" s="1364">
        <v>3942</v>
      </c>
      <c r="BZ165" s="1364">
        <v>3937</v>
      </c>
      <c r="CA165" s="1286">
        <v>3932</v>
      </c>
      <c r="CB165" s="109">
        <f t="shared" si="237"/>
        <v>3932</v>
      </c>
      <c r="CC165" s="918">
        <f>CA165+CC246</f>
        <v>3932</v>
      </c>
      <c r="CD165" s="216">
        <f>CC165+CD246</f>
        <v>3932</v>
      </c>
      <c r="CE165" s="216">
        <f>CD165+CE246</f>
        <v>3932</v>
      </c>
      <c r="CF165" s="919">
        <f>CE165+CF246</f>
        <v>3932</v>
      </c>
      <c r="CG165" s="109">
        <f t="shared" si="239"/>
        <v>3932</v>
      </c>
      <c r="CH165" s="918">
        <f>CF165+CH246</f>
        <v>3932</v>
      </c>
      <c r="CI165" s="216">
        <f>CH165+CI246</f>
        <v>3932</v>
      </c>
      <c r="CJ165" s="216">
        <f>CI165+CJ246</f>
        <v>3932</v>
      </c>
      <c r="CK165" s="919">
        <f>CJ165+CK246</f>
        <v>3932</v>
      </c>
      <c r="CL165" s="109">
        <f t="shared" si="241"/>
        <v>3932</v>
      </c>
      <c r="CM165" s="918">
        <f>CK165+CM246</f>
        <v>3932</v>
      </c>
      <c r="CN165" s="216">
        <f>CM165+CN246</f>
        <v>3932</v>
      </c>
      <c r="CO165" s="216">
        <f>CN165+CO246</f>
        <v>3932</v>
      </c>
      <c r="CP165" s="919">
        <f>CO165+CP246</f>
        <v>3932</v>
      </c>
      <c r="CQ165" s="109">
        <f t="shared" si="245"/>
        <v>3932</v>
      </c>
      <c r="CR165" s="918"/>
    </row>
    <row r="166" spans="1:96" ht="13.5" customHeight="1">
      <c r="A166" s="75"/>
      <c r="B166" s="75" t="s">
        <v>813</v>
      </c>
      <c r="C166" s="81"/>
      <c r="D166" s="75"/>
      <c r="E166" s="75"/>
      <c r="F166" s="650">
        <v>-4</v>
      </c>
      <c r="G166" s="650">
        <v>-62</v>
      </c>
      <c r="H166" s="650">
        <v>-399</v>
      </c>
      <c r="I166" s="650">
        <v>-421</v>
      </c>
      <c r="J166" s="109">
        <f t="shared" si="232"/>
        <v>-421</v>
      </c>
      <c r="K166" s="627">
        <f>-363+72</f>
        <v>-291</v>
      </c>
      <c r="L166" s="627">
        <f>-152+116</f>
        <v>-36</v>
      </c>
      <c r="M166" s="627">
        <f>193+121</f>
        <v>314</v>
      </c>
      <c r="N166" s="627">
        <f>651+104</f>
        <v>755</v>
      </c>
      <c r="O166" s="109">
        <f t="shared" si="233"/>
        <v>755</v>
      </c>
      <c r="P166" s="650">
        <f>1093+108</f>
        <v>1201</v>
      </c>
      <c r="Q166" s="650">
        <f>1322+112</f>
        <v>1434</v>
      </c>
      <c r="R166" s="650">
        <f>1413+98</f>
        <v>1511</v>
      </c>
      <c r="S166" s="650">
        <v>1605</v>
      </c>
      <c r="T166" s="109">
        <f t="shared" si="234"/>
        <v>1605</v>
      </c>
      <c r="U166" s="650">
        <v>1846</v>
      </c>
      <c r="V166" s="650">
        <v>2229</v>
      </c>
      <c r="W166" s="650">
        <v>2628</v>
      </c>
      <c r="X166" s="650">
        <v>2902</v>
      </c>
      <c r="Y166" s="109">
        <f t="shared" si="246"/>
        <v>2902</v>
      </c>
      <c r="Z166" s="650">
        <v>3148</v>
      </c>
      <c r="AA166" s="650">
        <v>3426</v>
      </c>
      <c r="AB166" s="650">
        <v>3672</v>
      </c>
      <c r="AC166" s="650">
        <v>3683</v>
      </c>
      <c r="AD166" s="109">
        <f t="shared" si="247"/>
        <v>3683</v>
      </c>
      <c r="AE166" s="650">
        <v>3888</v>
      </c>
      <c r="AF166" s="650">
        <v>4527</v>
      </c>
      <c r="AG166" s="650">
        <v>5410</v>
      </c>
      <c r="AH166" s="650">
        <v>5666</v>
      </c>
      <c r="AI166" s="109">
        <f t="shared" si="248"/>
        <v>5666</v>
      </c>
      <c r="AJ166" s="1187">
        <v>5192</v>
      </c>
      <c r="AK166" s="646">
        <v>4793</v>
      </c>
      <c r="AL166" s="646">
        <v>4483</v>
      </c>
      <c r="AM166" s="1188">
        <v>4209</v>
      </c>
      <c r="AN166" s="109">
        <f t="shared" si="249"/>
        <v>4209</v>
      </c>
      <c r="AO166" s="1187">
        <v>4044</v>
      </c>
      <c r="AP166" s="646">
        <v>4012</v>
      </c>
      <c r="AQ166" s="646">
        <v>3953</v>
      </c>
      <c r="AR166" s="919">
        <f>AQ166+AR92+AR253</f>
        <v>3697</v>
      </c>
      <c r="AS166" s="109">
        <f t="shared" si="250"/>
        <v>3697</v>
      </c>
      <c r="AT166" s="1187">
        <v>3604</v>
      </c>
      <c r="AU166" s="647">
        <v>3819</v>
      </c>
      <c r="AV166" s="647">
        <v>3834</v>
      </c>
      <c r="AW166" s="1188">
        <v>3616</v>
      </c>
      <c r="AX166" s="109">
        <f t="shared" si="251"/>
        <v>3616</v>
      </c>
      <c r="AY166" s="1288">
        <v>3390</v>
      </c>
      <c r="AZ166" s="647">
        <v>3484</v>
      </c>
      <c r="BA166" s="646">
        <v>3520</v>
      </c>
      <c r="BB166" s="1188">
        <v>3463</v>
      </c>
      <c r="BC166" s="109">
        <f t="shared" si="235"/>
        <v>3463</v>
      </c>
      <c r="BD166" s="1288">
        <v>3382</v>
      </c>
      <c r="BE166" s="647">
        <v>3296</v>
      </c>
      <c r="BF166" s="647">
        <v>1497</v>
      </c>
      <c r="BG166" s="1286">
        <v>1762</v>
      </c>
      <c r="BH166" s="109">
        <f t="shared" si="236"/>
        <v>1762</v>
      </c>
      <c r="BI166" s="1187">
        <v>1807</v>
      </c>
      <c r="BJ166" s="646">
        <v>1808</v>
      </c>
      <c r="BK166" s="647">
        <v>1594</v>
      </c>
      <c r="BL166" s="1286">
        <v>1862</v>
      </c>
      <c r="BM166" s="109">
        <f t="shared" si="252"/>
        <v>1862</v>
      </c>
      <c r="BN166" s="1187">
        <v>1779</v>
      </c>
      <c r="BO166" s="647">
        <v>1510</v>
      </c>
      <c r="BP166" s="647">
        <v>1331</v>
      </c>
      <c r="BQ166" s="1286">
        <v>190</v>
      </c>
      <c r="BR166" s="109">
        <f t="shared" si="253"/>
        <v>190</v>
      </c>
      <c r="BS166" s="1288">
        <v>-157</v>
      </c>
      <c r="BT166" s="647">
        <v>-197</v>
      </c>
      <c r="BU166" s="647">
        <v>-145</v>
      </c>
      <c r="BV166" s="1286">
        <v>-250</v>
      </c>
      <c r="BW166" s="109">
        <f t="shared" si="254"/>
        <v>-250</v>
      </c>
      <c r="BX166" s="1363">
        <v>-425</v>
      </c>
      <c r="BY166" s="1364">
        <v>-165</v>
      </c>
      <c r="BZ166" s="1364">
        <v>-18</v>
      </c>
      <c r="CA166" s="1286">
        <v>133</v>
      </c>
      <c r="CB166" s="109">
        <f t="shared" si="237"/>
        <v>133</v>
      </c>
      <c r="CC166" s="918">
        <f>CA166+CC92+CC253</f>
        <v>163.15077373161461</v>
      </c>
      <c r="CD166" s="216">
        <f>CC166+CD92+CD253</f>
        <v>407.7039863797508</v>
      </c>
      <c r="CE166" s="216">
        <f>CD166+CE92+CE253</f>
        <v>733.34203031589448</v>
      </c>
      <c r="CF166" s="919">
        <f>CE166+CF92+CF253</f>
        <v>992.39680519832461</v>
      </c>
      <c r="CG166" s="109">
        <f t="shared" si="239"/>
        <v>992.39680519832461</v>
      </c>
      <c r="CH166" s="918">
        <f>CF166+CH92+CH253</f>
        <v>1098.556316269495</v>
      </c>
      <c r="CI166" s="216">
        <f>CH166+CI92+CI253</f>
        <v>1432.7159275337958</v>
      </c>
      <c r="CJ166" s="216">
        <f>CI166+CJ92+CJ253</f>
        <v>1743.688071648877</v>
      </c>
      <c r="CK166" s="919">
        <f>CJ166+CK92+CK253</f>
        <v>2039.4744942174293</v>
      </c>
      <c r="CL166" s="109">
        <f t="shared" si="241"/>
        <v>2039.4744942174293</v>
      </c>
      <c r="CM166" s="918">
        <f>CK166+CM92+CM253</f>
        <v>2166.2289510401115</v>
      </c>
      <c r="CN166" s="216">
        <f>CM166+CN92+CN253</f>
        <v>2420.5476106986071</v>
      </c>
      <c r="CO166" s="216">
        <f>CN166+CO92+CO253</f>
        <v>2619.6293014905204</v>
      </c>
      <c r="CP166" s="919">
        <f>CO166+CP92+CP253</f>
        <v>2810.0939971241846</v>
      </c>
      <c r="CQ166" s="109">
        <f t="shared" si="245"/>
        <v>2810.0939971241846</v>
      </c>
      <c r="CR166" s="918"/>
    </row>
    <row r="167" spans="1:96" ht="13.5" customHeight="1">
      <c r="A167" s="75"/>
      <c r="B167" s="75" t="s">
        <v>814</v>
      </c>
      <c r="C167" s="81"/>
      <c r="D167" s="75"/>
      <c r="E167" s="75"/>
      <c r="F167" s="650">
        <v>-1</v>
      </c>
      <c r="G167" s="650">
        <v>-1</v>
      </c>
      <c r="H167" s="650">
        <v>-1</v>
      </c>
      <c r="I167" s="650">
        <v>-2</v>
      </c>
      <c r="J167" s="109">
        <f t="shared" si="232"/>
        <v>-2</v>
      </c>
      <c r="K167" s="650">
        <v>-2</v>
      </c>
      <c r="L167" s="650">
        <v>2</v>
      </c>
      <c r="M167" s="650">
        <v>-3</v>
      </c>
      <c r="N167" s="650">
        <v>0</v>
      </c>
      <c r="O167" s="109">
        <f t="shared" si="233"/>
        <v>0</v>
      </c>
      <c r="P167" s="650">
        <v>-2</v>
      </c>
      <c r="Q167" s="650">
        <v>-2</v>
      </c>
      <c r="R167" s="650">
        <v>-2</v>
      </c>
      <c r="S167" s="650">
        <v>-2</v>
      </c>
      <c r="T167" s="109">
        <f t="shared" si="234"/>
        <v>-2</v>
      </c>
      <c r="U167" s="650">
        <v>0</v>
      </c>
      <c r="V167" s="650">
        <v>0</v>
      </c>
      <c r="W167" s="650">
        <v>0</v>
      </c>
      <c r="X167" s="650">
        <v>0</v>
      </c>
      <c r="Y167" s="109">
        <f t="shared" si="246"/>
        <v>0</v>
      </c>
      <c r="Z167" s="650">
        <v>0</v>
      </c>
      <c r="AA167" s="109">
        <f>Z167</f>
        <v>0</v>
      </c>
      <c r="AB167" s="109">
        <f>AA167</f>
        <v>0</v>
      </c>
      <c r="AC167" s="109">
        <f>AB167</f>
        <v>0</v>
      </c>
      <c r="AD167" s="109">
        <f t="shared" si="247"/>
        <v>0</v>
      </c>
      <c r="AE167" s="650">
        <v>0</v>
      </c>
      <c r="AF167" s="109">
        <f>AE167</f>
        <v>0</v>
      </c>
      <c r="AG167" s="109">
        <f>AF167</f>
        <v>0</v>
      </c>
      <c r="AH167" s="109">
        <f>AG167</f>
        <v>0</v>
      </c>
      <c r="AI167" s="109">
        <f t="shared" si="248"/>
        <v>0</v>
      </c>
      <c r="AJ167" s="918">
        <f>AH167</f>
        <v>0</v>
      </c>
      <c r="AK167" s="216">
        <f>AJ167</f>
        <v>0</v>
      </c>
      <c r="AL167" s="216">
        <f>AK167</f>
        <v>0</v>
      </c>
      <c r="AM167" s="919">
        <f>AL167</f>
        <v>0</v>
      </c>
      <c r="AN167" s="109">
        <f t="shared" si="249"/>
        <v>0</v>
      </c>
      <c r="AO167" s="918">
        <f>AM167</f>
        <v>0</v>
      </c>
      <c r="AP167" s="216">
        <f>AO167</f>
        <v>0</v>
      </c>
      <c r="AQ167" s="216">
        <f>AP167</f>
        <v>0</v>
      </c>
      <c r="AR167" s="919">
        <f>AQ167</f>
        <v>0</v>
      </c>
      <c r="AS167" s="109">
        <f t="shared" si="250"/>
        <v>0</v>
      </c>
      <c r="AT167" s="918">
        <f>AR167</f>
        <v>0</v>
      </c>
      <c r="AU167" s="216">
        <f>AT167</f>
        <v>0</v>
      </c>
      <c r="AV167" s="216">
        <f>AU167</f>
        <v>0</v>
      </c>
      <c r="AW167" s="919">
        <f>AV167</f>
        <v>0</v>
      </c>
      <c r="AX167" s="109">
        <f t="shared" si="251"/>
        <v>0</v>
      </c>
      <c r="AY167" s="1288">
        <v>0</v>
      </c>
      <c r="AZ167" s="647">
        <v>0</v>
      </c>
      <c r="BA167" s="216">
        <f>AZ167</f>
        <v>0</v>
      </c>
      <c r="BB167" s="1188">
        <v>0</v>
      </c>
      <c r="BC167" s="109">
        <f t="shared" si="235"/>
        <v>0</v>
      </c>
      <c r="BD167" s="1288">
        <v>0</v>
      </c>
      <c r="BE167" s="646">
        <v>0</v>
      </c>
      <c r="BF167" s="646">
        <v>0</v>
      </c>
      <c r="BG167" s="1286">
        <v>0</v>
      </c>
      <c r="BH167" s="109">
        <f t="shared" si="236"/>
        <v>0</v>
      </c>
      <c r="BI167" s="1187">
        <v>0</v>
      </c>
      <c r="BJ167" s="646">
        <v>0</v>
      </c>
      <c r="BK167" s="647">
        <v>0</v>
      </c>
      <c r="BL167" s="1286">
        <v>0</v>
      </c>
      <c r="BM167" s="109">
        <f t="shared" si="252"/>
        <v>0</v>
      </c>
      <c r="BN167" s="1187">
        <v>0</v>
      </c>
      <c r="BO167" s="647">
        <v>0</v>
      </c>
      <c r="BP167" s="647">
        <v>0</v>
      </c>
      <c r="BQ167" s="1286">
        <v>0</v>
      </c>
      <c r="BR167" s="109">
        <f t="shared" si="253"/>
        <v>0</v>
      </c>
      <c r="BS167" s="1187">
        <v>0</v>
      </c>
      <c r="BT167" s="647">
        <v>0</v>
      </c>
      <c r="BU167" s="647">
        <v>0</v>
      </c>
      <c r="BV167" s="1286">
        <v>0</v>
      </c>
      <c r="BW167" s="109">
        <f t="shared" si="254"/>
        <v>0</v>
      </c>
      <c r="BX167" s="1363">
        <v>0</v>
      </c>
      <c r="BY167" s="1364">
        <v>0</v>
      </c>
      <c r="BZ167" s="1364">
        <v>0</v>
      </c>
      <c r="CA167" s="1286"/>
      <c r="CB167" s="109">
        <f t="shared" si="237"/>
        <v>0</v>
      </c>
      <c r="CC167" s="918">
        <f>CA167</f>
        <v>0</v>
      </c>
      <c r="CD167" s="216">
        <f>CC167</f>
        <v>0</v>
      </c>
      <c r="CE167" s="216">
        <f>CD167</f>
        <v>0</v>
      </c>
      <c r="CF167" s="919">
        <f>CE167</f>
        <v>0</v>
      </c>
      <c r="CG167" s="109">
        <f t="shared" si="239"/>
        <v>0</v>
      </c>
      <c r="CH167" s="918">
        <f>CF167</f>
        <v>0</v>
      </c>
      <c r="CI167" s="216">
        <f>CH167</f>
        <v>0</v>
      </c>
      <c r="CJ167" s="216">
        <f>CI167</f>
        <v>0</v>
      </c>
      <c r="CK167" s="919">
        <f>CJ167</f>
        <v>0</v>
      </c>
      <c r="CL167" s="109">
        <f t="shared" si="241"/>
        <v>0</v>
      </c>
      <c r="CM167" s="918">
        <f>CK167</f>
        <v>0</v>
      </c>
      <c r="CN167" s="216">
        <f>CM167</f>
        <v>0</v>
      </c>
      <c r="CO167" s="216">
        <f>CN167</f>
        <v>0</v>
      </c>
      <c r="CP167" s="919">
        <f>CO167</f>
        <v>0</v>
      </c>
      <c r="CQ167" s="109">
        <f t="shared" si="245"/>
        <v>0</v>
      </c>
      <c r="CR167" s="918"/>
    </row>
    <row r="168" spans="1:96" ht="13.5" customHeight="1">
      <c r="A168" s="75"/>
      <c r="B168" s="75" t="s">
        <v>815</v>
      </c>
      <c r="C168" s="81"/>
      <c r="D168" s="75"/>
      <c r="E168" s="75"/>
      <c r="F168" s="650">
        <v>-803</v>
      </c>
      <c r="G168" s="650">
        <v>-802</v>
      </c>
      <c r="H168" s="650">
        <v>-968</v>
      </c>
      <c r="I168" s="650">
        <v>-1501</v>
      </c>
      <c r="J168" s="109">
        <f t="shared" si="232"/>
        <v>-1501</v>
      </c>
      <c r="K168" s="650">
        <v>-1504</v>
      </c>
      <c r="L168" s="650">
        <v>-1503</v>
      </c>
      <c r="M168" s="650">
        <v>-1503</v>
      </c>
      <c r="N168" s="650">
        <v>-49</v>
      </c>
      <c r="O168" s="109">
        <f t="shared" si="233"/>
        <v>-49</v>
      </c>
      <c r="P168" s="650">
        <v>-49</v>
      </c>
      <c r="Q168" s="650">
        <v>-50</v>
      </c>
      <c r="R168" s="650">
        <v>-50</v>
      </c>
      <c r="S168" s="650">
        <v>-1418</v>
      </c>
      <c r="T168" s="109">
        <f t="shared" si="234"/>
        <v>-1418</v>
      </c>
      <c r="U168" s="650">
        <v>-1283</v>
      </c>
      <c r="V168" s="650">
        <v>-1232</v>
      </c>
      <c r="W168" s="650">
        <v>-1201</v>
      </c>
      <c r="X168" s="650">
        <v>-1286</v>
      </c>
      <c r="Y168" s="109">
        <f t="shared" si="246"/>
        <v>-1286</v>
      </c>
      <c r="Z168" s="650">
        <v>-1231</v>
      </c>
      <c r="AA168" s="650">
        <v>-1189</v>
      </c>
      <c r="AB168" s="650">
        <v>-1022</v>
      </c>
      <c r="AC168" s="650">
        <v>-836</v>
      </c>
      <c r="AD168" s="109">
        <f t="shared" si="247"/>
        <v>-836</v>
      </c>
      <c r="AE168" s="650">
        <v>-775</v>
      </c>
      <c r="AF168" s="650">
        <v>-744</v>
      </c>
      <c r="AG168" s="650">
        <v>-1738</v>
      </c>
      <c r="AH168" s="650">
        <v>-3269</v>
      </c>
      <c r="AI168" s="109">
        <f t="shared" si="248"/>
        <v>-3269</v>
      </c>
      <c r="AJ168" s="1187">
        <v>-3322</v>
      </c>
      <c r="AK168" s="646">
        <v>-3098</v>
      </c>
      <c r="AL168" s="646">
        <v>-2925</v>
      </c>
      <c r="AM168" s="1188">
        <v>-2728</v>
      </c>
      <c r="AN168" s="109">
        <f t="shared" si="249"/>
        <v>-2728</v>
      </c>
      <c r="AO168" s="1187">
        <v>-2686</v>
      </c>
      <c r="AP168" s="646">
        <v>-2763</v>
      </c>
      <c r="AQ168" s="646">
        <v>-2647</v>
      </c>
      <c r="AR168" s="1188">
        <f>3851-AR163-AR164-AR165-AR166-AR167-AR169</f>
        <v>-3060</v>
      </c>
      <c r="AS168" s="109">
        <f t="shared" si="250"/>
        <v>-3060</v>
      </c>
      <c r="AT168" s="1187">
        <v>-2929</v>
      </c>
      <c r="AU168" s="647">
        <v>-2840</v>
      </c>
      <c r="AV168" s="647">
        <v>-2909</v>
      </c>
      <c r="AW168" s="1188">
        <v>-3367</v>
      </c>
      <c r="AX168" s="109">
        <f t="shared" si="251"/>
        <v>-3367</v>
      </c>
      <c r="AY168" s="1288">
        <v>-3190</v>
      </c>
      <c r="AZ168" s="647">
        <v>-3215</v>
      </c>
      <c r="BA168" s="646">
        <v>-2931</v>
      </c>
      <c r="BB168" s="1188">
        <v>-3268</v>
      </c>
      <c r="BC168" s="109">
        <f t="shared" si="235"/>
        <v>-3268</v>
      </c>
      <c r="BD168" s="1288">
        <v>-3236</v>
      </c>
      <c r="BE168" s="647">
        <v>-3148</v>
      </c>
      <c r="BF168" s="647">
        <v>-3058</v>
      </c>
      <c r="BG168" s="1286">
        <v>-1752</v>
      </c>
      <c r="BH168" s="231">
        <f t="shared" si="236"/>
        <v>-1752</v>
      </c>
      <c r="BI168" s="1288">
        <v>-1704</v>
      </c>
      <c r="BJ168" s="647">
        <v>-1644</v>
      </c>
      <c r="BK168" s="647">
        <v>-1016</v>
      </c>
      <c r="BL168" s="1286">
        <v>-1441</v>
      </c>
      <c r="BM168" s="231">
        <f t="shared" si="252"/>
        <v>-1441</v>
      </c>
      <c r="BN168" s="1288">
        <v>-1501</v>
      </c>
      <c r="BO168" s="647">
        <v>-1432</v>
      </c>
      <c r="BP168" s="647">
        <v>-1568</v>
      </c>
      <c r="BQ168" s="1286">
        <v>-1169</v>
      </c>
      <c r="BR168" s="231">
        <f t="shared" si="253"/>
        <v>-1169</v>
      </c>
      <c r="BS168" s="1288">
        <v>-1321</v>
      </c>
      <c r="BT168" s="647">
        <v>-1299</v>
      </c>
      <c r="BU168" s="647">
        <v>-1245</v>
      </c>
      <c r="BV168" s="1286">
        <v>-1497</v>
      </c>
      <c r="BW168" s="231">
        <f t="shared" si="254"/>
        <v>-1497</v>
      </c>
      <c r="BX168" s="1363">
        <v>-1428</v>
      </c>
      <c r="BY168" s="1364">
        <v>-1303</v>
      </c>
      <c r="BZ168" s="1364">
        <v>-1196</v>
      </c>
      <c r="CA168" s="1286">
        <v>-845</v>
      </c>
      <c r="CB168" s="231">
        <f t="shared" si="237"/>
        <v>-845</v>
      </c>
      <c r="CC168" s="1371">
        <f>CB168+Pension!$Q$67/4+OPEB!$Q$67/4</f>
        <v>-805.02499999999998</v>
      </c>
      <c r="CD168" s="1270">
        <f>CC168+Pension!$Q$67/4+OPEB!$Q$67/4</f>
        <v>-765.05</v>
      </c>
      <c r="CE168" s="1270">
        <f>CD168+Pension!$Q$67/4+OPEB!$Q$67/4</f>
        <v>-725.07499999999993</v>
      </c>
      <c r="CF168" s="1293">
        <f>CE168+Pension!$Q$67/4+OPEB!$Q$67/4</f>
        <v>-685.09999999999991</v>
      </c>
      <c r="CG168" s="231">
        <f t="shared" si="239"/>
        <v>-685.09999999999991</v>
      </c>
      <c r="CH168" s="1371">
        <f>CG168+Pension!$Q$67/4+OPEB!$Q$67/4</f>
        <v>-645.12499999999989</v>
      </c>
      <c r="CI168" s="1270">
        <f>CH168+Pension!$Q$67/4+OPEB!$Q$67/4</f>
        <v>-605.14999999999986</v>
      </c>
      <c r="CJ168" s="1270">
        <f>CI168+Pension!$Q$67/4+OPEB!$Q$67/4</f>
        <v>-565.17499999999984</v>
      </c>
      <c r="CK168" s="1293">
        <f>CJ168+Pension!$Q$67/4+OPEB!$Q$67/4</f>
        <v>-525.19999999999982</v>
      </c>
      <c r="CL168" s="231">
        <f t="shared" si="241"/>
        <v>-525.19999999999982</v>
      </c>
      <c r="CM168" s="1371">
        <f>CL168+Pension!$Q$67/4+OPEB!$Q$67/4</f>
        <v>-485.22499999999985</v>
      </c>
      <c r="CN168" s="1270">
        <f>CM168+Pension!$Q$67/4+OPEB!$Q$67/4</f>
        <v>-445.24999999999989</v>
      </c>
      <c r="CO168" s="1270">
        <f>CN168+Pension!$Q$67/4+OPEB!$Q$67/4</f>
        <v>-405.27499999999992</v>
      </c>
      <c r="CP168" s="1293">
        <f>CO168+Pension!$Q$67/4+OPEB!$Q$67/4</f>
        <v>-365.29999999999995</v>
      </c>
      <c r="CQ168" s="231">
        <f t="shared" si="245"/>
        <v>-365.29999999999995</v>
      </c>
      <c r="CR168" s="1371"/>
    </row>
    <row r="169" spans="1:96" ht="13.5" customHeight="1">
      <c r="A169" s="75"/>
      <c r="B169" s="75" t="s">
        <v>816</v>
      </c>
      <c r="C169" s="81"/>
      <c r="D169" s="75"/>
      <c r="E169" s="75"/>
      <c r="F169" s="650">
        <v>0</v>
      </c>
      <c r="G169" s="650">
        <v>0</v>
      </c>
      <c r="H169" s="650">
        <v>0</v>
      </c>
      <c r="I169" s="109">
        <f>+H169</f>
        <v>0</v>
      </c>
      <c r="J169" s="109">
        <f t="shared" si="232"/>
        <v>0</v>
      </c>
      <c r="K169" s="650">
        <v>0</v>
      </c>
      <c r="L169" s="650">
        <v>0</v>
      </c>
      <c r="M169" s="650">
        <v>0</v>
      </c>
      <c r="N169" s="650">
        <v>-3</v>
      </c>
      <c r="O169" s="109">
        <f t="shared" si="233"/>
        <v>-3</v>
      </c>
      <c r="P169" s="650">
        <v>0</v>
      </c>
      <c r="Q169" s="650">
        <v>0</v>
      </c>
      <c r="R169" s="650">
        <v>-51</v>
      </c>
      <c r="S169" s="650">
        <v>-253</v>
      </c>
      <c r="T169" s="109">
        <f t="shared" si="234"/>
        <v>-253</v>
      </c>
      <c r="U169" s="650">
        <v>-250</v>
      </c>
      <c r="V169" s="650">
        <v>-34</v>
      </c>
      <c r="W169" s="650">
        <v>-298</v>
      </c>
      <c r="X169" s="650">
        <v>-317</v>
      </c>
      <c r="Y169" s="109">
        <f t="shared" si="246"/>
        <v>-317</v>
      </c>
      <c r="Z169" s="650">
        <v>-334</v>
      </c>
      <c r="AA169" s="650">
        <v>-355</v>
      </c>
      <c r="AB169" s="650">
        <v>-373</v>
      </c>
      <c r="AC169" s="650">
        <v>-395</v>
      </c>
      <c r="AD169" s="109">
        <f t="shared" si="247"/>
        <v>-395</v>
      </c>
      <c r="AE169" s="650">
        <v>-421</v>
      </c>
      <c r="AF169" s="650">
        <v>-470</v>
      </c>
      <c r="AG169" s="650">
        <v>-599</v>
      </c>
      <c r="AH169" s="650">
        <v>-612</v>
      </c>
      <c r="AI169" s="109">
        <f t="shared" si="248"/>
        <v>-612</v>
      </c>
      <c r="AJ169" s="1187">
        <v>-613</v>
      </c>
      <c r="AK169" s="646">
        <v>-610</v>
      </c>
      <c r="AL169" s="646">
        <v>-608</v>
      </c>
      <c r="AM169" s="1188">
        <v>-608</v>
      </c>
      <c r="AN169" s="109">
        <f t="shared" si="249"/>
        <v>-608</v>
      </c>
      <c r="AO169" s="1187">
        <v>-606</v>
      </c>
      <c r="AP169" s="646">
        <v>-588</v>
      </c>
      <c r="AQ169" s="646">
        <v>-584</v>
      </c>
      <c r="AR169" s="919">
        <f>AQ169+AR247</f>
        <v>-584</v>
      </c>
      <c r="AS169" s="109">
        <f t="shared" si="250"/>
        <v>-584</v>
      </c>
      <c r="AT169" s="1187">
        <v>-572</v>
      </c>
      <c r="AU169" s="647">
        <v>-550</v>
      </c>
      <c r="AV169" s="647">
        <v>-550</v>
      </c>
      <c r="AW169" s="919">
        <f>AV169+AW247</f>
        <v>-550</v>
      </c>
      <c r="AX169" s="109">
        <f t="shared" si="251"/>
        <v>-550</v>
      </c>
      <c r="AY169" s="1288">
        <v>-549</v>
      </c>
      <c r="AZ169" s="647">
        <v>-521</v>
      </c>
      <c r="BA169" s="646">
        <v>-521</v>
      </c>
      <c r="BB169" s="1188">
        <v>-521</v>
      </c>
      <c r="BC169" s="109">
        <f t="shared" si="235"/>
        <v>-521</v>
      </c>
      <c r="BD169" s="1288">
        <v>-520</v>
      </c>
      <c r="BE169" s="647">
        <v>-482</v>
      </c>
      <c r="BF169" s="647">
        <v>-481</v>
      </c>
      <c r="BG169" s="1286">
        <v>-480</v>
      </c>
      <c r="BH169" s="109">
        <f t="shared" si="236"/>
        <v>-480</v>
      </c>
      <c r="BI169" s="1187">
        <v>-479</v>
      </c>
      <c r="BJ169" s="646">
        <v>-440</v>
      </c>
      <c r="BK169" s="647">
        <v>-410</v>
      </c>
      <c r="BL169" s="1286">
        <v>-396</v>
      </c>
      <c r="BM169" s="109">
        <f t="shared" si="252"/>
        <v>-396</v>
      </c>
      <c r="BN169" s="1187">
        <v>-395</v>
      </c>
      <c r="BO169" s="647">
        <v>-345</v>
      </c>
      <c r="BP169" s="647">
        <v>-341</v>
      </c>
      <c r="BQ169" s="1286">
        <v>-339</v>
      </c>
      <c r="BR169" s="109">
        <f t="shared" si="253"/>
        <v>-339</v>
      </c>
      <c r="BS169" s="1288">
        <v>-325</v>
      </c>
      <c r="BT169" s="647">
        <v>-297</v>
      </c>
      <c r="BU169" s="647">
        <v>-277</v>
      </c>
      <c r="BV169" s="1286">
        <v>-182</v>
      </c>
      <c r="BW169" s="109">
        <f t="shared" si="254"/>
        <v>-182</v>
      </c>
      <c r="BX169" s="1363">
        <v>-119</v>
      </c>
      <c r="BY169" s="1364">
        <v>-96</v>
      </c>
      <c r="BZ169" s="1364">
        <v>-92</v>
      </c>
      <c r="CA169" s="1286">
        <v>-76</v>
      </c>
      <c r="CB169" s="109">
        <f t="shared" si="237"/>
        <v>-76</v>
      </c>
      <c r="CC169" s="918">
        <f>CA169+CC247</f>
        <v>-76</v>
      </c>
      <c r="CD169" s="216">
        <f>CC169+CD247</f>
        <v>-76</v>
      </c>
      <c r="CE169" s="216">
        <f>CD169+CE247</f>
        <v>-76</v>
      </c>
      <c r="CF169" s="919">
        <f>CE169+CF247</f>
        <v>-76</v>
      </c>
      <c r="CG169" s="109">
        <f t="shared" si="239"/>
        <v>-76</v>
      </c>
      <c r="CH169" s="918">
        <f>CF169+CH247</f>
        <v>-76</v>
      </c>
      <c r="CI169" s="216">
        <f>CH169+CI247</f>
        <v>-76</v>
      </c>
      <c r="CJ169" s="216">
        <f>CI169+CJ247</f>
        <v>-76</v>
      </c>
      <c r="CK169" s="919">
        <f>CJ169+CK247</f>
        <v>-76</v>
      </c>
      <c r="CL169" s="109">
        <f t="shared" si="241"/>
        <v>-76</v>
      </c>
      <c r="CM169" s="918">
        <f>CK169+CM247</f>
        <v>-76</v>
      </c>
      <c r="CN169" s="216">
        <f>CM169+CN247</f>
        <v>-76</v>
      </c>
      <c r="CO169" s="216">
        <f>CN169+CO247</f>
        <v>-76</v>
      </c>
      <c r="CP169" s="919">
        <f>CO169+CP247</f>
        <v>-76</v>
      </c>
      <c r="CQ169" s="109">
        <f t="shared" si="245"/>
        <v>-76</v>
      </c>
      <c r="CR169" s="918"/>
    </row>
    <row r="170" spans="1:96" ht="13.5" customHeight="1">
      <c r="A170" s="75"/>
      <c r="B170" s="75" t="s">
        <v>737</v>
      </c>
      <c r="C170" s="81"/>
      <c r="D170" s="75"/>
      <c r="E170" s="75"/>
      <c r="F170" s="650">
        <v>0</v>
      </c>
      <c r="G170" s="650">
        <v>0</v>
      </c>
      <c r="H170" s="650">
        <v>0</v>
      </c>
      <c r="I170" s="650">
        <v>0</v>
      </c>
      <c r="J170" s="650">
        <v>0</v>
      </c>
      <c r="K170" s="650">
        <v>28</v>
      </c>
      <c r="L170" s="650">
        <v>28</v>
      </c>
      <c r="M170" s="650">
        <v>25</v>
      </c>
      <c r="N170" s="650">
        <v>28</v>
      </c>
      <c r="O170" s="109">
        <f>N170</f>
        <v>28</v>
      </c>
      <c r="P170" s="650">
        <v>30</v>
      </c>
      <c r="Q170" s="650">
        <v>30</v>
      </c>
      <c r="R170" s="650">
        <v>29</v>
      </c>
      <c r="S170" s="650">
        <v>32</v>
      </c>
      <c r="T170" s="109">
        <f>S170</f>
        <v>32</v>
      </c>
      <c r="U170" s="650">
        <v>31</v>
      </c>
      <c r="V170" s="650">
        <v>31</v>
      </c>
      <c r="W170" s="650">
        <v>31</v>
      </c>
      <c r="X170" s="650">
        <v>38</v>
      </c>
      <c r="Y170" s="109">
        <f>X170</f>
        <v>38</v>
      </c>
      <c r="Z170" s="650">
        <v>34</v>
      </c>
      <c r="AA170" s="650">
        <v>34</v>
      </c>
      <c r="AB170" s="650">
        <v>34</v>
      </c>
      <c r="AC170" s="650">
        <v>88</v>
      </c>
      <c r="AD170" s="109">
        <f>AC170</f>
        <v>88</v>
      </c>
      <c r="AE170" s="650">
        <v>100</v>
      </c>
      <c r="AF170" s="650">
        <v>125</v>
      </c>
      <c r="AG170" s="650">
        <v>156</v>
      </c>
      <c r="AH170" s="650">
        <v>164</v>
      </c>
      <c r="AI170" s="109">
        <f>AH170</f>
        <v>164</v>
      </c>
      <c r="AJ170" s="1187">
        <v>200</v>
      </c>
      <c r="AK170" s="646">
        <v>256</v>
      </c>
      <c r="AL170" s="646">
        <v>290</v>
      </c>
      <c r="AM170" s="1188">
        <v>303</v>
      </c>
      <c r="AN170" s="109">
        <f>AM170</f>
        <v>303</v>
      </c>
      <c r="AO170" s="1187">
        <v>1</v>
      </c>
      <c r="AP170" s="646">
        <v>1</v>
      </c>
      <c r="AQ170" s="646">
        <v>1</v>
      </c>
      <c r="AR170" s="1188">
        <v>1</v>
      </c>
      <c r="AS170" s="109">
        <f t="shared" si="250"/>
        <v>1</v>
      </c>
      <c r="AT170" s="1187">
        <v>1</v>
      </c>
      <c r="AU170" s="647">
        <v>1</v>
      </c>
      <c r="AV170" s="647">
        <v>1</v>
      </c>
      <c r="AW170" s="1188">
        <v>1</v>
      </c>
      <c r="AX170" s="109">
        <f t="shared" si="251"/>
        <v>1</v>
      </c>
      <c r="AY170" s="1288">
        <v>1</v>
      </c>
      <c r="AZ170" s="647">
        <v>1</v>
      </c>
      <c r="BA170" s="647">
        <v>2</v>
      </c>
      <c r="BB170" s="1286">
        <v>1</v>
      </c>
      <c r="BC170" s="109">
        <f>BB170</f>
        <v>1</v>
      </c>
      <c r="BD170" s="1187">
        <v>1</v>
      </c>
      <c r="BE170" s="646">
        <v>1</v>
      </c>
      <c r="BF170" s="646">
        <v>1</v>
      </c>
      <c r="BG170" s="1188">
        <v>1</v>
      </c>
      <c r="BH170" s="109">
        <f>BG170</f>
        <v>1</v>
      </c>
      <c r="BI170" s="1187">
        <v>1</v>
      </c>
      <c r="BJ170" s="646">
        <v>1</v>
      </c>
      <c r="BK170" s="646">
        <v>1</v>
      </c>
      <c r="BL170" s="1286">
        <v>1</v>
      </c>
      <c r="BM170" s="109">
        <f t="shared" si="252"/>
        <v>1</v>
      </c>
      <c r="BN170" s="1187">
        <v>1</v>
      </c>
      <c r="BO170" s="647">
        <v>1</v>
      </c>
      <c r="BP170" s="647">
        <v>1</v>
      </c>
      <c r="BQ170" s="1286">
        <v>1</v>
      </c>
      <c r="BR170" s="109">
        <f t="shared" si="253"/>
        <v>1</v>
      </c>
      <c r="BS170" s="1288">
        <v>1</v>
      </c>
      <c r="BT170" s="646">
        <v>1</v>
      </c>
      <c r="BU170" s="646">
        <v>1</v>
      </c>
      <c r="BV170" s="1188">
        <v>1</v>
      </c>
      <c r="BW170" s="109">
        <f t="shared" si="254"/>
        <v>1</v>
      </c>
      <c r="BX170" s="1359">
        <v>1</v>
      </c>
      <c r="BY170" s="1360">
        <v>1</v>
      </c>
      <c r="BZ170" s="1360">
        <v>1</v>
      </c>
      <c r="CA170" s="1188">
        <v>1</v>
      </c>
      <c r="CB170" s="109">
        <f t="shared" si="237"/>
        <v>1</v>
      </c>
      <c r="CC170" s="918">
        <f>CA170+CC230+CC254</f>
        <v>1</v>
      </c>
      <c r="CD170" s="216">
        <f>CC170+CD230+CD254</f>
        <v>1</v>
      </c>
      <c r="CE170" s="216">
        <f>CD170+CE230+CE254</f>
        <v>1</v>
      </c>
      <c r="CF170" s="919">
        <f>CE170+CF230+CF254</f>
        <v>1</v>
      </c>
      <c r="CG170" s="109">
        <f t="shared" si="239"/>
        <v>1</v>
      </c>
      <c r="CH170" s="918">
        <f>CF170+CH230+CH254</f>
        <v>1</v>
      </c>
      <c r="CI170" s="216">
        <f>CH170+CI230+CI254</f>
        <v>1</v>
      </c>
      <c r="CJ170" s="216">
        <f>CI170+CJ230+CJ254</f>
        <v>1</v>
      </c>
      <c r="CK170" s="919">
        <f>CJ170+CK230+CK254</f>
        <v>1</v>
      </c>
      <c r="CL170" s="109">
        <f t="shared" si="241"/>
        <v>1</v>
      </c>
      <c r="CM170" s="918">
        <f>CK170+CM230+CM254</f>
        <v>1</v>
      </c>
      <c r="CN170" s="216">
        <f>CM170+CN230+CN254</f>
        <v>1</v>
      </c>
      <c r="CO170" s="216">
        <f>CN170+CO230+CO254</f>
        <v>1</v>
      </c>
      <c r="CP170" s="919">
        <f>CO170+CP230+CP254</f>
        <v>1</v>
      </c>
      <c r="CQ170" s="109">
        <f t="shared" si="245"/>
        <v>1</v>
      </c>
      <c r="CR170" s="918"/>
    </row>
    <row r="171" spans="1:96" ht="6.2" customHeight="1">
      <c r="A171" s="75"/>
      <c r="B171" s="75"/>
      <c r="C171" s="81"/>
      <c r="D171" s="75"/>
      <c r="E171" s="75"/>
      <c r="F171" s="239"/>
      <c r="G171" s="239"/>
      <c r="H171" s="239"/>
      <c r="I171" s="239"/>
      <c r="J171" s="239"/>
      <c r="K171" s="239"/>
      <c r="L171" s="239"/>
      <c r="M171" s="239"/>
      <c r="N171" s="239"/>
      <c r="O171" s="239"/>
      <c r="P171" s="239"/>
      <c r="Q171" s="239"/>
      <c r="R171" s="239"/>
      <c r="S171" s="239"/>
      <c r="T171" s="239"/>
      <c r="U171" s="239"/>
      <c r="V171" s="239"/>
      <c r="W171" s="239"/>
      <c r="X171" s="239"/>
      <c r="Y171" s="239"/>
      <c r="Z171" s="239"/>
      <c r="AA171" s="239"/>
      <c r="AB171" s="239"/>
      <c r="AC171" s="239"/>
      <c r="AD171" s="239"/>
      <c r="AE171" s="240"/>
      <c r="AF171" s="239"/>
      <c r="AG171" s="239"/>
      <c r="AH171" s="239"/>
      <c r="AI171" s="239"/>
      <c r="AJ171" s="1214"/>
      <c r="AK171" s="239"/>
      <c r="AL171" s="239"/>
      <c r="AM171" s="1215"/>
      <c r="AN171" s="239"/>
      <c r="AO171" s="1214"/>
      <c r="AP171" s="239"/>
      <c r="AQ171" s="239"/>
      <c r="AR171" s="1215"/>
      <c r="AS171" s="239"/>
      <c r="AT171" s="1214"/>
      <c r="AU171" s="239"/>
      <c r="AV171" s="239"/>
      <c r="AW171" s="1215"/>
      <c r="AX171" s="239"/>
      <c r="AY171" s="1214"/>
      <c r="AZ171" s="239"/>
      <c r="BA171" s="239"/>
      <c r="BB171" s="1215"/>
      <c r="BC171" s="239"/>
      <c r="BD171" s="1214"/>
      <c r="BE171" s="239"/>
      <c r="BF171" s="239"/>
      <c r="BG171" s="1215"/>
      <c r="BH171" s="239"/>
      <c r="BI171" s="1214"/>
      <c r="BJ171" s="239"/>
      <c r="BK171" s="239"/>
      <c r="BL171" s="1215"/>
      <c r="BM171" s="239"/>
      <c r="BN171" s="1214"/>
      <c r="BO171" s="615"/>
      <c r="BP171" s="615"/>
      <c r="BQ171" s="1215"/>
      <c r="BR171" s="239"/>
      <c r="BS171" s="1351"/>
      <c r="BT171" s="239"/>
      <c r="BU171" s="239"/>
      <c r="BV171" s="1215"/>
      <c r="BW171" s="239"/>
      <c r="BX171" s="1214"/>
      <c r="BY171" s="239"/>
      <c r="BZ171" s="239"/>
      <c r="CA171" s="1215"/>
      <c r="CB171" s="239"/>
      <c r="CC171" s="1214"/>
      <c r="CD171" s="239"/>
      <c r="CE171" s="239"/>
      <c r="CF171" s="1215"/>
      <c r="CG171" s="239"/>
      <c r="CH171" s="1214"/>
      <c r="CI171" s="239"/>
      <c r="CJ171" s="239"/>
      <c r="CK171" s="1215"/>
      <c r="CL171" s="239"/>
      <c r="CM171" s="1214"/>
      <c r="CN171" s="239"/>
      <c r="CO171" s="239"/>
      <c r="CP171" s="1215"/>
      <c r="CQ171" s="239"/>
      <c r="CR171" s="1214"/>
    </row>
    <row r="172" spans="1:96" ht="13.5" customHeight="1">
      <c r="A172" s="75"/>
      <c r="B172" s="115"/>
      <c r="C172" s="93" t="s">
        <v>934</v>
      </c>
      <c r="D172" s="75"/>
      <c r="E172" s="75"/>
      <c r="F172" s="228">
        <f t="shared" ref="F172:AK172" si="255">SUM(F163:F170)</f>
        <v>2229</v>
      </c>
      <c r="G172" s="228">
        <f t="shared" si="255"/>
        <v>2175</v>
      </c>
      <c r="H172" s="228">
        <f t="shared" si="255"/>
        <v>1645</v>
      </c>
      <c r="I172" s="228">
        <f t="shared" si="255"/>
        <v>1093</v>
      </c>
      <c r="J172" s="228">
        <f t="shared" si="255"/>
        <v>1093</v>
      </c>
      <c r="K172" s="228">
        <f t="shared" si="255"/>
        <v>1578</v>
      </c>
      <c r="L172" s="228">
        <f t="shared" si="255"/>
        <v>1826</v>
      </c>
      <c r="M172" s="228">
        <f t="shared" si="255"/>
        <v>2186</v>
      </c>
      <c r="N172" s="228">
        <f t="shared" si="255"/>
        <v>4102</v>
      </c>
      <c r="O172" s="228">
        <f t="shared" si="255"/>
        <v>4102</v>
      </c>
      <c r="P172" s="228">
        <f t="shared" si="255"/>
        <v>4558</v>
      </c>
      <c r="Q172" s="228">
        <f t="shared" si="255"/>
        <v>4791</v>
      </c>
      <c r="R172" s="228">
        <f t="shared" si="255"/>
        <v>4828</v>
      </c>
      <c r="S172" s="228">
        <f t="shared" si="255"/>
        <v>3356</v>
      </c>
      <c r="T172" s="228">
        <f t="shared" si="255"/>
        <v>3356</v>
      </c>
      <c r="U172" s="228">
        <f t="shared" si="255"/>
        <v>3736</v>
      </c>
      <c r="V172" s="228">
        <f t="shared" si="255"/>
        <v>4064</v>
      </c>
      <c r="W172" s="228">
        <f t="shared" si="255"/>
        <v>4226</v>
      </c>
      <c r="X172" s="228">
        <f t="shared" si="255"/>
        <v>4403</v>
      </c>
      <c r="Y172" s="228">
        <f t="shared" si="255"/>
        <v>4403</v>
      </c>
      <c r="Z172" s="228">
        <f t="shared" si="255"/>
        <v>4690</v>
      </c>
      <c r="AA172" s="228">
        <f t="shared" si="255"/>
        <v>4994</v>
      </c>
      <c r="AB172" s="228">
        <f t="shared" si="255"/>
        <v>5386</v>
      </c>
      <c r="AC172" s="228">
        <f t="shared" si="255"/>
        <v>5619</v>
      </c>
      <c r="AD172" s="228">
        <f t="shared" si="255"/>
        <v>5619</v>
      </c>
      <c r="AE172" s="228">
        <f t="shared" si="255"/>
        <v>5878</v>
      </c>
      <c r="AF172" s="228">
        <f t="shared" si="255"/>
        <v>6534</v>
      </c>
      <c r="AG172" s="228">
        <f t="shared" si="255"/>
        <v>6335</v>
      </c>
      <c r="AH172" s="228">
        <f t="shared" si="255"/>
        <v>5059</v>
      </c>
      <c r="AI172" s="228">
        <f t="shared" si="255"/>
        <v>5059</v>
      </c>
      <c r="AJ172" s="955">
        <f t="shared" si="255"/>
        <v>4579</v>
      </c>
      <c r="AK172" s="228">
        <f t="shared" si="255"/>
        <v>5129</v>
      </c>
      <c r="AL172" s="228">
        <f t="shared" ref="AL172:BQ172" si="256">SUM(AL163:AL170)</f>
        <v>5039</v>
      </c>
      <c r="AM172" s="956">
        <f t="shared" si="256"/>
        <v>4979</v>
      </c>
      <c r="AN172" s="228">
        <f t="shared" si="256"/>
        <v>4979</v>
      </c>
      <c r="AO172" s="955">
        <f t="shared" si="256"/>
        <v>4557</v>
      </c>
      <c r="AP172" s="228">
        <f t="shared" si="256"/>
        <v>4450</v>
      </c>
      <c r="AQ172" s="228">
        <f t="shared" si="256"/>
        <v>4519</v>
      </c>
      <c r="AR172" s="956">
        <f t="shared" si="256"/>
        <v>3852</v>
      </c>
      <c r="AS172" s="228">
        <f t="shared" si="256"/>
        <v>3852</v>
      </c>
      <c r="AT172" s="955">
        <f t="shared" si="256"/>
        <v>3909</v>
      </c>
      <c r="AU172" s="228">
        <f t="shared" si="256"/>
        <v>4216</v>
      </c>
      <c r="AV172" s="228">
        <f t="shared" si="256"/>
        <v>4170</v>
      </c>
      <c r="AW172" s="956">
        <f t="shared" si="256"/>
        <v>3501</v>
      </c>
      <c r="AX172" s="228">
        <f t="shared" si="256"/>
        <v>3501</v>
      </c>
      <c r="AY172" s="955">
        <f t="shared" si="256"/>
        <v>3461</v>
      </c>
      <c r="AZ172" s="228">
        <f t="shared" si="256"/>
        <v>3533</v>
      </c>
      <c r="BA172" s="228">
        <f t="shared" si="256"/>
        <v>3863</v>
      </c>
      <c r="BB172" s="956">
        <f t="shared" si="256"/>
        <v>3478</v>
      </c>
      <c r="BC172" s="228">
        <f t="shared" si="256"/>
        <v>3478</v>
      </c>
      <c r="BD172" s="955">
        <f t="shared" si="256"/>
        <v>3471</v>
      </c>
      <c r="BE172" s="228">
        <f t="shared" si="256"/>
        <v>3474</v>
      </c>
      <c r="BF172" s="228">
        <f t="shared" si="256"/>
        <v>1775</v>
      </c>
      <c r="BG172" s="956">
        <f t="shared" si="256"/>
        <v>3349</v>
      </c>
      <c r="BH172" s="228">
        <f t="shared" si="256"/>
        <v>3349</v>
      </c>
      <c r="BI172" s="955">
        <f t="shared" si="256"/>
        <v>3451</v>
      </c>
      <c r="BJ172" s="228">
        <f t="shared" si="256"/>
        <v>3514</v>
      </c>
      <c r="BK172" s="228">
        <f t="shared" si="256"/>
        <v>3943</v>
      </c>
      <c r="BL172" s="956">
        <f t="shared" si="256"/>
        <v>3800</v>
      </c>
      <c r="BM172" s="228">
        <f t="shared" si="256"/>
        <v>3800</v>
      </c>
      <c r="BN172" s="955">
        <f t="shared" si="256"/>
        <v>3668</v>
      </c>
      <c r="BO172" s="260">
        <f t="shared" si="256"/>
        <v>3481</v>
      </c>
      <c r="BP172" s="260">
        <f t="shared" si="256"/>
        <v>3172</v>
      </c>
      <c r="BQ172" s="956">
        <f t="shared" si="256"/>
        <v>2437</v>
      </c>
      <c r="BR172" s="228">
        <f t="shared" ref="BR172:CL172" si="257">SUM(BR163:BR170)</f>
        <v>2437</v>
      </c>
      <c r="BS172" s="955">
        <f t="shared" si="257"/>
        <v>1943</v>
      </c>
      <c r="BT172" s="228">
        <f t="shared" si="257"/>
        <v>1914</v>
      </c>
      <c r="BU172" s="228">
        <f t="shared" si="257"/>
        <v>2602</v>
      </c>
      <c r="BV172" s="956">
        <f t="shared" si="257"/>
        <v>2275</v>
      </c>
      <c r="BW172" s="228">
        <f t="shared" si="257"/>
        <v>2275</v>
      </c>
      <c r="BX172" s="955">
        <f t="shared" si="257"/>
        <v>2174</v>
      </c>
      <c r="BY172" s="228">
        <f t="shared" si="257"/>
        <v>2555</v>
      </c>
      <c r="BZ172" s="228">
        <f t="shared" si="257"/>
        <v>2808</v>
      </c>
      <c r="CA172" s="956">
        <f t="shared" si="257"/>
        <v>3321</v>
      </c>
      <c r="CB172" s="228">
        <f t="shared" si="257"/>
        <v>3321</v>
      </c>
      <c r="CC172" s="955">
        <f t="shared" si="257"/>
        <v>3391.1257737316141</v>
      </c>
      <c r="CD172" s="228">
        <f t="shared" si="257"/>
        <v>3675.6539863797507</v>
      </c>
      <c r="CE172" s="228">
        <f t="shared" si="257"/>
        <v>4041.2670303158948</v>
      </c>
      <c r="CF172" s="956">
        <f t="shared" si="257"/>
        <v>4340.2968051983244</v>
      </c>
      <c r="CG172" s="228">
        <f t="shared" si="257"/>
        <v>4340.2968051983244</v>
      </c>
      <c r="CH172" s="955">
        <f t="shared" si="257"/>
        <v>4486.4313162694953</v>
      </c>
      <c r="CI172" s="228">
        <f t="shared" si="257"/>
        <v>4860.5659275337966</v>
      </c>
      <c r="CJ172" s="228">
        <f t="shared" si="257"/>
        <v>5211.5130716488766</v>
      </c>
      <c r="CK172" s="956">
        <f t="shared" si="257"/>
        <v>5547.2744942174295</v>
      </c>
      <c r="CL172" s="228">
        <f t="shared" si="257"/>
        <v>5547.2744942174295</v>
      </c>
      <c r="CM172" s="955">
        <f t="shared" ref="CM172:CQ172" si="258">SUM(CM163:CM170)</f>
        <v>5714.003951040112</v>
      </c>
      <c r="CN172" s="228">
        <f t="shared" si="258"/>
        <v>6008.2976106986071</v>
      </c>
      <c r="CO172" s="228">
        <f t="shared" si="258"/>
        <v>6247.3543014905208</v>
      </c>
      <c r="CP172" s="956">
        <f t="shared" si="258"/>
        <v>6477.793997124184</v>
      </c>
      <c r="CQ172" s="228">
        <f t="shared" si="258"/>
        <v>6477.793997124184</v>
      </c>
      <c r="CR172" s="955"/>
    </row>
    <row r="173" spans="1:96" ht="6.2" customHeight="1">
      <c r="A173" s="75"/>
      <c r="B173" s="115"/>
      <c r="C173" s="93"/>
      <c r="D173" s="75"/>
      <c r="E173" s="75"/>
      <c r="F173" s="241"/>
      <c r="G173" s="241"/>
      <c r="H173" s="241"/>
      <c r="I173" s="241"/>
      <c r="J173" s="241"/>
      <c r="K173" s="241"/>
      <c r="L173" s="241"/>
      <c r="M173" s="241"/>
      <c r="N173" s="241"/>
      <c r="O173" s="241"/>
      <c r="P173" s="241"/>
      <c r="Q173" s="241"/>
      <c r="R173" s="241"/>
      <c r="S173" s="241"/>
      <c r="T173" s="241"/>
      <c r="U173" s="241"/>
      <c r="V173" s="241"/>
      <c r="W173" s="241"/>
      <c r="X173" s="241"/>
      <c r="Y173" s="241"/>
      <c r="Z173" s="241"/>
      <c r="AA173" s="241"/>
      <c r="AB173" s="241"/>
      <c r="AC173" s="241"/>
      <c r="AD173" s="241"/>
      <c r="AE173" s="241"/>
      <c r="AF173" s="241"/>
      <c r="AG173" s="241"/>
      <c r="AH173" s="241"/>
      <c r="AI173" s="241"/>
      <c r="AJ173" s="1216"/>
      <c r="AK173" s="241"/>
      <c r="AL173" s="241"/>
      <c r="AM173" s="1217"/>
      <c r="AN173" s="241"/>
      <c r="AO173" s="1216"/>
      <c r="AP173" s="241"/>
      <c r="AQ173" s="241"/>
      <c r="AR173" s="1217"/>
      <c r="AS173" s="241"/>
      <c r="AT173" s="1216"/>
      <c r="AU173" s="241"/>
      <c r="AV173" s="241"/>
      <c r="AW173" s="1217"/>
      <c r="AX173" s="241"/>
      <c r="AY173" s="1216"/>
      <c r="AZ173" s="241"/>
      <c r="BA173" s="241"/>
      <c r="BB173" s="1217"/>
      <c r="BC173" s="241"/>
      <c r="BD173" s="1216"/>
      <c r="BE173" s="241"/>
      <c r="BF173" s="241"/>
      <c r="BG173" s="1217"/>
      <c r="BH173" s="241"/>
      <c r="BI173" s="1216"/>
      <c r="BJ173" s="241"/>
      <c r="BK173" s="241"/>
      <c r="BL173" s="1217"/>
      <c r="BM173" s="241"/>
      <c r="BN173" s="1216"/>
      <c r="BO173" s="241"/>
      <c r="BP173" s="241"/>
      <c r="BQ173" s="1217"/>
      <c r="BR173" s="241"/>
      <c r="BS173" s="1216"/>
      <c r="BT173" s="241"/>
      <c r="BU173" s="241"/>
      <c r="BV173" s="1217"/>
      <c r="BW173" s="241"/>
      <c r="BX173" s="1216"/>
      <c r="BY173" s="241"/>
      <c r="BZ173" s="241"/>
      <c r="CA173" s="1217"/>
      <c r="CB173" s="241"/>
      <c r="CC173" s="1216"/>
      <c r="CD173" s="241"/>
      <c r="CE173" s="241"/>
      <c r="CF173" s="1217"/>
      <c r="CG173" s="241"/>
      <c r="CH173" s="1216"/>
      <c r="CI173" s="241"/>
      <c r="CJ173" s="241"/>
      <c r="CK173" s="1217"/>
      <c r="CL173" s="241"/>
      <c r="CM173" s="1216"/>
      <c r="CN173" s="241"/>
      <c r="CO173" s="241"/>
      <c r="CP173" s="1217"/>
      <c r="CQ173" s="241"/>
      <c r="CR173" s="1216"/>
    </row>
    <row r="174" spans="1:96" ht="13.5" customHeight="1">
      <c r="A174" s="93"/>
      <c r="B174" s="242"/>
      <c r="C174" s="93" t="s">
        <v>932</v>
      </c>
      <c r="D174" s="93"/>
      <c r="E174" s="93"/>
      <c r="F174" s="243">
        <f t="shared" ref="F174:AK174" si="259">F172+F161</f>
        <v>8325</v>
      </c>
      <c r="G174" s="243">
        <f t="shared" si="259"/>
        <v>9333</v>
      </c>
      <c r="H174" s="243">
        <f t="shared" si="259"/>
        <v>9241</v>
      </c>
      <c r="I174" s="243">
        <f t="shared" si="259"/>
        <v>7838</v>
      </c>
      <c r="J174" s="243">
        <f t="shared" si="259"/>
        <v>7838</v>
      </c>
      <c r="K174" s="243">
        <f t="shared" si="259"/>
        <v>8386</v>
      </c>
      <c r="L174" s="243">
        <f t="shared" si="259"/>
        <v>8516</v>
      </c>
      <c r="M174" s="243">
        <f t="shared" si="259"/>
        <v>8916</v>
      </c>
      <c r="N174" s="243">
        <f t="shared" si="259"/>
        <v>11064</v>
      </c>
      <c r="O174" s="243">
        <f t="shared" si="259"/>
        <v>11064</v>
      </c>
      <c r="P174" s="243">
        <f t="shared" si="259"/>
        <v>11337</v>
      </c>
      <c r="Q174" s="243">
        <f t="shared" si="259"/>
        <v>11350</v>
      </c>
      <c r="R174" s="243">
        <f t="shared" si="259"/>
        <v>11463</v>
      </c>
      <c r="S174" s="243">
        <f t="shared" si="259"/>
        <v>9822</v>
      </c>
      <c r="T174" s="243">
        <f t="shared" si="259"/>
        <v>9822</v>
      </c>
      <c r="U174" s="243">
        <f t="shared" si="259"/>
        <v>10170</v>
      </c>
      <c r="V174" s="243">
        <f t="shared" si="259"/>
        <v>10439</v>
      </c>
      <c r="W174" s="243">
        <f t="shared" si="259"/>
        <v>10462</v>
      </c>
      <c r="X174" s="243">
        <f t="shared" si="259"/>
        <v>10586</v>
      </c>
      <c r="Y174" s="243">
        <f t="shared" si="259"/>
        <v>10586</v>
      </c>
      <c r="Z174" s="243">
        <f t="shared" si="259"/>
        <v>10914</v>
      </c>
      <c r="AA174" s="243">
        <f t="shared" si="259"/>
        <v>12913</v>
      </c>
      <c r="AB174" s="243">
        <f t="shared" si="259"/>
        <v>13312</v>
      </c>
      <c r="AC174" s="243">
        <f t="shared" si="259"/>
        <v>15632</v>
      </c>
      <c r="AD174" s="243">
        <f t="shared" si="259"/>
        <v>15632</v>
      </c>
      <c r="AE174" s="243">
        <f t="shared" si="259"/>
        <v>16177</v>
      </c>
      <c r="AF174" s="243">
        <f t="shared" si="259"/>
        <v>17307</v>
      </c>
      <c r="AG174" s="243">
        <f t="shared" si="259"/>
        <v>17268</v>
      </c>
      <c r="AH174" s="243">
        <f t="shared" si="259"/>
        <v>16087</v>
      </c>
      <c r="AI174" s="243">
        <f t="shared" si="259"/>
        <v>16087</v>
      </c>
      <c r="AJ174" s="955">
        <f t="shared" si="259"/>
        <v>15142</v>
      </c>
      <c r="AK174" s="228">
        <f t="shared" si="259"/>
        <v>15737</v>
      </c>
      <c r="AL174" s="228">
        <f t="shared" ref="AL174:BQ174" si="260">AL172+AL161</f>
        <v>15849</v>
      </c>
      <c r="AM174" s="956">
        <f t="shared" si="260"/>
        <v>15422</v>
      </c>
      <c r="AN174" s="243">
        <f t="shared" si="260"/>
        <v>15422</v>
      </c>
      <c r="AO174" s="955">
        <f t="shared" si="260"/>
        <v>15327</v>
      </c>
      <c r="AP174" s="228">
        <f t="shared" si="260"/>
        <v>15418</v>
      </c>
      <c r="AQ174" s="228">
        <f t="shared" si="260"/>
        <v>15653</v>
      </c>
      <c r="AR174" s="956">
        <f t="shared" si="260"/>
        <v>15350</v>
      </c>
      <c r="AS174" s="243">
        <f t="shared" si="260"/>
        <v>15350</v>
      </c>
      <c r="AT174" s="955">
        <f t="shared" si="260"/>
        <v>15768</v>
      </c>
      <c r="AU174" s="228">
        <f t="shared" si="260"/>
        <v>16245</v>
      </c>
      <c r="AV174" s="228">
        <f t="shared" si="260"/>
        <v>15931</v>
      </c>
      <c r="AW174" s="956">
        <f t="shared" si="260"/>
        <v>16073</v>
      </c>
      <c r="AX174" s="243">
        <f t="shared" si="260"/>
        <v>16073</v>
      </c>
      <c r="AY174" s="955">
        <f t="shared" si="260"/>
        <v>15804</v>
      </c>
      <c r="AZ174" s="228">
        <f t="shared" si="260"/>
        <v>15404</v>
      </c>
      <c r="BA174" s="228">
        <f t="shared" si="260"/>
        <v>15496</v>
      </c>
      <c r="BB174" s="956">
        <f t="shared" si="260"/>
        <v>15217</v>
      </c>
      <c r="BC174" s="243">
        <f t="shared" si="260"/>
        <v>15217</v>
      </c>
      <c r="BD174" s="955">
        <f t="shared" si="260"/>
        <v>15151</v>
      </c>
      <c r="BE174" s="228">
        <f t="shared" si="260"/>
        <v>14864</v>
      </c>
      <c r="BF174" s="228">
        <f t="shared" si="260"/>
        <v>13006</v>
      </c>
      <c r="BG174" s="956">
        <f t="shared" si="260"/>
        <v>13143</v>
      </c>
      <c r="BH174" s="243">
        <f t="shared" si="260"/>
        <v>13143</v>
      </c>
      <c r="BI174" s="955">
        <f t="shared" si="260"/>
        <v>13394</v>
      </c>
      <c r="BJ174" s="228">
        <f t="shared" si="260"/>
        <v>13406</v>
      </c>
      <c r="BK174" s="228">
        <f t="shared" si="260"/>
        <v>12008</v>
      </c>
      <c r="BL174" s="956">
        <f t="shared" si="260"/>
        <v>12314</v>
      </c>
      <c r="BM174" s="243">
        <f t="shared" si="260"/>
        <v>12314</v>
      </c>
      <c r="BN174" s="955">
        <f t="shared" si="260"/>
        <v>11544</v>
      </c>
      <c r="BO174" s="228">
        <f t="shared" si="260"/>
        <v>11213</v>
      </c>
      <c r="BP174" s="228">
        <f t="shared" si="260"/>
        <v>11191</v>
      </c>
      <c r="BQ174" s="956">
        <f t="shared" si="260"/>
        <v>9190</v>
      </c>
      <c r="BR174" s="243">
        <f t="shared" ref="BR174:CL174" si="261">BR172+BR161</f>
        <v>9190</v>
      </c>
      <c r="BS174" s="955">
        <f t="shared" si="261"/>
        <v>8936</v>
      </c>
      <c r="BT174" s="228">
        <f t="shared" si="261"/>
        <v>8941</v>
      </c>
      <c r="BU174" s="228">
        <f t="shared" si="261"/>
        <v>9467</v>
      </c>
      <c r="BV174" s="956">
        <f t="shared" si="261"/>
        <v>9160</v>
      </c>
      <c r="BW174" s="243">
        <f t="shared" si="261"/>
        <v>9160</v>
      </c>
      <c r="BX174" s="955">
        <f t="shared" si="261"/>
        <v>9186</v>
      </c>
      <c r="BY174" s="228">
        <f t="shared" si="261"/>
        <v>9580</v>
      </c>
      <c r="BZ174" s="228">
        <f t="shared" si="261"/>
        <v>9878</v>
      </c>
      <c r="CA174" s="956">
        <f t="shared" si="261"/>
        <v>9862</v>
      </c>
      <c r="CB174" s="243">
        <f t="shared" si="261"/>
        <v>9862</v>
      </c>
      <c r="CC174" s="955">
        <f t="shared" si="261"/>
        <v>9545.858662158058</v>
      </c>
      <c r="CD174" s="228">
        <f t="shared" si="261"/>
        <v>10430.571411403731</v>
      </c>
      <c r="CE174" s="228">
        <f t="shared" si="261"/>
        <v>10371.568144777519</v>
      </c>
      <c r="CF174" s="956">
        <f t="shared" si="261"/>
        <v>11177.149003413369</v>
      </c>
      <c r="CG174" s="243">
        <f t="shared" si="261"/>
        <v>11177.149003413369</v>
      </c>
      <c r="CH174" s="955">
        <f t="shared" si="261"/>
        <v>11300.947688861594</v>
      </c>
      <c r="CI174" s="228">
        <f t="shared" si="261"/>
        <v>11742.677921740149</v>
      </c>
      <c r="CJ174" s="228">
        <f t="shared" si="261"/>
        <v>11919.040306826744</v>
      </c>
      <c r="CK174" s="956">
        <f t="shared" si="261"/>
        <v>12339.327449075456</v>
      </c>
      <c r="CL174" s="243">
        <f t="shared" si="261"/>
        <v>12339.327449075456</v>
      </c>
      <c r="CM174" s="955">
        <f t="shared" ref="CM174:CQ174" si="262">CM172+CM161</f>
        <v>12288.112283917089</v>
      </c>
      <c r="CN174" s="228">
        <f t="shared" si="262"/>
        <v>12949.997716739865</v>
      </c>
      <c r="CO174" s="228">
        <f t="shared" si="262"/>
        <v>12707.089409749315</v>
      </c>
      <c r="CP174" s="956">
        <f t="shared" si="262"/>
        <v>13339.872954065449</v>
      </c>
      <c r="CQ174" s="243">
        <f t="shared" si="262"/>
        <v>13339.872954065449</v>
      </c>
      <c r="CR174" s="955"/>
    </row>
    <row r="175" spans="1:96" ht="13.5" customHeight="1">
      <c r="A175" s="75"/>
      <c r="B175" s="125"/>
      <c r="C175" s="75" t="s">
        <v>817</v>
      </c>
      <c r="D175" s="244"/>
      <c r="E175" s="244"/>
      <c r="F175" s="314">
        <f t="shared" ref="F175:AK175" si="263">F139-F174</f>
        <v>0</v>
      </c>
      <c r="G175" s="314">
        <f t="shared" si="263"/>
        <v>0</v>
      </c>
      <c r="H175" s="314">
        <f t="shared" si="263"/>
        <v>0</v>
      </c>
      <c r="I175" s="314">
        <f t="shared" si="263"/>
        <v>0</v>
      </c>
      <c r="J175" s="314">
        <f t="shared" si="263"/>
        <v>0</v>
      </c>
      <c r="K175" s="314">
        <f t="shared" si="263"/>
        <v>0</v>
      </c>
      <c r="L175" s="314">
        <f t="shared" si="263"/>
        <v>0</v>
      </c>
      <c r="M175" s="314">
        <f t="shared" si="263"/>
        <v>0</v>
      </c>
      <c r="N175" s="314">
        <f t="shared" si="263"/>
        <v>0</v>
      </c>
      <c r="O175" s="314">
        <f t="shared" si="263"/>
        <v>0</v>
      </c>
      <c r="P175" s="314">
        <f t="shared" si="263"/>
        <v>0</v>
      </c>
      <c r="Q175" s="314">
        <f t="shared" si="263"/>
        <v>0</v>
      </c>
      <c r="R175" s="314">
        <f t="shared" si="263"/>
        <v>0</v>
      </c>
      <c r="S175" s="314">
        <f t="shared" si="263"/>
        <v>0</v>
      </c>
      <c r="T175" s="314">
        <f t="shared" si="263"/>
        <v>0</v>
      </c>
      <c r="U175" s="314">
        <f t="shared" si="263"/>
        <v>0</v>
      </c>
      <c r="V175" s="314">
        <f t="shared" si="263"/>
        <v>0</v>
      </c>
      <c r="W175" s="314">
        <f t="shared" si="263"/>
        <v>0</v>
      </c>
      <c r="X175" s="314">
        <f t="shared" si="263"/>
        <v>0</v>
      </c>
      <c r="Y175" s="314">
        <f t="shared" si="263"/>
        <v>0</v>
      </c>
      <c r="Z175" s="314">
        <f t="shared" si="263"/>
        <v>0</v>
      </c>
      <c r="AA175" s="314">
        <f t="shared" si="263"/>
        <v>0</v>
      </c>
      <c r="AB175" s="314">
        <f t="shared" si="263"/>
        <v>0</v>
      </c>
      <c r="AC175" s="314">
        <f t="shared" si="263"/>
        <v>0</v>
      </c>
      <c r="AD175" s="314">
        <f t="shared" si="263"/>
        <v>0</v>
      </c>
      <c r="AE175" s="314">
        <f t="shared" si="263"/>
        <v>0</v>
      </c>
      <c r="AF175" s="314">
        <f t="shared" si="263"/>
        <v>0</v>
      </c>
      <c r="AG175" s="314">
        <f t="shared" si="263"/>
        <v>0</v>
      </c>
      <c r="AH175" s="314">
        <f t="shared" si="263"/>
        <v>0</v>
      </c>
      <c r="AI175" s="314">
        <f t="shared" si="263"/>
        <v>0</v>
      </c>
      <c r="AJ175" s="1218">
        <f t="shared" si="263"/>
        <v>0</v>
      </c>
      <c r="AK175" s="314">
        <f t="shared" si="263"/>
        <v>0</v>
      </c>
      <c r="AL175" s="314">
        <f t="shared" ref="AL175:BQ175" si="264">AL139-AL174</f>
        <v>0</v>
      </c>
      <c r="AM175" s="1219">
        <f t="shared" si="264"/>
        <v>0</v>
      </c>
      <c r="AN175" s="314">
        <f t="shared" si="264"/>
        <v>0</v>
      </c>
      <c r="AO175" s="1218">
        <f t="shared" si="264"/>
        <v>0</v>
      </c>
      <c r="AP175" s="314">
        <f t="shared" si="264"/>
        <v>0</v>
      </c>
      <c r="AQ175" s="314">
        <f t="shared" si="264"/>
        <v>0</v>
      </c>
      <c r="AR175" s="1219">
        <f t="shared" si="264"/>
        <v>0</v>
      </c>
      <c r="AS175" s="314">
        <f t="shared" si="264"/>
        <v>0</v>
      </c>
      <c r="AT175" s="1218">
        <f t="shared" si="264"/>
        <v>0</v>
      </c>
      <c r="AU175" s="314">
        <f t="shared" si="264"/>
        <v>0</v>
      </c>
      <c r="AV175" s="314">
        <f t="shared" si="264"/>
        <v>0</v>
      </c>
      <c r="AW175" s="1219">
        <f t="shared" si="264"/>
        <v>0</v>
      </c>
      <c r="AX175" s="314">
        <f t="shared" si="264"/>
        <v>0</v>
      </c>
      <c r="AY175" s="1218">
        <f t="shared" si="264"/>
        <v>0</v>
      </c>
      <c r="AZ175" s="314">
        <f t="shared" si="264"/>
        <v>0</v>
      </c>
      <c r="BA175" s="314">
        <f t="shared" si="264"/>
        <v>0</v>
      </c>
      <c r="BB175" s="1219">
        <f t="shared" si="264"/>
        <v>0</v>
      </c>
      <c r="BC175" s="314">
        <f t="shared" si="264"/>
        <v>0</v>
      </c>
      <c r="BD175" s="1218">
        <f t="shared" si="264"/>
        <v>0</v>
      </c>
      <c r="BE175" s="314">
        <f t="shared" si="264"/>
        <v>0</v>
      </c>
      <c r="BF175" s="314">
        <f t="shared" si="264"/>
        <v>0</v>
      </c>
      <c r="BG175" s="1219">
        <f t="shared" si="264"/>
        <v>0</v>
      </c>
      <c r="BH175" s="314">
        <f t="shared" si="264"/>
        <v>0</v>
      </c>
      <c r="BI175" s="1218">
        <f t="shared" si="264"/>
        <v>0</v>
      </c>
      <c r="BJ175" s="314">
        <f t="shared" si="264"/>
        <v>0</v>
      </c>
      <c r="BK175" s="314">
        <f t="shared" si="264"/>
        <v>0</v>
      </c>
      <c r="BL175" s="1219">
        <f t="shared" si="264"/>
        <v>0</v>
      </c>
      <c r="BM175" s="314">
        <f t="shared" si="264"/>
        <v>0</v>
      </c>
      <c r="BN175" s="1218">
        <f t="shared" si="264"/>
        <v>0</v>
      </c>
      <c r="BO175" s="314">
        <f t="shared" si="264"/>
        <v>0</v>
      </c>
      <c r="BP175" s="314">
        <f t="shared" si="264"/>
        <v>0</v>
      </c>
      <c r="BQ175" s="1219">
        <f t="shared" si="264"/>
        <v>0</v>
      </c>
      <c r="BR175" s="314">
        <f t="shared" ref="BR175:CL175" si="265">BR139-BR174</f>
        <v>0</v>
      </c>
      <c r="BS175" s="1218">
        <f t="shared" si="265"/>
        <v>0</v>
      </c>
      <c r="BT175" s="740">
        <f t="shared" si="265"/>
        <v>0</v>
      </c>
      <c r="BU175" s="740">
        <f t="shared" si="265"/>
        <v>0</v>
      </c>
      <c r="BV175" s="1219">
        <f t="shared" si="265"/>
        <v>0</v>
      </c>
      <c r="BW175" s="314">
        <f t="shared" si="265"/>
        <v>0</v>
      </c>
      <c r="BX175" s="1218">
        <f t="shared" si="265"/>
        <v>0</v>
      </c>
      <c r="BY175" s="314">
        <f t="shared" si="265"/>
        <v>0</v>
      </c>
      <c r="BZ175" s="314">
        <f t="shared" si="265"/>
        <v>0</v>
      </c>
      <c r="CA175" s="1219">
        <f t="shared" si="265"/>
        <v>0</v>
      </c>
      <c r="CB175" s="314">
        <f t="shared" si="265"/>
        <v>0</v>
      </c>
      <c r="CC175" s="1218">
        <f t="shared" si="265"/>
        <v>0</v>
      </c>
      <c r="CD175" s="314">
        <f t="shared" si="265"/>
        <v>0</v>
      </c>
      <c r="CE175" s="314">
        <f t="shared" si="265"/>
        <v>0</v>
      </c>
      <c r="CF175" s="1219">
        <f t="shared" si="265"/>
        <v>0</v>
      </c>
      <c r="CG175" s="314">
        <f t="shared" si="265"/>
        <v>0</v>
      </c>
      <c r="CH175" s="1545">
        <f t="shared" si="265"/>
        <v>0</v>
      </c>
      <c r="CI175" s="740">
        <f t="shared" si="265"/>
        <v>0</v>
      </c>
      <c r="CJ175" s="740">
        <f t="shared" si="265"/>
        <v>0</v>
      </c>
      <c r="CK175" s="1547">
        <f t="shared" si="265"/>
        <v>0</v>
      </c>
      <c r="CL175" s="740">
        <f t="shared" si="265"/>
        <v>0</v>
      </c>
      <c r="CM175" s="1545">
        <f t="shared" ref="CM175:CQ175" si="266">CM139-CM174</f>
        <v>0</v>
      </c>
      <c r="CN175" s="740">
        <f t="shared" si="266"/>
        <v>0</v>
      </c>
      <c r="CO175" s="740">
        <f t="shared" si="266"/>
        <v>0</v>
      </c>
      <c r="CP175" s="1547">
        <f t="shared" si="266"/>
        <v>0</v>
      </c>
      <c r="CQ175" s="740">
        <f t="shared" si="266"/>
        <v>0</v>
      </c>
      <c r="CR175" s="1545"/>
    </row>
    <row r="176" spans="1:96" ht="6.2" customHeight="1">
      <c r="A176" s="75"/>
      <c r="B176" s="125"/>
      <c r="C176" s="75"/>
      <c r="D176" s="245"/>
      <c r="E176" s="245"/>
      <c r="F176" s="246"/>
      <c r="G176" s="246"/>
      <c r="H176" s="246"/>
      <c r="I176" s="246"/>
      <c r="J176" s="246"/>
      <c r="K176" s="246"/>
      <c r="L176" s="246"/>
      <c r="M176" s="246"/>
      <c r="N176" s="246"/>
      <c r="O176" s="246"/>
      <c r="P176" s="246"/>
      <c r="Q176" s="246"/>
      <c r="R176" s="246"/>
      <c r="S176" s="246"/>
      <c r="T176" s="246"/>
      <c r="U176" s="246"/>
      <c r="V176" s="246"/>
      <c r="W176" s="246"/>
      <c r="X176" s="246"/>
      <c r="Y176" s="246"/>
      <c r="Z176" s="246"/>
      <c r="AA176" s="246"/>
      <c r="AB176" s="246"/>
      <c r="AC176" s="246"/>
      <c r="AD176" s="246"/>
      <c r="AE176" s="247"/>
      <c r="AF176" s="246"/>
      <c r="AG176" s="246"/>
      <c r="AH176" s="246"/>
      <c r="AI176" s="246"/>
      <c r="AJ176" s="1220"/>
      <c r="AK176" s="1221"/>
      <c r="AL176" s="1221"/>
      <c r="AM176" s="1222"/>
      <c r="AN176" s="246"/>
      <c r="AO176" s="1220"/>
      <c r="AP176" s="1221"/>
      <c r="AQ176" s="1221"/>
      <c r="AR176" s="1222"/>
      <c r="AS176" s="246"/>
      <c r="AT176" s="1220"/>
      <c r="AU176" s="1221"/>
      <c r="AV176" s="1221"/>
      <c r="AW176" s="1222"/>
      <c r="AX176" s="246"/>
      <c r="AY176" s="1220"/>
      <c r="AZ176" s="1221"/>
      <c r="BA176" s="1221"/>
      <c r="BB176" s="1222"/>
      <c r="BC176" s="246"/>
      <c r="BD176" s="1220"/>
      <c r="BE176" s="1221"/>
      <c r="BF176" s="1221"/>
      <c r="BG176" s="1222"/>
      <c r="BH176" s="246"/>
      <c r="BI176" s="1220"/>
      <c r="BJ176" s="1221"/>
      <c r="BK176" s="1221"/>
      <c r="BL176" s="1222"/>
      <c r="BM176" s="246"/>
      <c r="BN176" s="1220"/>
      <c r="BO176" s="1221"/>
      <c r="BP176" s="1221"/>
      <c r="BQ176" s="1222"/>
      <c r="BR176" s="246"/>
      <c r="BS176" s="1220"/>
      <c r="BT176" s="1352"/>
      <c r="BU176" s="1352"/>
      <c r="BV176" s="1222"/>
      <c r="BW176" s="246"/>
      <c r="BX176" s="1220"/>
      <c r="BY176" s="1221"/>
      <c r="BZ176" s="1221"/>
      <c r="CA176" s="1222"/>
      <c r="CB176" s="246"/>
      <c r="CC176" s="1220"/>
      <c r="CD176" s="1221"/>
      <c r="CE176" s="1221"/>
      <c r="CF176" s="1222"/>
      <c r="CG176" s="246"/>
      <c r="CH176" s="1220"/>
      <c r="CI176" s="1221"/>
      <c r="CJ176" s="1221"/>
      <c r="CK176" s="1222"/>
      <c r="CL176" s="246"/>
      <c r="CM176" s="1220"/>
      <c r="CN176" s="1221"/>
      <c r="CO176" s="1221"/>
      <c r="CP176" s="1222"/>
      <c r="CQ176" s="1222"/>
      <c r="CR176" s="245"/>
    </row>
    <row r="177" spans="1:96" ht="13.5" customHeight="1">
      <c r="A177" s="93" t="s">
        <v>940</v>
      </c>
      <c r="B177" s="242"/>
      <c r="C177" s="93"/>
      <c r="D177" s="93"/>
      <c r="E177" s="93"/>
      <c r="F177" s="248"/>
      <c r="G177" s="248"/>
      <c r="H177" s="248"/>
      <c r="I177" s="248"/>
      <c r="J177" s="248"/>
      <c r="K177" s="248"/>
      <c r="L177" s="248"/>
      <c r="M177" s="248"/>
      <c r="N177" s="248"/>
      <c r="O177" s="248"/>
      <c r="P177" s="248"/>
      <c r="Q177" s="248"/>
      <c r="R177" s="248"/>
      <c r="S177" s="248"/>
      <c r="T177" s="248"/>
      <c r="U177" s="248"/>
      <c r="V177" s="248"/>
      <c r="W177" s="248"/>
      <c r="X177" s="248"/>
      <c r="Y177" s="248"/>
      <c r="Z177" s="248"/>
      <c r="AA177" s="248"/>
      <c r="AB177" s="248"/>
      <c r="AC177" s="248"/>
      <c r="AD177" s="248"/>
      <c r="AE177" s="248"/>
      <c r="AF177" s="248"/>
      <c r="AG177" s="248"/>
      <c r="AH177" s="248"/>
      <c r="AI177" s="248"/>
      <c r="AJ177" s="1223"/>
      <c r="AK177" s="1224"/>
      <c r="AL177" s="1224"/>
      <c r="AM177" s="1225"/>
      <c r="AN177" s="248"/>
      <c r="AO177" s="1223"/>
      <c r="AP177" s="1224"/>
      <c r="AQ177" s="1224"/>
      <c r="AR177" s="1225"/>
      <c r="AS177" s="248"/>
      <c r="AT177" s="1223"/>
      <c r="AU177" s="1224"/>
      <c r="AV177" s="1224"/>
      <c r="AW177" s="1225"/>
      <c r="AX177" s="248"/>
      <c r="AY177" s="1223"/>
      <c r="AZ177" s="1224"/>
      <c r="BA177" s="1224"/>
      <c r="BB177" s="1225"/>
      <c r="BC177" s="248"/>
      <c r="BD177" s="1223"/>
      <c r="BE177" s="1224"/>
      <c r="BF177" s="1224"/>
      <c r="BG177" s="1225"/>
      <c r="BH177" s="248"/>
      <c r="BI177" s="1223"/>
      <c r="BJ177" s="1224"/>
      <c r="BK177" s="1224"/>
      <c r="BL177" s="1225"/>
      <c r="BM177" s="248"/>
      <c r="BN177" s="1223"/>
      <c r="BO177" s="1224"/>
      <c r="BP177" s="1224"/>
      <c r="BQ177" s="1225"/>
      <c r="BR177" s="248"/>
      <c r="BS177" s="1223"/>
      <c r="BT177" s="1224"/>
      <c r="BU177" s="1224"/>
      <c r="BV177" s="1225"/>
      <c r="BW177" s="248"/>
      <c r="BX177" s="1223"/>
      <c r="BY177" s="1224"/>
      <c r="BZ177" s="1224"/>
      <c r="CA177" s="1225"/>
      <c r="CB177" s="248"/>
      <c r="CC177" s="1223"/>
      <c r="CD177" s="1224"/>
      <c r="CE177" s="1224"/>
      <c r="CF177" s="1225"/>
      <c r="CG177" s="248"/>
      <c r="CH177" s="1223"/>
      <c r="CI177" s="1224"/>
      <c r="CJ177" s="1224"/>
      <c r="CK177" s="1225"/>
      <c r="CL177" s="248"/>
      <c r="CM177" s="1223"/>
      <c r="CN177" s="1224"/>
      <c r="CO177" s="1224"/>
      <c r="CP177" s="1225"/>
      <c r="CQ177" s="1225"/>
      <c r="CR177" s="93"/>
    </row>
    <row r="178" spans="1:96" ht="13.5" customHeight="1">
      <c r="A178" s="75"/>
      <c r="B178" s="125" t="s">
        <v>818</v>
      </c>
      <c r="C178" s="75"/>
      <c r="D178" s="75"/>
      <c r="E178" s="75"/>
      <c r="F178" s="650">
        <v>2027</v>
      </c>
      <c r="G178" s="109">
        <f>+F186</f>
        <v>1987</v>
      </c>
      <c r="H178" s="109">
        <f>+G186</f>
        <v>1933</v>
      </c>
      <c r="I178" s="109">
        <f>+H186</f>
        <v>1414</v>
      </c>
      <c r="J178" s="650">
        <v>2027</v>
      </c>
      <c r="K178" s="109">
        <f>+J186</f>
        <v>867</v>
      </c>
      <c r="L178" s="109">
        <f>+K186</f>
        <v>1328</v>
      </c>
      <c r="M178" s="109">
        <f>+L186</f>
        <v>1580</v>
      </c>
      <c r="N178" s="109">
        <f>+M186</f>
        <v>1945</v>
      </c>
      <c r="O178" s="109">
        <f>+J186</f>
        <v>867</v>
      </c>
      <c r="P178" s="109">
        <f>+O186</f>
        <v>3858</v>
      </c>
      <c r="Q178" s="109">
        <f>+P186</f>
        <v>4312</v>
      </c>
      <c r="R178" s="109">
        <f>+Q186</f>
        <v>4545</v>
      </c>
      <c r="S178" s="109">
        <f>+R186</f>
        <v>4583</v>
      </c>
      <c r="T178" s="109">
        <f>+O186</f>
        <v>3858</v>
      </c>
      <c r="U178" s="109">
        <f>+T186</f>
        <v>3108</v>
      </c>
      <c r="V178" s="109">
        <f>+U186</f>
        <v>3489</v>
      </c>
      <c r="W178" s="109">
        <f>+V186</f>
        <v>4033</v>
      </c>
      <c r="X178" s="109">
        <f>+W186</f>
        <v>4195</v>
      </c>
      <c r="Y178" s="109">
        <f>+T186</f>
        <v>3108</v>
      </c>
      <c r="Z178" s="109">
        <f>+Y186</f>
        <v>4365</v>
      </c>
      <c r="AA178" s="109">
        <f>+Z186</f>
        <v>4656</v>
      </c>
      <c r="AB178" s="109">
        <f>+AA186</f>
        <v>4960</v>
      </c>
      <c r="AC178" s="109">
        <f>+AB186</f>
        <v>5352</v>
      </c>
      <c r="AD178" s="109">
        <f>+Y186</f>
        <v>4365</v>
      </c>
      <c r="AE178" s="109">
        <f>+AD186</f>
        <v>5531</v>
      </c>
      <c r="AF178" s="109">
        <f>+AE186</f>
        <v>5778</v>
      </c>
      <c r="AG178" s="109">
        <f>+AF186</f>
        <v>6409</v>
      </c>
      <c r="AH178" s="109">
        <f>+AG186</f>
        <v>6179</v>
      </c>
      <c r="AI178" s="109">
        <f>+AD186</f>
        <v>5531</v>
      </c>
      <c r="AJ178" s="918">
        <f>+AI186</f>
        <v>4895</v>
      </c>
      <c r="AK178" s="216">
        <f>+AJ186</f>
        <v>4379</v>
      </c>
      <c r="AL178" s="216">
        <f>+AK186</f>
        <v>4873</v>
      </c>
      <c r="AM178" s="919">
        <f>+AL186</f>
        <v>4749</v>
      </c>
      <c r="AN178" s="109">
        <f>+AI186</f>
        <v>4895</v>
      </c>
      <c r="AO178" s="918">
        <f>+AM186</f>
        <v>4676</v>
      </c>
      <c r="AP178" s="216">
        <f>+AO186</f>
        <v>4556</v>
      </c>
      <c r="AQ178" s="216">
        <f>+AP186</f>
        <v>4449</v>
      </c>
      <c r="AR178" s="919">
        <f>+AQ186</f>
        <v>4518</v>
      </c>
      <c r="AS178" s="109">
        <f>+AN186</f>
        <v>4676</v>
      </c>
      <c r="AT178" s="918">
        <f>+AR186</f>
        <v>3851</v>
      </c>
      <c r="AU178" s="216">
        <f>+AT186</f>
        <v>3908</v>
      </c>
      <c r="AV178" s="216">
        <f>+AU186</f>
        <v>4215</v>
      </c>
      <c r="AW178" s="919">
        <f>+AV186</f>
        <v>4169</v>
      </c>
      <c r="AX178" s="109">
        <f>+AS186</f>
        <v>3851</v>
      </c>
      <c r="AY178" s="918">
        <f>+AW186</f>
        <v>3500</v>
      </c>
      <c r="AZ178" s="216">
        <f>+AY186</f>
        <v>3460</v>
      </c>
      <c r="BA178" s="216">
        <f>+AZ186</f>
        <v>3532</v>
      </c>
      <c r="BB178" s="919">
        <f>+BA186</f>
        <v>3861</v>
      </c>
      <c r="BC178" s="109">
        <f>+AX186</f>
        <v>3500</v>
      </c>
      <c r="BD178" s="918">
        <f>+BB186</f>
        <v>3477</v>
      </c>
      <c r="BE178" s="216">
        <f>+BD186</f>
        <v>3470</v>
      </c>
      <c r="BF178" s="216">
        <f>+BE186</f>
        <v>3473</v>
      </c>
      <c r="BG178" s="919">
        <f>+BF186</f>
        <v>1774</v>
      </c>
      <c r="BH178" s="109">
        <f>+BC186</f>
        <v>3477</v>
      </c>
      <c r="BI178" s="918">
        <f>+BG186</f>
        <v>3348</v>
      </c>
      <c r="BJ178" s="216">
        <f>+BI186</f>
        <v>3450</v>
      </c>
      <c r="BK178" s="216">
        <f>+BJ186</f>
        <v>3513</v>
      </c>
      <c r="BL178" s="919">
        <f>+BK186</f>
        <v>3942</v>
      </c>
      <c r="BM178" s="109">
        <f>+BH186</f>
        <v>3348</v>
      </c>
      <c r="BN178" s="918">
        <f>+BL186</f>
        <v>3799</v>
      </c>
      <c r="BO178" s="216">
        <f>+BN186</f>
        <v>3667</v>
      </c>
      <c r="BP178" s="216">
        <f>+BO186</f>
        <v>3480</v>
      </c>
      <c r="BQ178" s="919">
        <f>+BP186</f>
        <v>3171</v>
      </c>
      <c r="BR178" s="109">
        <f>+BM186</f>
        <v>3799</v>
      </c>
      <c r="BS178" s="918">
        <f>+BQ186</f>
        <v>2436</v>
      </c>
      <c r="BT178" s="216">
        <f>+BS186</f>
        <v>1942</v>
      </c>
      <c r="BU178" s="216">
        <f>+BT186</f>
        <v>1913</v>
      </c>
      <c r="BV178" s="919">
        <f>+BU186</f>
        <v>2601</v>
      </c>
      <c r="BW178" s="109">
        <f>+BR186</f>
        <v>2436</v>
      </c>
      <c r="BX178" s="918">
        <f>+BV186</f>
        <v>2274</v>
      </c>
      <c r="BY178" s="216">
        <f>+BX186</f>
        <v>2173</v>
      </c>
      <c r="BZ178" s="216">
        <f>+BY186</f>
        <v>2554</v>
      </c>
      <c r="CA178" s="919">
        <f>+BZ186</f>
        <v>2807</v>
      </c>
      <c r="CB178" s="109">
        <f>+BW186</f>
        <v>2274</v>
      </c>
      <c r="CC178" s="918">
        <f>+CA186</f>
        <v>3320</v>
      </c>
      <c r="CD178" s="216">
        <f>+CC186</f>
        <v>3390.1257737316141</v>
      </c>
      <c r="CE178" s="216">
        <f>+CD186</f>
        <v>3674.6539863797507</v>
      </c>
      <c r="CF178" s="919">
        <f>+CE186</f>
        <v>4040.2670303158948</v>
      </c>
      <c r="CG178" s="109">
        <f>+CB186</f>
        <v>3320</v>
      </c>
      <c r="CH178" s="918">
        <f>+CF186</f>
        <v>4339.2968051983244</v>
      </c>
      <c r="CI178" s="216">
        <f>+CH186</f>
        <v>4485.4313162694953</v>
      </c>
      <c r="CJ178" s="216">
        <f>+CI186</f>
        <v>4859.5659275337966</v>
      </c>
      <c r="CK178" s="919">
        <f>+CJ186</f>
        <v>5210.5130716488766</v>
      </c>
      <c r="CL178" s="109">
        <f>+CG186</f>
        <v>4339.2968051983244</v>
      </c>
      <c r="CM178" s="918">
        <f>+CK186</f>
        <v>5546.2744942174295</v>
      </c>
      <c r="CN178" s="216">
        <f>+CM186</f>
        <v>5713.003951040112</v>
      </c>
      <c r="CO178" s="216">
        <f>+CN186</f>
        <v>6007.2976106986071</v>
      </c>
      <c r="CP178" s="919">
        <f>+CO186</f>
        <v>6246.3543014905208</v>
      </c>
      <c r="CQ178" s="919">
        <f>+CL186</f>
        <v>5546.2744942174295</v>
      </c>
      <c r="CR178" s="75"/>
    </row>
    <row r="179" spans="1:96" ht="13.5" customHeight="1">
      <c r="A179" s="75"/>
      <c r="B179" s="125" t="s">
        <v>819</v>
      </c>
      <c r="C179" s="75"/>
      <c r="D179" s="75"/>
      <c r="E179" s="75"/>
      <c r="F179" s="109">
        <v>4</v>
      </c>
      <c r="G179" s="109">
        <f>+G164+G165-F165-F164</f>
        <v>3</v>
      </c>
      <c r="H179" s="109">
        <f>+H164+H165-G165-G164</f>
        <v>-16</v>
      </c>
      <c r="I179" s="109">
        <f>+I164+I165-H165-H164</f>
        <v>9</v>
      </c>
      <c r="J179" s="650">
        <v>-16</v>
      </c>
      <c r="K179" s="109">
        <f>IF(K169-J169&gt;0,+K164+K165-J165-J164+K169-J169,+K164+K165-J165-J164)</f>
        <v>334</v>
      </c>
      <c r="L179" s="109">
        <f>IF(L169-K169&gt;0,+L164+L165-K165-K164+L169-K169,+L164+L165-K165-K164)</f>
        <v>-8</v>
      </c>
      <c r="M179" s="109">
        <f>IF(M169-L169&gt;0,+M164+M165-L165-L164+M169-L169,+M164+M165-L165-L164)</f>
        <v>20</v>
      </c>
      <c r="N179" s="109">
        <f>IF(N169-M169&gt;0,+N164+N165-M165-M164+N169-M169,+N164+N165-M165-M164)</f>
        <v>18</v>
      </c>
      <c r="O179" s="109">
        <f>+O164+O165-J165-J164</f>
        <v>364</v>
      </c>
      <c r="P179" s="109">
        <f>IF(P169-O169&gt;0,+P164+P165-O165-O164+P169-O169,+P164+P165-O165-O164)</f>
        <v>10</v>
      </c>
      <c r="Q179" s="109">
        <f>IF(Q169-P169&gt;0,+Q164+Q165-P165-P164+Q169-P169,+Q164+Q165-P165-P164)</f>
        <v>1</v>
      </c>
      <c r="R179" s="109">
        <f>IF(R169-Q169&gt;0,+R164+R165-Q165-Q164+R169-Q169,+R164+R165-Q165-Q164)</f>
        <v>12</v>
      </c>
      <c r="S179" s="109">
        <f>IF(S169-R169&gt;0,+S164+S165-R165-R164+S169-R169,+S164+S165-R165-R164)</f>
        <v>1</v>
      </c>
      <c r="T179" s="109">
        <f>+T164+T165-O165-O164</f>
        <v>21</v>
      </c>
      <c r="U179" s="109">
        <f>IF(U169-T169&gt;0,+U164+U165-T165-T164+U169-T169,+U164+U165-T165-T164)</f>
        <v>3</v>
      </c>
      <c r="V179" s="109">
        <f>IF(V169-U169&gt;0,+V164+V165-U165-U164+V169-U169,+V164+V165-U165-U164)</f>
        <v>110</v>
      </c>
      <c r="W179" s="109">
        <f>IF(W169-V169&gt;0,+W164+W165-V165-V164+W169-V169,+W164+W165-V165-V164)</f>
        <v>-4</v>
      </c>
      <c r="X179" s="109">
        <f>IF(X169-W169&gt;0,+X164+X165-W165-W164+X169-W169,+X164+X165-W165-W164)</f>
        <v>0</v>
      </c>
      <c r="Y179" s="109">
        <f>+Y164+Y165-T165-T164</f>
        <v>-110</v>
      </c>
      <c r="Z179" s="109">
        <f>IF(Z169-Y169&gt;0,+Z164+Z165-Y165-Y164+Z169-Y169,+Z164+Z165-Y165-Y164)</f>
        <v>7</v>
      </c>
      <c r="AA179" s="109">
        <f>IF(AA169-Z169&gt;0,+AA164+AA165-Z165-Z164+AA169-Z169,+AA164+AA165-Z165-Z164)</f>
        <v>5</v>
      </c>
      <c r="AB179" s="109">
        <f>IF(AB169-AA169&gt;0,+AB164+AB165-AA165-AA164+AB169-AA169,+AB164+AB165-AA165-AA164)</f>
        <v>-3</v>
      </c>
      <c r="AC179" s="109">
        <f>IF(AC169-AB169&gt;0,+AC164+AC165-AB165-AB164+AC169-AB169,+AC164+AC165-AB165-AB164)</f>
        <v>4</v>
      </c>
      <c r="AD179" s="109">
        <f>+AD164+AD165-Y165-Y164</f>
        <v>13</v>
      </c>
      <c r="AE179" s="109">
        <f>IF(AE169-AD169&gt;0,+AE164+AE165-AD165-AD164+AE169-AD169,+AE164+AE165-AD165-AD164)</f>
        <v>7</v>
      </c>
      <c r="AF179" s="109">
        <f>IF(AF169-AE169&gt;0,+AF164+AF165-AE165-AE164+AF169-AE169,+AF164+AF165-AE165-AE164)</f>
        <v>10</v>
      </c>
      <c r="AG179" s="109">
        <f>IF(AG169-AF169&gt;0,+AG164+AG165-AF165-AF164+AG169-AF169,+AG164+AG165-AF165-AF164)</f>
        <v>10</v>
      </c>
      <c r="AH179" s="109">
        <f>IF(AH169-AG169&gt;0,+AH164+AH165-AG165-AG164+AH169-AG169,+AH164+AH165-AG165-AG164)</f>
        <v>4</v>
      </c>
      <c r="AI179" s="109">
        <f>+AI164+AI165-AD165-AD164</f>
        <v>31</v>
      </c>
      <c r="AJ179" s="918">
        <f>IF(AJ169-AI169&gt;0,+AJ164+AJ165-AI165-AI164+AJ169-AI169,+AJ164+AJ165-AI165-AI164)</f>
        <v>12</v>
      </c>
      <c r="AK179" s="216">
        <f>IF(AK169-AJ169&gt;0,+AK164+AK165-AJ165-AJ164+AK169-AJ169,+AK164+AK165-AJ165-AJ164)</f>
        <v>669</v>
      </c>
      <c r="AL179" s="216">
        <f>IF(AL169-AK169&gt;0,+AL164+AL165-AK165-AK164+AL169-AK169,+AL164+AL165-AK165-AK164)</f>
        <v>13</v>
      </c>
      <c r="AM179" s="919">
        <f>IF(AM169-AL169&gt;0,+AM164+AM165-AL165-AL164+AM169-AL169,+AM164+AM165-AL165-AL164)</f>
        <v>4</v>
      </c>
      <c r="AN179" s="109">
        <f>IF(AN169-AI169&gt;0,+AN164+AN165-AI165-AI164+AN169-AI169,+AN164+AN165-AI165-AI164)</f>
        <v>697</v>
      </c>
      <c r="AO179" s="918">
        <f>IF(AO169-AM169&gt;0,(AO169-AM169)+AO164+AO165-AM165-AM164,+AO164+AO165-AM165-AM164)</f>
        <v>3</v>
      </c>
      <c r="AP179" s="216">
        <f>IF(AP169-AO169&gt;0,(AP169-AO169)+AP164+AP165-AO165-AO164,+AP164+AP165-AO165-AO164)</f>
        <v>2</v>
      </c>
      <c r="AQ179" s="216">
        <f>IF(AQ169-AP169&gt;0,(AQ169-AP169)+AQ164+AQ165-AP165-AP164,+AQ164+AQ165-AP165-AP164)</f>
        <v>12</v>
      </c>
      <c r="AR179" s="919">
        <f>IF(AR169-AQ169&gt;0,(AR169-AQ169)+AR164+AR165-AQ165-AQ164,+AR164+AR165-AQ165-AQ164)</f>
        <v>2</v>
      </c>
      <c r="AS179" s="109">
        <f>IF(AS169-AN169&gt;0,(AS169-AN169)+AS164+AS165-AN165-AN164,+AS164+AS165-AN165-AN164)</f>
        <v>19</v>
      </c>
      <c r="AT179" s="918">
        <f>IF(AT169-AR169&gt;0,(AT169-AR169)+AT164+AT165-AR165-AR164,+AT164+AT165-AR165-AR164)</f>
        <v>19</v>
      </c>
      <c r="AU179" s="216">
        <f>IF(AU169-AT169&gt;0,(AU169-AT169)+AU164+AU165-AT165-AT164,+AU164+AU165-AT165-AT164)</f>
        <v>3</v>
      </c>
      <c r="AV179" s="216">
        <f>IF(AV169-AU169&gt;0,(AV169-AU169)+AV164+AV165-AU165-AU164,+AV164+AV165-AU165-AU164)</f>
        <v>8</v>
      </c>
      <c r="AW179" s="919">
        <f>IF(AW169-AV169&gt;0,(AW169-AV169)+AW164+AW165-AV165-AV164,+AW164+AW165-AV165-AV164)</f>
        <v>7</v>
      </c>
      <c r="AX179" s="109">
        <f>IF(AX169-AS169&gt;0,(AX169-AS169)+AX164+AX165-AS165-AS164,+AX164+AX165-AS165-AS164)</f>
        <v>37</v>
      </c>
      <c r="AY179" s="918">
        <f>IF(AY169-AW169&gt;0,(AY169-AW169)+AY164+AY165-AW165-AW164,+AY164+AY165-AW165-AW164)</f>
        <v>9</v>
      </c>
      <c r="AZ179" s="216">
        <f>IF(AZ169-AY169&gt;0,(AZ169-AY169)+AZ164+AZ165-AY165-AY164,+AZ164+AZ165-AY165-AY164)</f>
        <v>3</v>
      </c>
      <c r="BA179" s="216">
        <f>IF(BA169-AZ169&gt;0,(BA169-AZ169)+BA164+BA165-AZ165-AZ164,+BA164+BA165-AZ165-AZ164)</f>
        <v>9</v>
      </c>
      <c r="BB179" s="919">
        <f>IF(BB169-BA169&gt;0,(BB169-BA169)+BB164+BB165-BA165-BA164,+BB164+BB165-BA165-BA164)</f>
        <v>10</v>
      </c>
      <c r="BC179" s="109">
        <f>IF(BC169-AX169&gt;0,(BC169-AX169)+BC164+BC165-AX165-AX164,+BC164+BC165-AX165-AX164)</f>
        <v>31</v>
      </c>
      <c r="BD179" s="918">
        <f>IF(BD169-BB169&gt;0,(BD169-BB169)+BD164+BD165-BB165-BB164,+BD164+BD165-BB165-BB164)</f>
        <v>42</v>
      </c>
      <c r="BE179" s="216">
        <f>IF(BE169-BD169&gt;0,(BE169-BD169)+BE164+BE165-BD165-BD164,+BE164+BE165-BD165-BD164)</f>
        <v>1</v>
      </c>
      <c r="BF179" s="216">
        <f>IF(BF169-BE169&gt;0,(BF169-BE169)+BF164+BF165-BE165-BE164,+BF164+BF165-BE165-BE164)</f>
        <v>10</v>
      </c>
      <c r="BG179" s="919">
        <f>IF(BG169-BF169&gt;0,(BG169-BF169)+BG164+BG165-BF165-BF164,+BG164+BG165-BF165-BF164)</f>
        <v>3</v>
      </c>
      <c r="BH179" s="109">
        <f>IF(BH169-BC169&gt;0,(BH169-BC169)+BH164+BH165-BC165-BC164,+BH164+BH165-BC165-BC164)</f>
        <v>56</v>
      </c>
      <c r="BI179" s="918">
        <f>IF(BI169-BG169&gt;0,(BI169-BG169)+BI164+BI165-BG165-BG164,+BI164+BI165-BG165-BG164)</f>
        <v>9</v>
      </c>
      <c r="BJ179" s="216">
        <f>IF(BJ169-BI169&gt;0,(BJ169-BI169)+BJ164+BJ165-BI165-BI164,+BJ164+BJ165-BI165-BI164)</f>
        <v>2</v>
      </c>
      <c r="BK179" s="216">
        <f>IF(BK169-BJ169&gt;0,(BK169-BJ169)+BK164+BK165-BJ165-BJ164,+BK164+BK165-BJ165-BJ164)</f>
        <v>15</v>
      </c>
      <c r="BL179" s="919">
        <f>IF(BL169-BK169&gt;0,(BL169-BK169)+BL164+BL165-BK165-BK164,+BL164+BL165-BK165-BK164)</f>
        <v>14</v>
      </c>
      <c r="BM179" s="109">
        <f>IF(BM169-BH169&gt;0,(BM169-BH169)+BM164+BM165-BH165-BH164,+BM164+BM165-BH165-BH164)</f>
        <v>40</v>
      </c>
      <c r="BN179" s="918">
        <f>IF(BN169-BL169&gt;0,(BN169-BL169)+BN164+BN165-BL165-BL164,+BN164+BN165-BL165-BL164)</f>
        <v>11</v>
      </c>
      <c r="BO179" s="216">
        <f>IF(BO169-BN169&gt;0,(BO169-BN169)+BO164+BO165-BN165-BN164,+BO164+BO165-BN165-BN164)</f>
        <v>13</v>
      </c>
      <c r="BP179" s="216">
        <f>IF(BP169-BO169&gt;0,(BP169-BO169)+BP164+BP165-BO165-BO164,+BP164+BP165-BO165-BO164)</f>
        <v>6</v>
      </c>
      <c r="BQ179" s="919">
        <f>IF(BQ169-BP169&gt;0,(BQ169-BP169)+BQ164+BQ165-BP165-BP164,+BQ164+BQ165-BP165-BP164)</f>
        <v>7</v>
      </c>
      <c r="BR179" s="109">
        <f>IF(BR169-BM169&gt;0,(BR169-BM169)+BR164+BR165-BM165-BM164,+BR164+BR165-BM165-BM164)</f>
        <v>37</v>
      </c>
      <c r="BS179" s="918">
        <f>IF(BS169-BQ169&gt;0,(BS169-BQ169)+BS164+BS165-BQ165-BQ164,+BS164+BS165-BQ165-BQ164)</f>
        <v>5</v>
      </c>
      <c r="BT179" s="216">
        <f>IF(BT169-BS169&gt;0,(BT169-BS169)+BT164+BT165-BS165-BS164,+BT164+BT165-BS165-BS164)</f>
        <v>-11</v>
      </c>
      <c r="BU179" s="216">
        <f>IF(BU169-BT169&gt;0,(BU169-BT169)+BU164+BU165-BT165-BT164,+BU164+BU165-BT165-BT164)</f>
        <v>582</v>
      </c>
      <c r="BV179" s="919">
        <f>IF(BV169-BU169&gt;0,(BV169-BU169)+BV164+BV165-BU165-BU164,+BV164+BV165-BU165-BU164)</f>
        <v>30</v>
      </c>
      <c r="BW179" s="109">
        <f>IF(BW169-BR169&gt;0,(BW169-BR169)+BW164+BW165-BR165-BR164,+BW164+BW165-BR165-BR164)</f>
        <v>606</v>
      </c>
      <c r="BX179" s="918">
        <f>IF(BX169-BV169&gt;0,(BX169-BV169)+BX164+BX165-BV165-BV164,+BX164+BX165-BV165-BV164)</f>
        <v>5</v>
      </c>
      <c r="BY179" s="216">
        <f>IF(BY169-BX169&gt;0,(BY169-BX169)+BY164+BY165-BX165-BX164,+BY164+BY165-BX165-BX164)</f>
        <v>-4</v>
      </c>
      <c r="BZ179" s="216">
        <f>IF(BZ169-BY169&gt;0,(BZ169-BY169)+BZ164+BZ165-BY165-BY164,+BZ164+BZ165-BY165-BY164)</f>
        <v>-1</v>
      </c>
      <c r="CA179" s="919">
        <f>IF(CA169-BZ169&gt;0,(CA169-BZ169)+CA164+CA165-BZ165-BZ164,+CA164+CA165-BZ165-BZ164)</f>
        <v>11</v>
      </c>
      <c r="CB179" s="109">
        <f>SUM(BX179:CA179)</f>
        <v>11</v>
      </c>
      <c r="CC179" s="918">
        <f>IF(CC169-CA169&gt;0,(CC169-CA169)+CC164+CC165-CA165-CA164,+CC164+CC165-CA165-CA164)</f>
        <v>0</v>
      </c>
      <c r="CD179" s="216">
        <f>IF(CD169-CC169&gt;0,(CD169-CC169)+CD164+CD165-CC165-CC164,+CD164+CD165-CC165-CC164)</f>
        <v>0</v>
      </c>
      <c r="CE179" s="216">
        <f>IF(CE169-CD169&gt;0,(CE169-CD169)+CE164+CE165-CD165-CD164,+CE164+CE165-CD165-CD164)</f>
        <v>0</v>
      </c>
      <c r="CF179" s="919">
        <f>IF(CF169-CE169&gt;0,(CF169-CE169)+CF164+CF165-CE165-CE164,+CF164+CF165-CE165-CE164)</f>
        <v>0</v>
      </c>
      <c r="CG179" s="109">
        <f>IF(CG169-CB169&gt;0,(CG169-CB169)+CG164+CG165-CB165-CB164,+CG164+CG165-CB165-CB164)</f>
        <v>0</v>
      </c>
      <c r="CH179" s="918">
        <f>IF(CH169-CF169&gt;0,(CH169-CF169)+CH164+CH165-CF165-CF164,+CH164+CH165-CF165-CF164)</f>
        <v>0</v>
      </c>
      <c r="CI179" s="216">
        <f>IF(CI169-CH169&gt;0,(CI169-CH169)+CI164+CI165-CH165-CH164,+CI164+CI165-CH165-CH164)</f>
        <v>0</v>
      </c>
      <c r="CJ179" s="216">
        <f>IF(CJ169-CI169&gt;0,(CJ169-CI169)+CJ164+CJ165-CI165-CI164,+CJ164+CJ165-CI165-CI164)</f>
        <v>0</v>
      </c>
      <c r="CK179" s="919">
        <f>IF(CK169-CJ169&gt;0,(CK169-CJ169)+CK164+CK165-CJ165-CJ164,+CK164+CK165-CJ165-CJ164)</f>
        <v>0</v>
      </c>
      <c r="CL179" s="109">
        <f>IF(CL169-CG169&gt;0,(CL169-CG169)+CL164+CL165-CG165-CG164,+CL164+CL165-CG165-CG164)</f>
        <v>0</v>
      </c>
      <c r="CM179" s="918">
        <f>IF(CM169-CK169&gt;0,(CM169-CK169)+CM164+CM165-CK165-CK164,+CM164+CM165-CK165-CK164)</f>
        <v>0</v>
      </c>
      <c r="CN179" s="216">
        <f>IF(CN169-CM169&gt;0,(CN169-CM169)+CN164+CN165-CM165-CM164,+CN164+CN165-CM165-CM164)</f>
        <v>0</v>
      </c>
      <c r="CO179" s="216">
        <f>IF(CO169-CN169&gt;0,(CO169-CN169)+CO164+CO165-CN165-CN164,+CO164+CO165-CN165-CN164)</f>
        <v>0</v>
      </c>
      <c r="CP179" s="919">
        <f>IF(CP169-CO169&gt;0,(CP169-CO169)+CP164+CP165-CO165-CO164,+CP164+CP165-CO165-CO164)</f>
        <v>0</v>
      </c>
      <c r="CQ179" s="919">
        <f>IF(CQ169-CL169&gt;0,(CQ169-CL169)+CQ164+CQ165-CL165-CL164,+CQ164+CQ165-CL165-CL164)</f>
        <v>0</v>
      </c>
      <c r="CR179" s="75"/>
    </row>
    <row r="180" spans="1:96" ht="13.5" customHeight="1">
      <c r="A180" s="75"/>
      <c r="B180" s="125" t="s">
        <v>820</v>
      </c>
      <c r="C180" s="75"/>
      <c r="D180" s="75"/>
      <c r="E180" s="75"/>
      <c r="F180" s="109">
        <f t="shared" ref="F180:AK180" si="267">F253</f>
        <v>-5</v>
      </c>
      <c r="G180" s="109">
        <f t="shared" si="267"/>
        <v>-11</v>
      </c>
      <c r="H180" s="109">
        <f t="shared" si="267"/>
        <v>-10</v>
      </c>
      <c r="I180" s="109">
        <f t="shared" si="267"/>
        <v>-9</v>
      </c>
      <c r="J180" s="109">
        <f t="shared" si="267"/>
        <v>-35</v>
      </c>
      <c r="K180" s="109">
        <f t="shared" si="267"/>
        <v>-9</v>
      </c>
      <c r="L180" s="109">
        <f t="shared" si="267"/>
        <v>-10</v>
      </c>
      <c r="M180" s="109">
        <f t="shared" si="267"/>
        <v>-10</v>
      </c>
      <c r="N180" s="109">
        <f t="shared" si="267"/>
        <v>-10</v>
      </c>
      <c r="O180" s="109">
        <f t="shared" si="267"/>
        <v>-39</v>
      </c>
      <c r="P180" s="109">
        <f t="shared" si="267"/>
        <v>-13</v>
      </c>
      <c r="Q180" s="109">
        <f t="shared" si="267"/>
        <v>-16</v>
      </c>
      <c r="R180" s="109">
        <f t="shared" si="267"/>
        <v>-16</v>
      </c>
      <c r="S180" s="109">
        <f t="shared" si="267"/>
        <v>-15</v>
      </c>
      <c r="T180" s="109">
        <f t="shared" si="267"/>
        <v>-60</v>
      </c>
      <c r="U180" s="109">
        <f t="shared" si="267"/>
        <v>-15</v>
      </c>
      <c r="V180" s="109">
        <f t="shared" si="267"/>
        <v>-21</v>
      </c>
      <c r="W180" s="109">
        <f t="shared" si="267"/>
        <v>-18</v>
      </c>
      <c r="X180" s="109">
        <f t="shared" si="267"/>
        <v>-23</v>
      </c>
      <c r="Y180" s="109">
        <f t="shared" si="267"/>
        <v>-77</v>
      </c>
      <c r="Z180" s="109">
        <f t="shared" si="267"/>
        <v>-24</v>
      </c>
      <c r="AA180" s="109">
        <f t="shared" si="267"/>
        <v>-23</v>
      </c>
      <c r="AB180" s="109">
        <f t="shared" si="267"/>
        <v>-24</v>
      </c>
      <c r="AC180" s="109">
        <f t="shared" si="267"/>
        <v>-24</v>
      </c>
      <c r="AD180" s="109">
        <f t="shared" si="267"/>
        <v>-95</v>
      </c>
      <c r="AE180" s="109">
        <f t="shared" si="267"/>
        <v>-29</v>
      </c>
      <c r="AF180" s="109">
        <f t="shared" si="267"/>
        <v>-30</v>
      </c>
      <c r="AG180" s="109">
        <f t="shared" si="267"/>
        <v>-35</v>
      </c>
      <c r="AH180" s="109">
        <f t="shared" si="267"/>
        <v>-35</v>
      </c>
      <c r="AI180" s="109">
        <f t="shared" si="267"/>
        <v>-129</v>
      </c>
      <c r="AJ180" s="918">
        <f t="shared" si="267"/>
        <v>-35</v>
      </c>
      <c r="AK180" s="216">
        <f t="shared" si="267"/>
        <v>-7</v>
      </c>
      <c r="AL180" s="216">
        <f t="shared" ref="AL180:BQ180" si="268">AL253</f>
        <v>-7</v>
      </c>
      <c r="AM180" s="919">
        <f t="shared" si="268"/>
        <v>-7</v>
      </c>
      <c r="AN180" s="109">
        <f t="shared" si="268"/>
        <v>-56</v>
      </c>
      <c r="AO180" s="918">
        <f t="shared" si="268"/>
        <v>-7</v>
      </c>
      <c r="AP180" s="216">
        <f t="shared" si="268"/>
        <v>-7</v>
      </c>
      <c r="AQ180" s="216">
        <f t="shared" si="268"/>
        <v>-8</v>
      </c>
      <c r="AR180" s="919">
        <f t="shared" si="268"/>
        <v>-7</v>
      </c>
      <c r="AS180" s="109">
        <f t="shared" si="268"/>
        <v>-29</v>
      </c>
      <c r="AT180" s="918">
        <f t="shared" si="268"/>
        <v>-7</v>
      </c>
      <c r="AU180" s="216">
        <f t="shared" si="268"/>
        <v>-7</v>
      </c>
      <c r="AV180" s="216">
        <f t="shared" si="268"/>
        <v>-8</v>
      </c>
      <c r="AW180" s="919">
        <f t="shared" si="268"/>
        <v>-7</v>
      </c>
      <c r="AX180" s="109">
        <f t="shared" si="268"/>
        <v>-29</v>
      </c>
      <c r="AY180" s="918">
        <f t="shared" si="268"/>
        <v>-7</v>
      </c>
      <c r="AZ180" s="216">
        <f t="shared" si="268"/>
        <v>-7</v>
      </c>
      <c r="BA180" s="216">
        <f t="shared" si="268"/>
        <v>-8</v>
      </c>
      <c r="BB180" s="919">
        <f t="shared" si="268"/>
        <v>-7</v>
      </c>
      <c r="BC180" s="109">
        <f t="shared" si="268"/>
        <v>-29</v>
      </c>
      <c r="BD180" s="918">
        <f t="shared" si="268"/>
        <v>-7</v>
      </c>
      <c r="BE180" s="216">
        <f t="shared" si="268"/>
        <v>-7</v>
      </c>
      <c r="BF180" s="216">
        <f t="shared" si="268"/>
        <v>-8</v>
      </c>
      <c r="BG180" s="919">
        <f t="shared" si="268"/>
        <v>-7</v>
      </c>
      <c r="BH180" s="109">
        <f t="shared" si="268"/>
        <v>-29</v>
      </c>
      <c r="BI180" s="918">
        <f t="shared" si="268"/>
        <v>-7</v>
      </c>
      <c r="BJ180" s="216">
        <f t="shared" si="268"/>
        <v>-8</v>
      </c>
      <c r="BK180" s="216">
        <f t="shared" si="268"/>
        <v>-7</v>
      </c>
      <c r="BL180" s="919">
        <f t="shared" si="268"/>
        <v>-7</v>
      </c>
      <c r="BM180" s="109">
        <f t="shared" si="268"/>
        <v>-29</v>
      </c>
      <c r="BN180" s="918">
        <f t="shared" si="268"/>
        <v>-7</v>
      </c>
      <c r="BO180" s="216">
        <f t="shared" si="268"/>
        <v>-8</v>
      </c>
      <c r="BP180" s="216">
        <f t="shared" si="268"/>
        <v>-7</v>
      </c>
      <c r="BQ180" s="919">
        <f t="shared" si="268"/>
        <v>-7</v>
      </c>
      <c r="BR180" s="109">
        <f t="shared" ref="BR180:CQ180" si="269">BR253</f>
        <v>-29</v>
      </c>
      <c r="BS180" s="918">
        <f t="shared" si="269"/>
        <v>-7</v>
      </c>
      <c r="BT180" s="216">
        <f t="shared" si="269"/>
        <v>-8</v>
      </c>
      <c r="BU180" s="216">
        <f t="shared" si="269"/>
        <v>-7</v>
      </c>
      <c r="BV180" s="919">
        <f t="shared" si="269"/>
        <v>-9</v>
      </c>
      <c r="BW180" s="109">
        <f t="shared" si="269"/>
        <v>-31</v>
      </c>
      <c r="BX180" s="918">
        <f t="shared" si="269"/>
        <v>-9</v>
      </c>
      <c r="BY180" s="216">
        <f t="shared" si="269"/>
        <v>-9</v>
      </c>
      <c r="BZ180" s="216">
        <f t="shared" si="269"/>
        <v>-8</v>
      </c>
      <c r="CA180" s="919">
        <f t="shared" si="269"/>
        <v>-9</v>
      </c>
      <c r="CB180" s="109">
        <f t="shared" si="269"/>
        <v>-35</v>
      </c>
      <c r="CC180" s="918">
        <f t="shared" si="269"/>
        <v>-8.7497232</v>
      </c>
      <c r="CD180" s="216">
        <f t="shared" si="269"/>
        <v>-8.7497232</v>
      </c>
      <c r="CE180" s="216">
        <f t="shared" si="269"/>
        <v>-8.7497232</v>
      </c>
      <c r="CF180" s="919">
        <f t="shared" si="269"/>
        <v>-8.7497232</v>
      </c>
      <c r="CG180" s="109">
        <f t="shared" si="269"/>
        <v>-34.9988928</v>
      </c>
      <c r="CH180" s="918">
        <f t="shared" si="269"/>
        <v>-8.7497232</v>
      </c>
      <c r="CI180" s="216">
        <f t="shared" si="269"/>
        <v>-8.7497232</v>
      </c>
      <c r="CJ180" s="216">
        <f t="shared" si="269"/>
        <v>-8.7497232</v>
      </c>
      <c r="CK180" s="919">
        <f t="shared" si="269"/>
        <v>-8.7497232</v>
      </c>
      <c r="CL180" s="109">
        <f t="shared" si="269"/>
        <v>-34.9988928</v>
      </c>
      <c r="CM180" s="918">
        <f t="shared" si="269"/>
        <v>-8.7497232</v>
      </c>
      <c r="CN180" s="216">
        <f t="shared" si="269"/>
        <v>-8.7497232</v>
      </c>
      <c r="CO180" s="216">
        <f t="shared" si="269"/>
        <v>-8.7497232</v>
      </c>
      <c r="CP180" s="919">
        <f t="shared" si="269"/>
        <v>-8.7497232</v>
      </c>
      <c r="CQ180" s="919">
        <f t="shared" si="269"/>
        <v>-34.9988928</v>
      </c>
      <c r="CR180" s="75"/>
    </row>
    <row r="181" spans="1:96" ht="13.5" customHeight="1">
      <c r="A181" s="75"/>
      <c r="B181" s="125" t="s">
        <v>821</v>
      </c>
      <c r="C181" s="75"/>
      <c r="D181" s="75"/>
      <c r="E181" s="75"/>
      <c r="F181" s="109"/>
      <c r="G181" s="109">
        <f>G166-F166-G182-G180</f>
        <v>7</v>
      </c>
      <c r="H181" s="109">
        <f>H166-G166-H182-H180</f>
        <v>31</v>
      </c>
      <c r="I181" s="109">
        <f>I166-H166-I182-I180</f>
        <v>14</v>
      </c>
      <c r="J181" s="109"/>
      <c r="K181" s="109">
        <f>K166-J166-K182-K180</f>
        <v>73</v>
      </c>
      <c r="L181" s="109">
        <f>L166-K166-L182-L180</f>
        <v>15</v>
      </c>
      <c r="M181" s="109">
        <f>M166-L166-M182-M180</f>
        <v>5</v>
      </c>
      <c r="N181" s="109">
        <f>N166-M166-N182-N180</f>
        <v>5</v>
      </c>
      <c r="O181" s="109">
        <f>O166-J166-O182-O180</f>
        <v>98</v>
      </c>
      <c r="P181" s="109">
        <f>P166-O166-P182-P180</f>
        <v>4</v>
      </c>
      <c r="Q181" s="109">
        <f>Q166-P166-Q182-Q180</f>
        <v>5</v>
      </c>
      <c r="R181" s="109">
        <f>R166-Q166-R182-R180</f>
        <v>4</v>
      </c>
      <c r="S181" s="109">
        <f>S166-R166-S182-S180</f>
        <v>5</v>
      </c>
      <c r="T181" s="109">
        <f>T166-O166-T182-T180</f>
        <v>18</v>
      </c>
      <c r="U181" s="109">
        <f>U166-T166-U182-U180</f>
        <v>4</v>
      </c>
      <c r="V181" s="109">
        <f>V166-U166-V182-V180</f>
        <v>4</v>
      </c>
      <c r="W181" s="109">
        <f>W166-V166-W182-W180</f>
        <v>0</v>
      </c>
      <c r="X181" s="109">
        <f>X166-W166-X182-X180</f>
        <v>0</v>
      </c>
      <c r="Y181" s="109">
        <f>Y166-T166-Y182-Y180</f>
        <v>8</v>
      </c>
      <c r="Z181" s="109">
        <f>Z166-Y166-Z182-Z180</f>
        <v>-3</v>
      </c>
      <c r="AA181" s="109">
        <f>AA166-Z166-AA182-AA180</f>
        <v>-1</v>
      </c>
      <c r="AB181" s="109">
        <f>AB166-AA166-AB182-AB180</f>
        <v>1</v>
      </c>
      <c r="AC181" s="109">
        <f>AC166-AB166-AC182-AC180</f>
        <v>0</v>
      </c>
      <c r="AD181" s="109">
        <f>AD166-Y166-AD182-AD180</f>
        <v>-3</v>
      </c>
      <c r="AE181" s="109">
        <f>AE166-AD166-AE182-AE180</f>
        <v>-1</v>
      </c>
      <c r="AF181" s="109">
        <f>AF166-AE166-AF182-AF180</f>
        <v>1</v>
      </c>
      <c r="AG181" s="109">
        <f>AG166-AF166-AG182-AG180</f>
        <v>-1</v>
      </c>
      <c r="AH181" s="109">
        <f>AH166-AG166-AH182-AH180</f>
        <v>-17</v>
      </c>
      <c r="AI181" s="109">
        <f>AI166-AD166-AI182-AI180</f>
        <v>-18</v>
      </c>
      <c r="AJ181" s="918">
        <f>AJ166-AI166-AJ182-AJ180</f>
        <v>0</v>
      </c>
      <c r="AK181" s="216">
        <f>AK166-AJ166-AK182-AK180</f>
        <v>0</v>
      </c>
      <c r="AL181" s="216">
        <f>AL166-AK166-AL182-AL180</f>
        <v>0</v>
      </c>
      <c r="AM181" s="919">
        <f>AM166-AL166-AM182-AM180</f>
        <v>0</v>
      </c>
      <c r="AN181" s="109">
        <f>AN166-AI166-AN182-AN180</f>
        <v>0</v>
      </c>
      <c r="AO181" s="918">
        <f>AO166-AM166-AO182-AO180</f>
        <v>-1</v>
      </c>
      <c r="AP181" s="216">
        <f>AP166-AO166-AP182-AP180</f>
        <v>0</v>
      </c>
      <c r="AQ181" s="216">
        <f>AQ166-AP166-AQ182-AQ180</f>
        <v>0</v>
      </c>
      <c r="AR181" s="919">
        <f>AR166-AQ166-AR182-AR180</f>
        <v>0</v>
      </c>
      <c r="AS181" s="109">
        <f>AS166-AN166-AS182-AS180</f>
        <v>-1</v>
      </c>
      <c r="AT181" s="918">
        <f>AT166-AR166-AT182-AT180</f>
        <v>0</v>
      </c>
      <c r="AU181" s="216">
        <f>AU166-AT166-AU182-AU180</f>
        <v>0</v>
      </c>
      <c r="AV181" s="216">
        <f>AV166-AU166-AV182-AV180</f>
        <v>1</v>
      </c>
      <c r="AW181" s="919">
        <f>AW166-AV166-AW182-AW180</f>
        <v>0</v>
      </c>
      <c r="AX181" s="109">
        <f>AX166-AS166-AX182-AX180</f>
        <v>1</v>
      </c>
      <c r="AY181" s="918">
        <f>AY166-AW166-AY182-AY180</f>
        <v>0</v>
      </c>
      <c r="AZ181" s="216">
        <f>AZ166-AY166-AZ182-AZ180</f>
        <v>0</v>
      </c>
      <c r="BA181" s="216">
        <f>BA166-AZ166-BA182-BA180</f>
        <v>0</v>
      </c>
      <c r="BB181" s="919">
        <f>BB166-BA166-BB182-BB180</f>
        <v>0</v>
      </c>
      <c r="BC181" s="109">
        <f>BC166-AX166-BC182-BC180</f>
        <v>0</v>
      </c>
      <c r="BD181" s="918">
        <f>BD166-BB166-BD182-BD180</f>
        <v>-1</v>
      </c>
      <c r="BE181" s="216">
        <f>BE166-BD166-BE182-BE180</f>
        <v>-1</v>
      </c>
      <c r="BF181" s="216">
        <f>BF166-BE166-BF182-BF180</f>
        <v>0</v>
      </c>
      <c r="BG181" s="919">
        <f>BG166-BF166-BG182-BG180</f>
        <v>2</v>
      </c>
      <c r="BH181" s="109">
        <f>BH166-BC166-BH182-BH180</f>
        <v>0</v>
      </c>
      <c r="BI181" s="918">
        <f>BI166-BG166-BI182-BI180</f>
        <v>0</v>
      </c>
      <c r="BJ181" s="216">
        <f>BJ166-BI166-BJ182-BJ180</f>
        <v>27</v>
      </c>
      <c r="BK181" s="216">
        <f>BK166-BJ166-BK182-BK180</f>
        <v>0</v>
      </c>
      <c r="BL181" s="919">
        <f>BL166-BK166-BL182-BL180</f>
        <v>0</v>
      </c>
      <c r="BM181" s="109">
        <f>BM166-BH166-BM182-BM180</f>
        <v>27</v>
      </c>
      <c r="BN181" s="918">
        <f>BN166-BL166-BN182-BN180</f>
        <v>-1</v>
      </c>
      <c r="BO181" s="216">
        <f>BO166-BN166-BO182-BO180</f>
        <v>0</v>
      </c>
      <c r="BP181" s="216">
        <f>BP166-BO166-BP182-BP180</f>
        <v>1</v>
      </c>
      <c r="BQ181" s="919">
        <f>BQ166-BP166-BQ182-BQ180</f>
        <v>-1</v>
      </c>
      <c r="BR181" s="109">
        <f>BR166-BM166-BR182-BR180</f>
        <v>-1</v>
      </c>
      <c r="BS181" s="918">
        <f>BS166-BQ166-BS182-BS180</f>
        <v>0</v>
      </c>
      <c r="BT181" s="216">
        <f>BT166-BS166-BT182-BT180</f>
        <v>14</v>
      </c>
      <c r="BU181" s="216">
        <f>BU166-BT166-BU182-BU180</f>
        <v>8</v>
      </c>
      <c r="BV181" s="919">
        <f>BV166-BU166-BV182-BV180</f>
        <v>9</v>
      </c>
      <c r="BW181" s="109">
        <f>BW166-BR166-BW182-BW180</f>
        <v>31</v>
      </c>
      <c r="BX181" s="918">
        <f>BX166-BV166-BX182-BX180</f>
        <v>14</v>
      </c>
      <c r="BY181" s="216">
        <f>BY166-BX166-BY182-BY180</f>
        <v>8</v>
      </c>
      <c r="BZ181" s="216">
        <f>BZ166-BY166-BZ182-BZ180</f>
        <v>8</v>
      </c>
      <c r="CA181" s="919">
        <f>CA166-BZ166-CA182-CA180</f>
        <v>1</v>
      </c>
      <c r="CB181" s="109">
        <f>CB166-BW166-CB182-CB180</f>
        <v>31</v>
      </c>
      <c r="CC181" s="918">
        <f>CC166-CA166-CC182-CC180</f>
        <v>0</v>
      </c>
      <c r="CD181" s="216">
        <f>CD166-CC166-CD182-CD180</f>
        <v>-3.3750779948604759E-14</v>
      </c>
      <c r="CE181" s="216">
        <f>CE166-CD166-CE182-CE180</f>
        <v>5.1514348342607263E-14</v>
      </c>
      <c r="CF181" s="919">
        <f>CF166-CE166-CF182-CF180</f>
        <v>5.1514348342607263E-14</v>
      </c>
      <c r="CG181" s="109">
        <f>CG166-CB166-CG182-CG180</f>
        <v>0</v>
      </c>
      <c r="CH181" s="918">
        <f>CH166-CF166-CH182-CH180</f>
        <v>-1.4743761767022079E-13</v>
      </c>
      <c r="CI181" s="216">
        <f>CI166-CH166-CI182-CI180</f>
        <v>0</v>
      </c>
      <c r="CJ181" s="216">
        <f>CJ166-CI166-CJ182-CJ180</f>
        <v>0</v>
      </c>
      <c r="CK181" s="919">
        <f>CK166-CJ166-CK182-CK180</f>
        <v>-1.1901590823981678E-13</v>
      </c>
      <c r="CL181" s="109">
        <f>CL166-CG166-CL182-CL180</f>
        <v>-4.7606363295926712E-13</v>
      </c>
      <c r="CM181" s="918">
        <f>CM166-CK166-CM182-CM180</f>
        <v>0</v>
      </c>
      <c r="CN181" s="216">
        <f>CN166-CM166-CN182-CN180</f>
        <v>1.0835776720341528E-13</v>
      </c>
      <c r="CO181" s="216">
        <f>CO166-CN166-CO182-CO180</f>
        <v>7.9936057773011271E-14</v>
      </c>
      <c r="CP181" s="919">
        <f>CP166-CO166-CP182-CP180</f>
        <v>5.1514348342607263E-14</v>
      </c>
      <c r="CQ181" s="919">
        <f>CQ166-CL166-CQ182-CQ180</f>
        <v>3.1974423109204508E-13</v>
      </c>
      <c r="CR181" s="75"/>
    </row>
    <row r="182" spans="1:96" ht="13.5" customHeight="1">
      <c r="A182" s="75"/>
      <c r="B182" s="125" t="s">
        <v>822</v>
      </c>
      <c r="C182" s="75"/>
      <c r="D182" s="75"/>
      <c r="E182" s="75"/>
      <c r="F182" s="109">
        <f t="shared" ref="F182:AK182" si="270">F92</f>
        <v>-40</v>
      </c>
      <c r="G182" s="109">
        <f t="shared" si="270"/>
        <v>-54</v>
      </c>
      <c r="H182" s="109">
        <f t="shared" si="270"/>
        <v>-358</v>
      </c>
      <c r="I182" s="109">
        <f t="shared" si="270"/>
        <v>-27</v>
      </c>
      <c r="J182" s="109">
        <f t="shared" si="270"/>
        <v>-479</v>
      </c>
      <c r="K182" s="109">
        <f t="shared" si="270"/>
        <v>66</v>
      </c>
      <c r="L182" s="109">
        <f t="shared" si="270"/>
        <v>250</v>
      </c>
      <c r="M182" s="109">
        <f t="shared" si="270"/>
        <v>355</v>
      </c>
      <c r="N182" s="109">
        <f t="shared" si="270"/>
        <v>446</v>
      </c>
      <c r="O182" s="109">
        <f t="shared" si="270"/>
        <v>1117</v>
      </c>
      <c r="P182" s="109">
        <f t="shared" si="270"/>
        <v>455</v>
      </c>
      <c r="Q182" s="109">
        <f t="shared" si="270"/>
        <v>244</v>
      </c>
      <c r="R182" s="109">
        <f t="shared" si="270"/>
        <v>89</v>
      </c>
      <c r="S182" s="109">
        <f t="shared" si="270"/>
        <v>104</v>
      </c>
      <c r="T182" s="109">
        <f t="shared" si="270"/>
        <v>892</v>
      </c>
      <c r="U182" s="109">
        <f t="shared" si="270"/>
        <v>252</v>
      </c>
      <c r="V182" s="109">
        <f t="shared" si="270"/>
        <v>400</v>
      </c>
      <c r="W182" s="109">
        <f t="shared" si="270"/>
        <v>417</v>
      </c>
      <c r="X182" s="109">
        <f t="shared" si="270"/>
        <v>297</v>
      </c>
      <c r="Y182" s="109">
        <f t="shared" si="270"/>
        <v>1366</v>
      </c>
      <c r="Z182" s="109">
        <f t="shared" si="270"/>
        <v>273</v>
      </c>
      <c r="AA182" s="109">
        <f t="shared" si="270"/>
        <v>302</v>
      </c>
      <c r="AB182" s="109">
        <f t="shared" si="270"/>
        <v>269</v>
      </c>
      <c r="AC182" s="109">
        <f t="shared" si="270"/>
        <v>35</v>
      </c>
      <c r="AD182" s="109">
        <f t="shared" si="270"/>
        <v>879</v>
      </c>
      <c r="AE182" s="109">
        <f t="shared" si="270"/>
        <v>235</v>
      </c>
      <c r="AF182" s="109">
        <f t="shared" si="270"/>
        <v>668</v>
      </c>
      <c r="AG182" s="109">
        <f t="shared" si="270"/>
        <v>919</v>
      </c>
      <c r="AH182" s="109">
        <f t="shared" si="270"/>
        <v>308</v>
      </c>
      <c r="AI182" s="109">
        <f t="shared" si="270"/>
        <v>2130</v>
      </c>
      <c r="AJ182" s="918">
        <f t="shared" si="270"/>
        <v>-439</v>
      </c>
      <c r="AK182" s="216">
        <f t="shared" si="270"/>
        <v>-392</v>
      </c>
      <c r="AL182" s="216">
        <f t="shared" ref="AL182:BQ182" si="271">AL92</f>
        <v>-303</v>
      </c>
      <c r="AM182" s="919">
        <f t="shared" si="271"/>
        <v>-267</v>
      </c>
      <c r="AN182" s="109">
        <f t="shared" si="271"/>
        <v>-1401</v>
      </c>
      <c r="AO182" s="918">
        <f t="shared" si="271"/>
        <v>-157</v>
      </c>
      <c r="AP182" s="216">
        <f t="shared" si="271"/>
        <v>-25</v>
      </c>
      <c r="AQ182" s="216">
        <f t="shared" si="271"/>
        <v>-51</v>
      </c>
      <c r="AR182" s="919">
        <f t="shared" si="271"/>
        <v>-249</v>
      </c>
      <c r="AS182" s="109">
        <f t="shared" si="271"/>
        <v>-482</v>
      </c>
      <c r="AT182" s="918">
        <f t="shared" si="271"/>
        <v>-86</v>
      </c>
      <c r="AU182" s="216">
        <f t="shared" si="271"/>
        <v>222</v>
      </c>
      <c r="AV182" s="216">
        <f t="shared" si="271"/>
        <v>22</v>
      </c>
      <c r="AW182" s="919">
        <f t="shared" si="271"/>
        <v>-211</v>
      </c>
      <c r="AX182" s="109">
        <f t="shared" si="271"/>
        <v>-53</v>
      </c>
      <c r="AY182" s="918">
        <f t="shared" si="271"/>
        <v>-219</v>
      </c>
      <c r="AZ182" s="216">
        <f t="shared" si="271"/>
        <v>101</v>
      </c>
      <c r="BA182" s="216">
        <f t="shared" si="271"/>
        <v>44</v>
      </c>
      <c r="BB182" s="919">
        <f t="shared" si="271"/>
        <v>-50</v>
      </c>
      <c r="BC182" s="109">
        <f t="shared" si="271"/>
        <v>-124</v>
      </c>
      <c r="BD182" s="918">
        <f t="shared" si="271"/>
        <v>-73</v>
      </c>
      <c r="BE182" s="216">
        <f t="shared" si="271"/>
        <v>-78</v>
      </c>
      <c r="BF182" s="216">
        <f t="shared" si="271"/>
        <v>-1791</v>
      </c>
      <c r="BG182" s="919">
        <f t="shared" si="271"/>
        <v>270</v>
      </c>
      <c r="BH182" s="109">
        <f t="shared" si="271"/>
        <v>-1672</v>
      </c>
      <c r="BI182" s="918">
        <f t="shared" si="271"/>
        <v>52</v>
      </c>
      <c r="BJ182" s="216">
        <f t="shared" si="271"/>
        <v>-18</v>
      </c>
      <c r="BK182" s="216">
        <f t="shared" si="271"/>
        <v>-207</v>
      </c>
      <c r="BL182" s="919">
        <f t="shared" si="271"/>
        <v>275</v>
      </c>
      <c r="BM182" s="109">
        <f t="shared" si="271"/>
        <v>102</v>
      </c>
      <c r="BN182" s="918">
        <f t="shared" si="271"/>
        <v>-75</v>
      </c>
      <c r="BO182" s="216">
        <f t="shared" si="271"/>
        <v>-261</v>
      </c>
      <c r="BP182" s="216">
        <f t="shared" si="271"/>
        <v>-173</v>
      </c>
      <c r="BQ182" s="919">
        <f t="shared" si="271"/>
        <v>-1133</v>
      </c>
      <c r="BR182" s="109">
        <f t="shared" ref="BR182:CQ182" si="272">BR92</f>
        <v>-1642</v>
      </c>
      <c r="BS182" s="918">
        <f t="shared" si="272"/>
        <v>-340</v>
      </c>
      <c r="BT182" s="216">
        <f t="shared" si="272"/>
        <v>-46</v>
      </c>
      <c r="BU182" s="216">
        <f t="shared" si="272"/>
        <v>51</v>
      </c>
      <c r="BV182" s="919">
        <f t="shared" si="272"/>
        <v>-105</v>
      </c>
      <c r="BW182" s="109">
        <f t="shared" si="272"/>
        <v>-440</v>
      </c>
      <c r="BX182" s="918">
        <f t="shared" si="272"/>
        <v>-180</v>
      </c>
      <c r="BY182" s="216">
        <f t="shared" si="272"/>
        <v>261</v>
      </c>
      <c r="BZ182" s="216">
        <f t="shared" si="272"/>
        <v>147</v>
      </c>
      <c r="CA182" s="919">
        <f t="shared" si="272"/>
        <v>159</v>
      </c>
      <c r="CB182" s="109">
        <f t="shared" si="272"/>
        <v>387</v>
      </c>
      <c r="CC182" s="918">
        <f t="shared" si="272"/>
        <v>38.900496931614612</v>
      </c>
      <c r="CD182" s="216">
        <f t="shared" si="272"/>
        <v>253.30293584813623</v>
      </c>
      <c r="CE182" s="216">
        <f t="shared" si="272"/>
        <v>334.38776713614362</v>
      </c>
      <c r="CF182" s="919">
        <f t="shared" si="272"/>
        <v>267.80449808243009</v>
      </c>
      <c r="CG182" s="109">
        <f t="shared" si="272"/>
        <v>894.39569799832464</v>
      </c>
      <c r="CH182" s="918">
        <f t="shared" si="272"/>
        <v>114.90923427117056</v>
      </c>
      <c r="CI182" s="216">
        <f t="shared" si="272"/>
        <v>342.9093344643008</v>
      </c>
      <c r="CJ182" s="216">
        <f t="shared" si="272"/>
        <v>319.72186731508117</v>
      </c>
      <c r="CK182" s="919">
        <f t="shared" si="272"/>
        <v>304.53614576855244</v>
      </c>
      <c r="CL182" s="109">
        <f t="shared" si="272"/>
        <v>1082.0765818191051</v>
      </c>
      <c r="CM182" s="918">
        <f t="shared" si="272"/>
        <v>135.50418002268219</v>
      </c>
      <c r="CN182" s="216">
        <f t="shared" si="272"/>
        <v>263.06838285849545</v>
      </c>
      <c r="CO182" s="216">
        <f t="shared" si="272"/>
        <v>207.83141399191331</v>
      </c>
      <c r="CP182" s="919">
        <f t="shared" si="272"/>
        <v>199.21441883366413</v>
      </c>
      <c r="CQ182" s="919">
        <f t="shared" si="272"/>
        <v>805.618395706755</v>
      </c>
      <c r="CR182" s="75"/>
    </row>
    <row r="183" spans="1:96" ht="13.5" customHeight="1">
      <c r="A183" s="75"/>
      <c r="B183" s="125" t="s">
        <v>823</v>
      </c>
      <c r="C183" s="75"/>
      <c r="D183" s="75"/>
      <c r="E183" s="75"/>
      <c r="F183" s="109">
        <f>+F167+F168-C168-C167+(F166-C166-F182-F180)</f>
        <v>-763</v>
      </c>
      <c r="G183" s="109">
        <f>+G167+G168-F168-F167</f>
        <v>1</v>
      </c>
      <c r="H183" s="109">
        <f>+H167+H168-G168-G167</f>
        <v>-166</v>
      </c>
      <c r="I183" s="109">
        <f>+I167+I168-H168-H167</f>
        <v>-534</v>
      </c>
      <c r="J183" s="109">
        <f>+J167+J168-C168-C167+(J166-C166-J182-J180)</f>
        <v>-1410</v>
      </c>
      <c r="K183" s="109">
        <f>+K167+K168-J168-J167</f>
        <v>-3</v>
      </c>
      <c r="L183" s="109">
        <f>+L167+L168-K168-K167</f>
        <v>5</v>
      </c>
      <c r="M183" s="109">
        <f>+M167+M168-L168-L167</f>
        <v>-5</v>
      </c>
      <c r="N183" s="109">
        <f>+N167+N168-M168-M167</f>
        <v>1457</v>
      </c>
      <c r="O183" s="109">
        <f>+O167+O168-J168-J167</f>
        <v>1454</v>
      </c>
      <c r="P183" s="109">
        <f>+P167+P168-O168-O167</f>
        <v>-2</v>
      </c>
      <c r="Q183" s="109">
        <f>+Q167+Q168-P168-P167</f>
        <v>-1</v>
      </c>
      <c r="R183" s="109">
        <f>+R167+R168-Q168-Q167</f>
        <v>0</v>
      </c>
      <c r="S183" s="109">
        <f>+S167+S168-R168-R167</f>
        <v>-1368</v>
      </c>
      <c r="T183" s="109">
        <f>+T167+T168-O168-O167</f>
        <v>-1371</v>
      </c>
      <c r="U183" s="109">
        <f>+U167+U168-T168-T167</f>
        <v>137</v>
      </c>
      <c r="V183" s="109">
        <f>+V167+V168-U168-U167</f>
        <v>51</v>
      </c>
      <c r="W183" s="109">
        <f>+W167+W168-V168-V167</f>
        <v>31</v>
      </c>
      <c r="X183" s="109">
        <f>+X167+X168-W168-W167</f>
        <v>-85</v>
      </c>
      <c r="Y183" s="109">
        <f>+Y167+Y168-T168-T167</f>
        <v>134</v>
      </c>
      <c r="Z183" s="109">
        <f>+Z167+Z168-Y168-Y167</f>
        <v>55</v>
      </c>
      <c r="AA183" s="109">
        <f>+AA167+AA168-Z168-Z167</f>
        <v>42</v>
      </c>
      <c r="AB183" s="109">
        <f>+AB167+AB168-AA168-AA167</f>
        <v>167</v>
      </c>
      <c r="AC183" s="109">
        <f>+AC167+AC168-AB168-AB167</f>
        <v>186</v>
      </c>
      <c r="AD183" s="109">
        <f>+AD167+AD168-Y168-Y167</f>
        <v>450</v>
      </c>
      <c r="AE183" s="109">
        <f>+AE167+AE168-AD168-AD167</f>
        <v>61</v>
      </c>
      <c r="AF183" s="109">
        <f>+AF167+AF168-AE168-AE167</f>
        <v>31</v>
      </c>
      <c r="AG183" s="109">
        <f>+AG167+AG168-AF168-AF167</f>
        <v>-994</v>
      </c>
      <c r="AH183" s="109">
        <f>+AH167+AH168-AG168-AG167</f>
        <v>-1531</v>
      </c>
      <c r="AI183" s="109">
        <f>+AI167+AI168-AD168-AD167</f>
        <v>-2433</v>
      </c>
      <c r="AJ183" s="918">
        <f>+AJ167+AJ168-AI168-AI167</f>
        <v>-53</v>
      </c>
      <c r="AK183" s="216">
        <f>+AK167+AK168-AJ168-AJ167</f>
        <v>224</v>
      </c>
      <c r="AL183" s="216">
        <f>+AL167+AL168-AK168-AK167</f>
        <v>173</v>
      </c>
      <c r="AM183" s="919">
        <f>+AM167+AM168-AL168-AL167</f>
        <v>197</v>
      </c>
      <c r="AN183" s="109">
        <f>+AN167+AN168-AI168-AI167</f>
        <v>541</v>
      </c>
      <c r="AO183" s="918">
        <f>+AO167+AO168-AM168-AM167</f>
        <v>42</v>
      </c>
      <c r="AP183" s="216">
        <f>+AP167+AP168-AO168-AO167</f>
        <v>-77</v>
      </c>
      <c r="AQ183" s="216">
        <f>+AQ167+AQ168-AP168-AP167</f>
        <v>116</v>
      </c>
      <c r="AR183" s="919">
        <f>+AR167+AR168-AQ168-AQ167</f>
        <v>-413</v>
      </c>
      <c r="AS183" s="109">
        <f>+AS167+AS168-AN168-AN167</f>
        <v>-332</v>
      </c>
      <c r="AT183" s="918">
        <f>+AT167+AT168-AR168-AR167</f>
        <v>131</v>
      </c>
      <c r="AU183" s="216">
        <f>+AU167+AU168-AT168-AT167</f>
        <v>89</v>
      </c>
      <c r="AV183" s="216">
        <f>+AV167+AV168-AU168-AU167</f>
        <v>-69</v>
      </c>
      <c r="AW183" s="919">
        <f>+AW167+AW168-AV168-AV167</f>
        <v>-458</v>
      </c>
      <c r="AX183" s="109">
        <f>+AX167+AX168-AS168-AS167</f>
        <v>-307</v>
      </c>
      <c r="AY183" s="918">
        <f>+AY167+AY168-AW168-AW167</f>
        <v>177</v>
      </c>
      <c r="AZ183" s="216">
        <f>+AZ167+AZ168-AY168-AY167</f>
        <v>-25</v>
      </c>
      <c r="BA183" s="216">
        <f>+BA167+BA168-AZ168-AZ167</f>
        <v>284</v>
      </c>
      <c r="BB183" s="919">
        <f>+BB167+BB168-BA168-BA167</f>
        <v>-337</v>
      </c>
      <c r="BC183" s="109">
        <f>+BC167+BC168-AX168-AX167</f>
        <v>99</v>
      </c>
      <c r="BD183" s="918">
        <f>+BD167+BD168-BB168-BB167</f>
        <v>32</v>
      </c>
      <c r="BE183" s="216">
        <f>+BE167+BE168-BD168-BD167</f>
        <v>88</v>
      </c>
      <c r="BF183" s="216">
        <f>+BF167+BF168-BE168-BE167</f>
        <v>90</v>
      </c>
      <c r="BG183" s="919">
        <f>+BG167+BG168-BF168-BF167</f>
        <v>1306</v>
      </c>
      <c r="BH183" s="109">
        <f>+BH167+BH168-BC168-BC167</f>
        <v>1516</v>
      </c>
      <c r="BI183" s="918">
        <f>+BI167+BI168-BG168-BG167</f>
        <v>48</v>
      </c>
      <c r="BJ183" s="216">
        <f>+BJ167+BJ168-BI168-BI167</f>
        <v>60</v>
      </c>
      <c r="BK183" s="216">
        <f>+BK167+BK168-BJ168-BJ167</f>
        <v>628</v>
      </c>
      <c r="BL183" s="919">
        <f>+BL167+BL168-BK168-BK167</f>
        <v>-425</v>
      </c>
      <c r="BM183" s="109">
        <f>+BM167+BM168-BH168-BH167</f>
        <v>311</v>
      </c>
      <c r="BN183" s="918">
        <f>+BN167+BN168-BL168-BL167</f>
        <v>-60</v>
      </c>
      <c r="BO183" s="216">
        <f>+BO167+BO168-BN168-BN167</f>
        <v>69</v>
      </c>
      <c r="BP183" s="216">
        <f>+BP167+BP168-BO168-BO167</f>
        <v>-136</v>
      </c>
      <c r="BQ183" s="919">
        <f>+BQ167+BQ168-BP168-BP167</f>
        <v>399</v>
      </c>
      <c r="BR183" s="109">
        <f>+BR167+BR168-BM168-BM167</f>
        <v>272</v>
      </c>
      <c r="BS183" s="918">
        <f>+BS167+BS168-BQ168-BQ167</f>
        <v>-152</v>
      </c>
      <c r="BT183" s="216">
        <f>+BT167+BT168-BS168-BS167</f>
        <v>22</v>
      </c>
      <c r="BU183" s="216">
        <f>+BU167+BU168-BT168-BT167</f>
        <v>54</v>
      </c>
      <c r="BV183" s="919">
        <f>+BV167+BV168-BU168-BU167</f>
        <v>-252</v>
      </c>
      <c r="BW183" s="109">
        <f>+BW167+BW168-BR168-BR167</f>
        <v>-328</v>
      </c>
      <c r="BX183" s="918">
        <f>+BX167+BX168-BV168-BV167</f>
        <v>69</v>
      </c>
      <c r="BY183" s="216">
        <f>+BY167+BY168-BX168-BX167</f>
        <v>125</v>
      </c>
      <c r="BZ183" s="216">
        <f>+BZ167+BZ168-BY168-BY167</f>
        <v>107</v>
      </c>
      <c r="CA183" s="919">
        <f>+CA167+CA168-BZ168-BZ167</f>
        <v>351</v>
      </c>
      <c r="CB183" s="109">
        <f>+CB167+CB168-BW168-BW167</f>
        <v>652</v>
      </c>
      <c r="CC183" s="918">
        <f>+CC167+CC168-CA168-CA167</f>
        <v>39.975000000000023</v>
      </c>
      <c r="CD183" s="216">
        <f>+CD167+CD168-CC168-CC167</f>
        <v>39.975000000000023</v>
      </c>
      <c r="CE183" s="216">
        <f>+CE167+CE168-CD168-CD167</f>
        <v>39.975000000000023</v>
      </c>
      <c r="CF183" s="919">
        <f>+CF167+CF168-CE168-CE167</f>
        <v>39.975000000000023</v>
      </c>
      <c r="CG183" s="109">
        <f>+CG167+CG168-CB168-CB167</f>
        <v>159.90000000000009</v>
      </c>
      <c r="CH183" s="918">
        <f>+CH167+CH168-CF168-CF167</f>
        <v>39.975000000000023</v>
      </c>
      <c r="CI183" s="216">
        <f>+CI167+CI168-CH168-CH167</f>
        <v>39.975000000000023</v>
      </c>
      <c r="CJ183" s="216">
        <f>+CJ167+CJ168-CI168-CI167</f>
        <v>39.975000000000023</v>
      </c>
      <c r="CK183" s="919">
        <f>+CK167+CK168-CJ168-CJ167</f>
        <v>39.975000000000023</v>
      </c>
      <c r="CL183" s="109">
        <f>+CL167+CL168-CG168-CG167</f>
        <v>159.90000000000009</v>
      </c>
      <c r="CM183" s="918">
        <f>+CM167+CM168-CK168-CK167</f>
        <v>39.974999999999966</v>
      </c>
      <c r="CN183" s="216">
        <f>+CN167+CN168-CM168-CM167</f>
        <v>39.974999999999966</v>
      </c>
      <c r="CO183" s="216">
        <f>+CO167+CO168-CN168-CN167</f>
        <v>39.974999999999966</v>
      </c>
      <c r="CP183" s="919">
        <f>+CP167+CP168-CO168-CO167</f>
        <v>39.974999999999966</v>
      </c>
      <c r="CQ183" s="919">
        <f>+CQ167+CQ168-CL168-CL167</f>
        <v>159.89999999999986</v>
      </c>
      <c r="CR183" s="75"/>
    </row>
    <row r="184" spans="1:96" ht="13.5" customHeight="1">
      <c r="A184" s="75"/>
      <c r="B184" s="125" t="s">
        <v>824</v>
      </c>
      <c r="C184" s="75"/>
      <c r="D184" s="75"/>
      <c r="E184" s="75"/>
      <c r="F184" s="650">
        <v>0</v>
      </c>
      <c r="G184" s="109">
        <f>+G169-F169</f>
        <v>0</v>
      </c>
      <c r="H184" s="109">
        <f>+H169-G169</f>
        <v>0</v>
      </c>
      <c r="I184" s="109">
        <f>+I169-H169</f>
        <v>0</v>
      </c>
      <c r="J184" s="650">
        <v>0</v>
      </c>
      <c r="K184" s="109">
        <f>IF(+K169-I169&gt;0,0,+K169-I169)</f>
        <v>0</v>
      </c>
      <c r="L184" s="109">
        <f>IF(+L169-K169&gt;0,0,+L169-K169)</f>
        <v>0</v>
      </c>
      <c r="M184" s="109">
        <f>IF(+M169-L169&gt;0,0,+M169-L169)</f>
        <v>0</v>
      </c>
      <c r="N184" s="109">
        <f>IF(+N169-M169&gt;0,0,+N169-M169)</f>
        <v>-3</v>
      </c>
      <c r="O184" s="109">
        <f>+O169-J169</f>
        <v>-3</v>
      </c>
      <c r="P184" s="109">
        <f>IF(+P169-N169&gt;0,0,+P169-N169)</f>
        <v>0</v>
      </c>
      <c r="Q184" s="109">
        <f>IF(+Q169-P169&gt;0,0,+Q169-P169)</f>
        <v>0</v>
      </c>
      <c r="R184" s="109">
        <f>IF(+R169-Q169&gt;0,0,+R169-Q169)</f>
        <v>-51</v>
      </c>
      <c r="S184" s="109">
        <f>IF(+S169-R169&gt;0,0,+S169-R169)</f>
        <v>-202</v>
      </c>
      <c r="T184" s="109">
        <f>+T169-O169</f>
        <v>-250</v>
      </c>
      <c r="U184" s="109">
        <f>IF(+U169-S169&gt;0,0,+U169-S169)</f>
        <v>0</v>
      </c>
      <c r="V184" s="109">
        <f>IF(+V169-U169&gt;0,0,+V169-U169)</f>
        <v>0</v>
      </c>
      <c r="W184" s="109">
        <f>IF(+W169-V169&gt;0,0,+W169-V169)</f>
        <v>-264</v>
      </c>
      <c r="X184" s="109">
        <f>IF(+X169-W169&gt;0,0,+X169-W169)</f>
        <v>-19</v>
      </c>
      <c r="Y184" s="109">
        <f>+Y169-T169</f>
        <v>-64</v>
      </c>
      <c r="Z184" s="109">
        <f>IF(+Z169-X169&gt;0,0,+Z169-X169)</f>
        <v>-17</v>
      </c>
      <c r="AA184" s="109">
        <f>IF(+AA169-Z169&gt;0,0,+AA169-Z169)</f>
        <v>-21</v>
      </c>
      <c r="AB184" s="109">
        <f>IF(+AB169-AA169&gt;0,0,+AB169-AA169)</f>
        <v>-18</v>
      </c>
      <c r="AC184" s="109">
        <f>IF(+AC169-AB169&gt;0,0,+AC169-AB169)</f>
        <v>-22</v>
      </c>
      <c r="AD184" s="109">
        <f>+AD169-Y169</f>
        <v>-78</v>
      </c>
      <c r="AE184" s="109">
        <f>IF(+AE169-AC169&gt;0,0,+AE169-AC169)</f>
        <v>-26</v>
      </c>
      <c r="AF184" s="109">
        <f>IF(+AF169-AE169&gt;0,0,+AF169-AE169)</f>
        <v>-49</v>
      </c>
      <c r="AG184" s="109">
        <f>IF(+AG169-AF169&gt;0,0,+AG169-AF169)</f>
        <v>-129</v>
      </c>
      <c r="AH184" s="109">
        <f>IF(+AH169-AG169&gt;0,0,+AH169-AG169)</f>
        <v>-13</v>
      </c>
      <c r="AI184" s="109">
        <f>+AI169-AD169</f>
        <v>-217</v>
      </c>
      <c r="AJ184" s="918">
        <f>+AJ169-AH169</f>
        <v>-1</v>
      </c>
      <c r="AK184" s="646">
        <v>0</v>
      </c>
      <c r="AL184" s="646">
        <v>0</v>
      </c>
      <c r="AM184" s="919">
        <f>+AM169-AL169</f>
        <v>0</v>
      </c>
      <c r="AN184" s="650">
        <v>0</v>
      </c>
      <c r="AO184" s="918">
        <f>IF(AO169-AM169&gt;0,0,AO169-AM169)</f>
        <v>0</v>
      </c>
      <c r="AP184" s="216">
        <f>IF(AP169-AO169&gt;0,0,AP169-AO169)</f>
        <v>0</v>
      </c>
      <c r="AQ184" s="216">
        <f>IF(AQ169-AP169&gt;0,0,AQ169-AP169)</f>
        <v>0</v>
      </c>
      <c r="AR184" s="919">
        <f>IF(AR169-AQ169&gt;0,0,AR169-AQ169)</f>
        <v>0</v>
      </c>
      <c r="AS184" s="109">
        <f>IF(AS169-AN169&gt;0,0,AS169-AN169)</f>
        <v>0</v>
      </c>
      <c r="AT184" s="918">
        <f>IF(AT169-AR169&gt;0,0,AT169-AR169)</f>
        <v>0</v>
      </c>
      <c r="AU184" s="216">
        <f>IF(AU169-AT169&gt;0,0,AU169-AT169)</f>
        <v>0</v>
      </c>
      <c r="AV184" s="216">
        <f>IF(AV169-AU169&gt;0,0,AV169-AU169)</f>
        <v>0</v>
      </c>
      <c r="AW184" s="919">
        <f>IF(AW169-AV169&gt;0,0,AW169-AV169)</f>
        <v>0</v>
      </c>
      <c r="AX184" s="109">
        <f>IF(AX169-AS169&gt;0,0,AX169-AS169)</f>
        <v>0</v>
      </c>
      <c r="AY184" s="918">
        <f>IF(AY169-AW169&gt;0,0,AY169-AW169)</f>
        <v>0</v>
      </c>
      <c r="AZ184" s="216">
        <f>IF(AZ169-AY169&gt;0,0,AZ169-AY169)</f>
        <v>0</v>
      </c>
      <c r="BA184" s="216">
        <f>IF(BA169-AZ169&gt;0,0,BA169-AZ169)</f>
        <v>0</v>
      </c>
      <c r="BB184" s="919">
        <f>IF(BB169-BA169&gt;0,0,BB169-BA169)</f>
        <v>0</v>
      </c>
      <c r="BC184" s="109">
        <f>IF(BC169-AX169&gt;0,0,BC169-AX169)</f>
        <v>0</v>
      </c>
      <c r="BD184" s="918">
        <f>IF(BD169-BB169&gt;0,0,BD169-BB169)</f>
        <v>0</v>
      </c>
      <c r="BE184" s="216">
        <f>IF(BE169-BD169&gt;0,0,BE169-BD169)</f>
        <v>0</v>
      </c>
      <c r="BF184" s="216">
        <f>IF(BF169-BE169&gt;0,0,BF169-BE169)</f>
        <v>0</v>
      </c>
      <c r="BG184" s="919">
        <f>IF(BG169-BF169&gt;0,0,BG169-BF169)</f>
        <v>0</v>
      </c>
      <c r="BH184" s="109">
        <f>IF(BH169-BC169&gt;0,0,BH169-BC169)</f>
        <v>0</v>
      </c>
      <c r="BI184" s="918">
        <f>IF(BI169-BG169&gt;0,0,BI169-BG169)</f>
        <v>0</v>
      </c>
      <c r="BJ184" s="216">
        <f>IF(BJ169-BI169&gt;0,0,BJ169-BI169)</f>
        <v>0</v>
      </c>
      <c r="BK184" s="216">
        <f>IF(BK169-BJ169&gt;0,0,BK169-BJ169)</f>
        <v>0</v>
      </c>
      <c r="BL184" s="919">
        <f>IF(BL169-BK169&gt;0,0,BL169-BK169)</f>
        <v>0</v>
      </c>
      <c r="BM184" s="109">
        <f>IF(BM169-BH169&gt;0,0,BM169-BH169)</f>
        <v>0</v>
      </c>
      <c r="BN184" s="918">
        <f>IF(BN169-BL169&gt;0,0,BN169-BL169)</f>
        <v>0</v>
      </c>
      <c r="BO184" s="216">
        <f>IF(BO169-BN169&gt;0,0,BO169-BN169)</f>
        <v>0</v>
      </c>
      <c r="BP184" s="216">
        <f>IF(BP169-BO169&gt;0,0,BP169-BO169)</f>
        <v>0</v>
      </c>
      <c r="BQ184" s="919">
        <f>IF(BQ169-BP169&gt;0,0,BQ169-BP169)</f>
        <v>0</v>
      </c>
      <c r="BR184" s="109">
        <f>IF(BR169-BM169&gt;0,0,BR169-BM169)</f>
        <v>0</v>
      </c>
      <c r="BS184" s="918">
        <f>IF(BS169-BQ169&gt;0,0,BS169-BQ169)</f>
        <v>0</v>
      </c>
      <c r="BT184" s="216">
        <f>IF(BT169-BS169&gt;0,0,BT169-BS169)</f>
        <v>0</v>
      </c>
      <c r="BU184" s="216">
        <f>IF(BU169-BT169&gt;0,0,BU169-BT169)</f>
        <v>0</v>
      </c>
      <c r="BV184" s="919">
        <f>IF(BV169-BU169&gt;0,0,BV169-BU169)</f>
        <v>0</v>
      </c>
      <c r="BW184" s="109">
        <f>IF(BW169-BR169&gt;0,0,BW169-BR169)</f>
        <v>0</v>
      </c>
      <c r="BX184" s="918">
        <f>IF(BX169-BV169&gt;0,0,BX169-BV169)</f>
        <v>0</v>
      </c>
      <c r="BY184" s="216">
        <f>IF(BY169-BX169&gt;0,0,BY169-BX169)</f>
        <v>0</v>
      </c>
      <c r="BZ184" s="216">
        <f>IF(BZ169-BY169&gt;0,0,BZ169-BY169)</f>
        <v>0</v>
      </c>
      <c r="CA184" s="919">
        <f>IF(CA169-BZ169&gt;0,0,CA169-BZ169)</f>
        <v>0</v>
      </c>
      <c r="CB184" s="109">
        <f>IF(CB169-BW169&gt;0,0,CB169-BW169)</f>
        <v>0</v>
      </c>
      <c r="CC184" s="918">
        <f>IF(CC169-CA169&gt;0,0,CC169-CA169)</f>
        <v>0</v>
      </c>
      <c r="CD184" s="216">
        <f>IF(CD169-CC169&gt;0,0,CD169-CC169)</f>
        <v>0</v>
      </c>
      <c r="CE184" s="216">
        <f>IF(CE169-CD169&gt;0,0,CE169-CD169)</f>
        <v>0</v>
      </c>
      <c r="CF184" s="919">
        <f>IF(CF169-CE169&gt;0,0,CF169-CE169)</f>
        <v>0</v>
      </c>
      <c r="CG184" s="109">
        <f>IF(CG169-CB169&gt;0,0,CG169-CB169)</f>
        <v>0</v>
      </c>
      <c r="CH184" s="918">
        <f>IF(CH169-CF169&gt;0,0,CH169-CF169)</f>
        <v>0</v>
      </c>
      <c r="CI184" s="216">
        <f>IF(CI169-CH169&gt;0,0,CI169-CH169)</f>
        <v>0</v>
      </c>
      <c r="CJ184" s="216">
        <f>IF(CJ169-CI169&gt;0,0,CJ169-CI169)</f>
        <v>0</v>
      </c>
      <c r="CK184" s="919">
        <f>IF(CK169-CJ169&gt;0,0,CK169-CJ169)</f>
        <v>0</v>
      </c>
      <c r="CL184" s="109">
        <f>IF(CL169-CG169&gt;0,0,CL169-CG169)</f>
        <v>0</v>
      </c>
      <c r="CM184" s="918">
        <f>IF(CM169-CK169&gt;0,0,CM169-CK169)</f>
        <v>0</v>
      </c>
      <c r="CN184" s="216">
        <f>IF(CN169-CM169&gt;0,0,CN169-CM169)</f>
        <v>0</v>
      </c>
      <c r="CO184" s="216">
        <f>IF(CO169-CN169&gt;0,0,CO169-CN169)</f>
        <v>0</v>
      </c>
      <c r="CP184" s="919">
        <f>IF(CP169-CO169&gt;0,0,CP169-CO169)</f>
        <v>0</v>
      </c>
      <c r="CQ184" s="919">
        <f>IF(CQ169-CL169&gt;0,0,CQ169-CL169)</f>
        <v>0</v>
      </c>
      <c r="CR184" s="75"/>
    </row>
    <row r="185" spans="1:96" ht="6.2" customHeight="1">
      <c r="A185" s="75"/>
      <c r="B185" s="606"/>
      <c r="C185" s="75"/>
      <c r="D185" s="75"/>
      <c r="E185" s="75"/>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9"/>
      <c r="AC185" s="109"/>
      <c r="AD185" s="109"/>
      <c r="AE185" s="109"/>
      <c r="AF185" s="109"/>
      <c r="AG185" s="109"/>
      <c r="AH185" s="109"/>
      <c r="AI185" s="109"/>
      <c r="AJ185" s="918"/>
      <c r="AK185" s="216"/>
      <c r="AL185" s="216"/>
      <c r="AM185" s="919"/>
      <c r="AN185" s="109"/>
      <c r="AO185" s="918"/>
      <c r="AP185" s="216"/>
      <c r="AQ185" s="216"/>
      <c r="AR185" s="919"/>
      <c r="AS185" s="109"/>
      <c r="AT185" s="918"/>
      <c r="AU185" s="216"/>
      <c r="AV185" s="216"/>
      <c r="AW185" s="919"/>
      <c r="AX185" s="109"/>
      <c r="AY185" s="918"/>
      <c r="AZ185" s="216"/>
      <c r="BA185" s="216"/>
      <c r="BB185" s="919"/>
      <c r="BC185" s="109"/>
      <c r="BD185" s="918"/>
      <c r="BE185" s="216"/>
      <c r="BF185" s="216"/>
      <c r="BG185" s="919"/>
      <c r="BH185" s="109"/>
      <c r="BI185" s="918"/>
      <c r="BJ185" s="216"/>
      <c r="BK185" s="216"/>
      <c r="BL185" s="919"/>
      <c r="BM185" s="109"/>
      <c r="BN185" s="918"/>
      <c r="BO185" s="216"/>
      <c r="BP185" s="216"/>
      <c r="BQ185" s="919"/>
      <c r="BR185" s="109"/>
      <c r="BS185" s="918"/>
      <c r="BT185" s="216"/>
      <c r="BU185" s="216"/>
      <c r="BV185" s="919"/>
      <c r="BW185" s="109"/>
      <c r="BX185" s="918"/>
      <c r="BY185" s="216"/>
      <c r="BZ185" s="216"/>
      <c r="CA185" s="919"/>
      <c r="CB185" s="109"/>
      <c r="CC185" s="918"/>
      <c r="CD185" s="216"/>
      <c r="CE185" s="216"/>
      <c r="CF185" s="919"/>
      <c r="CG185" s="109"/>
      <c r="CH185" s="918"/>
      <c r="CI185" s="216"/>
      <c r="CJ185" s="216"/>
      <c r="CK185" s="919"/>
      <c r="CL185" s="109"/>
      <c r="CM185" s="918"/>
      <c r="CN185" s="216"/>
      <c r="CO185" s="216"/>
      <c r="CP185" s="919"/>
      <c r="CQ185" s="919"/>
      <c r="CR185" s="75"/>
    </row>
    <row r="186" spans="1:96" ht="13.5" customHeight="1">
      <c r="A186" s="75"/>
      <c r="B186" s="125" t="s">
        <v>825</v>
      </c>
      <c r="C186" s="75"/>
      <c r="D186" s="75"/>
      <c r="E186" s="75"/>
      <c r="F186" s="249">
        <f t="shared" ref="F186:AK186" si="273">F172-F170-F163</f>
        <v>1987</v>
      </c>
      <c r="G186" s="249">
        <f t="shared" si="273"/>
        <v>1933</v>
      </c>
      <c r="H186" s="249">
        <f t="shared" si="273"/>
        <v>1414</v>
      </c>
      <c r="I186" s="249">
        <f t="shared" si="273"/>
        <v>867</v>
      </c>
      <c r="J186" s="249">
        <f t="shared" si="273"/>
        <v>867</v>
      </c>
      <c r="K186" s="249">
        <f t="shared" si="273"/>
        <v>1328</v>
      </c>
      <c r="L186" s="249">
        <f t="shared" si="273"/>
        <v>1580</v>
      </c>
      <c r="M186" s="249">
        <f t="shared" si="273"/>
        <v>1945</v>
      </c>
      <c r="N186" s="249">
        <f t="shared" si="273"/>
        <v>3858</v>
      </c>
      <c r="O186" s="249">
        <f t="shared" si="273"/>
        <v>3858</v>
      </c>
      <c r="P186" s="249">
        <f t="shared" si="273"/>
        <v>4312</v>
      </c>
      <c r="Q186" s="249">
        <f t="shared" si="273"/>
        <v>4545</v>
      </c>
      <c r="R186" s="249">
        <f t="shared" si="273"/>
        <v>4583</v>
      </c>
      <c r="S186" s="249">
        <f t="shared" si="273"/>
        <v>3108</v>
      </c>
      <c r="T186" s="249">
        <f t="shared" si="273"/>
        <v>3108</v>
      </c>
      <c r="U186" s="249">
        <f t="shared" si="273"/>
        <v>3489</v>
      </c>
      <c r="V186" s="249">
        <f t="shared" si="273"/>
        <v>4033</v>
      </c>
      <c r="W186" s="249">
        <f t="shared" si="273"/>
        <v>4195</v>
      </c>
      <c r="X186" s="249">
        <f t="shared" si="273"/>
        <v>4365</v>
      </c>
      <c r="Y186" s="249">
        <f t="shared" si="273"/>
        <v>4365</v>
      </c>
      <c r="Z186" s="249">
        <f t="shared" si="273"/>
        <v>4656</v>
      </c>
      <c r="AA186" s="249">
        <f t="shared" si="273"/>
        <v>4960</v>
      </c>
      <c r="AB186" s="249">
        <f t="shared" si="273"/>
        <v>5352</v>
      </c>
      <c r="AC186" s="249">
        <f t="shared" si="273"/>
        <v>5531</v>
      </c>
      <c r="AD186" s="249">
        <f t="shared" si="273"/>
        <v>5531</v>
      </c>
      <c r="AE186" s="249">
        <f t="shared" si="273"/>
        <v>5778</v>
      </c>
      <c r="AF186" s="249">
        <f t="shared" si="273"/>
        <v>6409</v>
      </c>
      <c r="AG186" s="249">
        <f t="shared" si="273"/>
        <v>6179</v>
      </c>
      <c r="AH186" s="249">
        <f t="shared" si="273"/>
        <v>4895</v>
      </c>
      <c r="AI186" s="249">
        <f t="shared" si="273"/>
        <v>4895</v>
      </c>
      <c r="AJ186" s="1226">
        <f t="shared" si="273"/>
        <v>4379</v>
      </c>
      <c r="AK186" s="304">
        <f t="shared" si="273"/>
        <v>4873</v>
      </c>
      <c r="AL186" s="304">
        <f t="shared" ref="AL186:BQ186" si="274">AL172-AL170-AL163</f>
        <v>4749</v>
      </c>
      <c r="AM186" s="1227">
        <f t="shared" si="274"/>
        <v>4676</v>
      </c>
      <c r="AN186" s="249">
        <f t="shared" si="274"/>
        <v>4676</v>
      </c>
      <c r="AO186" s="1226">
        <f t="shared" si="274"/>
        <v>4556</v>
      </c>
      <c r="AP186" s="304">
        <f t="shared" si="274"/>
        <v>4449</v>
      </c>
      <c r="AQ186" s="304">
        <f t="shared" si="274"/>
        <v>4518</v>
      </c>
      <c r="AR186" s="1227">
        <f t="shared" si="274"/>
        <v>3851</v>
      </c>
      <c r="AS186" s="249">
        <f t="shared" si="274"/>
        <v>3851</v>
      </c>
      <c r="AT186" s="1226">
        <f t="shared" si="274"/>
        <v>3908</v>
      </c>
      <c r="AU186" s="304">
        <f t="shared" si="274"/>
        <v>4215</v>
      </c>
      <c r="AV186" s="304">
        <f t="shared" si="274"/>
        <v>4169</v>
      </c>
      <c r="AW186" s="1227">
        <f t="shared" si="274"/>
        <v>3500</v>
      </c>
      <c r="AX186" s="249">
        <f t="shared" si="274"/>
        <v>3500</v>
      </c>
      <c r="AY186" s="1226">
        <f t="shared" si="274"/>
        <v>3460</v>
      </c>
      <c r="AZ186" s="304">
        <f t="shared" si="274"/>
        <v>3532</v>
      </c>
      <c r="BA186" s="304">
        <f t="shared" si="274"/>
        <v>3861</v>
      </c>
      <c r="BB186" s="1227">
        <f t="shared" si="274"/>
        <v>3477</v>
      </c>
      <c r="BC186" s="249">
        <f t="shared" si="274"/>
        <v>3477</v>
      </c>
      <c r="BD186" s="1226">
        <f t="shared" si="274"/>
        <v>3470</v>
      </c>
      <c r="BE186" s="304">
        <f t="shared" si="274"/>
        <v>3473</v>
      </c>
      <c r="BF186" s="304">
        <f t="shared" si="274"/>
        <v>1774</v>
      </c>
      <c r="BG186" s="1227">
        <f t="shared" si="274"/>
        <v>3348</v>
      </c>
      <c r="BH186" s="249">
        <f t="shared" si="274"/>
        <v>3348</v>
      </c>
      <c r="BI186" s="1226">
        <f t="shared" si="274"/>
        <v>3450</v>
      </c>
      <c r="BJ186" s="304">
        <f t="shared" si="274"/>
        <v>3513</v>
      </c>
      <c r="BK186" s="304">
        <f t="shared" si="274"/>
        <v>3942</v>
      </c>
      <c r="BL186" s="1227">
        <f t="shared" si="274"/>
        <v>3799</v>
      </c>
      <c r="BM186" s="249">
        <f t="shared" si="274"/>
        <v>3799</v>
      </c>
      <c r="BN186" s="1226">
        <f t="shared" si="274"/>
        <v>3667</v>
      </c>
      <c r="BO186" s="304">
        <f t="shared" si="274"/>
        <v>3480</v>
      </c>
      <c r="BP186" s="304">
        <f t="shared" si="274"/>
        <v>3171</v>
      </c>
      <c r="BQ186" s="1227">
        <f t="shared" si="274"/>
        <v>2436</v>
      </c>
      <c r="BR186" s="249">
        <f t="shared" ref="BR186:CQ186" si="275">BR172-BR170-BR163</f>
        <v>2436</v>
      </c>
      <c r="BS186" s="1226">
        <f t="shared" si="275"/>
        <v>1942</v>
      </c>
      <c r="BT186" s="304">
        <f t="shared" si="275"/>
        <v>1913</v>
      </c>
      <c r="BU186" s="304">
        <f t="shared" si="275"/>
        <v>2601</v>
      </c>
      <c r="BV186" s="1227">
        <f t="shared" si="275"/>
        <v>2274</v>
      </c>
      <c r="BW186" s="249">
        <f t="shared" si="275"/>
        <v>2274</v>
      </c>
      <c r="BX186" s="1226">
        <f t="shared" si="275"/>
        <v>2173</v>
      </c>
      <c r="BY186" s="304">
        <f t="shared" si="275"/>
        <v>2554</v>
      </c>
      <c r="BZ186" s="304">
        <f t="shared" si="275"/>
        <v>2807</v>
      </c>
      <c r="CA186" s="1227">
        <f t="shared" si="275"/>
        <v>3320</v>
      </c>
      <c r="CB186" s="249">
        <f t="shared" si="275"/>
        <v>3320</v>
      </c>
      <c r="CC186" s="1226">
        <f t="shared" si="275"/>
        <v>3390.1257737316141</v>
      </c>
      <c r="CD186" s="304">
        <f t="shared" si="275"/>
        <v>3674.6539863797507</v>
      </c>
      <c r="CE186" s="304">
        <f t="shared" si="275"/>
        <v>4040.2670303158948</v>
      </c>
      <c r="CF186" s="1227">
        <f t="shared" si="275"/>
        <v>4339.2968051983244</v>
      </c>
      <c r="CG186" s="249">
        <f t="shared" si="275"/>
        <v>4339.2968051983244</v>
      </c>
      <c r="CH186" s="1226">
        <f t="shared" si="275"/>
        <v>4485.4313162694953</v>
      </c>
      <c r="CI186" s="304">
        <f t="shared" si="275"/>
        <v>4859.5659275337966</v>
      </c>
      <c r="CJ186" s="304">
        <f t="shared" si="275"/>
        <v>5210.5130716488766</v>
      </c>
      <c r="CK186" s="1227">
        <f t="shared" si="275"/>
        <v>5546.2744942174295</v>
      </c>
      <c r="CL186" s="249">
        <f t="shared" si="275"/>
        <v>5546.2744942174295</v>
      </c>
      <c r="CM186" s="1226">
        <f t="shared" si="275"/>
        <v>5713.003951040112</v>
      </c>
      <c r="CN186" s="304">
        <f t="shared" si="275"/>
        <v>6007.2976106986071</v>
      </c>
      <c r="CO186" s="304">
        <f t="shared" si="275"/>
        <v>6246.3543014905208</v>
      </c>
      <c r="CP186" s="1227">
        <f t="shared" si="275"/>
        <v>6476.793997124184</v>
      </c>
      <c r="CQ186" s="1227">
        <f t="shared" si="275"/>
        <v>6476.793997124184</v>
      </c>
      <c r="CR186" s="75"/>
    </row>
    <row r="187" spans="1:96" ht="13.5" customHeight="1">
      <c r="A187" s="265"/>
      <c r="B187" s="654" t="s">
        <v>817</v>
      </c>
      <c r="C187" s="265"/>
      <c r="D187" s="250"/>
      <c r="E187" s="250"/>
      <c r="F187" s="252">
        <f t="shared" ref="F187:AK187" si="276">F172-F163-F186-F170</f>
        <v>0</v>
      </c>
      <c r="G187" s="252">
        <f t="shared" si="276"/>
        <v>0</v>
      </c>
      <c r="H187" s="252">
        <f t="shared" si="276"/>
        <v>0</v>
      </c>
      <c r="I187" s="252">
        <f t="shared" si="276"/>
        <v>0</v>
      </c>
      <c r="J187" s="252">
        <f t="shared" si="276"/>
        <v>0</v>
      </c>
      <c r="K187" s="252">
        <f t="shared" si="276"/>
        <v>0</v>
      </c>
      <c r="L187" s="252">
        <f t="shared" si="276"/>
        <v>0</v>
      </c>
      <c r="M187" s="252">
        <f t="shared" si="276"/>
        <v>0</v>
      </c>
      <c r="N187" s="252">
        <f t="shared" si="276"/>
        <v>0</v>
      </c>
      <c r="O187" s="252">
        <f t="shared" si="276"/>
        <v>0</v>
      </c>
      <c r="P187" s="252">
        <f t="shared" si="276"/>
        <v>0</v>
      </c>
      <c r="Q187" s="252">
        <f t="shared" si="276"/>
        <v>0</v>
      </c>
      <c r="R187" s="252">
        <f t="shared" si="276"/>
        <v>0</v>
      </c>
      <c r="S187" s="252">
        <f t="shared" si="276"/>
        <v>0</v>
      </c>
      <c r="T187" s="252">
        <f t="shared" si="276"/>
        <v>0</v>
      </c>
      <c r="U187" s="252">
        <f t="shared" si="276"/>
        <v>0</v>
      </c>
      <c r="V187" s="252">
        <f t="shared" si="276"/>
        <v>0</v>
      </c>
      <c r="W187" s="252">
        <f t="shared" si="276"/>
        <v>0</v>
      </c>
      <c r="X187" s="252">
        <f t="shared" si="276"/>
        <v>0</v>
      </c>
      <c r="Y187" s="252">
        <f t="shared" si="276"/>
        <v>0</v>
      </c>
      <c r="Z187" s="252">
        <f t="shared" si="276"/>
        <v>0</v>
      </c>
      <c r="AA187" s="252">
        <f t="shared" si="276"/>
        <v>0</v>
      </c>
      <c r="AB187" s="252">
        <f t="shared" si="276"/>
        <v>0</v>
      </c>
      <c r="AC187" s="252">
        <f t="shared" si="276"/>
        <v>0</v>
      </c>
      <c r="AD187" s="252">
        <f t="shared" si="276"/>
        <v>0</v>
      </c>
      <c r="AE187" s="252">
        <f t="shared" si="276"/>
        <v>0</v>
      </c>
      <c r="AF187" s="252">
        <f t="shared" si="276"/>
        <v>0</v>
      </c>
      <c r="AG187" s="252">
        <f t="shared" si="276"/>
        <v>0</v>
      </c>
      <c r="AH187" s="252">
        <f t="shared" si="276"/>
        <v>0</v>
      </c>
      <c r="AI187" s="252">
        <f t="shared" si="276"/>
        <v>0</v>
      </c>
      <c r="AJ187" s="1228">
        <f t="shared" si="276"/>
        <v>0</v>
      </c>
      <c r="AK187" s="1229">
        <f t="shared" si="276"/>
        <v>0</v>
      </c>
      <c r="AL187" s="1229">
        <f t="shared" ref="AL187:BQ187" si="277">AL172-AL163-AL186-AL170</f>
        <v>0</v>
      </c>
      <c r="AM187" s="1230">
        <f t="shared" si="277"/>
        <v>0</v>
      </c>
      <c r="AN187" s="252">
        <f t="shared" si="277"/>
        <v>0</v>
      </c>
      <c r="AO187" s="1228">
        <f t="shared" si="277"/>
        <v>0</v>
      </c>
      <c r="AP187" s="1229">
        <f t="shared" si="277"/>
        <v>0</v>
      </c>
      <c r="AQ187" s="1229">
        <f t="shared" si="277"/>
        <v>0</v>
      </c>
      <c r="AR187" s="1230">
        <f t="shared" si="277"/>
        <v>0</v>
      </c>
      <c r="AS187" s="252">
        <f t="shared" si="277"/>
        <v>0</v>
      </c>
      <c r="AT187" s="1228">
        <f t="shared" si="277"/>
        <v>0</v>
      </c>
      <c r="AU187" s="1229">
        <f t="shared" si="277"/>
        <v>0</v>
      </c>
      <c r="AV187" s="1229">
        <f t="shared" si="277"/>
        <v>0</v>
      </c>
      <c r="AW187" s="1230">
        <f t="shared" si="277"/>
        <v>0</v>
      </c>
      <c r="AX187" s="252">
        <f t="shared" si="277"/>
        <v>0</v>
      </c>
      <c r="AY187" s="1228">
        <f t="shared" si="277"/>
        <v>0</v>
      </c>
      <c r="AZ187" s="1229">
        <f t="shared" si="277"/>
        <v>0</v>
      </c>
      <c r="BA187" s="1229">
        <f t="shared" si="277"/>
        <v>0</v>
      </c>
      <c r="BB187" s="1230">
        <f t="shared" si="277"/>
        <v>0</v>
      </c>
      <c r="BC187" s="252">
        <f t="shared" si="277"/>
        <v>0</v>
      </c>
      <c r="BD187" s="1228">
        <f t="shared" si="277"/>
        <v>0</v>
      </c>
      <c r="BE187" s="1229">
        <f t="shared" si="277"/>
        <v>0</v>
      </c>
      <c r="BF187" s="1229">
        <f t="shared" si="277"/>
        <v>0</v>
      </c>
      <c r="BG187" s="1230">
        <f t="shared" si="277"/>
        <v>0</v>
      </c>
      <c r="BH187" s="252">
        <f t="shared" si="277"/>
        <v>0</v>
      </c>
      <c r="BI187" s="1228">
        <f t="shared" si="277"/>
        <v>0</v>
      </c>
      <c r="BJ187" s="1229">
        <f t="shared" si="277"/>
        <v>0</v>
      </c>
      <c r="BK187" s="1229">
        <f t="shared" si="277"/>
        <v>0</v>
      </c>
      <c r="BL187" s="1230">
        <f t="shared" si="277"/>
        <v>0</v>
      </c>
      <c r="BM187" s="252">
        <f t="shared" si="277"/>
        <v>0</v>
      </c>
      <c r="BN187" s="1228">
        <f t="shared" si="277"/>
        <v>0</v>
      </c>
      <c r="BO187" s="1229">
        <f t="shared" si="277"/>
        <v>0</v>
      </c>
      <c r="BP187" s="1229">
        <f t="shared" si="277"/>
        <v>0</v>
      </c>
      <c r="BQ187" s="1230">
        <f t="shared" si="277"/>
        <v>0</v>
      </c>
      <c r="BR187" s="252">
        <f t="shared" ref="BR187:CQ187" si="278">BR172-BR163-BR186-BR170</f>
        <v>0</v>
      </c>
      <c r="BS187" s="1228">
        <f t="shared" si="278"/>
        <v>0</v>
      </c>
      <c r="BT187" s="1229">
        <f t="shared" si="278"/>
        <v>0</v>
      </c>
      <c r="BU187" s="1229">
        <f t="shared" si="278"/>
        <v>0</v>
      </c>
      <c r="BV187" s="1230">
        <f t="shared" si="278"/>
        <v>0</v>
      </c>
      <c r="BW187" s="252">
        <f t="shared" si="278"/>
        <v>0</v>
      </c>
      <c r="BX187" s="1228">
        <f t="shared" si="278"/>
        <v>0</v>
      </c>
      <c r="BY187" s="1229">
        <f t="shared" si="278"/>
        <v>0</v>
      </c>
      <c r="BZ187" s="1229">
        <f t="shared" si="278"/>
        <v>0</v>
      </c>
      <c r="CA187" s="1230">
        <f t="shared" si="278"/>
        <v>0</v>
      </c>
      <c r="CB187" s="252">
        <f t="shared" si="278"/>
        <v>0</v>
      </c>
      <c r="CC187" s="1228">
        <f t="shared" si="278"/>
        <v>0</v>
      </c>
      <c r="CD187" s="1229">
        <f t="shared" si="278"/>
        <v>0</v>
      </c>
      <c r="CE187" s="1229">
        <f t="shared" si="278"/>
        <v>0</v>
      </c>
      <c r="CF187" s="1230">
        <f t="shared" si="278"/>
        <v>0</v>
      </c>
      <c r="CG187" s="252">
        <f t="shared" si="278"/>
        <v>0</v>
      </c>
      <c r="CH187" s="1228">
        <f t="shared" si="278"/>
        <v>0</v>
      </c>
      <c r="CI187" s="1229">
        <f t="shared" si="278"/>
        <v>0</v>
      </c>
      <c r="CJ187" s="1229">
        <f t="shared" si="278"/>
        <v>0</v>
      </c>
      <c r="CK187" s="1230">
        <f t="shared" si="278"/>
        <v>0</v>
      </c>
      <c r="CL187" s="252">
        <f t="shared" si="278"/>
        <v>0</v>
      </c>
      <c r="CM187" s="1228">
        <f t="shared" si="278"/>
        <v>0</v>
      </c>
      <c r="CN187" s="1229">
        <f t="shared" si="278"/>
        <v>0</v>
      </c>
      <c r="CO187" s="1229">
        <f t="shared" si="278"/>
        <v>0</v>
      </c>
      <c r="CP187" s="1230">
        <f t="shared" si="278"/>
        <v>0</v>
      </c>
      <c r="CQ187" s="1230">
        <f t="shared" si="278"/>
        <v>0</v>
      </c>
      <c r="CR187" s="250"/>
    </row>
    <row r="188" spans="1:96" ht="6.2" customHeight="1">
      <c r="A188" s="75"/>
      <c r="B188" s="125"/>
      <c r="C188" s="75"/>
      <c r="D188" s="245"/>
      <c r="E188" s="245"/>
      <c r="F188" s="246"/>
      <c r="G188" s="246"/>
      <c r="H188" s="246"/>
      <c r="I188" s="246"/>
      <c r="J188" s="246"/>
      <c r="K188" s="246"/>
      <c r="L188" s="246"/>
      <c r="M188" s="246"/>
      <c r="N188" s="246"/>
      <c r="O188" s="246"/>
      <c r="P188" s="246"/>
      <c r="Q188" s="246"/>
      <c r="R188" s="246"/>
      <c r="S188" s="246"/>
      <c r="T188" s="246"/>
      <c r="U188" s="246"/>
      <c r="V188" s="246"/>
      <c r="W188" s="246"/>
      <c r="X188" s="246"/>
      <c r="Y188" s="246"/>
      <c r="Z188" s="246"/>
      <c r="AA188" s="246"/>
      <c r="AB188" s="246"/>
      <c r="AC188" s="246"/>
      <c r="AD188" s="246"/>
      <c r="AE188" s="247"/>
      <c r="AF188" s="246"/>
      <c r="AG188" s="246"/>
      <c r="AH188" s="246"/>
      <c r="AI188" s="246"/>
      <c r="AJ188" s="1220"/>
      <c r="AK188" s="1221"/>
      <c r="AL188" s="1221"/>
      <c r="AM188" s="1222"/>
      <c r="AN188" s="246"/>
      <c r="AO188" s="1220"/>
      <c r="AP188" s="1221"/>
      <c r="AQ188" s="1221"/>
      <c r="AR188" s="1222"/>
      <c r="AS188" s="246"/>
      <c r="AT188" s="1220"/>
      <c r="AU188" s="1221"/>
      <c r="AV188" s="1221"/>
      <c r="AW188" s="1222"/>
      <c r="AX188" s="246"/>
      <c r="AY188" s="1220"/>
      <c r="AZ188" s="1221"/>
      <c r="BA188" s="1221"/>
      <c r="BB188" s="1222"/>
      <c r="BC188" s="246"/>
      <c r="BD188" s="1220"/>
      <c r="BE188" s="1221"/>
      <c r="BF188" s="1221"/>
      <c r="BG188" s="1222"/>
      <c r="BH188" s="246"/>
      <c r="BI188" s="1220"/>
      <c r="BJ188" s="1221"/>
      <c r="BK188" s="1221"/>
      <c r="BL188" s="1222"/>
      <c r="BM188" s="246"/>
      <c r="BN188" s="1220"/>
      <c r="BO188" s="1221"/>
      <c r="BP188" s="1221"/>
      <c r="BQ188" s="1222"/>
      <c r="BR188" s="246"/>
      <c r="BS188" s="1220"/>
      <c r="BT188" s="1221"/>
      <c r="BU188" s="1221"/>
      <c r="BV188" s="1222"/>
      <c r="BW188" s="246"/>
      <c r="BX188" s="1220"/>
      <c r="BY188" s="1221"/>
      <c r="BZ188" s="1221"/>
      <c r="CA188" s="1222"/>
      <c r="CB188" s="246"/>
      <c r="CC188" s="1220"/>
      <c r="CD188" s="1221"/>
      <c r="CE188" s="1221"/>
      <c r="CF188" s="1222"/>
      <c r="CG188" s="246"/>
      <c r="CH188" s="1220"/>
      <c r="CI188" s="1221"/>
      <c r="CJ188" s="1221"/>
      <c r="CK188" s="1222"/>
      <c r="CL188" s="246"/>
      <c r="CM188" s="1220"/>
      <c r="CN188" s="1221"/>
      <c r="CO188" s="1221"/>
      <c r="CP188" s="1222"/>
      <c r="CQ188" s="1222"/>
      <c r="CR188" s="245"/>
    </row>
    <row r="189" spans="1:96" ht="13.5" customHeight="1">
      <c r="A189" s="93" t="s">
        <v>826</v>
      </c>
      <c r="B189" s="125"/>
      <c r="C189" s="75"/>
      <c r="D189" s="75"/>
      <c r="E189" s="75"/>
      <c r="F189" s="253"/>
      <c r="G189" s="253"/>
      <c r="H189" s="253"/>
      <c r="I189" s="253"/>
      <c r="J189" s="190"/>
      <c r="K189" s="190"/>
      <c r="L189" s="190"/>
      <c r="M189" s="190"/>
      <c r="N189" s="254"/>
      <c r="O189" s="190"/>
      <c r="P189" s="142"/>
      <c r="Q189" s="142"/>
      <c r="R189" s="142"/>
      <c r="S189" s="180"/>
      <c r="T189" s="142"/>
      <c r="U189" s="194"/>
      <c r="V189" s="142"/>
      <c r="W189" s="142"/>
      <c r="X189" s="142"/>
      <c r="Y189" s="142"/>
      <c r="Z189" s="194"/>
      <c r="AA189" s="142"/>
      <c r="AB189" s="142"/>
      <c r="AC189" s="142"/>
      <c r="AD189" s="142"/>
      <c r="AE189" s="194"/>
      <c r="AF189" s="142"/>
      <c r="AG189" s="142"/>
      <c r="AH189" s="142"/>
      <c r="AI189" s="142"/>
      <c r="AJ189" s="1231"/>
      <c r="AK189" s="85"/>
      <c r="AL189" s="85"/>
      <c r="AM189" s="1133"/>
      <c r="AN189" s="142"/>
      <c r="AO189" s="1231"/>
      <c r="AP189" s="85"/>
      <c r="AQ189" s="85"/>
      <c r="AR189" s="1133"/>
      <c r="AS189" s="142"/>
      <c r="AT189" s="1231"/>
      <c r="AU189" s="85"/>
      <c r="AV189" s="85"/>
      <c r="AW189" s="1133"/>
      <c r="AX189" s="142"/>
      <c r="AY189" s="1231"/>
      <c r="AZ189" s="85"/>
      <c r="BA189" s="85"/>
      <c r="BB189" s="1133"/>
      <c r="BC189" s="142"/>
      <c r="BD189" s="1231"/>
      <c r="BE189" s="85"/>
      <c r="BF189" s="85"/>
      <c r="BG189" s="1133"/>
      <c r="BH189" s="142"/>
      <c r="BI189" s="1231"/>
      <c r="BJ189" s="85"/>
      <c r="BK189" s="85"/>
      <c r="BL189" s="1133"/>
      <c r="BM189" s="142"/>
      <c r="BN189" s="1231"/>
      <c r="BO189" s="272"/>
      <c r="BP189" s="272"/>
      <c r="BQ189" s="1133"/>
      <c r="BR189" s="142"/>
      <c r="BS189" s="1231"/>
      <c r="BT189" s="85"/>
      <c r="BU189" s="85"/>
      <c r="BV189" s="1133"/>
      <c r="BW189" s="142"/>
      <c r="BX189" s="1231"/>
      <c r="BY189" s="85"/>
      <c r="BZ189" s="85"/>
      <c r="CA189" s="1133"/>
      <c r="CB189" s="142"/>
      <c r="CC189" s="1231"/>
      <c r="CD189" s="85"/>
      <c r="CE189" s="85"/>
      <c r="CF189" s="1133"/>
      <c r="CG189" s="142"/>
      <c r="CH189" s="1231"/>
      <c r="CI189" s="85"/>
      <c r="CJ189" s="85"/>
      <c r="CK189" s="1133"/>
      <c r="CL189" s="142"/>
      <c r="CM189" s="1231"/>
      <c r="CN189" s="85"/>
      <c r="CO189" s="85"/>
      <c r="CP189" s="1133"/>
      <c r="CQ189" s="1133"/>
      <c r="CR189" s="75"/>
    </row>
    <row r="190" spans="1:96" ht="13.5" customHeight="1">
      <c r="A190" s="93"/>
      <c r="B190" s="125" t="s">
        <v>827</v>
      </c>
      <c r="C190" s="75"/>
      <c r="D190" s="75"/>
      <c r="E190" s="75"/>
      <c r="F190" s="145">
        <f t="shared" ref="F190:AK190" si="279">F149+F154</f>
        <v>1434</v>
      </c>
      <c r="G190" s="145">
        <f t="shared" si="279"/>
        <v>1883</v>
      </c>
      <c r="H190" s="145">
        <f t="shared" si="279"/>
        <v>1881</v>
      </c>
      <c r="I190" s="145">
        <f t="shared" si="279"/>
        <v>1933</v>
      </c>
      <c r="J190" s="145">
        <f t="shared" si="279"/>
        <v>1933</v>
      </c>
      <c r="K190" s="145">
        <f t="shared" si="279"/>
        <v>1941</v>
      </c>
      <c r="L190" s="145">
        <f t="shared" si="279"/>
        <v>1662</v>
      </c>
      <c r="M190" s="145">
        <f t="shared" si="279"/>
        <v>1642</v>
      </c>
      <c r="N190" s="145">
        <f t="shared" si="279"/>
        <v>1371</v>
      </c>
      <c r="O190" s="145">
        <f t="shared" si="279"/>
        <v>1371</v>
      </c>
      <c r="P190" s="145">
        <f t="shared" si="279"/>
        <v>1370</v>
      </c>
      <c r="Q190" s="145">
        <f t="shared" si="279"/>
        <v>1363</v>
      </c>
      <c r="R190" s="145">
        <f t="shared" si="279"/>
        <v>1383</v>
      </c>
      <c r="S190" s="145">
        <f t="shared" si="279"/>
        <v>1612</v>
      </c>
      <c r="T190" s="145">
        <f t="shared" si="279"/>
        <v>1612</v>
      </c>
      <c r="U190" s="145">
        <f t="shared" si="279"/>
        <v>1534</v>
      </c>
      <c r="V190" s="145">
        <f t="shared" si="279"/>
        <v>1465</v>
      </c>
      <c r="W190" s="145">
        <f t="shared" si="279"/>
        <v>1353</v>
      </c>
      <c r="X190" s="145">
        <f t="shared" si="279"/>
        <v>1025</v>
      </c>
      <c r="Y190" s="145">
        <f t="shared" si="279"/>
        <v>1025</v>
      </c>
      <c r="Z190" s="145">
        <f t="shared" si="279"/>
        <v>972</v>
      </c>
      <c r="AA190" s="145">
        <f t="shared" si="279"/>
        <v>2174</v>
      </c>
      <c r="AB190" s="145">
        <f t="shared" si="279"/>
        <v>2171</v>
      </c>
      <c r="AC190" s="145">
        <f t="shared" si="279"/>
        <v>3257</v>
      </c>
      <c r="AD190" s="145">
        <f t="shared" si="279"/>
        <v>3257</v>
      </c>
      <c r="AE190" s="145">
        <f t="shared" si="279"/>
        <v>3252</v>
      </c>
      <c r="AF190" s="145">
        <f t="shared" si="279"/>
        <v>3220</v>
      </c>
      <c r="AG190" s="145">
        <f t="shared" si="279"/>
        <v>3181</v>
      </c>
      <c r="AH190" s="145">
        <f t="shared" si="279"/>
        <v>3145</v>
      </c>
      <c r="AI190" s="145">
        <f t="shared" si="279"/>
        <v>3145</v>
      </c>
      <c r="AJ190" s="1134">
        <f t="shared" si="279"/>
        <v>3124</v>
      </c>
      <c r="AK190" s="145">
        <f t="shared" si="279"/>
        <v>3351</v>
      </c>
      <c r="AL190" s="145">
        <f t="shared" ref="AL190:BQ190" si="280">AL149+AL154</f>
        <v>3365</v>
      </c>
      <c r="AM190" s="1135">
        <f t="shared" si="280"/>
        <v>3364</v>
      </c>
      <c r="AN190" s="145">
        <f t="shared" si="280"/>
        <v>3364</v>
      </c>
      <c r="AO190" s="1134">
        <f t="shared" si="280"/>
        <v>3672</v>
      </c>
      <c r="AP190" s="145">
        <f t="shared" si="280"/>
        <v>3660</v>
      </c>
      <c r="AQ190" s="145">
        <f t="shared" si="280"/>
        <v>3659</v>
      </c>
      <c r="AR190" s="1135">
        <f t="shared" si="280"/>
        <v>3649</v>
      </c>
      <c r="AS190" s="145">
        <f t="shared" si="280"/>
        <v>3649</v>
      </c>
      <c r="AT190" s="1134">
        <f t="shared" si="280"/>
        <v>3735</v>
      </c>
      <c r="AU190" s="145">
        <f t="shared" si="280"/>
        <v>3901</v>
      </c>
      <c r="AV190" s="145">
        <f t="shared" si="280"/>
        <v>3858</v>
      </c>
      <c r="AW190" s="1135">
        <f t="shared" si="280"/>
        <v>3848</v>
      </c>
      <c r="AX190" s="145">
        <f t="shared" si="280"/>
        <v>3848</v>
      </c>
      <c r="AY190" s="1134">
        <f t="shared" si="280"/>
        <v>4117</v>
      </c>
      <c r="AZ190" s="145">
        <f t="shared" si="280"/>
        <v>3806</v>
      </c>
      <c r="BA190" s="145">
        <f t="shared" si="280"/>
        <v>3940</v>
      </c>
      <c r="BB190" s="1135">
        <f t="shared" si="280"/>
        <v>3938</v>
      </c>
      <c r="BC190" s="145">
        <f t="shared" si="280"/>
        <v>3938</v>
      </c>
      <c r="BD190" s="1134">
        <f t="shared" si="280"/>
        <v>3934</v>
      </c>
      <c r="BE190" s="145">
        <f t="shared" si="280"/>
        <v>3933</v>
      </c>
      <c r="BF190" s="145">
        <f t="shared" si="280"/>
        <v>3940</v>
      </c>
      <c r="BG190" s="1135">
        <f t="shared" si="280"/>
        <v>3939</v>
      </c>
      <c r="BH190" s="145">
        <f t="shared" si="280"/>
        <v>3939</v>
      </c>
      <c r="BI190" s="1134">
        <f t="shared" si="280"/>
        <v>3938</v>
      </c>
      <c r="BJ190" s="145">
        <f t="shared" si="280"/>
        <v>3625</v>
      </c>
      <c r="BK190" s="145">
        <f t="shared" si="280"/>
        <v>3498</v>
      </c>
      <c r="BL190" s="1135">
        <f t="shared" si="280"/>
        <v>3498</v>
      </c>
      <c r="BM190" s="145">
        <f t="shared" si="280"/>
        <v>3498</v>
      </c>
      <c r="BN190" s="1134">
        <f t="shared" si="280"/>
        <v>3502</v>
      </c>
      <c r="BO190" s="145">
        <f t="shared" si="280"/>
        <v>3486</v>
      </c>
      <c r="BP190" s="145">
        <f t="shared" si="280"/>
        <v>3489</v>
      </c>
      <c r="BQ190" s="1135">
        <f t="shared" si="280"/>
        <v>3161</v>
      </c>
      <c r="BR190" s="145">
        <f t="shared" ref="BR190:CQ190" si="281">BR149+BR154</f>
        <v>3161</v>
      </c>
      <c r="BS190" s="1134">
        <f t="shared" si="281"/>
        <v>3121</v>
      </c>
      <c r="BT190" s="145">
        <f t="shared" si="281"/>
        <v>3140</v>
      </c>
      <c r="BU190" s="145">
        <f t="shared" si="281"/>
        <v>3080</v>
      </c>
      <c r="BV190" s="1135">
        <f t="shared" si="281"/>
        <v>3031</v>
      </c>
      <c r="BW190" s="145">
        <f t="shared" si="281"/>
        <v>3031</v>
      </c>
      <c r="BX190" s="1134">
        <f t="shared" si="281"/>
        <v>3033</v>
      </c>
      <c r="BY190" s="145">
        <f t="shared" si="281"/>
        <v>2927</v>
      </c>
      <c r="BZ190" s="145">
        <f t="shared" si="281"/>
        <v>2899</v>
      </c>
      <c r="CA190" s="1135">
        <f t="shared" si="281"/>
        <v>2703</v>
      </c>
      <c r="CB190" s="145">
        <f t="shared" si="281"/>
        <v>2703</v>
      </c>
      <c r="CC190" s="1134">
        <f t="shared" si="281"/>
        <v>2703</v>
      </c>
      <c r="CD190" s="145">
        <f t="shared" si="281"/>
        <v>2703</v>
      </c>
      <c r="CE190" s="145">
        <f t="shared" si="281"/>
        <v>2703</v>
      </c>
      <c r="CF190" s="1135">
        <f t="shared" si="281"/>
        <v>2703</v>
      </c>
      <c r="CG190" s="145">
        <f t="shared" si="281"/>
        <v>2703</v>
      </c>
      <c r="CH190" s="1134">
        <f t="shared" si="281"/>
        <v>2703</v>
      </c>
      <c r="CI190" s="145">
        <f t="shared" si="281"/>
        <v>2703</v>
      </c>
      <c r="CJ190" s="145">
        <f t="shared" si="281"/>
        <v>2703</v>
      </c>
      <c r="CK190" s="1135">
        <f t="shared" si="281"/>
        <v>2703</v>
      </c>
      <c r="CL190" s="145">
        <f t="shared" si="281"/>
        <v>2703</v>
      </c>
      <c r="CM190" s="1134">
        <f t="shared" si="281"/>
        <v>2703</v>
      </c>
      <c r="CN190" s="145">
        <f t="shared" si="281"/>
        <v>2703</v>
      </c>
      <c r="CO190" s="145">
        <f t="shared" si="281"/>
        <v>2703</v>
      </c>
      <c r="CP190" s="1135">
        <f t="shared" si="281"/>
        <v>2703</v>
      </c>
      <c r="CQ190" s="1135">
        <f t="shared" si="281"/>
        <v>2703</v>
      </c>
      <c r="CR190" s="75"/>
    </row>
    <row r="191" spans="1:96" ht="13.5" customHeight="1">
      <c r="A191" s="75"/>
      <c r="B191" s="75" t="s">
        <v>826</v>
      </c>
      <c r="C191" s="81"/>
      <c r="D191" s="75"/>
      <c r="E191" s="75"/>
      <c r="F191" s="617">
        <v>8.6999999999999994E-2</v>
      </c>
      <c r="G191" s="288">
        <f>-G43*4/AVERAGE(F190:G190)</f>
        <v>8.8031353632800721E-2</v>
      </c>
      <c r="H191" s="288">
        <f>-H43*4/AVERAGE(G190:H190)</f>
        <v>7.7577045696068006E-2</v>
      </c>
      <c r="I191" s="288">
        <f>-I43*4/AVERAGE(H190:I190)</f>
        <v>7.6560041950707924E-2</v>
      </c>
      <c r="J191" s="288">
        <v>8.6724086724086727E-2</v>
      </c>
      <c r="K191" s="288">
        <f>-K43*4/AVERAGE(J190:K190)</f>
        <v>7.5374290139390815E-2</v>
      </c>
      <c r="L191" s="288">
        <f>-L43*4/AVERAGE(K190:L190)</f>
        <v>8.10435747987788E-2</v>
      </c>
      <c r="M191" s="288">
        <f>-M43*4/AVERAGE(L190:M190)</f>
        <v>8.8377723970944316E-2</v>
      </c>
      <c r="N191" s="288">
        <f>-N43*4/AVERAGE(M190:N190)</f>
        <v>9.6913375373382016E-2</v>
      </c>
      <c r="O191" s="288">
        <f>-O43/AVERAGE(J190,O190)</f>
        <v>8.8377723970944316E-2</v>
      </c>
      <c r="P191" s="288">
        <f>-P43*4/AVERAGE(O190:P190)</f>
        <v>7.8073695731484857E-2</v>
      </c>
      <c r="Q191" s="288">
        <f>-Q43*4/AVERAGE(P190:Q190)</f>
        <v>7.8302231979509695E-2</v>
      </c>
      <c r="R191" s="288">
        <f>-R43*4/AVERAGE(Q190:R190)</f>
        <v>7.7931536780772026E-2</v>
      </c>
      <c r="S191" s="288">
        <f>-S43*4/AVERAGE(R190:S190)</f>
        <v>7.1452420701168612E-2</v>
      </c>
      <c r="T191" s="288">
        <f>-T43/AVERAGE(O190,T190)</f>
        <v>7.1739859202145498E-2</v>
      </c>
      <c r="U191" s="288">
        <f>-U43*4/AVERAGE(T190:U190)</f>
        <v>7.3744437380801012E-2</v>
      </c>
      <c r="V191" s="288">
        <f>-V43*4/AVERAGE(U190:V190)</f>
        <v>7.7359119706568863E-2</v>
      </c>
      <c r="W191" s="288">
        <f>-W43*4/AVERAGE(V190:W190)</f>
        <v>8.2327892122072394E-2</v>
      </c>
      <c r="X191" s="288">
        <f>-X43*4/AVERAGE(W190:X190)</f>
        <v>9.7560975609756101E-2</v>
      </c>
      <c r="Y191" s="288">
        <f>-Y43/AVERAGE(T190,Y190)</f>
        <v>8.7978763746681829E-2</v>
      </c>
      <c r="Z191" s="288">
        <f>-Z43*4/AVERAGE(Y190:Z190)</f>
        <v>0.15222834251377065</v>
      </c>
      <c r="AA191" s="288">
        <f>-AA43*4/AVERAGE(Z190:AA190)</f>
        <v>9.663064208518754E-2</v>
      </c>
      <c r="AB191" s="288">
        <f>-AB43*4/AVERAGE(AA190:AB190)</f>
        <v>6.9965477560414269E-2</v>
      </c>
      <c r="AC191" s="288">
        <f>-AC43*4/AVERAGE(AB190:AC190)</f>
        <v>5.6005895357406042E-2</v>
      </c>
      <c r="AD191" s="288">
        <f>-AD43/AVERAGE(Y190,AD190)</f>
        <v>7.0994862213918736E-2</v>
      </c>
      <c r="AE191" s="288">
        <f>-AE43*4/AVERAGE(AD190:AE190)</f>
        <v>5.6537102473498232E-2</v>
      </c>
      <c r="AF191" s="288">
        <f>-AF43*4/AVERAGE(AE190:AF190)</f>
        <v>5.19159456118665E-2</v>
      </c>
      <c r="AG191" s="288">
        <f>-AG43*4/AVERAGE(AF190:AG190)</f>
        <v>4.999218872051242E-2</v>
      </c>
      <c r="AH191" s="288">
        <f>-AH43*4/AVERAGE(AG190:AH190)</f>
        <v>5.1849509958899781E-2</v>
      </c>
      <c r="AI191" s="288">
        <f>-AI43/AVERAGE(AD190,AI190)</f>
        <v>5.2796001249609495E-2</v>
      </c>
      <c r="AJ191" s="970">
        <f>-AJ43*4/AVERAGE(AI190:AJ190)</f>
        <v>4.5940341362258733E-2</v>
      </c>
      <c r="AK191" s="288">
        <f>-AK43*4/AVERAGE(AJ190:AK190)</f>
        <v>4.6949806949806952E-2</v>
      </c>
      <c r="AL191" s="288">
        <f>-AL43*4/AVERAGE(AK190:AL190)</f>
        <v>5.0029779630732581E-2</v>
      </c>
      <c r="AM191" s="971">
        <f>-AM43*4/AVERAGE(AL190:AM190)</f>
        <v>5.3578340158779214E-2</v>
      </c>
      <c r="AN191" s="288">
        <f>-AN43/AVERAGE(AI190,AN190)</f>
        <v>4.9490269278246478E-2</v>
      </c>
      <c r="AO191" s="970">
        <f>-AO43*4/AVERAGE(AN190:AO190)</f>
        <v>4.8891415577032402E-2</v>
      </c>
      <c r="AP191" s="288">
        <f>-AP43*4/AVERAGE(AO190:AP190)</f>
        <v>5.6737588652482268E-2</v>
      </c>
      <c r="AQ191" s="288">
        <f>-AQ43*4/AVERAGE(AP190:AQ190)</f>
        <v>5.4652274900942752E-2</v>
      </c>
      <c r="AR191" s="971">
        <f>-AR43*4/AVERAGE(AQ190:AR190)</f>
        <v>6.029564665365679E-2</v>
      </c>
      <c r="AS191" s="288">
        <f>-AS43/AVERAGE(AN190,AS190)</f>
        <v>5.7059767066338363E-2</v>
      </c>
      <c r="AT191" s="970">
        <f>-AT43*4/AVERAGE(AS190:AT190)</f>
        <v>5.4171180931744313E-2</v>
      </c>
      <c r="AU191" s="288">
        <f>-AU43*4/AVERAGE(AT190:AU190)</f>
        <v>5.0288108957569411E-2</v>
      </c>
      <c r="AV191" s="288">
        <f>-AV43*4/AVERAGE(AU190:AV190)</f>
        <v>4.8459853073849722E-2</v>
      </c>
      <c r="AW191" s="971">
        <f>-AW43*4/AVERAGE(AV190:AW190)</f>
        <v>4.6716844017648584E-2</v>
      </c>
      <c r="AX191" s="288">
        <f>-AX43/AVERAGE(AS190,AX190)</f>
        <v>5.0686941443243962E-2</v>
      </c>
      <c r="AY191" s="970">
        <f>-AY43*4/AVERAGE(AX190:AY190)</f>
        <v>4.9215317011927183E-2</v>
      </c>
      <c r="AZ191" s="288">
        <f>-AZ43*4/AVERAGE(AY190:AZ190)</f>
        <v>6.6641423703142744E-2</v>
      </c>
      <c r="BA191" s="288">
        <f>-BA43*4/AVERAGE(AZ190:BA190)</f>
        <v>4.6475600309837335E-2</v>
      </c>
      <c r="BB191" s="971">
        <f>-BB43*4/AVERAGE(BA190:BB190)</f>
        <v>5.4836252856054833E-2</v>
      </c>
      <c r="BC191" s="288">
        <f>-BC43/AVERAGE(AX190,BC190)</f>
        <v>5.4970459799640381E-2</v>
      </c>
      <c r="BD191" s="970">
        <f>-BD43*4/AVERAGE(BC190:BD190)</f>
        <v>8.6382113821138209E-2</v>
      </c>
      <c r="BE191" s="288">
        <f>-BE43*4/AVERAGE(BD190:BE190)</f>
        <v>5.8980551671539344E-2</v>
      </c>
      <c r="BF191" s="288">
        <f>-BF43*4/AVERAGE(BE190:BF190)</f>
        <v>6.1983995935475676E-2</v>
      </c>
      <c r="BG191" s="971">
        <f>-BG43*4/AVERAGE(BF190:BG190)</f>
        <v>6.2952151288234545E-2</v>
      </c>
      <c r="BH191" s="288">
        <f>-BH43/AVERAGE(BC190,BH190)</f>
        <v>6.7538402945283738E-2</v>
      </c>
      <c r="BI191" s="970">
        <f>-BI43*4/AVERAGE(BH190:BI190)</f>
        <v>6.1952519994921927E-2</v>
      </c>
      <c r="BJ191" s="288">
        <f>-BJ43*4/AVERAGE(BI190:BJ190)</f>
        <v>6.3466878222927403E-2</v>
      </c>
      <c r="BK191" s="288">
        <f>-BK43*4/AVERAGE(BJ190:BK190)</f>
        <v>6.4017969956479015E-2</v>
      </c>
      <c r="BL191" s="971">
        <f>-BL43*4/AVERAGE(BK190:BL190)</f>
        <v>6.4036592338479137E-2</v>
      </c>
      <c r="BM191" s="288">
        <f>-BM43/AVERAGE(BH190,BM190)</f>
        <v>6.2928600242033075E-2</v>
      </c>
      <c r="BN191" s="970">
        <f>-BN43*4/AVERAGE(BM190:BN190)</f>
        <v>5.8285714285714288E-2</v>
      </c>
      <c r="BO191" s="288">
        <f>-BO43*4/AVERAGE(BN190:BO190)</f>
        <v>6.067544361763022E-2</v>
      </c>
      <c r="BP191" s="288">
        <f>-BP43*4/AVERAGE(BO190:BP190)</f>
        <v>6.4229390681003584E-2</v>
      </c>
      <c r="BQ191" s="971">
        <f>-BQ43*4/AVERAGE(BP190:BQ190)</f>
        <v>6.4962406015037596E-2</v>
      </c>
      <c r="BR191" s="288">
        <f>-BR43/AVERAGE(BM190,BR190)</f>
        <v>6.4273915002252588E-2</v>
      </c>
      <c r="BS191" s="1353">
        <f>-BS43*4/AVERAGE(BR190:BS190)</f>
        <v>6.7494428525947156E-2</v>
      </c>
      <c r="BT191" s="288">
        <f>-BT43*4/AVERAGE(BS190:BT190)</f>
        <v>7.6665069477719214E-2</v>
      </c>
      <c r="BU191" s="288">
        <f>-BU43*4/AVERAGE(BT190:BU190)</f>
        <v>7.459807073954984E-2</v>
      </c>
      <c r="BV191" s="971">
        <f>-BV43*4/AVERAGE(BU190:BV190)</f>
        <v>5.8656521027655048E-2</v>
      </c>
      <c r="BW191" s="288">
        <f>-BW43/AVERAGE(BR190,BW190)</f>
        <v>6.9704861111111113E-2</v>
      </c>
      <c r="BX191" s="970">
        <f>-BX43*4/AVERAGE(BW190:BX190)</f>
        <v>7.6517150395778361E-2</v>
      </c>
      <c r="BY191" s="288">
        <f>-BY43*4/AVERAGE(BX190:BY190)</f>
        <v>7.3825503355704702E-2</v>
      </c>
      <c r="BZ191" s="288">
        <f>-BZ43*4/AVERAGE(BY190:BZ190)</f>
        <v>0.14143494679025059</v>
      </c>
      <c r="CA191" s="971">
        <f>-CA43*4/AVERAGE(BZ190:CA190)</f>
        <v>0.11138878971795788</v>
      </c>
      <c r="CB191" s="288">
        <f>-CB43/AVERAGE(BW190,CB190)</f>
        <v>0.10254621555633066</v>
      </c>
      <c r="CC191" s="970">
        <f>-CC43*4/AVERAGE(CB190:CC190)</f>
        <v>0.10306511283758787</v>
      </c>
      <c r="CD191" s="288">
        <f>-CD43*4/AVERAGE(CC190:CD190)</f>
        <v>0.10306511283758787</v>
      </c>
      <c r="CE191" s="288">
        <f>-CE43*4/AVERAGE(CD190:CE190)</f>
        <v>0.10306511283758787</v>
      </c>
      <c r="CF191" s="971">
        <f>-CF43*4/AVERAGE(CE190:CF190)</f>
        <v>0.10306511283758787</v>
      </c>
      <c r="CG191" s="288">
        <f>-CG43/AVERAGE(CB190,CG190)</f>
        <v>0.10306511283758787</v>
      </c>
      <c r="CH191" s="970">
        <f>-CH43*4/AVERAGE(CG190:CH190)</f>
        <v>0.10306511283758787</v>
      </c>
      <c r="CI191" s="288">
        <f>-CI43*4/AVERAGE(CH190:CI190)</f>
        <v>0.10306511283758787</v>
      </c>
      <c r="CJ191" s="288">
        <f>-CJ43*4/AVERAGE(CI190:CJ190)</f>
        <v>0.10306511283758787</v>
      </c>
      <c r="CK191" s="971">
        <f>-CK43*4/AVERAGE(CJ190:CK190)</f>
        <v>0.10306511283758787</v>
      </c>
      <c r="CL191" s="288">
        <f>-CL43/AVERAGE(CG190,CL190)</f>
        <v>0.10306511283758787</v>
      </c>
      <c r="CM191" s="970">
        <f>-CM43*4/AVERAGE(CL190:CM190)</f>
        <v>0.10306511283758787</v>
      </c>
      <c r="CN191" s="288">
        <f>-CN43*4/AVERAGE(CM190:CN190)</f>
        <v>0.10306511283758787</v>
      </c>
      <c r="CO191" s="288">
        <f>-CO43*4/AVERAGE(CN190:CO190)</f>
        <v>0.10306511283758787</v>
      </c>
      <c r="CP191" s="971">
        <f>-CP43*4/AVERAGE(CO190:CP190)</f>
        <v>0.10306511283758787</v>
      </c>
      <c r="CQ191" s="971">
        <f>-CQ43/AVERAGE(CL190,CQ190)</f>
        <v>0.10306511283758787</v>
      </c>
      <c r="CR191" s="75"/>
    </row>
    <row r="192" spans="1:96" ht="13.5" customHeight="1">
      <c r="A192" s="75"/>
      <c r="B192" s="81" t="s">
        <v>649</v>
      </c>
      <c r="C192" s="81"/>
      <c r="D192" s="75"/>
      <c r="E192" s="75"/>
      <c r="F192" s="145">
        <f t="shared" ref="F192:AK192" si="282">F149+F154-F121</f>
        <v>1067</v>
      </c>
      <c r="G192" s="145">
        <f t="shared" si="282"/>
        <v>1738</v>
      </c>
      <c r="H192" s="145">
        <f t="shared" si="282"/>
        <v>1721</v>
      </c>
      <c r="I192" s="145">
        <f t="shared" si="282"/>
        <v>1617</v>
      </c>
      <c r="J192" s="145">
        <f t="shared" si="282"/>
        <v>1617</v>
      </c>
      <c r="K192" s="145">
        <f t="shared" si="282"/>
        <v>1177</v>
      </c>
      <c r="L192" s="145">
        <f t="shared" si="282"/>
        <v>1072</v>
      </c>
      <c r="M192" s="145">
        <f t="shared" si="282"/>
        <v>580</v>
      </c>
      <c r="N192" s="145">
        <f t="shared" si="282"/>
        <v>334</v>
      </c>
      <c r="O192" s="145">
        <f t="shared" si="282"/>
        <v>334</v>
      </c>
      <c r="P192" s="145">
        <f t="shared" si="282"/>
        <v>223</v>
      </c>
      <c r="Q192" s="145">
        <f t="shared" si="282"/>
        <v>121</v>
      </c>
      <c r="R192" s="145">
        <f t="shared" si="282"/>
        <v>-11</v>
      </c>
      <c r="S192" s="145">
        <f t="shared" si="282"/>
        <v>133</v>
      </c>
      <c r="T192" s="145">
        <f t="shared" si="282"/>
        <v>133</v>
      </c>
      <c r="U192" s="145">
        <f t="shared" si="282"/>
        <v>63</v>
      </c>
      <c r="V192" s="145">
        <f t="shared" si="282"/>
        <v>-12</v>
      </c>
      <c r="W192" s="145">
        <f t="shared" si="282"/>
        <v>-57</v>
      </c>
      <c r="X192" s="145">
        <f t="shared" si="282"/>
        <v>-397</v>
      </c>
      <c r="Y192" s="145">
        <f t="shared" si="282"/>
        <v>-397</v>
      </c>
      <c r="Z192" s="145">
        <f t="shared" si="282"/>
        <v>-580</v>
      </c>
      <c r="AA192" s="145">
        <f t="shared" si="282"/>
        <v>1071</v>
      </c>
      <c r="AB192" s="145">
        <f t="shared" si="282"/>
        <v>768</v>
      </c>
      <c r="AC192" s="145">
        <f t="shared" si="282"/>
        <v>2856</v>
      </c>
      <c r="AD192" s="145">
        <f t="shared" si="282"/>
        <v>2856</v>
      </c>
      <c r="AE192" s="145">
        <f t="shared" si="282"/>
        <v>2798</v>
      </c>
      <c r="AF192" s="145">
        <f t="shared" si="282"/>
        <v>2829</v>
      </c>
      <c r="AG192" s="145">
        <f t="shared" si="282"/>
        <v>2388</v>
      </c>
      <c r="AH192" s="145">
        <f t="shared" si="282"/>
        <v>2421</v>
      </c>
      <c r="AI192" s="145">
        <f t="shared" si="282"/>
        <v>2421</v>
      </c>
      <c r="AJ192" s="1134">
        <f t="shared" si="282"/>
        <v>1993</v>
      </c>
      <c r="AK192" s="145">
        <f t="shared" si="282"/>
        <v>1401</v>
      </c>
      <c r="AL192" s="145">
        <f t="shared" ref="AL192:BQ192" si="283">AL149+AL154-AL121</f>
        <v>1822</v>
      </c>
      <c r="AM192" s="1135">
        <f t="shared" si="283"/>
        <v>2146</v>
      </c>
      <c r="AN192" s="145">
        <f t="shared" si="283"/>
        <v>2146</v>
      </c>
      <c r="AO192" s="1134">
        <f t="shared" si="283"/>
        <v>2286</v>
      </c>
      <c r="AP192" s="145">
        <f t="shared" si="283"/>
        <v>2713</v>
      </c>
      <c r="AQ192" s="145">
        <f t="shared" si="283"/>
        <v>3016</v>
      </c>
      <c r="AR192" s="1135">
        <f t="shared" si="283"/>
        <v>3071</v>
      </c>
      <c r="AS192" s="145">
        <f t="shared" si="283"/>
        <v>3071</v>
      </c>
      <c r="AT192" s="1134">
        <f t="shared" si="283"/>
        <v>3314</v>
      </c>
      <c r="AU192" s="145">
        <f t="shared" si="283"/>
        <v>3508</v>
      </c>
      <c r="AV192" s="145">
        <f t="shared" si="283"/>
        <v>3588</v>
      </c>
      <c r="AW192" s="1135">
        <f t="shared" si="283"/>
        <v>3440</v>
      </c>
      <c r="AX192" s="145">
        <f t="shared" si="283"/>
        <v>3440</v>
      </c>
      <c r="AY192" s="1134">
        <f t="shared" si="283"/>
        <v>3465</v>
      </c>
      <c r="AZ192" s="145">
        <f t="shared" si="283"/>
        <v>3241</v>
      </c>
      <c r="BA192" s="145">
        <f t="shared" si="283"/>
        <v>3404</v>
      </c>
      <c r="BB192" s="1135">
        <f t="shared" si="283"/>
        <v>3368</v>
      </c>
      <c r="BC192" s="145">
        <f t="shared" si="283"/>
        <v>3368</v>
      </c>
      <c r="BD192" s="1134">
        <f t="shared" si="283"/>
        <v>3201</v>
      </c>
      <c r="BE192" s="145">
        <f t="shared" si="283"/>
        <v>3166</v>
      </c>
      <c r="BF192" s="145">
        <f t="shared" si="283"/>
        <v>3243</v>
      </c>
      <c r="BG192" s="1135">
        <f t="shared" si="283"/>
        <v>3335</v>
      </c>
      <c r="BH192" s="145">
        <f t="shared" si="283"/>
        <v>3335</v>
      </c>
      <c r="BI192" s="1134">
        <f t="shared" si="283"/>
        <v>2839</v>
      </c>
      <c r="BJ192" s="145">
        <f t="shared" si="283"/>
        <v>2154</v>
      </c>
      <c r="BK192" s="145">
        <f t="shared" si="283"/>
        <v>2241</v>
      </c>
      <c r="BL192" s="1135">
        <f t="shared" si="283"/>
        <v>2144</v>
      </c>
      <c r="BM192" s="145">
        <f t="shared" si="283"/>
        <v>2144</v>
      </c>
      <c r="BN192" s="1134">
        <f t="shared" si="283"/>
        <v>2236</v>
      </c>
      <c r="BO192" s="145">
        <f t="shared" si="283"/>
        <v>2276</v>
      </c>
      <c r="BP192" s="145">
        <f t="shared" si="283"/>
        <v>2324</v>
      </c>
      <c r="BQ192" s="1135">
        <f t="shared" si="283"/>
        <v>2406</v>
      </c>
      <c r="BR192" s="145">
        <f t="shared" ref="BR192:CQ192" si="284">BR149+BR154-BR121</f>
        <v>2406</v>
      </c>
      <c r="BS192" s="1134">
        <f t="shared" si="284"/>
        <v>2416</v>
      </c>
      <c r="BT192" s="145">
        <f t="shared" si="284"/>
        <v>2320</v>
      </c>
      <c r="BU192" s="145">
        <f t="shared" si="284"/>
        <v>1635</v>
      </c>
      <c r="BV192" s="1135">
        <f t="shared" si="284"/>
        <v>1516</v>
      </c>
      <c r="BW192" s="145">
        <f t="shared" si="284"/>
        <v>1516</v>
      </c>
      <c r="BX192" s="1134">
        <f t="shared" si="284"/>
        <v>1707</v>
      </c>
      <c r="BY192" s="145">
        <f t="shared" si="284"/>
        <v>1405</v>
      </c>
      <c r="BZ192" s="145">
        <f t="shared" si="284"/>
        <v>1205</v>
      </c>
      <c r="CA192" s="1135">
        <f t="shared" si="284"/>
        <v>1150</v>
      </c>
      <c r="CB192" s="145">
        <f t="shared" si="284"/>
        <v>1150</v>
      </c>
      <c r="CC192" s="1134">
        <f t="shared" si="284"/>
        <v>1418.8809455819639</v>
      </c>
      <c r="CD192" s="145">
        <f t="shared" si="284"/>
        <v>1264.4226367938463</v>
      </c>
      <c r="CE192" s="145">
        <f t="shared" si="284"/>
        <v>1122.5389735312829</v>
      </c>
      <c r="CF192" s="1135">
        <f t="shared" si="284"/>
        <v>903.06464007206705</v>
      </c>
      <c r="CG192" s="145">
        <f t="shared" si="284"/>
        <v>903.06464007206705</v>
      </c>
      <c r="CH192" s="1134">
        <f t="shared" si="284"/>
        <v>575.42272903279445</v>
      </c>
      <c r="CI192" s="145">
        <f t="shared" si="284"/>
        <v>943.03745378904523</v>
      </c>
      <c r="CJ192" s="145">
        <f t="shared" si="284"/>
        <v>123.74695061538705</v>
      </c>
      <c r="CK192" s="1135">
        <f t="shared" si="284"/>
        <v>560.01049085789782</v>
      </c>
      <c r="CL192" s="145">
        <f t="shared" si="284"/>
        <v>560.01049085789782</v>
      </c>
      <c r="CM192" s="1134">
        <f t="shared" si="284"/>
        <v>-116.5863531618711</v>
      </c>
      <c r="CN192" s="145">
        <f t="shared" si="284"/>
        <v>614.24027315809781</v>
      </c>
      <c r="CO192" s="145">
        <f t="shared" si="284"/>
        <v>-410.37187960667507</v>
      </c>
      <c r="CP192" s="1135">
        <f t="shared" si="284"/>
        <v>225.96559896006011</v>
      </c>
      <c r="CQ192" s="1135">
        <f t="shared" si="284"/>
        <v>225.96559896006011</v>
      </c>
      <c r="CR192" s="75"/>
    </row>
    <row r="193" spans="1:96" ht="13.5" customHeight="1">
      <c r="A193" s="75"/>
      <c r="B193" s="255" t="s">
        <v>828</v>
      </c>
      <c r="C193" s="81"/>
      <c r="D193" s="75"/>
      <c r="E193" s="75"/>
      <c r="F193" s="627">
        <v>1067</v>
      </c>
      <c r="G193" s="627">
        <v>1738</v>
      </c>
      <c r="H193" s="627">
        <v>1721</v>
      </c>
      <c r="I193" s="627">
        <v>1617</v>
      </c>
      <c r="J193" s="627">
        <v>1617</v>
      </c>
      <c r="K193" s="627">
        <v>2896.25</v>
      </c>
      <c r="L193" s="627">
        <v>2791.25</v>
      </c>
      <c r="M193" s="627">
        <v>2299.25</v>
      </c>
      <c r="N193" s="627">
        <v>2053.25</v>
      </c>
      <c r="O193" s="627">
        <v>2053.25</v>
      </c>
      <c r="P193" s="627">
        <v>2095</v>
      </c>
      <c r="Q193" s="627">
        <v>1993</v>
      </c>
      <c r="R193" s="627">
        <v>1861</v>
      </c>
      <c r="S193" s="627">
        <v>2005</v>
      </c>
      <c r="T193" s="627">
        <v>2005</v>
      </c>
      <c r="U193" s="627">
        <v>1361.05</v>
      </c>
      <c r="V193" s="627">
        <v>1286.05</v>
      </c>
      <c r="W193" s="627">
        <v>1241.05</v>
      </c>
      <c r="X193" s="627">
        <v>901.05</v>
      </c>
      <c r="Y193" s="627">
        <v>901.05</v>
      </c>
      <c r="Z193" s="627">
        <v>1175</v>
      </c>
      <c r="AA193" s="627">
        <v>2826</v>
      </c>
      <c r="AB193" s="627">
        <v>2523</v>
      </c>
      <c r="AC193" s="627">
        <v>4611</v>
      </c>
      <c r="AD193" s="627">
        <v>4611</v>
      </c>
      <c r="AE193" s="627">
        <v>6124.7</v>
      </c>
      <c r="AF193" s="627">
        <v>6155.7</v>
      </c>
      <c r="AG193" s="627">
        <v>5714.7</v>
      </c>
      <c r="AH193" s="627">
        <v>5747.7</v>
      </c>
      <c r="AI193" s="627">
        <v>5747.7</v>
      </c>
      <c r="AJ193" s="1143">
        <v>4982.3500000000004</v>
      </c>
      <c r="AK193" s="627">
        <v>4390.3500000000004</v>
      </c>
      <c r="AL193" s="627">
        <v>4811.3500000000004</v>
      </c>
      <c r="AM193" s="1144">
        <v>5135.3500000000004</v>
      </c>
      <c r="AN193" s="627">
        <v>5135.3500000000004</v>
      </c>
      <c r="AO193" s="1263">
        <f>AO192+(AO196*0.65)</f>
        <v>5476.2000000000007</v>
      </c>
      <c r="AP193" s="156">
        <f>AP192+(AP196*0.65)</f>
        <v>5903.2000000000007</v>
      </c>
      <c r="AQ193" s="156">
        <f>AQ192+(AQ196*0.65)</f>
        <v>6206.2000000000007</v>
      </c>
      <c r="AR193" s="1264">
        <f>AR192+(AR196*0.65)</f>
        <v>6261.2000000000007</v>
      </c>
      <c r="AS193" s="145">
        <f>AR193</f>
        <v>6261.2000000000007</v>
      </c>
      <c r="AT193" s="1263">
        <f>AT192+(AT196*0.65)</f>
        <v>6648.5</v>
      </c>
      <c r="AU193" s="156">
        <f>AU192+(AU196*0.65)</f>
        <v>6842.5</v>
      </c>
      <c r="AV193" s="156">
        <f>AV192+(AV196*0.65)</f>
        <v>6922.5</v>
      </c>
      <c r="AW193" s="1264">
        <f>AW192+(AW196*0.65)</f>
        <v>6774.5</v>
      </c>
      <c r="AX193" s="145">
        <f>AW193</f>
        <v>6774.5</v>
      </c>
      <c r="AY193" s="1263">
        <f>AY192+(AY196*0.65)</f>
        <v>6647.4</v>
      </c>
      <c r="AZ193" s="156">
        <f>AZ192+(AZ196*0.65)</f>
        <v>6423.4</v>
      </c>
      <c r="BA193" s="156">
        <f>BA192+(BA196*0.65)</f>
        <v>6586.4</v>
      </c>
      <c r="BB193" s="1264">
        <f>BB192+(BB196*0.65)</f>
        <v>6550.4</v>
      </c>
      <c r="BC193" s="145">
        <f>BB193</f>
        <v>6550.4</v>
      </c>
      <c r="BD193" s="1263">
        <f>BD192+(BD196*0.65)</f>
        <v>4853.95</v>
      </c>
      <c r="BE193" s="156">
        <f>BE192+(BE196*0.65)</f>
        <v>4818.95</v>
      </c>
      <c r="BF193" s="156">
        <f>BF192+(BF196*0.65)</f>
        <v>4895.95</v>
      </c>
      <c r="BG193" s="1264">
        <f>BG192+(BG196*0.65)</f>
        <v>4987.95</v>
      </c>
      <c r="BH193" s="145">
        <f>BG193</f>
        <v>4987.95</v>
      </c>
      <c r="BI193" s="1263">
        <f>BI192+(BI196*0.65)</f>
        <v>3853.65</v>
      </c>
      <c r="BJ193" s="156">
        <f>BJ192+(BJ196*0.65)</f>
        <v>3168.65</v>
      </c>
      <c r="BK193" s="156">
        <f>BK192+(BK196*0.65)</f>
        <v>3255.65</v>
      </c>
      <c r="BL193" s="1264">
        <f>BL192+(BL196*0.65)</f>
        <v>3158.65</v>
      </c>
      <c r="BM193" s="145">
        <f>BL193</f>
        <v>3158.65</v>
      </c>
      <c r="BN193" s="1263">
        <f>BN192+(BN196*0.65)</f>
        <v>2921.75</v>
      </c>
      <c r="BO193" s="156">
        <f>BO192+(BO196*0.65)</f>
        <v>2961.75</v>
      </c>
      <c r="BP193" s="156">
        <f>BP192+(BP196*0.65)</f>
        <v>3009.75</v>
      </c>
      <c r="BQ193" s="1264">
        <f>BQ192+(BQ196*0.65)</f>
        <v>3091.75</v>
      </c>
      <c r="BR193" s="145">
        <f>BQ193</f>
        <v>3091.75</v>
      </c>
      <c r="BS193" s="1263">
        <f>BS192+(BS196*0.65)</f>
        <v>3183</v>
      </c>
      <c r="BT193" s="156">
        <f>BT192+(BT196*0.65)</f>
        <v>3087</v>
      </c>
      <c r="BU193" s="156">
        <f>BU192+(BU196*0.65)</f>
        <v>2402</v>
      </c>
      <c r="BV193" s="1264">
        <f>BV192+(BV196*0.65)</f>
        <v>2283</v>
      </c>
      <c r="BW193" s="145">
        <f>BV193</f>
        <v>2283</v>
      </c>
      <c r="BX193" s="1263">
        <f>BX192+(BX196*0.65)</f>
        <v>2169.8000000000002</v>
      </c>
      <c r="BY193" s="156">
        <f>BY192+(BY196*0.65)</f>
        <v>1867.8</v>
      </c>
      <c r="BZ193" s="156">
        <f>BZ192+(BZ196*0.65)</f>
        <v>1667.8</v>
      </c>
      <c r="CA193" s="1264">
        <f>CA192+(CA196*0.65)</f>
        <v>1612.8</v>
      </c>
      <c r="CB193" s="145">
        <f>CA193</f>
        <v>1612.8</v>
      </c>
      <c r="CC193" s="1263">
        <f>CC192+(CC196*0.65)</f>
        <v>1794.9680205819639</v>
      </c>
      <c r="CD193" s="156">
        <f>CD192+(CD196*0.65)</f>
        <v>1640.5097117938462</v>
      </c>
      <c r="CE193" s="156">
        <f>CE192+(CE196*0.65)</f>
        <v>1498.6260485312828</v>
      </c>
      <c r="CF193" s="1264">
        <f>CF192+(CF196*0.65)</f>
        <v>1279.151715072067</v>
      </c>
      <c r="CG193" s="145">
        <f>CF193</f>
        <v>1279.151715072067</v>
      </c>
      <c r="CH193" s="1263">
        <f>CH192+(CH196*0.65)</f>
        <v>575.42272903279445</v>
      </c>
      <c r="CI193" s="156">
        <f>CI192+(CI196*0.65)</f>
        <v>943.03745378904523</v>
      </c>
      <c r="CJ193" s="156">
        <f>CJ192+(CJ196*0.65)</f>
        <v>123.74695061538705</v>
      </c>
      <c r="CK193" s="1264">
        <f>CK192+(CK196*0.65)</f>
        <v>560.01049085789782</v>
      </c>
      <c r="CL193" s="145">
        <f>CK193</f>
        <v>560.01049085789782</v>
      </c>
      <c r="CM193" s="1263">
        <f>CM192+(CM196*0.65)</f>
        <v>-116.5863531618711</v>
      </c>
      <c r="CN193" s="156">
        <f>CN192+(CN196*0.65)</f>
        <v>614.24027315809781</v>
      </c>
      <c r="CO193" s="156">
        <f>CO192+(CO196*0.65)</f>
        <v>-410.37187960667507</v>
      </c>
      <c r="CP193" s="1264">
        <f>CP192+(CP196*0.65)</f>
        <v>225.96559896006011</v>
      </c>
      <c r="CQ193" s="1135">
        <f>CP193</f>
        <v>225.96559896006011</v>
      </c>
      <c r="CR193" s="75"/>
    </row>
    <row r="194" spans="1:96" ht="13.5" customHeight="1">
      <c r="A194" s="75"/>
      <c r="B194" s="81" t="s">
        <v>829</v>
      </c>
      <c r="C194" s="81"/>
      <c r="D194" s="75"/>
      <c r="E194" s="75"/>
      <c r="F194" s="145">
        <f t="shared" ref="F194:AK194" si="285">F128+F149-F152-F121</f>
        <v>937</v>
      </c>
      <c r="G194" s="145">
        <f t="shared" si="285"/>
        <v>1336</v>
      </c>
      <c r="H194" s="145">
        <f t="shared" si="285"/>
        <v>1081</v>
      </c>
      <c r="I194" s="145">
        <f t="shared" si="285"/>
        <v>704</v>
      </c>
      <c r="J194" s="145">
        <f t="shared" si="285"/>
        <v>704</v>
      </c>
      <c r="K194" s="145">
        <f t="shared" si="285"/>
        <v>811</v>
      </c>
      <c r="L194" s="145">
        <f t="shared" si="285"/>
        <v>1036</v>
      </c>
      <c r="M194" s="145">
        <f t="shared" si="285"/>
        <v>858</v>
      </c>
      <c r="N194" s="145">
        <f t="shared" si="285"/>
        <v>787</v>
      </c>
      <c r="O194" s="145">
        <f t="shared" si="285"/>
        <v>787</v>
      </c>
      <c r="P194" s="145">
        <f t="shared" si="285"/>
        <v>1197</v>
      </c>
      <c r="Q194" s="145">
        <f t="shared" si="285"/>
        <v>1299</v>
      </c>
      <c r="R194" s="145">
        <f t="shared" si="285"/>
        <v>1141</v>
      </c>
      <c r="S194" s="145">
        <f t="shared" si="285"/>
        <v>852</v>
      </c>
      <c r="T194" s="145">
        <f t="shared" si="285"/>
        <v>852</v>
      </c>
      <c r="U194" s="145">
        <f t="shared" si="285"/>
        <v>1013</v>
      </c>
      <c r="V194" s="145">
        <f t="shared" si="285"/>
        <v>1193</v>
      </c>
      <c r="W194" s="145">
        <f t="shared" si="285"/>
        <v>1133</v>
      </c>
      <c r="X194" s="145">
        <f t="shared" si="285"/>
        <v>1154</v>
      </c>
      <c r="Y194" s="145">
        <f t="shared" si="285"/>
        <v>1154</v>
      </c>
      <c r="Z194" s="145">
        <f t="shared" si="285"/>
        <v>1233</v>
      </c>
      <c r="AA194" s="145">
        <f t="shared" si="285"/>
        <v>1605</v>
      </c>
      <c r="AB194" s="145">
        <f t="shared" si="285"/>
        <v>1386</v>
      </c>
      <c r="AC194" s="145">
        <f t="shared" si="285"/>
        <v>1665</v>
      </c>
      <c r="AD194" s="145">
        <f t="shared" si="285"/>
        <v>1665</v>
      </c>
      <c r="AE194" s="145">
        <f t="shared" si="285"/>
        <v>1656</v>
      </c>
      <c r="AF194" s="145">
        <f t="shared" si="285"/>
        <v>2215</v>
      </c>
      <c r="AG194" s="145">
        <f t="shared" si="285"/>
        <v>2555</v>
      </c>
      <c r="AH194" s="145">
        <f t="shared" si="285"/>
        <v>2311</v>
      </c>
      <c r="AI194" s="145">
        <f t="shared" si="285"/>
        <v>2311</v>
      </c>
      <c r="AJ194" s="1134">
        <f t="shared" si="285"/>
        <v>1604</v>
      </c>
      <c r="AK194" s="145">
        <f t="shared" si="285"/>
        <v>1377</v>
      </c>
      <c r="AL194" s="145">
        <f t="shared" ref="AL194:BQ194" si="286">AL128+AL149-AL152-AL121</f>
        <v>1266</v>
      </c>
      <c r="AM194" s="1135">
        <f t="shared" si="286"/>
        <v>1342</v>
      </c>
      <c r="AN194" s="145">
        <f t="shared" si="286"/>
        <v>1342</v>
      </c>
      <c r="AO194" s="1134">
        <f t="shared" si="286"/>
        <v>1451</v>
      </c>
      <c r="AP194" s="145">
        <f t="shared" si="286"/>
        <v>1991</v>
      </c>
      <c r="AQ194" s="145">
        <f t="shared" si="286"/>
        <v>2169</v>
      </c>
      <c r="AR194" s="1135">
        <f t="shared" si="286"/>
        <v>1782</v>
      </c>
      <c r="AS194" s="145">
        <f t="shared" si="286"/>
        <v>1782</v>
      </c>
      <c r="AT194" s="1134">
        <f t="shared" si="286"/>
        <v>1810</v>
      </c>
      <c r="AU194" s="145">
        <f t="shared" si="286"/>
        <v>2246</v>
      </c>
      <c r="AV194" s="145">
        <f t="shared" si="286"/>
        <v>2168</v>
      </c>
      <c r="AW194" s="1135">
        <f t="shared" si="286"/>
        <v>1737</v>
      </c>
      <c r="AX194" s="145">
        <f t="shared" si="286"/>
        <v>1737</v>
      </c>
      <c r="AY194" s="1134">
        <f t="shared" si="286"/>
        <v>1802</v>
      </c>
      <c r="AZ194" s="145">
        <f t="shared" si="286"/>
        <v>1755</v>
      </c>
      <c r="BA194" s="145">
        <f t="shared" si="286"/>
        <v>1844</v>
      </c>
      <c r="BB194" s="1135">
        <f t="shared" si="286"/>
        <v>1816</v>
      </c>
      <c r="BC194" s="145">
        <f t="shared" si="286"/>
        <v>1816</v>
      </c>
      <c r="BD194" s="1134">
        <f t="shared" si="286"/>
        <v>1736</v>
      </c>
      <c r="BE194" s="145">
        <f t="shared" si="286"/>
        <v>1703</v>
      </c>
      <c r="BF194" s="145">
        <f t="shared" si="286"/>
        <v>1693</v>
      </c>
      <c r="BG194" s="1135">
        <f t="shared" si="286"/>
        <v>2552</v>
      </c>
      <c r="BH194" s="145">
        <f t="shared" si="286"/>
        <v>2552</v>
      </c>
      <c r="BI194" s="1134">
        <f t="shared" si="286"/>
        <v>2165</v>
      </c>
      <c r="BJ194" s="145">
        <f t="shared" si="286"/>
        <v>1555</v>
      </c>
      <c r="BK194" s="145">
        <f t="shared" si="286"/>
        <v>1630</v>
      </c>
      <c r="BL194" s="1135">
        <f t="shared" si="286"/>
        <v>1886</v>
      </c>
      <c r="BM194" s="145">
        <f t="shared" si="286"/>
        <v>1886</v>
      </c>
      <c r="BN194" s="1134">
        <f t="shared" si="286"/>
        <v>1545</v>
      </c>
      <c r="BO194" s="145">
        <f t="shared" si="286"/>
        <v>1346</v>
      </c>
      <c r="BP194" s="145">
        <f t="shared" si="286"/>
        <v>1249</v>
      </c>
      <c r="BQ194" s="1135">
        <f t="shared" si="286"/>
        <v>1059</v>
      </c>
      <c r="BR194" s="145">
        <f t="shared" ref="BR194:CQ194" si="287">BR128+BR149-BR152-BR121</f>
        <v>1059</v>
      </c>
      <c r="BS194" s="1134">
        <f t="shared" si="287"/>
        <v>830</v>
      </c>
      <c r="BT194" s="145">
        <f t="shared" si="287"/>
        <v>716</v>
      </c>
      <c r="BU194" s="145">
        <f t="shared" si="287"/>
        <v>661</v>
      </c>
      <c r="BV194" s="1135">
        <f t="shared" si="287"/>
        <v>560</v>
      </c>
      <c r="BW194" s="145">
        <f t="shared" si="287"/>
        <v>560</v>
      </c>
      <c r="BX194" s="1134">
        <f t="shared" si="287"/>
        <v>715</v>
      </c>
      <c r="BY194" s="145">
        <f t="shared" si="287"/>
        <v>625</v>
      </c>
      <c r="BZ194" s="145">
        <f t="shared" si="287"/>
        <v>658</v>
      </c>
      <c r="CA194" s="1135">
        <f t="shared" si="287"/>
        <v>484</v>
      </c>
      <c r="CB194" s="145">
        <f t="shared" si="287"/>
        <v>484</v>
      </c>
      <c r="CC194" s="1134">
        <f t="shared" si="287"/>
        <v>724.15559431357792</v>
      </c>
      <c r="CD194" s="145">
        <f t="shared" si="287"/>
        <v>747.37437317359672</v>
      </c>
      <c r="CE194" s="145">
        <f t="shared" si="287"/>
        <v>864.25262884717722</v>
      </c>
      <c r="CF194" s="1135">
        <f t="shared" si="287"/>
        <v>827.95694527039132</v>
      </c>
      <c r="CG194" s="145">
        <f t="shared" si="287"/>
        <v>827.95694527039132</v>
      </c>
      <c r="CH194" s="1134">
        <f t="shared" si="287"/>
        <v>472.36505573978911</v>
      </c>
      <c r="CI194" s="145">
        <f t="shared" si="287"/>
        <v>1032.0299021978412</v>
      </c>
      <c r="CJ194" s="145">
        <f t="shared" si="287"/>
        <v>381.60205357676386</v>
      </c>
      <c r="CK194" s="1135">
        <f t="shared" si="287"/>
        <v>962.54252682532706</v>
      </c>
      <c r="CL194" s="145">
        <f t="shared" si="287"/>
        <v>962.54252682532706</v>
      </c>
      <c r="CM194" s="1134">
        <f t="shared" si="287"/>
        <v>278.18228600258453</v>
      </c>
      <c r="CN194" s="145">
        <f t="shared" si="287"/>
        <v>1120.8097183553928</v>
      </c>
      <c r="CO194" s="145">
        <f t="shared" si="287"/>
        <v>152.76140275687612</v>
      </c>
      <c r="CP194" s="1135">
        <f t="shared" si="287"/>
        <v>828.04572333162014</v>
      </c>
      <c r="CQ194" s="1135">
        <f t="shared" si="287"/>
        <v>828.04572333162014</v>
      </c>
      <c r="CR194" s="75"/>
    </row>
    <row r="195" spans="1:96" ht="13.5" customHeight="1">
      <c r="A195" s="75"/>
      <c r="B195" s="115"/>
      <c r="C195" s="81" t="s">
        <v>830</v>
      </c>
      <c r="D195" s="75"/>
      <c r="E195" s="75"/>
      <c r="F195" s="154">
        <f>F194/(F14*4)</f>
        <v>0.12341938883034774</v>
      </c>
      <c r="G195" s="154">
        <f>G194/(G14*4)</f>
        <v>0.14452617914322805</v>
      </c>
      <c r="H195" s="154">
        <f>H194/(H14*4)</f>
        <v>0.10784118116520351</v>
      </c>
      <c r="I195" s="154">
        <f>I194/(I14*4)</f>
        <v>6.7355530042097211E-2</v>
      </c>
      <c r="J195" s="154">
        <f>J194/J14</f>
        <v>7.5471698113207544E-2</v>
      </c>
      <c r="K195" s="154">
        <f>K194/(K14*4)</f>
        <v>6.976944253269099E-2</v>
      </c>
      <c r="L195" s="154">
        <f>L194/(L14*4)</f>
        <v>7.5116009280742455E-2</v>
      </c>
      <c r="M195" s="154">
        <f>M194/(M14*4)</f>
        <v>5.7863501483679525E-2</v>
      </c>
      <c r="N195" s="154">
        <f>N194/(N14*4)</f>
        <v>5.0345445240532243E-2</v>
      </c>
      <c r="O195" s="154">
        <f>O194/O14</f>
        <v>5.6339036437826617E-2</v>
      </c>
      <c r="P195" s="154">
        <f>P194/(P14*4)</f>
        <v>7.9566604626429144E-2</v>
      </c>
      <c r="Q195" s="154">
        <f>Q194/(Q14*4)</f>
        <v>9.0661641541038521E-2</v>
      </c>
      <c r="R195" s="154">
        <f>R194/(R14*4)</f>
        <v>8.9140625000000001E-2</v>
      </c>
      <c r="S195" s="154">
        <f>S194/(S14*4)</f>
        <v>6.0926773455377572E-2</v>
      </c>
      <c r="T195" s="154">
        <f>T194/T14</f>
        <v>6.0688083196808892E-2</v>
      </c>
      <c r="U195" s="154">
        <f>U194/(U14*4)</f>
        <v>6.7968330649490066E-2</v>
      </c>
      <c r="V195" s="154">
        <f>V194/(V14*4)</f>
        <v>7.2619917214511803E-2</v>
      </c>
      <c r="W195" s="154">
        <f>W194/(W14*4)</f>
        <v>6.8984413054067217E-2</v>
      </c>
      <c r="X195" s="154">
        <f>X194/(X14*4)</f>
        <v>7.6403601694915252E-2</v>
      </c>
      <c r="Y195" s="154">
        <f>Y194/Y14</f>
        <v>7.3433025771555832E-2</v>
      </c>
      <c r="Z195" s="154">
        <f>Z194/(Z14*4)</f>
        <v>8.206869009584665E-2</v>
      </c>
      <c r="AA195" s="154">
        <f>AA194/(AA14*4)</f>
        <v>9.4903027436140014E-2</v>
      </c>
      <c r="AB195" s="154">
        <f>AB194/(AB14*4)</f>
        <v>7.9581993569131829E-2</v>
      </c>
      <c r="AC195" s="154">
        <f>AC194/(AC14*4)</f>
        <v>9.1786108048511575E-2</v>
      </c>
      <c r="AD195" s="154">
        <f>AD194/AD14</f>
        <v>9.8678361879926513E-2</v>
      </c>
      <c r="AE195" s="154">
        <f>AE194/(AE14*4)</f>
        <v>7.9676674364896075E-2</v>
      </c>
      <c r="AF195" s="154">
        <f>AF194/(AF14*4)</f>
        <v>8.2110023724792411E-2</v>
      </c>
      <c r="AG195" s="154">
        <f>AG194/(AG14*4)</f>
        <v>8.7356400437636761E-2</v>
      </c>
      <c r="AH195" s="154">
        <f>AH194/(AH14*4)</f>
        <v>0.12656078860898137</v>
      </c>
      <c r="AI195" s="154">
        <f>AI194/AI14</f>
        <v>9.7031532098920945E-2</v>
      </c>
      <c r="AJ195" s="1163">
        <f>AJ194/(AJ14*4)</f>
        <v>0.14581818181818182</v>
      </c>
      <c r="AK195" s="154">
        <f>AK194/(AK14*4)</f>
        <v>0.16184767277856135</v>
      </c>
      <c r="AL195" s="154">
        <f>AL194/(AL14*4)</f>
        <v>0.11235356762513313</v>
      </c>
      <c r="AM195" s="1164">
        <f>AM194/(AM14*4)</f>
        <v>0.10002981514609421</v>
      </c>
      <c r="AN195" s="154">
        <f>AN194/AN14</f>
        <v>0.12146994931209269</v>
      </c>
      <c r="AO195" s="1163">
        <f>AO194/(AO14*4)</f>
        <v>9.3108316221765908E-2</v>
      </c>
      <c r="AP195" s="154">
        <f>AP194/(AP14*4)</f>
        <v>0.10633411664174322</v>
      </c>
      <c r="AQ195" s="154">
        <f>AQ194/(AQ14*4)</f>
        <v>0.12058038692461641</v>
      </c>
      <c r="AR195" s="1164">
        <f>AR194/(AR14*4)</f>
        <v>0.1036046511627907</v>
      </c>
      <c r="AS195" s="154">
        <f>AS194/AS14</f>
        <v>0.10256705421894785</v>
      </c>
      <c r="AT195" s="1163">
        <f>AT194/(AT14*4)</f>
        <v>9.3030427631578941E-2</v>
      </c>
      <c r="AU195" s="154">
        <f>AU194/(AU14*4)</f>
        <v>0.10966796875</v>
      </c>
      <c r="AV195" s="154">
        <f>AV194/(AV14*4)</f>
        <v>0.10667191497736667</v>
      </c>
      <c r="AW195" s="1164">
        <f>AW194/(AW14*4)</f>
        <v>9.0112056443245492E-2</v>
      </c>
      <c r="AX195" s="154">
        <f>AX194/AX14</f>
        <v>8.7356668678334345E-2</v>
      </c>
      <c r="AY195" s="1163">
        <f>AY194/(AY14*4)</f>
        <v>8.7103634957463261E-2</v>
      </c>
      <c r="AZ195" s="154">
        <f>AZ194/(AZ14*4)</f>
        <v>8.7452660952760608E-2</v>
      </c>
      <c r="BA195" s="154">
        <f>BA194/(BA14*4)</f>
        <v>9.9097162510748071E-2</v>
      </c>
      <c r="BB195" s="1164">
        <f>BB194/(BB14*4)</f>
        <v>0.10118119010474705</v>
      </c>
      <c r="BC195" s="154">
        <f>BC194/BC14</f>
        <v>9.39569536423841E-2</v>
      </c>
      <c r="BD195" s="1163">
        <f>BD194/(BD14*4)</f>
        <v>9.4450489662676829E-2</v>
      </c>
      <c r="BE195" s="154">
        <f>BE194/(BE14*4)</f>
        <v>9.6127794084443441E-2</v>
      </c>
      <c r="BF195" s="154">
        <f>BF194/(BF14*4)</f>
        <v>0.10245703219559428</v>
      </c>
      <c r="BG195" s="1164">
        <f>BG194/(BG14*4)</f>
        <v>0.14944951979386273</v>
      </c>
      <c r="BH195" s="154">
        <f>BH194/BH14</f>
        <v>0.14646464646464646</v>
      </c>
      <c r="BI195" s="1163">
        <f>BI194/(BI14*4)</f>
        <v>0.12168390287769784</v>
      </c>
      <c r="BJ195" s="154">
        <f>BJ194/(BJ14*4)</f>
        <v>8.8352272727272724E-2</v>
      </c>
      <c r="BK195" s="154">
        <f>BK194/(BK14*4)</f>
        <v>8.8838020492696748E-2</v>
      </c>
      <c r="BL195" s="1164">
        <f>BL194/(BL14*4)</f>
        <v>0.11579076620825147</v>
      </c>
      <c r="BM195" s="154">
        <f>BM194/BM14</f>
        <v>0.10772833723653395</v>
      </c>
      <c r="BN195" s="1163">
        <f>BN194/(BN14*4)</f>
        <v>0.11804706601466992</v>
      </c>
      <c r="BO195" s="154">
        <f>BO194/(BO14*4)</f>
        <v>0.11603448275862069</v>
      </c>
      <c r="BP195" s="154">
        <f>BP194/(BP14*4)</f>
        <v>0.11033568904593639</v>
      </c>
      <c r="BQ195" s="1164">
        <f>BQ194/(BQ14*4)</f>
        <v>0.10293545878693623</v>
      </c>
      <c r="BR195" s="154">
        <f>BR194/BR14</f>
        <v>9.1498185588387765E-2</v>
      </c>
      <c r="BS195" s="1345">
        <f>BS194/(BS14*4)</f>
        <v>8.8637334472447676E-2</v>
      </c>
      <c r="BT195" s="154">
        <f>BT194/(BT14*4)</f>
        <v>6.9272445820433431E-2</v>
      </c>
      <c r="BU195" s="154">
        <f>BU194/(BU14*4)</f>
        <v>6.1522710349962768E-2</v>
      </c>
      <c r="BV195" s="1164">
        <f>BV194/(BV14*4)</f>
        <v>5.2830188679245285E-2</v>
      </c>
      <c r="BW195" s="154">
        <f>BW194/BW14</f>
        <v>5.4575577429100477E-2</v>
      </c>
      <c r="BX195" s="1163">
        <f>BX194/(BX14*4)</f>
        <v>6.5596330275229361E-2</v>
      </c>
      <c r="BY195" s="154">
        <f>BY194/(BY14*4)</f>
        <v>4.9697837150127225E-2</v>
      </c>
      <c r="BZ195" s="154">
        <f>BZ194/(BZ14*4)</f>
        <v>5.0646551724137928E-2</v>
      </c>
      <c r="CA195" s="1164">
        <f>CA194/(CA14*4)</f>
        <v>3.8621129907436963E-2</v>
      </c>
      <c r="CB195" s="154">
        <f>CB194/CB14</f>
        <v>3.9510204081632652E-2</v>
      </c>
      <c r="CC195" s="1163">
        <f>CC194/(CC14*4)</f>
        <v>5.7738064435945473E-2</v>
      </c>
      <c r="CD195" s="154">
        <f>CD194/(CD14*4)</f>
        <v>5.3290189899697638E-2</v>
      </c>
      <c r="CE195" s="154">
        <f>CE194/(CE14*4)</f>
        <v>5.7973436503417158E-2</v>
      </c>
      <c r="CF195" s="1164">
        <f>CF194/(CF14*4)</f>
        <v>5.552594978648414E-2</v>
      </c>
      <c r="CG195" s="154">
        <f>CG194/CG14</f>
        <v>5.8735343064148696E-2</v>
      </c>
      <c r="CH195" s="1163">
        <f>CH194/(CH14*4)</f>
        <v>3.2602007708453999E-2</v>
      </c>
      <c r="CI195" s="154">
        <f>CI194/(CI14*4)</f>
        <v>6.6271140889188437E-2</v>
      </c>
      <c r="CJ195" s="154">
        <f>CJ194/(CJ14*4)</f>
        <v>2.5115869583605399E-2</v>
      </c>
      <c r="CK195" s="1164">
        <f>CK194/(CK14*4)</f>
        <v>6.4493360083250517E-2</v>
      </c>
      <c r="CL195" s="154">
        <f>CL194/CL14</f>
        <v>6.3977555339375561E-2</v>
      </c>
      <c r="CM195" s="1163">
        <f>CM194/(CM14*4)</f>
        <v>1.9989686248649493E-2</v>
      </c>
      <c r="CN195" s="154">
        <f>CN194/(CN14*4)</f>
        <v>7.5450760336243608E-2</v>
      </c>
      <c r="CO195" s="154">
        <f>CO194/(CO14*4)</f>
        <v>1.0663820743209939E-2</v>
      </c>
      <c r="CP195" s="1164">
        <f>CP194/(CP14*4)</f>
        <v>5.8672021787377661E-2</v>
      </c>
      <c r="CQ195" s="1164">
        <f>CQ194/CQ14</f>
        <v>5.7895708460320369E-2</v>
      </c>
      <c r="CR195" s="75"/>
    </row>
    <row r="196" spans="1:96" ht="13.5" customHeight="1">
      <c r="A196" s="75"/>
      <c r="B196" s="75" t="s">
        <v>149</v>
      </c>
      <c r="C196" s="81"/>
      <c r="D196" s="75"/>
      <c r="E196" s="75"/>
      <c r="F196" s="190"/>
      <c r="G196" s="190"/>
      <c r="H196" s="146"/>
      <c r="I196" s="146"/>
      <c r="J196" s="190"/>
      <c r="K196" s="190"/>
      <c r="L196" s="190"/>
      <c r="M196" s="190"/>
      <c r="N196" s="190"/>
      <c r="O196" s="190"/>
      <c r="P196" s="190"/>
      <c r="Q196" s="190"/>
      <c r="R196" s="190"/>
      <c r="S196" s="190"/>
      <c r="T196" s="190"/>
      <c r="U196" s="142"/>
      <c r="V196" s="142"/>
      <c r="W196" s="142"/>
      <c r="X196" s="190"/>
      <c r="Y196" s="190"/>
      <c r="Z196" s="142"/>
      <c r="AA196" s="142"/>
      <c r="AB196" s="142"/>
      <c r="AC196" s="142"/>
      <c r="AD196" s="190"/>
      <c r="AE196" s="142"/>
      <c r="AF196" s="142"/>
      <c r="AG196" s="142"/>
      <c r="AH196" s="142"/>
      <c r="AI196" s="190"/>
      <c r="AJ196" s="1132"/>
      <c r="AK196" s="85"/>
      <c r="AL196" s="85"/>
      <c r="AM196" s="1133"/>
      <c r="AN196" s="190"/>
      <c r="AO196" s="1263">
        <f>AP196</f>
        <v>4908</v>
      </c>
      <c r="AP196" s="156">
        <f>AQ196</f>
        <v>4908</v>
      </c>
      <c r="AQ196" s="156">
        <f>AR196</f>
        <v>4908</v>
      </c>
      <c r="AR196" s="1264">
        <f>AS196</f>
        <v>4908</v>
      </c>
      <c r="AS196" s="156">
        <f>Pension!I44+OPEB!I44</f>
        <v>4908</v>
      </c>
      <c r="AT196" s="1263">
        <f>AU196</f>
        <v>5130</v>
      </c>
      <c r="AU196" s="156">
        <f>AV196</f>
        <v>5130</v>
      </c>
      <c r="AV196" s="156">
        <f>AW196</f>
        <v>5130</v>
      </c>
      <c r="AW196" s="1264">
        <f>AX196</f>
        <v>5130</v>
      </c>
      <c r="AX196" s="156">
        <f>Pension!J44+OPEB!J44</f>
        <v>5130</v>
      </c>
      <c r="AY196" s="1263">
        <f>AZ196</f>
        <v>4896</v>
      </c>
      <c r="AZ196" s="156">
        <f>BA196</f>
        <v>4896</v>
      </c>
      <c r="BA196" s="156">
        <f>BB196</f>
        <v>4896</v>
      </c>
      <c r="BB196" s="1264">
        <f>BC196</f>
        <v>4896</v>
      </c>
      <c r="BC196" s="156">
        <f>Pension!K44+OPEB!K44</f>
        <v>4896</v>
      </c>
      <c r="BD196" s="1263">
        <f>BE196</f>
        <v>2543</v>
      </c>
      <c r="BE196" s="156">
        <f>BF196</f>
        <v>2543</v>
      </c>
      <c r="BF196" s="156">
        <f>BG196</f>
        <v>2543</v>
      </c>
      <c r="BG196" s="1264">
        <f>BH196</f>
        <v>2543</v>
      </c>
      <c r="BH196" s="156">
        <f>Pension!L44+OPEB!L44</f>
        <v>2543</v>
      </c>
      <c r="BI196" s="1263">
        <f>BJ196</f>
        <v>1561</v>
      </c>
      <c r="BJ196" s="156">
        <f>BK196</f>
        <v>1561</v>
      </c>
      <c r="BK196" s="156">
        <f>BL196</f>
        <v>1561</v>
      </c>
      <c r="BL196" s="1264">
        <f>BM196</f>
        <v>1561</v>
      </c>
      <c r="BM196" s="156">
        <f>Pension!M44+OPEB!M44</f>
        <v>1561</v>
      </c>
      <c r="BN196" s="1263">
        <f>BO196</f>
        <v>1055</v>
      </c>
      <c r="BO196" s="156">
        <f>BP196</f>
        <v>1055</v>
      </c>
      <c r="BP196" s="156">
        <f>BQ196</f>
        <v>1055</v>
      </c>
      <c r="BQ196" s="1264">
        <f>BR196</f>
        <v>1055</v>
      </c>
      <c r="BR196" s="156">
        <f>Pension!N44+OPEB!N44</f>
        <v>1055</v>
      </c>
      <c r="BS196" s="1263">
        <f>BT196</f>
        <v>1180</v>
      </c>
      <c r="BT196" s="156">
        <f>BU196</f>
        <v>1180</v>
      </c>
      <c r="BU196" s="156">
        <f>BV196</f>
        <v>1180</v>
      </c>
      <c r="BV196" s="1264">
        <f>BW196</f>
        <v>1180</v>
      </c>
      <c r="BW196" s="156">
        <f>Pension!O44+OPEB!O44</f>
        <v>1180</v>
      </c>
      <c r="BX196" s="1263">
        <f>BY196</f>
        <v>712</v>
      </c>
      <c r="BY196" s="156">
        <f>BZ196</f>
        <v>712</v>
      </c>
      <c r="BZ196" s="156">
        <f>CA196</f>
        <v>712</v>
      </c>
      <c r="CA196" s="1264">
        <f>CB196</f>
        <v>712</v>
      </c>
      <c r="CB196" s="156">
        <f>Pension!P44+OPEB!P44</f>
        <v>712</v>
      </c>
      <c r="CC196" s="1263">
        <f>CD196</f>
        <v>578.5954999999999</v>
      </c>
      <c r="CD196" s="156">
        <f>CE196</f>
        <v>578.5954999999999</v>
      </c>
      <c r="CE196" s="156">
        <f>CF196</f>
        <v>578.5954999999999</v>
      </c>
      <c r="CF196" s="1264">
        <f>CG196</f>
        <v>578.5954999999999</v>
      </c>
      <c r="CG196" s="156">
        <f>Pension!Q44+OPEB!Q44</f>
        <v>578.5954999999999</v>
      </c>
      <c r="CH196" s="1263">
        <f>CI196</f>
        <v>0</v>
      </c>
      <c r="CI196" s="156">
        <f>CJ196</f>
        <v>0</v>
      </c>
      <c r="CJ196" s="156">
        <f>CK196</f>
        <v>0</v>
      </c>
      <c r="CK196" s="1264">
        <f>CL196</f>
        <v>0</v>
      </c>
      <c r="CL196" s="156">
        <f>Pension!W44+OPEB!W44</f>
        <v>0</v>
      </c>
      <c r="CM196" s="1263">
        <f>CN196</f>
        <v>0</v>
      </c>
      <c r="CN196" s="156">
        <f>CO196</f>
        <v>0</v>
      </c>
      <c r="CO196" s="156">
        <f>CP196</f>
        <v>0</v>
      </c>
      <c r="CP196" s="1264">
        <f>CQ196</f>
        <v>0</v>
      </c>
      <c r="CQ196" s="1264">
        <f>Pension!AC44+OPEB!AC44</f>
        <v>0</v>
      </c>
      <c r="CR196" s="75"/>
    </row>
    <row r="197" spans="1:96" ht="13.5" customHeight="1">
      <c r="A197" s="93" t="s">
        <v>831</v>
      </c>
      <c r="B197" s="115"/>
      <c r="C197" s="81"/>
      <c r="D197" s="75"/>
      <c r="E197" s="75"/>
      <c r="F197" s="190"/>
      <c r="G197" s="190"/>
      <c r="H197" s="190"/>
      <c r="I197" s="190"/>
      <c r="J197" s="190"/>
      <c r="K197" s="190"/>
      <c r="L197" s="190"/>
      <c r="M197" s="190"/>
      <c r="N197" s="190"/>
      <c r="O197" s="190"/>
      <c r="P197" s="190"/>
      <c r="Q197" s="190"/>
      <c r="R197" s="190"/>
      <c r="S197" s="190"/>
      <c r="T197" s="190"/>
      <c r="U197" s="142"/>
      <c r="V197" s="142"/>
      <c r="W197" s="142"/>
      <c r="X197" s="190"/>
      <c r="Y197" s="190"/>
      <c r="Z197" s="142"/>
      <c r="AA197" s="142"/>
      <c r="AB197" s="142"/>
      <c r="AC197" s="142"/>
      <c r="AD197" s="190"/>
      <c r="AE197" s="142"/>
      <c r="AF197" s="142"/>
      <c r="AG197" s="142"/>
      <c r="AH197" s="142"/>
      <c r="AI197" s="190"/>
      <c r="AJ197" s="1132"/>
      <c r="AK197" s="85"/>
      <c r="AL197" s="85"/>
      <c r="AM197" s="1133"/>
      <c r="AN197" s="190"/>
      <c r="AO197" s="1132"/>
      <c r="AP197" s="85"/>
      <c r="AQ197" s="85"/>
      <c r="AR197" s="1133"/>
      <c r="AS197" s="190"/>
      <c r="AT197" s="1132"/>
      <c r="AU197" s="85"/>
      <c r="AV197" s="85"/>
      <c r="AW197" s="1133"/>
      <c r="AX197" s="190"/>
      <c r="AY197" s="1132"/>
      <c r="AZ197" s="85"/>
      <c r="BA197" s="85"/>
      <c r="BB197" s="1133"/>
      <c r="BC197" s="190"/>
      <c r="BD197" s="1132"/>
      <c r="BE197" s="85"/>
      <c r="BF197" s="85"/>
      <c r="BG197" s="1133"/>
      <c r="BH197" s="190"/>
      <c r="BI197" s="1132"/>
      <c r="BJ197" s="85"/>
      <c r="BK197" s="85"/>
      <c r="BL197" s="1133"/>
      <c r="BM197" s="190"/>
      <c r="BN197" s="1132"/>
      <c r="BO197" s="85"/>
      <c r="BP197" s="85"/>
      <c r="BQ197" s="1133"/>
      <c r="BR197" s="190"/>
      <c r="BS197" s="1132"/>
      <c r="BT197" s="85"/>
      <c r="BU197" s="85"/>
      <c r="BV197" s="1133"/>
      <c r="BW197" s="190"/>
      <c r="BX197" s="1132"/>
      <c r="BY197" s="85"/>
      <c r="BZ197" s="85"/>
      <c r="CA197" s="1133"/>
      <c r="CB197" s="190"/>
      <c r="CC197" s="1132"/>
      <c r="CD197" s="85"/>
      <c r="CE197" s="85"/>
      <c r="CF197" s="1133"/>
      <c r="CG197" s="190"/>
      <c r="CH197" s="1132"/>
      <c r="CI197" s="85"/>
      <c r="CJ197" s="85"/>
      <c r="CK197" s="1133"/>
      <c r="CL197" s="190"/>
      <c r="CM197" s="1132"/>
      <c r="CN197" s="85"/>
      <c r="CO197" s="85"/>
      <c r="CP197" s="1133"/>
      <c r="CQ197" s="1165"/>
      <c r="CR197" s="75"/>
    </row>
    <row r="198" spans="1:96" ht="13.5" customHeight="1">
      <c r="A198" s="93"/>
      <c r="B198" s="232" t="s">
        <v>832</v>
      </c>
      <c r="C198" s="81"/>
      <c r="D198" s="75"/>
      <c r="E198" s="75"/>
      <c r="F198" s="154">
        <f t="shared" ref="F198:AK198" si="288">(F192)/(F192+F172)</f>
        <v>0.32372572815533979</v>
      </c>
      <c r="G198" s="154">
        <f t="shared" si="288"/>
        <v>0.4441604906721186</v>
      </c>
      <c r="H198" s="154">
        <f t="shared" si="288"/>
        <v>0.51128936423054072</v>
      </c>
      <c r="I198" s="154">
        <f t="shared" si="288"/>
        <v>0.59667896678966792</v>
      </c>
      <c r="J198" s="154">
        <f t="shared" si="288"/>
        <v>0.59667896678966792</v>
      </c>
      <c r="K198" s="154">
        <f t="shared" si="288"/>
        <v>0.42722323049001815</v>
      </c>
      <c r="L198" s="154">
        <f t="shared" si="288"/>
        <v>0.36991028295376122</v>
      </c>
      <c r="M198" s="154">
        <f t="shared" si="288"/>
        <v>0.2096890817064353</v>
      </c>
      <c r="N198" s="154">
        <f t="shared" si="288"/>
        <v>7.5293056807935077E-2</v>
      </c>
      <c r="O198" s="154">
        <f t="shared" si="288"/>
        <v>7.5293056807935077E-2</v>
      </c>
      <c r="P198" s="154">
        <f t="shared" si="288"/>
        <v>4.6642961723488807E-2</v>
      </c>
      <c r="Q198" s="154">
        <f t="shared" si="288"/>
        <v>2.4633550488599349E-2</v>
      </c>
      <c r="R198" s="154">
        <f t="shared" si="288"/>
        <v>-2.2835789910732821E-3</v>
      </c>
      <c r="S198" s="154">
        <f t="shared" si="288"/>
        <v>3.8119805101748352E-2</v>
      </c>
      <c r="T198" s="154">
        <f t="shared" si="288"/>
        <v>3.8119805101748352E-2</v>
      </c>
      <c r="U198" s="154">
        <f t="shared" si="288"/>
        <v>1.6583311397736247E-2</v>
      </c>
      <c r="V198" s="154">
        <f t="shared" si="288"/>
        <v>-2.9615004935834156E-3</v>
      </c>
      <c r="W198" s="154">
        <f t="shared" si="288"/>
        <v>-1.3672343487646918E-2</v>
      </c>
      <c r="X198" s="154">
        <f t="shared" si="288"/>
        <v>-9.9101347978032953E-2</v>
      </c>
      <c r="Y198" s="154">
        <f t="shared" si="288"/>
        <v>-9.9101347978032953E-2</v>
      </c>
      <c r="Z198" s="154">
        <f t="shared" si="288"/>
        <v>-0.14111922141119221</v>
      </c>
      <c r="AA198" s="154">
        <f t="shared" si="288"/>
        <v>0.17658697444352844</v>
      </c>
      <c r="AB198" s="154">
        <f t="shared" si="288"/>
        <v>0.12479688007799805</v>
      </c>
      <c r="AC198" s="154">
        <f t="shared" si="288"/>
        <v>0.33699115044247785</v>
      </c>
      <c r="AD198" s="154">
        <f t="shared" si="288"/>
        <v>0.33699115044247785</v>
      </c>
      <c r="AE198" s="154">
        <f t="shared" si="288"/>
        <v>0.32249884739511298</v>
      </c>
      <c r="AF198" s="154">
        <f t="shared" si="288"/>
        <v>0.30214674783723167</v>
      </c>
      <c r="AG198" s="154">
        <f t="shared" si="288"/>
        <v>0.27375902785738854</v>
      </c>
      <c r="AH198" s="154">
        <f t="shared" si="288"/>
        <v>0.32366310160427808</v>
      </c>
      <c r="AI198" s="154">
        <f t="shared" si="288"/>
        <v>0.32366310160427808</v>
      </c>
      <c r="AJ198" s="1163">
        <f t="shared" si="288"/>
        <v>0.30325623858794887</v>
      </c>
      <c r="AK198" s="154">
        <f t="shared" si="288"/>
        <v>0.21454823889739663</v>
      </c>
      <c r="AL198" s="154">
        <f t="shared" ref="AL198:BQ198" si="289">(AL192)/(AL192+AL172)</f>
        <v>0.26555895642034688</v>
      </c>
      <c r="AM198" s="1164">
        <f t="shared" si="289"/>
        <v>0.30119298245614035</v>
      </c>
      <c r="AN198" s="154">
        <f t="shared" si="289"/>
        <v>0.30119298245614035</v>
      </c>
      <c r="AO198" s="1163">
        <f t="shared" si="289"/>
        <v>0.33406400701446731</v>
      </c>
      <c r="AP198" s="154">
        <f t="shared" si="289"/>
        <v>0.3787519195867653</v>
      </c>
      <c r="AQ198" s="154">
        <f t="shared" si="289"/>
        <v>0.4002654280026543</v>
      </c>
      <c r="AR198" s="1164">
        <f t="shared" si="289"/>
        <v>0.44359381770908568</v>
      </c>
      <c r="AS198" s="154">
        <f t="shared" si="289"/>
        <v>0.44359381770908568</v>
      </c>
      <c r="AT198" s="1163">
        <f t="shared" si="289"/>
        <v>0.45881212792468501</v>
      </c>
      <c r="AU198" s="154">
        <f t="shared" si="289"/>
        <v>0.45416882444329365</v>
      </c>
      <c r="AV198" s="154">
        <f t="shared" si="289"/>
        <v>0.46249033255993816</v>
      </c>
      <c r="AW198" s="1164">
        <f t="shared" si="289"/>
        <v>0.49560582048696156</v>
      </c>
      <c r="AX198" s="154">
        <f t="shared" si="289"/>
        <v>0.49560582048696156</v>
      </c>
      <c r="AY198" s="1163">
        <f t="shared" si="289"/>
        <v>0.5002887669650592</v>
      </c>
      <c r="AZ198" s="154">
        <f t="shared" si="289"/>
        <v>0.47844700324771183</v>
      </c>
      <c r="BA198" s="154">
        <f t="shared" si="289"/>
        <v>0.46841887986789599</v>
      </c>
      <c r="BB198" s="1164">
        <f t="shared" si="289"/>
        <v>0.49196611159801346</v>
      </c>
      <c r="BC198" s="154">
        <f t="shared" si="289"/>
        <v>0.49196611159801346</v>
      </c>
      <c r="BD198" s="1163">
        <f t="shared" si="289"/>
        <v>0.47976618705035973</v>
      </c>
      <c r="BE198" s="154">
        <f t="shared" si="289"/>
        <v>0.47680722891566263</v>
      </c>
      <c r="BF198" s="154">
        <f t="shared" si="289"/>
        <v>0.64627341570346752</v>
      </c>
      <c r="BG198" s="1164">
        <f t="shared" si="289"/>
        <v>0.49895272292040693</v>
      </c>
      <c r="BH198" s="154">
        <f t="shared" si="289"/>
        <v>0.49895272292040693</v>
      </c>
      <c r="BI198" s="1163">
        <f t="shared" si="289"/>
        <v>0.45135135135135135</v>
      </c>
      <c r="BJ198" s="154">
        <f t="shared" si="289"/>
        <v>0.38002822865208186</v>
      </c>
      <c r="BK198" s="154">
        <f t="shared" si="289"/>
        <v>0.36238680465717982</v>
      </c>
      <c r="BL198" s="1164">
        <f t="shared" si="289"/>
        <v>0.36069986541049798</v>
      </c>
      <c r="BM198" s="154">
        <f t="shared" si="289"/>
        <v>0.36069986541049798</v>
      </c>
      <c r="BN198" s="1163">
        <f t="shared" si="289"/>
        <v>0.37872628726287261</v>
      </c>
      <c r="BO198" s="154">
        <f t="shared" si="289"/>
        <v>0.39534479763765851</v>
      </c>
      <c r="BP198" s="154">
        <f t="shared" si="289"/>
        <v>0.42285298398835519</v>
      </c>
      <c r="BQ198" s="1164">
        <f t="shared" si="289"/>
        <v>0.49679950443939708</v>
      </c>
      <c r="BR198" s="154">
        <f t="shared" ref="BR198:CQ198" si="290">(BR192)/(BR192+BR172)</f>
        <v>0.49679950443939708</v>
      </c>
      <c r="BS198" s="1345">
        <f t="shared" si="290"/>
        <v>0.55425556320256941</v>
      </c>
      <c r="BT198" s="154">
        <f t="shared" si="290"/>
        <v>0.54794520547945202</v>
      </c>
      <c r="BU198" s="154">
        <f t="shared" si="290"/>
        <v>0.38588624026433799</v>
      </c>
      <c r="BV198" s="1164">
        <f t="shared" si="290"/>
        <v>0.39989448694275914</v>
      </c>
      <c r="BW198" s="154">
        <f t="shared" si="290"/>
        <v>0.39989448694275914</v>
      </c>
      <c r="BX198" s="1163">
        <f t="shared" si="290"/>
        <v>0.43983509404792581</v>
      </c>
      <c r="BY198" s="154">
        <f t="shared" si="290"/>
        <v>0.35479797979797978</v>
      </c>
      <c r="BZ198" s="154">
        <f t="shared" si="290"/>
        <v>0.30027410914527786</v>
      </c>
      <c r="CA198" s="1164">
        <f t="shared" si="290"/>
        <v>0.25721315142026391</v>
      </c>
      <c r="CB198" s="154">
        <f t="shared" si="290"/>
        <v>0.25721315142026391</v>
      </c>
      <c r="CC198" s="1163">
        <f t="shared" si="290"/>
        <v>0.29498523149349121</v>
      </c>
      <c r="CD198" s="154">
        <f t="shared" si="290"/>
        <v>0.2559520293394878</v>
      </c>
      <c r="CE198" s="154">
        <f t="shared" si="290"/>
        <v>0.21738596932087698</v>
      </c>
      <c r="CF198" s="1164">
        <f t="shared" si="290"/>
        <v>0.17223009504459166</v>
      </c>
      <c r="CG198" s="154">
        <f t="shared" si="290"/>
        <v>0.17223009504459166</v>
      </c>
      <c r="CH198" s="1163">
        <f t="shared" si="290"/>
        <v>0.11367825383405157</v>
      </c>
      <c r="CI198" s="154">
        <f t="shared" si="290"/>
        <v>0.16249171279069977</v>
      </c>
      <c r="CJ198" s="154">
        <f t="shared" si="290"/>
        <v>2.3194174248112716E-2</v>
      </c>
      <c r="CK198" s="1164">
        <f t="shared" si="290"/>
        <v>9.1695490258997744E-2</v>
      </c>
      <c r="CL198" s="154">
        <f t="shared" si="290"/>
        <v>9.1695490258997744E-2</v>
      </c>
      <c r="CM198" s="1163">
        <f t="shared" si="290"/>
        <v>-2.0828596602487613E-2</v>
      </c>
      <c r="CN198" s="154">
        <f t="shared" si="290"/>
        <v>9.274998254904486E-2</v>
      </c>
      <c r="CO198" s="154">
        <f t="shared" si="290"/>
        <v>-7.0305484914280486E-2</v>
      </c>
      <c r="CP198" s="1164">
        <f t="shared" si="290"/>
        <v>3.3707294499649064E-2</v>
      </c>
      <c r="CQ198" s="1164">
        <f t="shared" si="290"/>
        <v>3.3707294499649064E-2</v>
      </c>
      <c r="CR198" s="75"/>
    </row>
    <row r="199" spans="1:96" ht="13.5" customHeight="1">
      <c r="A199" s="232"/>
      <c r="B199" s="232" t="s">
        <v>833</v>
      </c>
      <c r="C199" s="232"/>
      <c r="D199" s="232"/>
      <c r="E199" s="232"/>
      <c r="F199" s="154">
        <f t="shared" ref="F199:AK199" si="291">F193/(F193+F172)</f>
        <v>0.32372572815533979</v>
      </c>
      <c r="G199" s="154">
        <f t="shared" si="291"/>
        <v>0.4441604906721186</v>
      </c>
      <c r="H199" s="154">
        <f t="shared" si="291"/>
        <v>0.51128936423054072</v>
      </c>
      <c r="I199" s="154">
        <f t="shared" si="291"/>
        <v>0.59667896678966792</v>
      </c>
      <c r="J199" s="154">
        <f t="shared" si="291"/>
        <v>0.59667896678966792</v>
      </c>
      <c r="K199" s="154">
        <f t="shared" si="291"/>
        <v>0.64731519249036151</v>
      </c>
      <c r="L199" s="154">
        <f t="shared" si="291"/>
        <v>0.60452650387135198</v>
      </c>
      <c r="M199" s="154">
        <f t="shared" si="291"/>
        <v>0.51262471434145251</v>
      </c>
      <c r="N199" s="154">
        <f t="shared" si="291"/>
        <v>0.33357702774054671</v>
      </c>
      <c r="O199" s="154">
        <f t="shared" si="291"/>
        <v>0.33357702774054671</v>
      </c>
      <c r="P199" s="154">
        <f t="shared" si="291"/>
        <v>0.31489553584848939</v>
      </c>
      <c r="Q199" s="154">
        <f t="shared" si="291"/>
        <v>0.29377948113207547</v>
      </c>
      <c r="R199" s="154">
        <f t="shared" si="291"/>
        <v>0.27821796980116609</v>
      </c>
      <c r="S199" s="154">
        <f t="shared" si="291"/>
        <v>0.37399738854691289</v>
      </c>
      <c r="T199" s="154">
        <f t="shared" si="291"/>
        <v>0.37399738854691289</v>
      </c>
      <c r="U199" s="154">
        <f t="shared" si="291"/>
        <v>0.26702700581709027</v>
      </c>
      <c r="V199" s="154">
        <f t="shared" si="291"/>
        <v>0.24038093101933625</v>
      </c>
      <c r="W199" s="154">
        <f t="shared" si="291"/>
        <v>0.22700542340018839</v>
      </c>
      <c r="X199" s="154">
        <f t="shared" si="291"/>
        <v>0.16987962029015563</v>
      </c>
      <c r="Y199" s="154">
        <f t="shared" si="291"/>
        <v>0.16987962029015563</v>
      </c>
      <c r="Z199" s="154">
        <f t="shared" si="291"/>
        <v>0.20034100596760443</v>
      </c>
      <c r="AA199" s="154">
        <f t="shared" si="291"/>
        <v>0.36138107416879794</v>
      </c>
      <c r="AB199" s="154">
        <f t="shared" si="291"/>
        <v>0.31900366670881275</v>
      </c>
      <c r="AC199" s="154">
        <f t="shared" si="291"/>
        <v>0.45073313782991203</v>
      </c>
      <c r="AD199" s="154">
        <f t="shared" si="291"/>
        <v>0.45073313782991203</v>
      </c>
      <c r="AE199" s="154">
        <f t="shared" si="291"/>
        <v>0.51027685437443238</v>
      </c>
      <c r="AF199" s="154">
        <f t="shared" si="291"/>
        <v>0.48509421026501803</v>
      </c>
      <c r="AG199" s="154">
        <f t="shared" si="291"/>
        <v>0.47426076997767574</v>
      </c>
      <c r="AH199" s="154">
        <f t="shared" si="291"/>
        <v>0.53186449147288251</v>
      </c>
      <c r="AI199" s="154">
        <f t="shared" si="291"/>
        <v>0.53186449147288251</v>
      </c>
      <c r="AJ199" s="1163">
        <f t="shared" si="291"/>
        <v>0.52109273272079781</v>
      </c>
      <c r="AK199" s="154">
        <f t="shared" si="291"/>
        <v>0.46120270816809972</v>
      </c>
      <c r="AL199" s="154">
        <f t="shared" ref="AL199:BQ199" si="292">AL193/(AL193+AL172)</f>
        <v>0.48844457303547589</v>
      </c>
      <c r="AM199" s="1164">
        <f t="shared" si="292"/>
        <v>0.50772911754091965</v>
      </c>
      <c r="AN199" s="154">
        <f t="shared" si="292"/>
        <v>0.50772911754091965</v>
      </c>
      <c r="AO199" s="1163">
        <f t="shared" si="292"/>
        <v>0.54580791771319226</v>
      </c>
      <c r="AP199" s="154">
        <f t="shared" si="292"/>
        <v>0.57018120001545414</v>
      </c>
      <c r="AQ199" s="154">
        <f t="shared" si="292"/>
        <v>0.57865587588110245</v>
      </c>
      <c r="AR199" s="1164">
        <f t="shared" si="292"/>
        <v>0.61911165605347473</v>
      </c>
      <c r="AS199" s="154">
        <f t="shared" si="292"/>
        <v>0.61911165605347473</v>
      </c>
      <c r="AT199" s="1163">
        <f t="shared" si="292"/>
        <v>0.62974188965190625</v>
      </c>
      <c r="AU199" s="154">
        <f t="shared" si="292"/>
        <v>0.6187548039969254</v>
      </c>
      <c r="AV199" s="154">
        <f t="shared" si="292"/>
        <v>0.62407031778228528</v>
      </c>
      <c r="AW199" s="1164">
        <f t="shared" si="292"/>
        <v>0.65928665271762932</v>
      </c>
      <c r="AX199" s="154">
        <f t="shared" si="292"/>
        <v>0.65928665271762932</v>
      </c>
      <c r="AY199" s="1163">
        <f t="shared" si="292"/>
        <v>0.65761149143286768</v>
      </c>
      <c r="AZ199" s="154">
        <f t="shared" si="292"/>
        <v>0.64515286649793102</v>
      </c>
      <c r="BA199" s="154">
        <f t="shared" si="292"/>
        <v>0.63031370222213712</v>
      </c>
      <c r="BB199" s="1164">
        <f t="shared" si="292"/>
        <v>0.65318495472857085</v>
      </c>
      <c r="BC199" s="154">
        <f t="shared" si="292"/>
        <v>0.65318495472857085</v>
      </c>
      <c r="BD199" s="1163">
        <f t="shared" si="292"/>
        <v>0.58306055892227571</v>
      </c>
      <c r="BE199" s="154">
        <f t="shared" si="292"/>
        <v>0.58108996195563689</v>
      </c>
      <c r="BF199" s="154">
        <f t="shared" si="292"/>
        <v>0.73392095578590755</v>
      </c>
      <c r="BG199" s="1164">
        <f t="shared" si="292"/>
        <v>0.59829434025632866</v>
      </c>
      <c r="BH199" s="154">
        <f t="shared" si="292"/>
        <v>0.59829434025632866</v>
      </c>
      <c r="BI199" s="1163">
        <f t="shared" si="292"/>
        <v>0.52756121100942555</v>
      </c>
      <c r="BJ199" s="154">
        <f t="shared" si="292"/>
        <v>0.47416069972241554</v>
      </c>
      <c r="BK199" s="154">
        <f t="shared" si="292"/>
        <v>0.4522584095629042</v>
      </c>
      <c r="BL199" s="1164">
        <f t="shared" si="292"/>
        <v>0.45391706724723907</v>
      </c>
      <c r="BM199" s="154">
        <f t="shared" si="292"/>
        <v>0.45391706724723907</v>
      </c>
      <c r="BN199" s="1163">
        <f t="shared" si="292"/>
        <v>0.44337797336773016</v>
      </c>
      <c r="BO199" s="154">
        <f t="shared" si="292"/>
        <v>0.4597027666757208</v>
      </c>
      <c r="BP199" s="154">
        <f t="shared" si="292"/>
        <v>0.48687669349294294</v>
      </c>
      <c r="BQ199" s="1164">
        <f t="shared" si="292"/>
        <v>0.55921320370789063</v>
      </c>
      <c r="BR199" s="154">
        <f t="shared" ref="BR199:CQ199" si="293">BR193/(BR193+BR172)</f>
        <v>0.55921320370789063</v>
      </c>
      <c r="BS199" s="1345">
        <f t="shared" si="293"/>
        <v>0.6209520093640265</v>
      </c>
      <c r="BT199" s="154">
        <f t="shared" si="293"/>
        <v>0.61727654469106175</v>
      </c>
      <c r="BU199" s="154">
        <f t="shared" si="293"/>
        <v>0.48001598721023181</v>
      </c>
      <c r="BV199" s="1164">
        <f t="shared" si="293"/>
        <v>0.50087757788503728</v>
      </c>
      <c r="BW199" s="154">
        <f t="shared" si="293"/>
        <v>0.50087757788503728</v>
      </c>
      <c r="BX199" s="1163">
        <f t="shared" si="293"/>
        <v>0.49951655232745523</v>
      </c>
      <c r="BY199" s="154">
        <f t="shared" si="293"/>
        <v>0.42231165777335622</v>
      </c>
      <c r="BZ199" s="154">
        <f t="shared" si="293"/>
        <v>0.37262612270432099</v>
      </c>
      <c r="CA199" s="1164">
        <f t="shared" si="293"/>
        <v>0.32688799708135713</v>
      </c>
      <c r="CB199" s="154">
        <f t="shared" si="293"/>
        <v>0.32688799708135713</v>
      </c>
      <c r="CC199" s="1163">
        <f t="shared" si="293"/>
        <v>0.34611175419736939</v>
      </c>
      <c r="CD199" s="154">
        <f t="shared" si="293"/>
        <v>0.30858901360720964</v>
      </c>
      <c r="CE199" s="154">
        <f t="shared" si="293"/>
        <v>0.27051533796806398</v>
      </c>
      <c r="CF199" s="1164">
        <f t="shared" si="293"/>
        <v>0.2276294035718861</v>
      </c>
      <c r="CG199" s="154">
        <f t="shared" si="293"/>
        <v>0.2276294035718861</v>
      </c>
      <c r="CH199" s="1163">
        <f t="shared" si="293"/>
        <v>0.11367825383405157</v>
      </c>
      <c r="CI199" s="154">
        <f t="shared" si="293"/>
        <v>0.16249171279069977</v>
      </c>
      <c r="CJ199" s="154">
        <f t="shared" si="293"/>
        <v>2.3194174248112716E-2</v>
      </c>
      <c r="CK199" s="1164">
        <f t="shared" si="293"/>
        <v>9.1695490258997744E-2</v>
      </c>
      <c r="CL199" s="154">
        <f t="shared" si="293"/>
        <v>9.1695490258997744E-2</v>
      </c>
      <c r="CM199" s="1163">
        <f t="shared" si="293"/>
        <v>-2.0828596602487613E-2</v>
      </c>
      <c r="CN199" s="154">
        <f t="shared" si="293"/>
        <v>9.274998254904486E-2</v>
      </c>
      <c r="CO199" s="154">
        <f t="shared" si="293"/>
        <v>-7.0305484914280486E-2</v>
      </c>
      <c r="CP199" s="1164">
        <f t="shared" si="293"/>
        <v>3.3707294499649064E-2</v>
      </c>
      <c r="CQ199" s="1164">
        <f t="shared" si="293"/>
        <v>3.3707294499649064E-2</v>
      </c>
      <c r="CR199" s="232"/>
    </row>
    <row r="200" spans="1:96" ht="13.5" customHeight="1">
      <c r="A200" s="93"/>
      <c r="B200" s="232" t="s">
        <v>834</v>
      </c>
      <c r="C200" s="81"/>
      <c r="D200" s="75"/>
      <c r="E200" s="75"/>
      <c r="F200" s="256"/>
      <c r="G200" s="256"/>
      <c r="H200" s="256"/>
      <c r="I200" s="677">
        <f>I192/SUM(F101:I101)</f>
        <v>4.9753846153846153</v>
      </c>
      <c r="J200" s="677">
        <f>J192/((J101))</f>
        <v>4.9753846153846153</v>
      </c>
      <c r="K200" s="677">
        <f>K192/SUM(K101,G101:I101)</f>
        <v>2.4883720930232558</v>
      </c>
      <c r="L200" s="677">
        <f>L192/SUM(K101:L101,H101:I101)</f>
        <v>1.2044943820224718</v>
      </c>
      <c r="M200" s="677">
        <f>M192/SUM(K101:M101,I101)</f>
        <v>0.42120551924473493</v>
      </c>
      <c r="N200" s="677">
        <f>N192/SUM(K101:N101)</f>
        <v>0.16860171630489651</v>
      </c>
      <c r="O200" s="677">
        <f>O192/((O101))</f>
        <v>0.16860171630489651</v>
      </c>
      <c r="P200" s="677">
        <f>P192/SUM(P101,L101:N101)</f>
        <v>9.1468416735028715E-2</v>
      </c>
      <c r="Q200" s="677">
        <f>Q192/SUM(P101:Q101,M101:N101)</f>
        <v>4.9529267294310272E-2</v>
      </c>
      <c r="R200" s="677">
        <f>R192/SUM(P101:R101,N101)</f>
        <v>-5.2757793764988013E-3</v>
      </c>
      <c r="S200" s="677">
        <f>S192/SUM(P101:S101)</f>
        <v>7.4929577464788732E-2</v>
      </c>
      <c r="T200" s="677">
        <f>T192/((T101))</f>
        <v>7.4929577464788732E-2</v>
      </c>
      <c r="U200" s="677">
        <f>U192/SUM(U101,Q101:S101)</f>
        <v>3.9747634069400628E-2</v>
      </c>
      <c r="V200" s="677">
        <f>V192/SUM(U101:V101,R101:S101)</f>
        <v>-7.0671378091872791E-3</v>
      </c>
      <c r="W200" s="677">
        <f>W192/SUM(U101:W101,S101)</f>
        <v>-2.6462395543175487E-2</v>
      </c>
      <c r="X200" s="677">
        <f>X192/SUM(U101:X101)</f>
        <v>-0.17668001780151313</v>
      </c>
      <c r="Y200" s="677">
        <f>Y192/((Y101))</f>
        <v>-0.17668001780151313</v>
      </c>
      <c r="Z200" s="677">
        <f>Z192/SUM(Z101,V101:X101)</f>
        <v>-0.26149684400360684</v>
      </c>
      <c r="AA200" s="677">
        <f>AA192/SUM(Z101:AA101,W101:X101)</f>
        <v>0.5102429728442115</v>
      </c>
      <c r="AB200" s="677">
        <f>AB192/SUM(Z101:AB101,X101)</f>
        <v>0.39772138788192646</v>
      </c>
      <c r="AC200" s="677">
        <f>AC192/SUM(Z101:AC101)</f>
        <v>1.5127118644067796</v>
      </c>
      <c r="AD200" s="677">
        <f>AD192/((AD101))</f>
        <v>1.5127118644067796</v>
      </c>
      <c r="AE200" s="677">
        <f>AE192/SUM(AE101,AA101:AC101)</f>
        <v>1.4610966057441253</v>
      </c>
      <c r="AF200" s="677">
        <f>AF192/SUM(AE101:AF101,AB101:AC101)</f>
        <v>1.1203960396039605</v>
      </c>
      <c r="AG200" s="677">
        <f>AG192/SUM(AE101:AG101,AC101)</f>
        <v>0.66296501943364794</v>
      </c>
      <c r="AH200" s="677">
        <f>AH192/SUM(AE101:AH101)</f>
        <v>0.64132450331125823</v>
      </c>
      <c r="AI200" s="677">
        <f>AI192/((AI101))</f>
        <v>0.64132450331125823</v>
      </c>
      <c r="AJ200" s="1232">
        <f>AJ192/SUM(AJ101,AF101:AH101)</f>
        <v>0.67331081081081079</v>
      </c>
      <c r="AK200" s="677">
        <f>AK192/SUM(AJ101:AK101,AG101:AH101)</f>
        <v>0.96222527472527475</v>
      </c>
      <c r="AL200" s="677">
        <f>AL192/SUM(AJ101:AL101,AH101)</f>
        <v>-4.6361323155216283</v>
      </c>
      <c r="AM200" s="1233">
        <f>AM192/SUM(AJ101:AM101)</f>
        <v>-2.0169172932330826</v>
      </c>
      <c r="AN200" s="677">
        <f>AN192/((AN101))</f>
        <v>-2.0169172932330826</v>
      </c>
      <c r="AO200" s="1232">
        <f>AO192/SUM(AO101,AK101:AM101)</f>
        <v>-3.6576</v>
      </c>
      <c r="AP200" s="677">
        <f>AP192/SUM(AO101:AP101,AL101:AM101)</f>
        <v>22.608333333333334</v>
      </c>
      <c r="AQ200" s="677">
        <f>AQ192/SUM(AO101:AQ101,AM101)</f>
        <v>7.7333333333333334</v>
      </c>
      <c r="AR200" s="1233">
        <f>AR192/SUM(AO101:AR101)</f>
        <v>5.838403041825095</v>
      </c>
      <c r="AS200" s="677">
        <f>AS192/((AS101))</f>
        <v>5.838403041825095</v>
      </c>
      <c r="AT200" s="1232">
        <f>AT192/SUM(AT101,AP101:AR101)</f>
        <v>6.681451612903226</v>
      </c>
      <c r="AU200" s="677">
        <f>AU192/SUM(AT101:AU101,AQ101:AR101)</f>
        <v>5.7792421746293243</v>
      </c>
      <c r="AV200" s="677">
        <f>AV192/SUM(AU101:AV101,AR101:AS101)</f>
        <v>2.5610278372591004</v>
      </c>
      <c r="AW200" s="1233">
        <f>AW192/SUM(AT101:AW101)</f>
        <v>3.5684647302904566</v>
      </c>
      <c r="AX200" s="677">
        <f>AX192/((AX101))</f>
        <v>3.5684647302904566</v>
      </c>
      <c r="AY200" s="1232">
        <f>AY192/SUM(AY101,AU101:AW101)</f>
        <v>2.7348066298342539</v>
      </c>
      <c r="AZ200" s="677">
        <f>AZ192/SUM(AY101:AZ101,AV101:AW101)</f>
        <v>2.6718878812860676</v>
      </c>
      <c r="BA200" s="677">
        <f>BA192/SUM(AY101:BA101,AW101)</f>
        <v>3.0889292196007259</v>
      </c>
      <c r="BB200" s="1233">
        <f>BB192/SUM(AY101:BB101)</f>
        <v>2.7629204265791634</v>
      </c>
      <c r="BC200" s="677">
        <f>BC192/((BC101))</f>
        <v>2.7629204265791634</v>
      </c>
      <c r="BD200" s="1232">
        <f>BD192/SUM(BD101,AZ101:BB101)</f>
        <v>3.0573065902578795</v>
      </c>
      <c r="BE200" s="677">
        <f>BE192/SUM(BD101:BE101,BA101:BB101)</f>
        <v>3.992433795712484</v>
      </c>
      <c r="BF200" s="677">
        <f>BF192/SUM(BD101:BF101,BB101)</f>
        <v>4.244764397905759</v>
      </c>
      <c r="BG200" s="1233">
        <f>BG192/SUM(BD101:BG101)</f>
        <v>3.8644264194669757</v>
      </c>
      <c r="BH200" s="677">
        <f>BH192/((BH101))</f>
        <v>3.8644264194669757</v>
      </c>
      <c r="BI200" s="1232">
        <f>BI192/SUM(BI101,BE101:BG101)</f>
        <v>3.0791757049891539</v>
      </c>
      <c r="BJ200" s="677">
        <f>BJ192/SUM(BI101:BJ101,BF101:BG101)</f>
        <v>2.103515625</v>
      </c>
      <c r="BK200" s="677">
        <f>BK192/SUM(BI101:BK101,BG101)</f>
        <v>1.5961538461538463</v>
      </c>
      <c r="BL200" s="1233">
        <f>BL192/SUM(BI101:BL101)</f>
        <v>1.2777115613825982</v>
      </c>
      <c r="BM200" s="677">
        <f>BM192/((BM101))</f>
        <v>1.2777115613825982</v>
      </c>
      <c r="BN200" s="1232">
        <f>BN192/SUM(BN101,BJ101:BL101)</f>
        <v>1.4710526315789474</v>
      </c>
      <c r="BO200" s="677">
        <f>BO192/SUM(BN101:BO101,BK101:BL101)</f>
        <v>1.7850980392156863</v>
      </c>
      <c r="BP200" s="677">
        <f>BP192/SUM(BN101:BP101,BL101)</f>
        <v>3.1028037383177569</v>
      </c>
      <c r="BQ200" s="1233">
        <f>BQ192/SUM(BN101:BQ101)</f>
        <v>11.910891089108912</v>
      </c>
      <c r="BR200" s="677">
        <f>BR192/((BR101))</f>
        <v>11.910891089108912</v>
      </c>
      <c r="BS200" s="1354">
        <f>BS192/SUM(BS101,BO101:BQ101)</f>
        <v>-161.06666666666666</v>
      </c>
      <c r="BT200" s="677">
        <f>BT192/SUM(BS101:BT101,BP101:BQ101)</f>
        <v>23.434343434343436</v>
      </c>
      <c r="BU200" s="677">
        <f>BU192/SUM(BS101:BU101,BQ101)</f>
        <v>5.7167832167832167</v>
      </c>
      <c r="BV200" s="1233">
        <f>BV192/SUM(BS101:BV101)</f>
        <v>2.9725490196078432</v>
      </c>
      <c r="BW200" s="677">
        <f>BW192/((BW101))</f>
        <v>2.9725490196078432</v>
      </c>
      <c r="BX200" s="1232">
        <f>BX192/SUM(BX101,BT101:BV101)</f>
        <v>2.4703328509406659</v>
      </c>
      <c r="BY200" s="677">
        <f>BY192/SUM(BX101:BY101,BU101:BV101)</f>
        <v>1.528835690968444</v>
      </c>
      <c r="BZ200" s="677">
        <f>BZ192/SUM(BX101:BZ101,BV101)</f>
        <v>1.21840242669363</v>
      </c>
      <c r="CA200" s="1233">
        <f>CA192/SUM(BX101:CA101)</f>
        <v>1.0579576816927323</v>
      </c>
      <c r="CB200" s="677">
        <f>CB192/((CB101))</f>
        <v>1.0579576816927323</v>
      </c>
      <c r="CC200" s="1232">
        <f>CC192/SUM(CC101,BY101:CA101)</f>
        <v>1.1147831763112876</v>
      </c>
      <c r="CD200" s="677">
        <f>CD192/SUM(CC101:CD101,BZ101:CA101)</f>
        <v>0.9222424194291694</v>
      </c>
      <c r="CE200" s="677">
        <f>CE192/SUM(CC101:CE101,CA101)</f>
        <v>0.71444061953645654</v>
      </c>
      <c r="CF200" s="1233">
        <f>CF192/SUM(CC101:CF101)</f>
        <v>0.51943813224274016</v>
      </c>
      <c r="CG200" s="677">
        <f>CG192/((CG101))</f>
        <v>0.51943813224274016</v>
      </c>
      <c r="CH200" s="1232">
        <f>CH192/SUM(CH101,CD101:CF101)</f>
        <v>0.31743688458272024</v>
      </c>
      <c r="CI200" s="677">
        <f>CI192/SUM(CH101:CI101,CE101:CF101)</f>
        <v>0.49329134845631828</v>
      </c>
      <c r="CJ200" s="677">
        <f>CJ192/SUM(CH101:CJ101,CF101)</f>
        <v>6.5254649677168111E-2</v>
      </c>
      <c r="CK200" s="1233">
        <f>CK192/SUM(CH101:CK101)</f>
        <v>0.29010559059803964</v>
      </c>
      <c r="CL200" s="677">
        <f>CL192/((CL101))</f>
        <v>0.29010559059803964</v>
      </c>
      <c r="CM200" s="1232">
        <f>CM192/SUM(CM101,CI101:CK101)</f>
        <v>-5.9777516246650536E-2</v>
      </c>
      <c r="CN200" s="677">
        <f>CN192/SUM(CM101:CN101,CJ101:CK101)</f>
        <v>0.32872858494634005</v>
      </c>
      <c r="CO200" s="677">
        <f>CO192/SUM(CM101:CO101,CK101)</f>
        <v>-0.23391561070057754</v>
      </c>
      <c r="CP200" s="1233">
        <f>CP192/SUM(CM101:CP101)</f>
        <v>0.13721292253132275</v>
      </c>
      <c r="CQ200" s="1233">
        <f>CQ192/((CQ101))</f>
        <v>0.13721292253132275</v>
      </c>
      <c r="CR200" s="75"/>
    </row>
    <row r="201" spans="1:96" ht="13.5" customHeight="1">
      <c r="A201" s="93"/>
      <c r="B201" s="232" t="s">
        <v>835</v>
      </c>
      <c r="C201" s="81"/>
      <c r="D201" s="75"/>
      <c r="E201" s="75"/>
      <c r="F201" s="256"/>
      <c r="G201" s="256"/>
      <c r="H201" s="256"/>
      <c r="I201" s="677">
        <f>I193/SUM(F101:I101)</f>
        <v>4.9753846153846153</v>
      </c>
      <c r="J201" s="677">
        <f>J193/((J101))</f>
        <v>4.9753846153846153</v>
      </c>
      <c r="K201" s="677">
        <f>K193/SUM(K101,G101:I101)</f>
        <v>6.1231501057082456</v>
      </c>
      <c r="L201" s="677">
        <f>L193/SUM(K101:L101,H101:I101)</f>
        <v>3.1362359550561796</v>
      </c>
      <c r="M201" s="677">
        <f>M193/SUM(K101:M101,I101)</f>
        <v>1.6697530864197532</v>
      </c>
      <c r="N201" s="677">
        <f>N193/SUM(K101:N101)</f>
        <v>1.0364714790509844</v>
      </c>
      <c r="O201" s="677">
        <f>O193/((O101))</f>
        <v>1.0364714790509844</v>
      </c>
      <c r="P201" s="677">
        <f>P193/SUM(P101,L101:N101)</f>
        <v>0.85931091058244458</v>
      </c>
      <c r="Q201" s="677">
        <f>Q193/SUM(P101:Q101,M101:N101)</f>
        <v>0.81580024559967257</v>
      </c>
      <c r="R201" s="677">
        <f>R193/SUM(P101:R101,N101)</f>
        <v>0.89256594724220628</v>
      </c>
      <c r="S201" s="677">
        <f>S193/SUM(P101:S101)</f>
        <v>1.1295774647887324</v>
      </c>
      <c r="T201" s="677">
        <f>T193/((T101))</f>
        <v>1.1295774647887324</v>
      </c>
      <c r="U201" s="677">
        <f>U193/SUM(U101,Q101:S101)</f>
        <v>0.85870662460567826</v>
      </c>
      <c r="V201" s="677">
        <f>V193/SUM(U101:V101,R101:S101)</f>
        <v>0.75739104829210835</v>
      </c>
      <c r="W201" s="677">
        <f>W193/SUM(U101:W101,S101)</f>
        <v>0.57616063138347262</v>
      </c>
      <c r="X201" s="677">
        <f>X193/SUM(U101:X101)</f>
        <v>0.40100133511348462</v>
      </c>
      <c r="Y201" s="677">
        <f>Y193/((Y101))</f>
        <v>0.40100133511348462</v>
      </c>
      <c r="Z201" s="677">
        <f>Z193/SUM(Z101,V101:X101)</f>
        <v>0.52975653742110007</v>
      </c>
      <c r="AA201" s="677">
        <f>AA193/SUM(Z101:AA101,W101:X101)</f>
        <v>1.3463554073368271</v>
      </c>
      <c r="AB201" s="677">
        <f>AB193/SUM(Z101:AB101,X101)</f>
        <v>1.3065769031589849</v>
      </c>
      <c r="AC201" s="677">
        <f>AC193/SUM(Z101:AC101)</f>
        <v>2.4422669491525424</v>
      </c>
      <c r="AD201" s="677">
        <f>AD193/((AD101))</f>
        <v>2.4422669491525424</v>
      </c>
      <c r="AE201" s="677">
        <f>AE193/SUM(AE101,AA101:AC101)</f>
        <v>3.1982767624020885</v>
      </c>
      <c r="AF201" s="677">
        <f>AF193/SUM(AE101:AF101,AB101:AC101)</f>
        <v>2.4379009900990098</v>
      </c>
      <c r="AG201" s="677">
        <f>AG193/SUM(AE101:AG101,AC101)</f>
        <v>1.5865352581898944</v>
      </c>
      <c r="AH201" s="677">
        <f>AH193/SUM(AE101:AH101)</f>
        <v>1.522569536423841</v>
      </c>
      <c r="AI201" s="677">
        <f>AI193/((AI101))</f>
        <v>1.522569536423841</v>
      </c>
      <c r="AJ201" s="1232">
        <f>AJ193/SUM(AJ101,AF101:AH101)</f>
        <v>1.6832263513513515</v>
      </c>
      <c r="AK201" s="677">
        <f>AK193/SUM(AJ101:AK101,AG101:AH101)</f>
        <v>3.0153502747252752</v>
      </c>
      <c r="AL201" s="677">
        <f>AL193/SUM(AJ101:AL101,AH101)</f>
        <v>-12.24262086513995</v>
      </c>
      <c r="AM201" s="1233">
        <f>AM193/SUM(AJ101:AM101)</f>
        <v>-4.8264567669172935</v>
      </c>
      <c r="AN201" s="677">
        <f>AN193/((AN101))</f>
        <v>-4.8264567669172935</v>
      </c>
      <c r="AO201" s="1232">
        <f>AO193/SUM(AO101,AK101:AM101)</f>
        <v>-8.7619200000000017</v>
      </c>
      <c r="AP201" s="677">
        <f>AP193/SUM(AO101:AP101,AL101:AM101)</f>
        <v>49.193333333333342</v>
      </c>
      <c r="AQ201" s="677">
        <f>AQ193/SUM(AO101:AQ101,AM101)</f>
        <v>15.913333333333336</v>
      </c>
      <c r="AR201" s="1233">
        <f>AR193/SUM(AO101:AR101)</f>
        <v>11.903422053231941</v>
      </c>
      <c r="AS201" s="677">
        <f>AS193/((AS101))</f>
        <v>11.903422053231941</v>
      </c>
      <c r="AT201" s="1232">
        <f>AT193/SUM(AT101,AP101:AR101)</f>
        <v>13.404233870967742</v>
      </c>
      <c r="AU201" s="677">
        <f>AU193/SUM(AT101:AU101,AQ101:AR101)</f>
        <v>11.272652388797365</v>
      </c>
      <c r="AV201" s="677">
        <f>AV193/SUM(AU101:AV101,AR101:AS101)</f>
        <v>4.9411134903640255</v>
      </c>
      <c r="AW201" s="1233">
        <f>AW193/SUM(AT101:AW101)</f>
        <v>7.0274896265560169</v>
      </c>
      <c r="AX201" s="677">
        <f>AX193/((AX101))</f>
        <v>7.0274896265560169</v>
      </c>
      <c r="AY201" s="1232">
        <f>AY193/SUM(AY101,AU101:AW101)</f>
        <v>5.2465666929755326</v>
      </c>
      <c r="AZ201" s="677">
        <f>AZ193/SUM(AY101:AZ101,AV101:AW101)</f>
        <v>5.2954657873042041</v>
      </c>
      <c r="BA201" s="677">
        <f>BA193/SUM(AY101:BA101,AW101)</f>
        <v>5.9767695099818505</v>
      </c>
      <c r="BB201" s="1233">
        <f>BB193/SUM(AY101:BB101)</f>
        <v>5.3735849056603771</v>
      </c>
      <c r="BC201" s="677">
        <f>BC193/((BC101))</f>
        <v>5.3735849056603771</v>
      </c>
      <c r="BD201" s="1232">
        <f>BD193/SUM(BD101,AZ101:BB101)</f>
        <v>4.6360553963705824</v>
      </c>
      <c r="BE201" s="677">
        <f>BE193/SUM(BD101:BE101,BA101:BB101)</f>
        <v>6.0768600252206806</v>
      </c>
      <c r="BF201" s="677">
        <f>BF193/SUM(BD101:BF101,BB101)</f>
        <v>6.4083115183246067</v>
      </c>
      <c r="BG201" s="1233">
        <f>BG193/SUM(BD101:BG101)</f>
        <v>5.7797798377752025</v>
      </c>
      <c r="BH201" s="677">
        <f>BH193/((BH101))</f>
        <v>5.7797798377752025</v>
      </c>
      <c r="BI201" s="1232">
        <f>BI193/SUM(BI101,BE101:BG101)</f>
        <v>4.1796637744034708</v>
      </c>
      <c r="BJ201" s="677">
        <f>BJ193/SUM(BI101:BJ101,BF101:BG101)</f>
        <v>3.0943847656250001</v>
      </c>
      <c r="BK201" s="677">
        <f>BK193/SUM(BI101:BK101,BG101)</f>
        <v>2.3188390313390315</v>
      </c>
      <c r="BL201" s="1233">
        <f>BL193/SUM(BI101:BL101)</f>
        <v>1.8823897497020263</v>
      </c>
      <c r="BM201" s="677">
        <f>BM193/((BM101))</f>
        <v>1.8823897497020263</v>
      </c>
      <c r="BN201" s="1232">
        <f>BN193/SUM(BN101,BJ101:BL101)</f>
        <v>1.9222039473684212</v>
      </c>
      <c r="BO201" s="677">
        <f>BO193/SUM(BN101:BO101,BK101:BL101)</f>
        <v>2.3229411764705881</v>
      </c>
      <c r="BP201" s="677">
        <f>BP193/SUM(BN101:BP101,BL101)</f>
        <v>4.0183578104138853</v>
      </c>
      <c r="BQ201" s="1233">
        <f>BQ193/SUM(BN101:BQ101)</f>
        <v>15.305693069306932</v>
      </c>
      <c r="BR201" s="677">
        <f>BR193/((BR101))</f>
        <v>15.305693069306932</v>
      </c>
      <c r="BS201" s="1354">
        <f>BS193/SUM(BS101,BO101:BQ101)</f>
        <v>-212.2</v>
      </c>
      <c r="BT201" s="677">
        <f>BT193/SUM(BS101:BT101,BP101:BQ101)</f>
        <v>31.181818181818183</v>
      </c>
      <c r="BU201" s="677">
        <f>BU193/SUM(BS101:BU101,BQ101)</f>
        <v>8.3986013986013983</v>
      </c>
      <c r="BV201" s="1233">
        <f>BV193/SUM(BS101:BV101)</f>
        <v>4.4764705882352942</v>
      </c>
      <c r="BW201" s="677">
        <f>BW193/((BW101))</f>
        <v>4.4764705882352942</v>
      </c>
      <c r="BX201" s="1232">
        <f>BX193/SUM(BX101,BT101:BV101)</f>
        <v>3.1400868306801741</v>
      </c>
      <c r="BY201" s="677">
        <f>BY193/SUM(BX101:BY101,BU101:BV101)</f>
        <v>2.0324265505984767</v>
      </c>
      <c r="BZ201" s="677">
        <f>BZ193/SUM(BX101:BZ101,BV101)</f>
        <v>1.6863498483316481</v>
      </c>
      <c r="CA201" s="1233">
        <f>CA193/SUM(BX101:CA101)</f>
        <v>1.4837166513339466</v>
      </c>
      <c r="CB201" s="677">
        <f>CB193/((CB101))</f>
        <v>1.4837166513339466</v>
      </c>
      <c r="CC201" s="1232">
        <f>CC193/SUM(CC101,BY101:CA101)</f>
        <v>1.4102664198798034</v>
      </c>
      <c r="CD201" s="677">
        <f>CD193/SUM(CC101:CD101,BZ101:CA101)</f>
        <v>1.1965521667170846</v>
      </c>
      <c r="CE201" s="677">
        <f>CE193/SUM(CC101:CE101,CA101)</f>
        <v>0.95380146953652645</v>
      </c>
      <c r="CF201" s="1233">
        <f>CF193/SUM(CC101:CF101)</f>
        <v>0.73576148179061474</v>
      </c>
      <c r="CG201" s="677">
        <f>CG193/((CG101))</f>
        <v>0.73576148179061474</v>
      </c>
      <c r="CH201" s="1232">
        <f>CH193/SUM(CH101,CD101:CF101)</f>
        <v>0.31743688458272024</v>
      </c>
      <c r="CI201" s="677">
        <f>CI193/SUM(CH101:CI101,CE101:CF101)</f>
        <v>0.49329134845631828</v>
      </c>
      <c r="CJ201" s="677">
        <f>CJ193/SUM(CH101:CJ101,CF101)</f>
        <v>6.5254649677168111E-2</v>
      </c>
      <c r="CK201" s="1233">
        <f>CK193/SUM(CH101:CK101)</f>
        <v>0.29010559059803964</v>
      </c>
      <c r="CL201" s="677">
        <f>CL193/((CL101))</f>
        <v>0.29010559059803964</v>
      </c>
      <c r="CM201" s="1232">
        <f>CM193/SUM(CM101,CI101:CK101)</f>
        <v>-5.9777516246650536E-2</v>
      </c>
      <c r="CN201" s="677">
        <f>CN193/SUM(CM101:CN101,CJ101:CK101)</f>
        <v>0.32872858494634005</v>
      </c>
      <c r="CO201" s="677">
        <f>CO193/SUM(CM101:CO101,CK101)</f>
        <v>-0.23391561070057754</v>
      </c>
      <c r="CP201" s="1233">
        <f>CP193/SUM(CM101:CP101)</f>
        <v>0.13721292253132275</v>
      </c>
      <c r="CQ201" s="1233">
        <f>CQ193/((CQ101))</f>
        <v>0.13721292253132275</v>
      </c>
      <c r="CR201" s="75"/>
    </row>
    <row r="202" spans="1:96" ht="6.2" customHeight="1">
      <c r="A202" s="75"/>
      <c r="B202" s="232"/>
      <c r="C202" s="81"/>
      <c r="D202" s="75"/>
      <c r="E202" s="75"/>
      <c r="F202" s="190"/>
      <c r="G202" s="190"/>
      <c r="H202" s="190"/>
      <c r="I202" s="190"/>
      <c r="J202" s="190"/>
      <c r="K202" s="190"/>
      <c r="L202" s="190"/>
      <c r="M202" s="190"/>
      <c r="N202" s="190"/>
      <c r="O202" s="190"/>
      <c r="P202" s="190"/>
      <c r="Q202" s="190"/>
      <c r="R202" s="190"/>
      <c r="S202" s="190"/>
      <c r="T202" s="190"/>
      <c r="U202" s="142"/>
      <c r="V202" s="142"/>
      <c r="W202" s="142"/>
      <c r="X202" s="190"/>
      <c r="Y202" s="190"/>
      <c r="Z202" s="142"/>
      <c r="AA202" s="142"/>
      <c r="AB202" s="142"/>
      <c r="AC202" s="142"/>
      <c r="AD202" s="190"/>
      <c r="AE202" s="142"/>
      <c r="AF202" s="142"/>
      <c r="AG202" s="142"/>
      <c r="AH202" s="142"/>
      <c r="AI202" s="190"/>
      <c r="AJ202" s="1132"/>
      <c r="AK202" s="85"/>
      <c r="AL202" s="85"/>
      <c r="AM202" s="1133"/>
      <c r="AN202" s="190"/>
      <c r="AO202" s="1132"/>
      <c r="AP202" s="85"/>
      <c r="AQ202" s="85"/>
      <c r="AR202" s="1133"/>
      <c r="AS202" s="190"/>
      <c r="AT202" s="1132"/>
      <c r="AU202" s="85"/>
      <c r="AV202" s="85"/>
      <c r="AW202" s="1133"/>
      <c r="AX202" s="190"/>
      <c r="AY202" s="1132"/>
      <c r="AZ202" s="85"/>
      <c r="BA202" s="85"/>
      <c r="BB202" s="1133"/>
      <c r="BC202" s="190"/>
      <c r="BD202" s="1132"/>
      <c r="BE202" s="85"/>
      <c r="BF202" s="85"/>
      <c r="BG202" s="1133"/>
      <c r="BH202" s="190"/>
      <c r="BI202" s="1132"/>
      <c r="BJ202" s="85"/>
      <c r="BK202" s="85"/>
      <c r="BL202" s="1133"/>
      <c r="BM202" s="190"/>
      <c r="BN202" s="1132"/>
      <c r="BO202" s="85"/>
      <c r="BP202" s="85"/>
      <c r="BQ202" s="1133"/>
      <c r="BR202" s="190"/>
      <c r="BS202" s="1132"/>
      <c r="BT202" s="85"/>
      <c r="BU202" s="85"/>
      <c r="BV202" s="1133"/>
      <c r="BW202" s="190"/>
      <c r="BX202" s="1132"/>
      <c r="BY202" s="85"/>
      <c r="BZ202" s="85"/>
      <c r="CA202" s="1133"/>
      <c r="CB202" s="190"/>
      <c r="CC202" s="1132"/>
      <c r="CD202" s="85"/>
      <c r="CE202" s="85"/>
      <c r="CF202" s="1133"/>
      <c r="CG202" s="190"/>
      <c r="CH202" s="1132"/>
      <c r="CI202" s="85"/>
      <c r="CJ202" s="85"/>
      <c r="CK202" s="1133"/>
      <c r="CL202" s="190"/>
      <c r="CM202" s="1132"/>
      <c r="CN202" s="85"/>
      <c r="CO202" s="85"/>
      <c r="CP202" s="1133"/>
      <c r="CQ202" s="1165"/>
      <c r="CR202" s="75"/>
    </row>
    <row r="203" spans="1:96" ht="13.5" customHeight="1">
      <c r="A203" s="75"/>
      <c r="B203" s="75" t="s">
        <v>836</v>
      </c>
      <c r="C203" s="81"/>
      <c r="D203" s="75"/>
      <c r="E203" s="75"/>
      <c r="F203" s="256"/>
      <c r="G203" s="256"/>
      <c r="H203" s="256"/>
      <c r="I203" s="677">
        <f>SUM(F39:I39)/-SUM(F43:I43)</f>
        <v>-0.26027397260273971</v>
      </c>
      <c r="J203" s="677">
        <f>J39/-J43</f>
        <v>-0.26027397260273971</v>
      </c>
      <c r="K203" s="677">
        <f>SUM(K39,G39:I39)/-SUM(K43,G43:I43)</f>
        <v>0.69863013698630139</v>
      </c>
      <c r="L203" s="677">
        <f>SUM(K39:L39,H39:I39)/-SUM(K43:L43,H43:I43)</f>
        <v>3.5136986301369864</v>
      </c>
      <c r="M203" s="677">
        <f>SUM(K39:M39,I39)/-SUM(K43:M43,I43)</f>
        <v>7.1506849315068495</v>
      </c>
      <c r="N203" s="677">
        <f>SUM(K39:N39)/-SUM(K43:N43)</f>
        <v>10.952054794520548</v>
      </c>
      <c r="O203" s="677">
        <f>O39/-O43</f>
        <v>10.952054794520548</v>
      </c>
      <c r="P203" s="677">
        <f>SUM(P39,L39:N39)/-SUM(P43,L43:N43)</f>
        <v>15.089908256880735</v>
      </c>
      <c r="Q203" s="677">
        <f>SUM(P39:Q39,M39:N39)/-SUM(P43:Q43,M43:N43)</f>
        <v>16.33201581027668</v>
      </c>
      <c r="R203" s="677">
        <f>SUM(P39:R39,N39)/-SUM(P43:R43,N43)</f>
        <v>14.698072805139187</v>
      </c>
      <c r="S203" s="677">
        <f>SUM(P39:S39)/-SUM(P43:S43)</f>
        <v>13.16822429906542</v>
      </c>
      <c r="T203" s="677">
        <f>T39/-T43</f>
        <v>13.16822429906542</v>
      </c>
      <c r="U203" s="677">
        <f>SUM(U39,Q39:S39)/-SUM(U43,Q43:S43)</f>
        <v>11.029748283752861</v>
      </c>
      <c r="V203" s="677">
        <f>SUM(U39:V39,R39:S39)/-SUM(U43:V43,R43:S43)</f>
        <v>11.587443946188341</v>
      </c>
      <c r="W203" s="677">
        <f>SUM(U39:W39,S39)/-SUM(U43:W43,S43)</f>
        <v>15.147252747252747</v>
      </c>
      <c r="X203" s="677">
        <f>SUM(U39:X39)/-SUM(U43:X43)</f>
        <v>15.568965517241379</v>
      </c>
      <c r="Y203" s="677">
        <f>Y39/-Y43</f>
        <v>15.568965517241379</v>
      </c>
      <c r="Z203" s="677">
        <f>SUM(Z39,V39:X39)/-SUM(Z43,V43:X43)</f>
        <v>14.224</v>
      </c>
      <c r="AA203" s="677">
        <f>SUM(Z39:AA39,W39:X39)/-SUM(Z43:AA43,W43:X43)</f>
        <v>12.350746268656716</v>
      </c>
      <c r="AB203" s="677">
        <f>SUM(Z39:AB39,X39)/-SUM(Z43:AB43,X43)</f>
        <v>10.321678321678322</v>
      </c>
      <c r="AC203" s="677">
        <f>SUM(Z39:AC39)/-SUM(Z43:AC43)</f>
        <v>9.0921052631578956</v>
      </c>
      <c r="AD203" s="677">
        <f>AD39/-AD43</f>
        <v>9.0921052631578956</v>
      </c>
      <c r="AE203" s="677">
        <f>SUM(AE39,AA39:AC39)/-SUM(AE43,AA43:AC43)</f>
        <v>8.5250000000000004</v>
      </c>
      <c r="AF203" s="677">
        <f>SUM(AE39:AF39,AB39:AC39)/-SUM(AE43:AF43,AB43:AC43)</f>
        <v>11.786585365853659</v>
      </c>
      <c r="AG203" s="677">
        <f>SUM(AE39:AG39,AC39)/-SUM(AE43:AG43,AC43)</f>
        <v>17.981927710843372</v>
      </c>
      <c r="AH203" s="677">
        <f>SUM(AE39:AH39)/-SUM(AE43:AH43)</f>
        <v>18.757396449704142</v>
      </c>
      <c r="AI203" s="677">
        <f>AI39/-AI43</f>
        <v>18.757396449704142</v>
      </c>
      <c r="AJ203" s="1232">
        <f>SUM(AJ39,AF39:AH39)/-SUM(AJ43,AF43:AH43)</f>
        <v>14.79874213836478</v>
      </c>
      <c r="AK203" s="677">
        <f>SUM(AJ39:AK39,AG39:AH39)/-SUM(AJ43:AK43,AG43:AH43)</f>
        <v>5.4774193548387098</v>
      </c>
      <c r="AL203" s="677">
        <f>SUM(AJ39:AL39,AH39)/-SUM(AJ43:AL43,AH43)</f>
        <v>-6.484076433121019</v>
      </c>
      <c r="AM203" s="1233">
        <f>SUM(AJ39:AM39)/-SUM(AJ43:AM43)</f>
        <v>-10.709889912076589</v>
      </c>
      <c r="AN203" s="677">
        <f>AN39/-AN43</f>
        <v>-10.709889912076589</v>
      </c>
      <c r="AO203" s="1232">
        <f>SUM(AO39,AK39:AM39)/-SUM(AO43,AK43:AM43)</f>
        <v>-7.6934024372461307</v>
      </c>
      <c r="AP203" s="677">
        <f>SUM(AO39:AP39,AL39:AM39)/-SUM(AO43:AP43,AL43:AM43)</f>
        <v>-3.0263736983067502</v>
      </c>
      <c r="AQ203" s="677">
        <f>SUM(AO39:AQ39,AM39)/-SUM(AO43:AQ43,AM43)</f>
        <v>-1.4573878622062952</v>
      </c>
      <c r="AR203" s="1233">
        <f>SUM(AO39:AR39)/-SUM(AO43:AR43)</f>
        <v>-0.65973586413126406</v>
      </c>
      <c r="AS203" s="677">
        <f>AS39/-AS43</f>
        <v>-0.65973586413126406</v>
      </c>
      <c r="AT203" s="1232">
        <f>SUM(AT39,AP39:AR39)/-SUM(AT43,AP43:AR43)</f>
        <v>-0.80162227789611495</v>
      </c>
      <c r="AU203" s="677">
        <f>SUM(AT39:AU39,AQ39:AR39)/-SUM(AT43:AU43,AQ43:AR43)</f>
        <v>-0.31514662657848092</v>
      </c>
      <c r="AV203" s="677">
        <f>SUM(AU39:AV39,AR39:AS39)/-SUM(AU43:AV43,AR43:AS43)</f>
        <v>0.66255398383051123</v>
      </c>
      <c r="AW203" s="1233">
        <f>SUM(AT39:AW39)/-SUM(AT43:AW43)</f>
        <v>1.4894736842105263</v>
      </c>
      <c r="AX203" s="677">
        <f>AX39/-AX43</f>
        <v>1.4894736842105263</v>
      </c>
      <c r="AY203" s="1232">
        <f>SUM(AY39,AU39:AW39)/-SUM(AY43,AU43:AW43)</f>
        <v>3.1322751322751321</v>
      </c>
      <c r="AZ203" s="677">
        <f>SUM(AY39:AZ39,AV39:AW39)/-SUM(AY43:AZ43,AV43:AW43)</f>
        <v>2.6328502415458939</v>
      </c>
      <c r="BA203" s="677">
        <f>SUM(AY39:BA39,AW39)/-SUM(AY43:BA43,AW43)</f>
        <v>2.1609756097560977</v>
      </c>
      <c r="BB203" s="1233">
        <f>SUM(AY39:BB39)/-SUM(AY43:BB43)</f>
        <v>2.6074766355140189</v>
      </c>
      <c r="BC203" s="677">
        <f>BC39/-BC43</f>
        <v>2.6074766355140189</v>
      </c>
      <c r="BD203" s="1232">
        <f>SUM(BD39,AZ39:BB39)/-SUM(BD43,AZ43:BB43)</f>
        <v>1.512</v>
      </c>
      <c r="BE203" s="677">
        <f>SUM(BD39:BE39,BA39:BB39)/-SUM(BD43:BE43,BA43:BB43)</f>
        <v>0.48760330578512395</v>
      </c>
      <c r="BF203" s="677">
        <f>SUM(BD39:BF39,BB39)/-SUM(BD43:BF43,BB43)</f>
        <v>0.30620155038759689</v>
      </c>
      <c r="BG203" s="1233">
        <f>SUM(BD39:BG39)/-SUM(BD43:BG43)</f>
        <v>0.67293233082706772</v>
      </c>
      <c r="BH203" s="677">
        <f>BH39/-BH43</f>
        <v>0.67293233082706772</v>
      </c>
      <c r="BI203" s="1232">
        <f>SUM(BI39,BE39:BG39)/-SUM(BI43,BE43:BG43)</f>
        <v>1.0041322314049588</v>
      </c>
      <c r="BJ203" s="677">
        <f>SUM(BI39:BJ39,BF39:BG39)/-SUM(BI43:BJ43,BF43:BG43)</f>
        <v>1.4344262295081966</v>
      </c>
      <c r="BK203" s="677">
        <f>SUM(BI39:BK39,BG39)/-SUM(BI43:BK43,BG43)</f>
        <v>3.1041666666666665</v>
      </c>
      <c r="BL203" s="1233">
        <f>SUM(BI39:BL39)/-SUM(BI43:BL43)</f>
        <v>4.4914529914529915</v>
      </c>
      <c r="BM203" s="677">
        <f>BM39/-BM43</f>
        <v>4.4914529914529915</v>
      </c>
      <c r="BN203" s="1232">
        <f>SUM(BN39,BJ39:BL39)/-SUM(BN43,BJ43:BL43)</f>
        <v>4.0848214285714288</v>
      </c>
      <c r="BO203" s="677">
        <f>SUM(BN39:BO39,BK39:BL39)/-SUM(BN43:BO43,BK43:BL43)</f>
        <v>3.2119815668202767</v>
      </c>
      <c r="BP203" s="677">
        <f>SUM(BN39:BP39,BL39)/-SUM(BN43:BP43,BL43)</f>
        <v>0.89351851851851849</v>
      </c>
      <c r="BQ203" s="1233">
        <f>SUM(BN39:BQ39)/-SUM(BN43:BQ43)</f>
        <v>-1.6121495327102804</v>
      </c>
      <c r="BR203" s="677">
        <f>BR39/-BR43</f>
        <v>-1.6121495327102804</v>
      </c>
      <c r="BS203" s="1354">
        <f>SUM(BS39,BO39:BQ39)/-SUM(BS43,BO43:BQ43)</f>
        <v>-2.5324074074074074</v>
      </c>
      <c r="BT203" s="677">
        <f>SUM(BS39:BT39,BP39:BQ39)/-SUM(BS43:BT43,BP43:BQ43)</f>
        <v>-1.9013452914798206</v>
      </c>
      <c r="BU203" s="677">
        <f>SUM(BS39:BU39,BQ39)/-SUM(BS43:BU43,BQ43)</f>
        <v>-1.0088888888888889</v>
      </c>
      <c r="BV203" s="1233">
        <f>SUM(BS39:BV39)/-SUM(BS43:BV43)</f>
        <v>1.3901358278548466E-2</v>
      </c>
      <c r="BW203" s="677">
        <f>BW39/-BW43</f>
        <v>1.3901358278548466E-2</v>
      </c>
      <c r="BX203" s="1232">
        <f>SUM(BX39,BT39:BV39)/-SUM(BX43,BT43:BV43)</f>
        <v>0.79707888703331542</v>
      </c>
      <c r="BY203" s="677">
        <f>SUM(BX39:BY39,BU39:BV39)/-SUM(BX43:BY43,BU43:BV43)</f>
        <v>1.9091198702539893</v>
      </c>
      <c r="BZ203" s="677">
        <f>SUM(BX39:BZ39,BV39)/-SUM(BX43:BZ43,BV43)</f>
        <v>1.8787893311605839</v>
      </c>
      <c r="CA203" s="1233">
        <f>SUM(BX39:CA39)/-SUM(BX43:CA43)</f>
        <v>1.9931972789115646</v>
      </c>
      <c r="CB203" s="677">
        <f>CB39/-CB43</f>
        <v>1.9931972789115646</v>
      </c>
      <c r="CC203" s="1232">
        <f>SUM(CC39,BY39:CA39)/-SUM(CC43,BY43:CA43)</f>
        <v>2.5414559203821234</v>
      </c>
      <c r="CD203" s="677">
        <f>SUM(CC39:CD39,BZ39:CA39)/-SUM(CC43:CD43,BZ43:CA43)</f>
        <v>2.7226071922526871</v>
      </c>
      <c r="CE203" s="677">
        <f>SUM(CC39:CE39,CA39)/-SUM(CC43:CE43,CA43)</f>
        <v>3.7158237357804671</v>
      </c>
      <c r="CF203" s="1233">
        <f>SUM(CC39:CF39)/-SUM(CC43:CF43)</f>
        <v>4.4637769053162559</v>
      </c>
      <c r="CG203" s="677">
        <f>CG39/-CG43</f>
        <v>4.4637769053162559</v>
      </c>
      <c r="CH203" s="1232">
        <f>SUM(CH39,CD39:CF39)/-SUM(CH43,CD43:CF43)</f>
        <v>4.73002997088226</v>
      </c>
      <c r="CI203" s="677">
        <f>SUM(CH39:CI39,CE39:CF39)/-SUM(CH43:CI43,CE43:CF43)</f>
        <v>5.0854321040283832</v>
      </c>
      <c r="CJ203" s="677">
        <f>SUM(CH39:CJ39,CF39)/-SUM(CH43:CJ43,CF43)</f>
        <v>5.0303133910932081</v>
      </c>
      <c r="CK203" s="1233">
        <f>SUM(CH39:CK39)/-SUM(CH43:CK43)</f>
        <v>5.1523513490576862</v>
      </c>
      <c r="CL203" s="677">
        <f>CL39/-CL43</f>
        <v>5.1523513490576871</v>
      </c>
      <c r="CM203" s="1232">
        <f>SUM(CM39,CI39:CK39)/-SUM(CM43,CI43:CK43)</f>
        <v>5.2240352525229756</v>
      </c>
      <c r="CN203" s="677">
        <f>SUM(CM39:CN39,CJ39:CK39)/-SUM(CM43:CN43,CJ43:CK43)</f>
        <v>4.9303917839192817</v>
      </c>
      <c r="CO203" s="677">
        <f>SUM(CM39:CO39,CK39)/-SUM(CM43:CO43,CK43)</f>
        <v>4.5205544795400767</v>
      </c>
      <c r="CP203" s="1233">
        <f>SUM(CM39:CP39)/-SUM(CM43:CP43)</f>
        <v>4.1345530947501468</v>
      </c>
      <c r="CQ203" s="1233">
        <f>CQ39/-CQ43</f>
        <v>4.1345530947501468</v>
      </c>
      <c r="CR203" s="75"/>
    </row>
    <row r="204" spans="1:96" ht="13.5" customHeight="1">
      <c r="A204" s="75"/>
      <c r="B204" s="75" t="s">
        <v>837</v>
      </c>
      <c r="C204" s="81"/>
      <c r="D204" s="75"/>
      <c r="E204" s="75"/>
      <c r="F204" s="256"/>
      <c r="G204" s="256"/>
      <c r="H204" s="256"/>
      <c r="I204" s="677">
        <f>SUM(F101:I101)/-SUM(F43:I43)</f>
        <v>2.2260273972602738</v>
      </c>
      <c r="J204" s="677">
        <f>J101/-J43</f>
        <v>2.2260273972602738</v>
      </c>
      <c r="K204" s="677">
        <f>SUM(K101,G101:I101)/-SUM(K43,G43:I43)</f>
        <v>3.2397260273972601</v>
      </c>
      <c r="L204" s="677">
        <f>SUM(K101:L101,H101:I101)/-SUM(K43:L43,H43:I43)</f>
        <v>6.095890410958904</v>
      </c>
      <c r="M204" s="677">
        <f>SUM(K101:M101,I101)/-SUM(K43:M43,I43)</f>
        <v>9.4315068493150687</v>
      </c>
      <c r="N204" s="677">
        <f>SUM(K101:N101)/-SUM(K43:N43)</f>
        <v>13.568493150684931</v>
      </c>
      <c r="O204" s="677">
        <f>O101/-O43</f>
        <v>13.568493150684931</v>
      </c>
      <c r="P204" s="677">
        <f>SUM(P101,L101:N101)/-SUM(P43,L43:N43)</f>
        <v>17.893577981651376</v>
      </c>
      <c r="Q204" s="677">
        <f>SUM(P101:Q101,M101:N101)/-SUM(P43:Q43,M43:N43)</f>
        <v>19.312252964426879</v>
      </c>
      <c r="R204" s="677">
        <f>SUM(P101:R101,N101)/-SUM(P43:R43,N43)</f>
        <v>17.858672376873663</v>
      </c>
      <c r="S204" s="677">
        <f>SUM(P101:S101)/-SUM(P43:S43)</f>
        <v>16.588785046728972</v>
      </c>
      <c r="T204" s="677">
        <f>T101/-T43</f>
        <v>16.588785046728972</v>
      </c>
      <c r="U204" s="677">
        <f>SUM(U101,Q101:S101)/-SUM(U43,Q43:S43)</f>
        <v>14.508009153318078</v>
      </c>
      <c r="V204" s="677">
        <f>SUM(U101:V101,R101:S101)/-SUM(U43:V43,R43:S43)</f>
        <v>15.228699551569507</v>
      </c>
      <c r="W204" s="677">
        <f>SUM(U101:W101,S101)/-SUM(U43:W43,S43)</f>
        <v>18.936263736263736</v>
      </c>
      <c r="X204" s="677">
        <f>SUM(U101:X101)/-SUM(U43:X43)</f>
        <v>19.370689655172413</v>
      </c>
      <c r="Y204" s="677">
        <f>Y101/-Y43</f>
        <v>19.370689655172413</v>
      </c>
      <c r="Z204" s="677">
        <f>SUM(Z101,V101:X101)/-SUM(Z43,V43:X43)</f>
        <v>17.744</v>
      </c>
      <c r="AA204" s="677">
        <f>SUM(Z101:AA101,W101:X101)/-SUM(Z43:AA43,W43:X43)</f>
        <v>15.664179104477611</v>
      </c>
      <c r="AB204" s="677">
        <f>SUM(Z101:AB101,X101)/-SUM(Z43:AB43,X43)</f>
        <v>13.503496503496503</v>
      </c>
      <c r="AC204" s="677">
        <f>SUM(Z101:AC101)/-SUM(Z43:AC43)</f>
        <v>12.421052631578947</v>
      </c>
      <c r="AD204" s="677">
        <f>AD101/-AD43</f>
        <v>12.421052631578947</v>
      </c>
      <c r="AE204" s="677">
        <f>SUM(AE101,AA101:AC101)/-SUM(AE43,AA43:AC43)</f>
        <v>11.96875</v>
      </c>
      <c r="AF204" s="677">
        <f>SUM(AE101:AF101,AB101:AC101)/-SUM(AE43:AF43,AB43:AC43)</f>
        <v>15.396341463414634</v>
      </c>
      <c r="AG204" s="677">
        <f>SUM(AE101:AG101,AC101)/-SUM(AE43:AG43,AC43)</f>
        <v>21.698795180722893</v>
      </c>
      <c r="AH204" s="677">
        <f>SUM(AE101:AH101)/-SUM(AE43:AH43)</f>
        <v>22.337278106508876</v>
      </c>
      <c r="AI204" s="677">
        <f>AI101/-AI43</f>
        <v>22.337278106508876</v>
      </c>
      <c r="AJ204" s="1232">
        <f>SUM(AJ101,AF101:AH101)/-SUM(AJ43,AF43:AH43)</f>
        <v>18.616352201257861</v>
      </c>
      <c r="AK204" s="677">
        <f>SUM(AJ101:AK101,AG101:AH101)/-SUM(AJ43:AK43,AG43:AH43)</f>
        <v>9.3935483870967733</v>
      </c>
      <c r="AL204" s="677">
        <f>SUM(AJ101:AL101,AH101)/-SUM(AJ43:AL43,AH43)</f>
        <v>-2.5031847133757963</v>
      </c>
      <c r="AM204" s="1233">
        <f>SUM(AJ101:AM101)/-SUM(AJ43:AM43)</f>
        <v>-6.6059842704055018</v>
      </c>
      <c r="AN204" s="677">
        <f>AN101/-AN43</f>
        <v>-6.6059842704055018</v>
      </c>
      <c r="AO204" s="1232">
        <f>SUM(AO101,AK101:AM101)/-SUM(AO43,AK43:AM43)</f>
        <v>-3.7187753466966988</v>
      </c>
      <c r="AP204" s="677">
        <f>SUM(AO101:AP101,AL101:AM101)/-SUM(AO43:AP43,AL43:AM43)</f>
        <v>0.65910134990346647</v>
      </c>
      <c r="AQ204" s="677">
        <f>SUM(AO101:AQ101,AM101)/-SUM(AO43:AQ43,AM43)</f>
        <v>2.0519179287381051</v>
      </c>
      <c r="AR204" s="1233">
        <f>SUM(AO101:AR101)/-SUM(AO43:AR43)</f>
        <v>2.6289474585836734</v>
      </c>
      <c r="AS204" s="677">
        <f>AS101/-AS43</f>
        <v>2.6289474585836734</v>
      </c>
      <c r="AT204" s="1232">
        <f>SUM(AT101,AP101:AR101)/-SUM(AT43,AP43:AR43)</f>
        <v>2.3952087339546568</v>
      </c>
      <c r="AU204" s="677">
        <f>SUM(AT101:AU101,AQ101:AR101)/-SUM(AT43:AU43,AQ43:AR43)</f>
        <v>2.9889687864552799</v>
      </c>
      <c r="AV204" s="677">
        <f>SUM(AU101:AV101,AR101:AS101)/-SUM(AU43:AV43,AR43:AS43)</f>
        <v>4.0010264282178714</v>
      </c>
      <c r="AW204" s="1233">
        <f>SUM(AT101:AW101)/-SUM(AT43:AW43)</f>
        <v>5.0736842105263156</v>
      </c>
      <c r="AX204" s="677">
        <f>AX101/-AX43</f>
        <v>5.0736842105263156</v>
      </c>
      <c r="AY204" s="1232">
        <f>SUM(AY101,AU101:AW101)/-SUM(AY43,AU43:AW43)</f>
        <v>6.7037037037037033</v>
      </c>
      <c r="AZ204" s="677">
        <f>SUM(AY101:AZ101,AV101:AW101)/-SUM(AY43:AZ43,AV43:AW43)</f>
        <v>5.8599033816425123</v>
      </c>
      <c r="BA204" s="677">
        <f>SUM(AY101:BA101,AW101)/-SUM(AY43:BA43,AW43)</f>
        <v>5.3756097560975613</v>
      </c>
      <c r="BB204" s="1233">
        <f>SUM(AY101:BB101)/-SUM(AY43:BB43)</f>
        <v>5.6962616822429908</v>
      </c>
      <c r="BC204" s="677">
        <f>BC101/-BC43</f>
        <v>5.6962616822429908</v>
      </c>
      <c r="BD204" s="1232">
        <f>SUM(BD101,AZ101:BB101)/-SUM(BD43,AZ43:BB43)</f>
        <v>4.1879999999999997</v>
      </c>
      <c r="BE204" s="677">
        <f>SUM(BD101:BE101,BA101:BB101)/-SUM(BD43:BE43,BA43:BB43)</f>
        <v>3.2768595041322315</v>
      </c>
      <c r="BF204" s="677">
        <f>SUM(BD101:BF101,BB101)/-SUM(BD43:BF43,BB43)</f>
        <v>2.9612403100775193</v>
      </c>
      <c r="BG204" s="1233">
        <f>SUM(BD101:BG101)/-SUM(BD43:BG43)</f>
        <v>3.244360902255639</v>
      </c>
      <c r="BH204" s="677">
        <f>BH101/-BH43</f>
        <v>3.244360902255639</v>
      </c>
      <c r="BI204" s="1232">
        <f>SUM(BI101,BE101:BG101)/-SUM(BI43,BE43:BG43)</f>
        <v>3.8099173553719008</v>
      </c>
      <c r="BJ204" s="677">
        <f>SUM(BI101:BJ101,BF101:BG101)/-SUM(BI43:BJ43,BF43:BG43)</f>
        <v>4.1967213114754101</v>
      </c>
      <c r="BK204" s="677">
        <f>SUM(BI101:BK101,BG101)/-SUM(BI43:BK43,BG43)</f>
        <v>5.85</v>
      </c>
      <c r="BL204" s="1233">
        <f>SUM(BI101:BL101)/-SUM(BI43:BL43)</f>
        <v>7.1709401709401712</v>
      </c>
      <c r="BM204" s="677">
        <f>BM101/-BM43</f>
        <v>7.1709401709401712</v>
      </c>
      <c r="BN204" s="1232">
        <f>SUM(BN101,BJ101:BL101)/-SUM(BN43,BJ43:BL43)</f>
        <v>6.7857142857142856</v>
      </c>
      <c r="BO204" s="677">
        <f>SUM(BN101:BO101,BK101:BL101)/-SUM(BN43:BO43,BK43:BL43)</f>
        <v>5.8755760368663594</v>
      </c>
      <c r="BP204" s="677">
        <f>SUM(BN101:BP101,BL101)/-SUM(BN43:BP43,BL43)</f>
        <v>3.4675925925925926</v>
      </c>
      <c r="BQ204" s="1233">
        <f>SUM(BN101:BQ101)/-SUM(BN43:BQ43)</f>
        <v>0.94392523364485981</v>
      </c>
      <c r="BR204" s="677">
        <f>BR101/-BR43</f>
        <v>0.94392523364485981</v>
      </c>
      <c r="BS204" s="1354">
        <f>SUM(BS101,BO101:BQ101)/-SUM(BS43,BO43:BQ43)</f>
        <v>-6.9444444444444448E-2</v>
      </c>
      <c r="BT204" s="677">
        <f>SUM(BS101:BT101,BP101:BQ101)/-SUM(BS43:BT43,BP43:BQ43)</f>
        <v>0.44394618834080718</v>
      </c>
      <c r="BU204" s="677">
        <f>SUM(BS101:BU101,BQ101)/-SUM(BS43:BU43,BQ43)</f>
        <v>1.2711111111111111</v>
      </c>
      <c r="BV204" s="1233">
        <f>SUM(BS101:BV101)/-SUM(BS43:BV43)</f>
        <v>2.3632309073532394</v>
      </c>
      <c r="BW204" s="677">
        <f>BW101/-BW43</f>
        <v>2.3632309073532394</v>
      </c>
      <c r="BX204" s="1232">
        <f>SUM(BX101,BT101:BV101)/-SUM(BX43,BT43:BV43)</f>
        <v>3.1294404030683007</v>
      </c>
      <c r="BY204" s="677">
        <f>SUM(BX101:BY101,BU101:BV101)/-SUM(BX43:BY43,BU43:BV43)</f>
        <v>4.2584494193286799</v>
      </c>
      <c r="BZ204" s="677">
        <f>SUM(BX101:BZ101,BV101)/-SUM(BX43:BZ43,BV43)</f>
        <v>3.7920870377914642</v>
      </c>
      <c r="CA204" s="1233">
        <f>SUM(BX101:CA101)/-SUM(BX43:CA43)</f>
        <v>3.6972789115646258</v>
      </c>
      <c r="CB204" s="677">
        <f>CB101/-CB43</f>
        <v>3.6972789115646258</v>
      </c>
      <c r="CC204" s="1232">
        <f>SUM(CC101,BY101:CA101)/-SUM(CC43,BY43:CA43)</f>
        <v>4.1642469737649153</v>
      </c>
      <c r="CD204" s="677">
        <f>SUM(CC101:CD101,BZ101:CA101)/-SUM(CC43:CD43,BZ43:CA43)</f>
        <v>4.2805581277257314</v>
      </c>
      <c r="CE204" s="677">
        <f>SUM(CC101:CE101,CA101)/-SUM(CC43:CE43,CA43)</f>
        <v>5.4757812179957481</v>
      </c>
      <c r="CF204" s="1233">
        <f>SUM(CC101:CF101)/-SUM(CC43:CF43)</f>
        <v>6.2406134184092075</v>
      </c>
      <c r="CG204" s="677">
        <f>CG101/-CG43</f>
        <v>6.2406134184092075</v>
      </c>
      <c r="CH204" s="1232">
        <f>SUM(CH101,CD101:CF101)/-SUM(CH43,CD43:CF43)</f>
        <v>6.5068664839752115</v>
      </c>
      <c r="CI204" s="677">
        <f>SUM(CH101:CI101,CE101:CF101)/-SUM(CH43:CI43,CE43:CF43)</f>
        <v>6.8622686171213347</v>
      </c>
      <c r="CJ204" s="677">
        <f>SUM(CH101:CJ101,CF101)/-SUM(CH43:CJ43,CF43)</f>
        <v>6.8071499041861605</v>
      </c>
      <c r="CK204" s="1233">
        <f>SUM(CH101:CK101)/-SUM(CH43:CK43)</f>
        <v>6.9291878621506386</v>
      </c>
      <c r="CL204" s="677">
        <f>CL101/-CL43</f>
        <v>6.9291878621506386</v>
      </c>
      <c r="CM204" s="1232">
        <f>SUM(CM101,CI101:CK101)/-SUM(CM43,CI43:CK43)</f>
        <v>7.0008717656159281</v>
      </c>
      <c r="CN204" s="677">
        <f>SUM(CM101:CN101,CJ101:CK101)/-SUM(CM43:CN43,CJ43:CK43)</f>
        <v>6.7072282970122341</v>
      </c>
      <c r="CO204" s="677">
        <f>SUM(CM101:CO101,CK101)/-SUM(CM43:CO43,CK43)</f>
        <v>6.2973909926330283</v>
      </c>
      <c r="CP204" s="1233">
        <f>SUM(CM101:CP101)/-SUM(CM43:CP43)</f>
        <v>5.9113896078430983</v>
      </c>
      <c r="CQ204" s="1233">
        <f>CQ101/-CQ43</f>
        <v>5.9113896078430983</v>
      </c>
      <c r="CR204" s="75"/>
    </row>
    <row r="205" spans="1:96" ht="6.2" customHeight="1">
      <c r="A205" s="75"/>
      <c r="B205" s="75"/>
      <c r="C205" s="81"/>
      <c r="D205" s="75"/>
      <c r="E205" s="75"/>
      <c r="F205" s="256"/>
      <c r="G205" s="256"/>
      <c r="H205" s="256"/>
      <c r="I205" s="256"/>
      <c r="J205" s="256"/>
      <c r="K205" s="256"/>
      <c r="L205" s="256"/>
      <c r="M205" s="256"/>
      <c r="N205" s="256"/>
      <c r="O205" s="256"/>
      <c r="P205" s="142"/>
      <c r="Q205" s="142"/>
      <c r="R205" s="142"/>
      <c r="S205" s="142"/>
      <c r="T205" s="142"/>
      <c r="U205" s="142"/>
      <c r="V205" s="142"/>
      <c r="W205" s="142"/>
      <c r="X205" s="142"/>
      <c r="Y205" s="142"/>
      <c r="Z205" s="142"/>
      <c r="AA205" s="142"/>
      <c r="AB205" s="142"/>
      <c r="AC205" s="142"/>
      <c r="AD205" s="142"/>
      <c r="AE205" s="142"/>
      <c r="AF205" s="142"/>
      <c r="AG205" s="142"/>
      <c r="AH205" s="142"/>
      <c r="AI205" s="142"/>
      <c r="AJ205" s="1132"/>
      <c r="AK205" s="85"/>
      <c r="AL205" s="85"/>
      <c r="AM205" s="1133"/>
      <c r="AN205" s="142"/>
      <c r="AO205" s="1132"/>
      <c r="AP205" s="85"/>
      <c r="AQ205" s="85"/>
      <c r="AR205" s="1133"/>
      <c r="AS205" s="142"/>
      <c r="AT205" s="1132"/>
      <c r="AU205" s="85"/>
      <c r="AV205" s="85"/>
      <c r="AW205" s="1133"/>
      <c r="AX205" s="142"/>
      <c r="AY205" s="1132"/>
      <c r="AZ205" s="85"/>
      <c r="BA205" s="85"/>
      <c r="BB205" s="1133"/>
      <c r="BC205" s="142"/>
      <c r="BD205" s="1132"/>
      <c r="BE205" s="85"/>
      <c r="BF205" s="85"/>
      <c r="BG205" s="1133"/>
      <c r="BH205" s="142"/>
      <c r="BI205" s="1132"/>
      <c r="BJ205" s="85"/>
      <c r="BK205" s="85"/>
      <c r="BL205" s="1133"/>
      <c r="BM205" s="142"/>
      <c r="BN205" s="1132"/>
      <c r="BO205" s="85"/>
      <c r="BP205" s="85"/>
      <c r="BQ205" s="1133"/>
      <c r="BR205" s="142"/>
      <c r="BS205" s="1132"/>
      <c r="BT205" s="85"/>
      <c r="BU205" s="85"/>
      <c r="BV205" s="1133"/>
      <c r="BW205" s="142"/>
      <c r="BX205" s="1132"/>
      <c r="BY205" s="85"/>
      <c r="BZ205" s="85"/>
      <c r="CA205" s="1133"/>
      <c r="CB205" s="142"/>
      <c r="CC205" s="1132"/>
      <c r="CD205" s="85"/>
      <c r="CE205" s="85"/>
      <c r="CF205" s="1133"/>
      <c r="CG205" s="142"/>
      <c r="CH205" s="1132"/>
      <c r="CI205" s="85"/>
      <c r="CJ205" s="85"/>
      <c r="CK205" s="1133"/>
      <c r="CL205" s="142"/>
      <c r="CM205" s="1132"/>
      <c r="CN205" s="85"/>
      <c r="CO205" s="85"/>
      <c r="CP205" s="1133"/>
      <c r="CQ205" s="1133"/>
      <c r="CR205" s="75"/>
    </row>
    <row r="206" spans="1:96" ht="13.5" customHeight="1">
      <c r="A206" s="93" t="s">
        <v>838</v>
      </c>
      <c r="B206" s="75"/>
      <c r="C206" s="81"/>
      <c r="D206" s="75"/>
      <c r="E206" s="75"/>
      <c r="F206" s="256"/>
      <c r="G206" s="256"/>
      <c r="H206" s="256"/>
      <c r="I206" s="256"/>
      <c r="J206" s="256"/>
      <c r="K206" s="256"/>
      <c r="L206" s="256"/>
      <c r="M206" s="256"/>
      <c r="N206" s="256"/>
      <c r="O206" s="256"/>
      <c r="P206" s="142"/>
      <c r="Q206" s="142"/>
      <c r="R206" s="142"/>
      <c r="S206" s="142"/>
      <c r="T206" s="142"/>
      <c r="U206" s="142"/>
      <c r="V206" s="142"/>
      <c r="W206" s="142"/>
      <c r="X206" s="142"/>
      <c r="Y206" s="142"/>
      <c r="Z206" s="142"/>
      <c r="AA206" s="142"/>
      <c r="AB206" s="142"/>
      <c r="AC206" s="142"/>
      <c r="AD206" s="142"/>
      <c r="AE206" s="142"/>
      <c r="AF206" s="142"/>
      <c r="AG206" s="142"/>
      <c r="AH206" s="142"/>
      <c r="AI206" s="142"/>
      <c r="AJ206" s="1132"/>
      <c r="AK206" s="85"/>
      <c r="AL206" s="85"/>
      <c r="AM206" s="1133"/>
      <c r="AN206" s="142"/>
      <c r="AO206" s="1132"/>
      <c r="AP206" s="85"/>
      <c r="AQ206" s="85"/>
      <c r="AR206" s="1133"/>
      <c r="AS206" s="142"/>
      <c r="AT206" s="1132"/>
      <c r="AU206" s="85"/>
      <c r="AV206" s="85"/>
      <c r="AW206" s="1133"/>
      <c r="AX206" s="142"/>
      <c r="AY206" s="1132"/>
      <c r="AZ206" s="85"/>
      <c r="BA206" s="85"/>
      <c r="BB206" s="1133"/>
      <c r="BC206" s="142"/>
      <c r="BD206" s="1132"/>
      <c r="BE206" s="85"/>
      <c r="BF206" s="85"/>
      <c r="BG206" s="1133"/>
      <c r="BH206" s="142"/>
      <c r="BI206" s="1132"/>
      <c r="BJ206" s="85"/>
      <c r="BK206" s="85"/>
      <c r="BL206" s="1133"/>
      <c r="BM206" s="142"/>
      <c r="BN206" s="1132"/>
      <c r="BO206" s="85"/>
      <c r="BP206" s="85"/>
      <c r="BQ206" s="1133"/>
      <c r="BR206" s="142"/>
      <c r="BS206" s="1132"/>
      <c r="BT206" s="85"/>
      <c r="BU206" s="85"/>
      <c r="BV206" s="1133"/>
      <c r="BW206" s="142"/>
      <c r="BX206" s="1132"/>
      <c r="BY206" s="85"/>
      <c r="BZ206" s="85"/>
      <c r="CA206" s="1133"/>
      <c r="CB206" s="142"/>
      <c r="CC206" s="1132"/>
      <c r="CD206" s="85"/>
      <c r="CE206" s="85"/>
      <c r="CF206" s="1133"/>
      <c r="CG206" s="142"/>
      <c r="CH206" s="1132"/>
      <c r="CI206" s="85"/>
      <c r="CJ206" s="85"/>
      <c r="CK206" s="1133"/>
      <c r="CL206" s="142"/>
      <c r="CM206" s="1132"/>
      <c r="CN206" s="85"/>
      <c r="CO206" s="85"/>
      <c r="CP206" s="1133"/>
      <c r="CQ206" s="1133"/>
      <c r="CR206" s="75"/>
    </row>
    <row r="207" spans="1:96" ht="13.5" customHeight="1">
      <c r="A207" s="75"/>
      <c r="B207" s="75" t="s">
        <v>839</v>
      </c>
      <c r="C207" s="81"/>
      <c r="D207" s="75"/>
      <c r="E207" s="75"/>
      <c r="F207" s="209">
        <f t="shared" ref="F207:AI207" si="294">F172/F77</f>
        <v>21.697442836144884</v>
      </c>
      <c r="G207" s="209">
        <f t="shared" si="294"/>
        <v>21.069864765373737</v>
      </c>
      <c r="H207" s="209">
        <f t="shared" si="294"/>
        <v>15.921255117546288</v>
      </c>
      <c r="I207" s="209">
        <f t="shared" si="294"/>
        <v>10.568248842133761</v>
      </c>
      <c r="J207" s="209">
        <f t="shared" si="294"/>
        <v>10.593240872658196</v>
      </c>
      <c r="K207" s="209">
        <f t="shared" si="294"/>
        <v>14.7956456921043</v>
      </c>
      <c r="L207" s="209">
        <f t="shared" si="294"/>
        <v>16.111954258285394</v>
      </c>
      <c r="M207" s="209">
        <f t="shared" si="294"/>
        <v>19.256009795371863</v>
      </c>
      <c r="N207" s="209">
        <f t="shared" si="294"/>
        <v>36.02891447744021</v>
      </c>
      <c r="O207" s="209">
        <f t="shared" si="294"/>
        <v>36.678052182621293</v>
      </c>
      <c r="P207" s="209">
        <f t="shared" si="294"/>
        <v>39.923271641163538</v>
      </c>
      <c r="Q207" s="209">
        <f t="shared" si="294"/>
        <v>41.944634133529448</v>
      </c>
      <c r="R207" s="209">
        <f t="shared" si="294"/>
        <v>42.358308475171079</v>
      </c>
      <c r="S207" s="209">
        <f t="shared" si="294"/>
        <v>29.509782369751594</v>
      </c>
      <c r="T207" s="209">
        <f t="shared" si="294"/>
        <v>29.576099409535562</v>
      </c>
      <c r="U207" s="209">
        <f t="shared" si="294"/>
        <v>34.335395050041818</v>
      </c>
      <c r="V207" s="209">
        <f t="shared" si="294"/>
        <v>36.570112211933875</v>
      </c>
      <c r="W207" s="209">
        <f t="shared" si="294"/>
        <v>34.847860146779915</v>
      </c>
      <c r="X207" s="209">
        <f t="shared" si="294"/>
        <v>37.205411388928788</v>
      </c>
      <c r="Y207" s="209">
        <f t="shared" si="294"/>
        <v>38.314276266555282</v>
      </c>
      <c r="Z207" s="209">
        <f t="shared" si="294"/>
        <v>39.663746152024629</v>
      </c>
      <c r="AA207" s="209">
        <f t="shared" si="294"/>
        <v>42.24291792490336</v>
      </c>
      <c r="AB207" s="209">
        <f t="shared" si="294"/>
        <v>45.610826008163542</v>
      </c>
      <c r="AC207" s="209">
        <f t="shared" si="294"/>
        <v>47.694227292404065</v>
      </c>
      <c r="AD207" s="209">
        <f t="shared" si="294"/>
        <v>47.581949513510772</v>
      </c>
      <c r="AE207" s="209">
        <f t="shared" si="294"/>
        <v>49.985118414898594</v>
      </c>
      <c r="AF207" s="209">
        <f t="shared" si="294"/>
        <v>55.605197988204957</v>
      </c>
      <c r="AG207" s="209">
        <f t="shared" si="294"/>
        <v>54.067202075634341</v>
      </c>
      <c r="AH207" s="209">
        <f t="shared" si="294"/>
        <v>43.556871895098453</v>
      </c>
      <c r="AI207" s="209">
        <f t="shared" si="294"/>
        <v>43.200730971055769</v>
      </c>
      <c r="AJ207" s="1178">
        <f>(AJ172+'debt schedule'!AK140)/AJ77</f>
        <v>39.43911871355607</v>
      </c>
      <c r="AK207" s="211">
        <f>(AK172+'debt schedule'!AL140)/AK77</f>
        <v>44.502131705215625</v>
      </c>
      <c r="AL207" s="211">
        <f>(AL172+'debt schedule'!AM140)/AL77</f>
        <v>41.164735670989025</v>
      </c>
      <c r="AM207" s="1180">
        <f>(AM172+'debt schedule'!AN140)/AM77</f>
        <v>40.750563217918682</v>
      </c>
      <c r="AN207" s="209">
        <f>(AN172+'debt schedule'!AO140)/AN77</f>
        <v>43.475857238368903</v>
      </c>
      <c r="AO207" s="1178">
        <f>(AO172+'debt schedule'!AP140)/AO77</f>
        <v>37.79552270032778</v>
      </c>
      <c r="AP207" s="211">
        <f>(AP172+'debt schedule'!AQ140)/AP77</f>
        <v>37.019874010480549</v>
      </c>
      <c r="AQ207" s="211">
        <f>(AQ172+'debt schedule'!AR140)/AQ77</f>
        <v>37.459974940832524</v>
      </c>
      <c r="AR207" s="1180">
        <f>(AR172+'debt schedule'!AS140)/AR77</f>
        <v>32.805193720774888</v>
      </c>
      <c r="AS207" s="209">
        <f>(AS172+'debt schedule'!AT140)/AS77</f>
        <v>32.838440722591969</v>
      </c>
      <c r="AT207" s="1178">
        <f>(AT172+'debt schedule'!AU140)/AT77</f>
        <v>33.181271340254938</v>
      </c>
      <c r="AU207" s="211">
        <f>(AU172+'debt schedule'!AV140)/AU77</f>
        <v>35.286474618195967</v>
      </c>
      <c r="AV207" s="211">
        <f>(AV172+'debt schedule'!AW140)/AV77</f>
        <v>34.931663739787737</v>
      </c>
      <c r="AW207" s="1180">
        <f>(AW172+'debt schedule'!AX140)/AW77</f>
        <v>30.287150085721624</v>
      </c>
      <c r="AX207" s="209">
        <f>(AX172+'debt schedule'!AY140)/AX77</f>
        <v>30.309397580318862</v>
      </c>
      <c r="AY207" s="1178">
        <f>(AY172+'debt schedule'!AZ140)/AY77</f>
        <v>30.008676036786397</v>
      </c>
      <c r="AZ207" s="211">
        <f>(AZ172+'debt schedule'!BA140)/AZ77</f>
        <v>30.48704361336145</v>
      </c>
      <c r="BA207" s="211">
        <f>(BA172+'debt schedule'!BB140)/BA77</f>
        <v>32.736404572220302</v>
      </c>
      <c r="BB207" s="1180">
        <f>(BB172+'debt schedule'!BC140)/BB77</f>
        <v>30.06906775844989</v>
      </c>
      <c r="BC207" s="209">
        <f>(BC172+'debt schedule'!BD140)/BC77</f>
        <v>30.092624689748888</v>
      </c>
      <c r="BD207" s="1178">
        <f>(BD172+'debt schedule'!BE140)/BD77</f>
        <v>26.266180820627209</v>
      </c>
      <c r="BE207" s="211">
        <f>(BE172+'debt schedule'!BF140)/BE77</f>
        <v>26.262947710835032</v>
      </c>
      <c r="BF207" s="211">
        <f>(BF172+'debt schedule'!BG140)/BF77</f>
        <v>14.479689346148264</v>
      </c>
      <c r="BG207" s="1180">
        <f>(BG172+'debt schedule'!BH140)/BG77</f>
        <v>25.353060660494677</v>
      </c>
      <c r="BH207" s="209">
        <f>(BH172+'debt schedule'!BI140)/BH77</f>
        <v>25.381776052429078</v>
      </c>
      <c r="BI207" s="1178">
        <f>(BI172+'debt schedule'!BJ140)/BI77</f>
        <v>26.054712380057612</v>
      </c>
      <c r="BJ207" s="211">
        <f>(BJ172+'debt schedule'!BK140)/BJ77</f>
        <v>24.253885867314544</v>
      </c>
      <c r="BK207" s="211">
        <f>(BK172+'debt schedule'!BL140)/BK77</f>
        <v>27.127996257258438</v>
      </c>
      <c r="BL207" s="1180">
        <f>(BL172+'debt schedule'!BM140)/BL77</f>
        <v>26.089225150013046</v>
      </c>
      <c r="BM207" s="209">
        <f>(BM172+'debt schedule'!BN140)/BM77</f>
        <v>26.17787521764664</v>
      </c>
      <c r="BN207" s="1178">
        <f>(BN172+'debt schedule'!BO140)/BN77</f>
        <v>25.169316489744944</v>
      </c>
      <c r="BO207" s="211">
        <f>(BO172+'debt schedule'!BP140)/BO77</f>
        <v>23.84867294227265</v>
      </c>
      <c r="BP207" s="211">
        <f>(BP172+'debt schedule'!BQ140)/BP77</f>
        <v>21.677920231814326</v>
      </c>
      <c r="BQ207" s="1180">
        <f>(BQ172+'debt schedule'!BR140)/BQ77</f>
        <v>16.652203324974206</v>
      </c>
      <c r="BR207" s="209">
        <f>(BR172+'debt schedule'!BS140)/BR77</f>
        <v>16.681040973619726</v>
      </c>
      <c r="BS207" s="1178">
        <f>(BS172+'debt schedule'!BT140)/BS77</f>
        <v>13.271676616439667</v>
      </c>
      <c r="BT207" s="211">
        <f>(BT172+'debt schedule'!BU140)/BT77</f>
        <v>13.057537760434434</v>
      </c>
      <c r="BU207" s="211">
        <f>(BU172+'debt schedule'!BV140)/BU77</f>
        <v>16.210525004205266</v>
      </c>
      <c r="BV207" s="1180">
        <f>(BV172+'debt schedule'!BW140)/BV77</f>
        <v>13.152189622777858</v>
      </c>
      <c r="BW207" s="209">
        <f>(BW172+'debt schedule'!BX140)/BW77</f>
        <v>14.525788862072048</v>
      </c>
      <c r="BX207" s="1178">
        <f>(BX172+'debt schedule'!BY140)/BX77</f>
        <v>12.476899943756386</v>
      </c>
      <c r="BY207" s="211">
        <f>(BY172+'debt schedule'!BZ140)/BY77</f>
        <v>14.616955668575548</v>
      </c>
      <c r="BZ207" s="211">
        <f>(BZ172+'debt schedule'!CA140)/BZ77</f>
        <v>16.045439221041928</v>
      </c>
      <c r="CA207" s="1180">
        <f>(CA172+'debt schedule'!CB140)/CA77</f>
        <v>18.964463758515738</v>
      </c>
      <c r="CB207" s="209">
        <f>(CB172+'debt schedule'!CC140)/CB77</f>
        <v>18.999969963913792</v>
      </c>
      <c r="CC207" s="1178">
        <f>(CC172+'debt schedule'!CD140)/CC77</f>
        <v>19.378474588382488</v>
      </c>
      <c r="CD207" s="211">
        <f>(CD172+'debt schedule'!CE140)/CD77</f>
        <v>21.004401524266225</v>
      </c>
      <c r="CE207" s="211">
        <f>(CE172+'debt schedule'!CF140)/CE77</f>
        <v>23.093685011177811</v>
      </c>
      <c r="CF207" s="1180">
        <f>(CF172+'debt schedule'!CG140)/CF77</f>
        <v>24.802480638463653</v>
      </c>
      <c r="CG207" s="209">
        <f>(CG172+'debt schedule'!CH140)/CG77</f>
        <v>24.802480638463653</v>
      </c>
      <c r="CH207" s="1178">
        <f>(CH172+'debt schedule'!CI140)/CH77</f>
        <v>25.637561404625323</v>
      </c>
      <c r="CI207" s="211">
        <f>(CI172+'debt schedule'!CJ140)/CI77</f>
        <v>27.775541102453371</v>
      </c>
      <c r="CJ207" s="211">
        <f>(CJ172+'debt schedule'!CK140)/CJ77</f>
        <v>29.781016796330636</v>
      </c>
      <c r="CK207" s="1180">
        <f>(CK172+'debt schedule'!CL140)/CK77</f>
        <v>31.699714193344022</v>
      </c>
      <c r="CL207" s="209">
        <f>(CL172+'debt schedule'!CM140)/CL77</f>
        <v>31.699714193344022</v>
      </c>
      <c r="CM207" s="1178">
        <f>(CM172+'debt schedule'!CN140)/CM77</f>
        <v>32.652484086811526</v>
      </c>
      <c r="CN207" s="211">
        <f>(CN172+'debt schedule'!CO140)/CN77</f>
        <v>34.334215342369959</v>
      </c>
      <c r="CO207" s="211">
        <f>(CO172+'debt schedule'!CP140)/CO77</f>
        <v>35.700296790477445</v>
      </c>
      <c r="CP207" s="1180">
        <f>(CP172+'debt schedule'!CQ140)/CP77</f>
        <v>37.017136708531446</v>
      </c>
      <c r="CQ207" s="1180">
        <f>(CQ172+'debt schedule'!CR140)/CQ77</f>
        <v>37.017136708531446</v>
      </c>
      <c r="CR207" s="75"/>
    </row>
    <row r="208" spans="1:96" ht="13.5" customHeight="1">
      <c r="A208" s="75"/>
      <c r="B208" s="75" t="s">
        <v>840</v>
      </c>
      <c r="C208" s="75"/>
      <c r="D208" s="75"/>
      <c r="E208" s="75"/>
      <c r="F208" s="209">
        <f t="shared" ref="F208:AI208" si="295">(F172-F134-F135)/F67</f>
        <v>21.697442836144884</v>
      </c>
      <c r="G208" s="209">
        <f t="shared" si="295"/>
        <v>20.604874646413766</v>
      </c>
      <c r="H208" s="209">
        <f t="shared" si="295"/>
        <v>15.543790710504156</v>
      </c>
      <c r="I208" s="209">
        <f t="shared" si="295"/>
        <v>10.210494764220725</v>
      </c>
      <c r="J208" s="209">
        <f t="shared" si="295"/>
        <v>10.234640769924113</v>
      </c>
      <c r="K208" s="209">
        <f t="shared" si="295"/>
        <v>12.510750158209875</v>
      </c>
      <c r="L208" s="209">
        <f t="shared" si="295"/>
        <v>13.797988819933167</v>
      </c>
      <c r="M208" s="209">
        <f t="shared" si="295"/>
        <v>16.566554633482287</v>
      </c>
      <c r="N208" s="209">
        <f t="shared" si="295"/>
        <v>31.191970657295006</v>
      </c>
      <c r="O208" s="209">
        <f t="shared" si="295"/>
        <v>31.599076514073833</v>
      </c>
      <c r="P208" s="209">
        <f t="shared" si="295"/>
        <v>34.56393793472445</v>
      </c>
      <c r="Q208" s="209">
        <f t="shared" si="295"/>
        <v>36.411371186259053</v>
      </c>
      <c r="R208" s="209">
        <f t="shared" si="295"/>
        <v>36.796354122710781</v>
      </c>
      <c r="S208" s="209">
        <f t="shared" si="295"/>
        <v>25.561928323646132</v>
      </c>
      <c r="T208" s="209">
        <f t="shared" si="295"/>
        <v>25.598214972686005</v>
      </c>
      <c r="U208" s="209">
        <f t="shared" si="295"/>
        <v>29.531933194753066</v>
      </c>
      <c r="V208" s="209">
        <f t="shared" si="295"/>
        <v>32.24158030053816</v>
      </c>
      <c r="W208" s="209">
        <f t="shared" si="295"/>
        <v>34.460988488406414</v>
      </c>
      <c r="X208" s="209">
        <f t="shared" si="295"/>
        <v>36.996580148053546</v>
      </c>
      <c r="Y208" s="209">
        <f t="shared" si="295"/>
        <v>35.813053097345133</v>
      </c>
      <c r="Z208" s="209">
        <f t="shared" si="295"/>
        <v>39.410108818957191</v>
      </c>
      <c r="AA208" s="209">
        <f t="shared" si="295"/>
        <v>31.583551320116744</v>
      </c>
      <c r="AB208" s="209">
        <f t="shared" si="295"/>
        <v>33.682792303481961</v>
      </c>
      <c r="AC208" s="209">
        <f t="shared" si="295"/>
        <v>29.414493046946813</v>
      </c>
      <c r="AD208" s="209">
        <f t="shared" si="295"/>
        <v>29.358292370884115</v>
      </c>
      <c r="AE208" s="209">
        <f t="shared" si="295"/>
        <v>32.861787931252906</v>
      </c>
      <c r="AF208" s="209">
        <f t="shared" si="295"/>
        <v>38.420870094825617</v>
      </c>
      <c r="AG208" s="209">
        <f t="shared" si="295"/>
        <v>36.5963369714664</v>
      </c>
      <c r="AH208" s="209">
        <f t="shared" si="295"/>
        <v>27.205977070720085</v>
      </c>
      <c r="AI208" s="209">
        <f t="shared" si="295"/>
        <v>26.910572040782089</v>
      </c>
      <c r="AJ208" s="1178">
        <f>(AJ172-AJ134-AJ135+'debt schedule'!AK140)/AJ67</f>
        <v>23.375795629742559</v>
      </c>
      <c r="AK208" s="211">
        <f>(AK172-AK134-AK135+'debt schedule'!AL140)/AK67</f>
        <v>30.189253828899094</v>
      </c>
      <c r="AL208" s="211">
        <f>(AL172-AL134-AL135+'debt schedule'!AM140)/AL67</f>
        <v>27.332714856692451</v>
      </c>
      <c r="AM208" s="1180">
        <f>(AM172-AM134-AM135+'debt schedule'!AN140)/AM67</f>
        <v>26.756618201202961</v>
      </c>
      <c r="AN208" s="209">
        <f>(AN172-AN134-AN135+'debt schedule'!AO140)/AN67</f>
        <v>28.546032772021555</v>
      </c>
      <c r="AO208" s="1178">
        <f>(AO172-AO134-AO135+'debt schedule'!AP140)/AO67</f>
        <v>23.606751761177378</v>
      </c>
      <c r="AP208" s="211">
        <f>(AP172-AP134-AP135+'debt schedule'!AQ140)/AP67</f>
        <v>19.392506920658754</v>
      </c>
      <c r="AQ208" s="211">
        <f>(AQ172-AQ134-AQ135+'debt schedule'!AR140)/AQ67</f>
        <v>23.482528191563414</v>
      </c>
      <c r="AR208" s="1180">
        <f>(AR172-AR134-AR135+'debt schedule'!AS140)/AR67</f>
        <v>18.644928746381655</v>
      </c>
      <c r="AS208" s="209">
        <f>(AS172-AS134-AS135+'debt schedule'!AT140)/AS67</f>
        <v>18.663824778064519</v>
      </c>
      <c r="AT208" s="1178">
        <f>(AT172-AT134-AT135+'debt schedule'!AU140)/AT67</f>
        <v>18.848964888978522</v>
      </c>
      <c r="AU208" s="211">
        <f>(AU172-AU134-AU135+'debt schedule'!AV140)/AU67</f>
        <v>17.556282089386972</v>
      </c>
      <c r="AV208" s="211">
        <f>(AV172-AV134-AV135+'debt schedule'!AW140)/AV67</f>
        <v>17.611343116440754</v>
      </c>
      <c r="AW208" s="1180">
        <f>(AW172-AW134-AW135+'debt schedule'!AX140)/AW67</f>
        <v>16.092759819811064</v>
      </c>
      <c r="AX208" s="209">
        <f>(AX172-AX134-AX135+'debt schedule'!AY140)/AX67</f>
        <v>16.104580792934406</v>
      </c>
      <c r="AY208" s="1178">
        <f>(AY172-AY134-AY135+'debt schedule'!AZ140)/AY67</f>
        <v>13.200174952616999</v>
      </c>
      <c r="AZ208" s="211">
        <f>(AZ172-AZ134-AZ135+'debt schedule'!BA140)/AZ67</f>
        <v>13.753091893405516</v>
      </c>
      <c r="BA208" s="211">
        <f>(BA172-BA134-BA135+'debt schedule'!BB140)/BA67</f>
        <v>15.462536333610993</v>
      </c>
      <c r="BB208" s="1180">
        <f>(BB172-BB134-BB135+'debt schedule'!BC140)/BB67</f>
        <v>15.694383828307389</v>
      </c>
      <c r="BC208" s="209">
        <f>(BC172-BC134-BC135+'debt schedule'!BD140)/BC67</f>
        <v>13.199291532178188</v>
      </c>
      <c r="BD208" s="1178">
        <f>(BD172-BD134-BD135+'debt schedule'!BE140)/BD67</f>
        <v>12.016390376369039</v>
      </c>
      <c r="BE208" s="211">
        <f>(BE172-BE134-BE135+'debt schedule'!BF140)/BE67</f>
        <v>11.676818647046327</v>
      </c>
      <c r="BF208" s="211">
        <f>(BF172-BF134-BF135+'debt schedule'!BG140)/BF67</f>
        <v>12.251568895478302</v>
      </c>
      <c r="BG208" s="1180">
        <f>(BG172-BG134-BG135+'debt schedule'!BH140)/BG67</f>
        <v>21.44297186192971</v>
      </c>
      <c r="BH208" s="209">
        <f>(BH172-BH134-BH135+'debt schedule'!BI140)/BH67</f>
        <v>22.929887737488826</v>
      </c>
      <c r="BI208" s="1178">
        <f>(BI172-BI134-BI135+'debt schedule'!BJ140)/BI67</f>
        <v>22.455397978400399</v>
      </c>
      <c r="BJ208" s="211">
        <f>(BJ172-BJ134-BJ135+'debt schedule'!BK140)/BJ67</f>
        <v>22.417934347477985</v>
      </c>
      <c r="BK208" s="211">
        <f>(BK172-BK134-BK135+'debt schedule'!BL140)/BK67</f>
        <v>25.118532093182207</v>
      </c>
      <c r="BL208" s="1180">
        <f>(BL172-BL134-BL135+'debt schedule'!BM140)/BL67</f>
        <v>23.896704567354018</v>
      </c>
      <c r="BM208" s="209">
        <f>(BM172-BM134-BM135+'debt schedule'!BN140)/BM67</f>
        <v>24.1947673000588</v>
      </c>
      <c r="BN208" s="1178">
        <f>(BN172-BN134-BN135+'debt schedule'!BO140)/BN67</f>
        <v>23.783219998215916</v>
      </c>
      <c r="BO208" s="211">
        <f>(BO172-BO134-BO135+'debt schedule'!BP140)/BO67</f>
        <v>22.478453296063361</v>
      </c>
      <c r="BP208" s="211">
        <f>(BP172-BP134-BP135+'debt schedule'!BQ140)/BP67</f>
        <v>20.324758754544707</v>
      </c>
      <c r="BQ208" s="1180">
        <f>(BQ172-BQ134-BQ135+'debt schedule'!BR140)/BQ67</f>
        <v>15.312920661168318</v>
      </c>
      <c r="BR208" s="209">
        <f>(BR172-BR134-BR135+'debt schedule'!BS140)/BR67</f>
        <v>15.339438991334347</v>
      </c>
      <c r="BS208" s="1178">
        <f>(BS172-BS134-BS135+'debt schedule'!BT140)/BS67</f>
        <v>11.939727599349737</v>
      </c>
      <c r="BT208" s="211">
        <f>(BT172-BT134-BT135+'debt schedule'!BU140)/BT67</f>
        <v>11.740868592323752</v>
      </c>
      <c r="BU208" s="211">
        <f>(BU172-BU134-BU135+'debt schedule'!BV140)/BU67</f>
        <v>14.996907854050713</v>
      </c>
      <c r="BV208" s="1180">
        <f>(BV172-BV134-BV135+'debt schedule'!BW140)/BV67</f>
        <v>12.140482728718023</v>
      </c>
      <c r="BW208" s="209">
        <f>(BW172-BW134-BW135+'debt schedule'!BX140)/BW67</f>
        <v>13.408420488066506</v>
      </c>
      <c r="BX208" s="1178">
        <f>(BX172-BX134-BX135+'debt schedule'!BY140)/BX67</f>
        <v>11.484027961111558</v>
      </c>
      <c r="BY208" s="211">
        <f>(BY172-BY134-BY135+'debt schedule'!BZ140)/BY67</f>
        <v>13.543299929556662</v>
      </c>
      <c r="BZ208" s="211">
        <f>(BZ172-BZ134-BZ135+'debt schedule'!CA140)/BZ67</f>
        <v>14.953196890369664</v>
      </c>
      <c r="CA208" s="1180">
        <f>(CA172-CA134-CA135+'debt schedule'!CB140)/CA67</f>
        <v>17.798092658427855</v>
      </c>
      <c r="CB208" s="209">
        <f>(CB172-CB134-CB135+'debt schedule'!CC140)/CB67</f>
        <v>17.844269989349453</v>
      </c>
      <c r="CC208" s="1178">
        <f>(CC172-CC134-CC135+'debt schedule'!CD140)/CC67</f>
        <v>18.424158684994826</v>
      </c>
      <c r="CD208" s="211">
        <f>(CD172-CD134-CD135+'debt schedule'!CE140)/CD67</f>
        <v>20.050085620878559</v>
      </c>
      <c r="CE208" s="211">
        <f>(CE172-CE134-CE135+'debt schedule'!CF140)/CE67</f>
        <v>22.139369107790145</v>
      </c>
      <c r="CF208" s="1180">
        <f>(CF172-CF134-CF135+'debt schedule'!CG140)/CF67</f>
        <v>23.848164735075986</v>
      </c>
      <c r="CG208" s="209">
        <f>(CG172-CG134-CG135+'debt schedule'!CH140)/CG67</f>
        <v>23.848164735075986</v>
      </c>
      <c r="CH208" s="1178">
        <f>(CH172-CH134-CH135+'debt schedule'!CI140)/CH67</f>
        <v>24.683245501237657</v>
      </c>
      <c r="CI208" s="211">
        <f>(CI172-CI134-CI135+'debt schedule'!CJ140)/CI67</f>
        <v>26.821225199065708</v>
      </c>
      <c r="CJ208" s="211">
        <f>(CJ172-CJ134-CJ135+'debt schedule'!CK140)/CJ67</f>
        <v>28.826700892942974</v>
      </c>
      <c r="CK208" s="1180">
        <f>(CK172-CK134-CK135+'debt schedule'!CL140)/CK67</f>
        <v>30.745398289956359</v>
      </c>
      <c r="CL208" s="209">
        <f>(CL172-CL134-CL135+'debt schedule'!CM140)/CL67</f>
        <v>30.745398289956359</v>
      </c>
      <c r="CM208" s="1178">
        <f>(CM172-CM134-CM135+'debt schedule'!CN140)/CM67</f>
        <v>31.69816818342386</v>
      </c>
      <c r="CN208" s="211">
        <f>(CN172-CN134-CN135+'debt schedule'!CO140)/CN67</f>
        <v>33.379899438982292</v>
      </c>
      <c r="CO208" s="211">
        <f>(CO172-CO134-CO135+'debt schedule'!CP140)/CO67</f>
        <v>34.745980887089786</v>
      </c>
      <c r="CP208" s="1180">
        <f>(CP172-CP134-CP135+'debt schedule'!CQ140)/CP67</f>
        <v>36.06282080514378</v>
      </c>
      <c r="CQ208" s="1180">
        <f>(CQ172-CQ134-CQ135+'debt schedule'!CR140)/CQ67</f>
        <v>36.06282080514378</v>
      </c>
      <c r="CR208" s="75"/>
    </row>
    <row r="209" spans="1:96" ht="6.2" customHeight="1">
      <c r="A209" s="75"/>
      <c r="B209" s="125"/>
      <c r="C209" s="75"/>
      <c r="D209" s="75"/>
      <c r="E209" s="75"/>
      <c r="F209" s="190"/>
      <c r="G209" s="190"/>
      <c r="H209" s="190"/>
      <c r="I209" s="190"/>
      <c r="J209" s="190"/>
      <c r="K209" s="190"/>
      <c r="L209" s="190"/>
      <c r="M209" s="190"/>
      <c r="N209" s="190"/>
      <c r="O209" s="190"/>
      <c r="P209" s="142"/>
      <c r="Q209" s="142"/>
      <c r="R209" s="142"/>
      <c r="S209" s="142"/>
      <c r="T209" s="142"/>
      <c r="U209" s="142"/>
      <c r="V209" s="142"/>
      <c r="W209" s="142"/>
      <c r="X209" s="142"/>
      <c r="Y209" s="142"/>
      <c r="Z209" s="142"/>
      <c r="AA209" s="142"/>
      <c r="AB209" s="142"/>
      <c r="AC209" s="142"/>
      <c r="AD209" s="142"/>
      <c r="AE209" s="142"/>
      <c r="AF209" s="142"/>
      <c r="AG209" s="142"/>
      <c r="AH209" s="142"/>
      <c r="AI209" s="142"/>
      <c r="AJ209" s="1132"/>
      <c r="AK209" s="85"/>
      <c r="AL209" s="85"/>
      <c r="AM209" s="1133"/>
      <c r="AN209" s="142"/>
      <c r="AO209" s="1132"/>
      <c r="AP209" s="85"/>
      <c r="AQ209" s="85"/>
      <c r="AR209" s="1133"/>
      <c r="AS209" s="142"/>
      <c r="AT209" s="1132"/>
      <c r="AU209" s="85"/>
      <c r="AV209" s="85"/>
      <c r="AW209" s="1133"/>
      <c r="AX209" s="142"/>
      <c r="AY209" s="1132"/>
      <c r="AZ209" s="85"/>
      <c r="BA209" s="85"/>
      <c r="BB209" s="1133"/>
      <c r="BC209" s="142"/>
      <c r="BD209" s="1132"/>
      <c r="BE209" s="85"/>
      <c r="BF209" s="85"/>
      <c r="BG209" s="1133"/>
      <c r="BH209" s="142"/>
      <c r="BI209" s="1132"/>
      <c r="BJ209" s="85"/>
      <c r="BK209" s="85"/>
      <c r="BL209" s="1133"/>
      <c r="BM209" s="142"/>
      <c r="BN209" s="1132"/>
      <c r="BO209" s="85"/>
      <c r="BP209" s="85"/>
      <c r="BQ209" s="1133"/>
      <c r="BR209" s="142"/>
      <c r="BS209" s="1132"/>
      <c r="BT209" s="85"/>
      <c r="BU209" s="85"/>
      <c r="BV209" s="1133"/>
      <c r="BW209" s="142"/>
      <c r="BX209" s="1132"/>
      <c r="BY209" s="85"/>
      <c r="BZ209" s="85"/>
      <c r="CA209" s="1133"/>
      <c r="CB209" s="142"/>
      <c r="CC209" s="1132"/>
      <c r="CD209" s="85"/>
      <c r="CE209" s="85"/>
      <c r="CF209" s="1133"/>
      <c r="CG209" s="142"/>
      <c r="CH209" s="1132"/>
      <c r="CI209" s="85"/>
      <c r="CJ209" s="85"/>
      <c r="CK209" s="1133"/>
      <c r="CL209" s="142"/>
      <c r="CM209" s="1132"/>
      <c r="CN209" s="85"/>
      <c r="CO209" s="85"/>
      <c r="CP209" s="1133"/>
      <c r="CQ209" s="1133"/>
      <c r="CR209" s="75"/>
    </row>
    <row r="210" spans="1:96" ht="6.2" customHeight="1">
      <c r="A210" s="75"/>
      <c r="B210" s="125"/>
      <c r="C210" s="75"/>
      <c r="D210" s="75"/>
      <c r="E210" s="75"/>
      <c r="F210" s="190"/>
      <c r="G210" s="190"/>
      <c r="H210" s="190"/>
      <c r="I210" s="190"/>
      <c r="J210" s="190"/>
      <c r="K210" s="190"/>
      <c r="L210" s="190"/>
      <c r="M210" s="190"/>
      <c r="N210" s="190"/>
      <c r="O210" s="190"/>
      <c r="P210" s="142"/>
      <c r="Q210" s="142"/>
      <c r="R210" s="142"/>
      <c r="S210" s="142"/>
      <c r="T210" s="142"/>
      <c r="U210" s="142"/>
      <c r="V210" s="142"/>
      <c r="W210" s="142"/>
      <c r="X210" s="142"/>
      <c r="Y210" s="142"/>
      <c r="Z210" s="142"/>
      <c r="AA210" s="142"/>
      <c r="AB210" s="142"/>
      <c r="AC210" s="142"/>
      <c r="AD210" s="142"/>
      <c r="AE210" s="142"/>
      <c r="AF210" s="142"/>
      <c r="AG210" s="142"/>
      <c r="AH210" s="142"/>
      <c r="AI210" s="142"/>
      <c r="AJ210" s="1132"/>
      <c r="AK210" s="85"/>
      <c r="AL210" s="85"/>
      <c r="AM210" s="1133"/>
      <c r="AN210" s="142"/>
      <c r="AO210" s="1132"/>
      <c r="AP210" s="85"/>
      <c r="AQ210" s="85"/>
      <c r="AR210" s="1133"/>
      <c r="AS210" s="142"/>
      <c r="AT210" s="1132"/>
      <c r="AU210" s="85"/>
      <c r="AV210" s="85"/>
      <c r="AW210" s="1133"/>
      <c r="AX210" s="142"/>
      <c r="AY210" s="1132"/>
      <c r="AZ210" s="85"/>
      <c r="BA210" s="85"/>
      <c r="BB210" s="1133"/>
      <c r="BC210" s="142"/>
      <c r="BD210" s="1132"/>
      <c r="BE210" s="85"/>
      <c r="BF210" s="85"/>
      <c r="BG210" s="1133"/>
      <c r="BH210" s="142"/>
      <c r="BI210" s="1132"/>
      <c r="BJ210" s="85"/>
      <c r="BK210" s="85"/>
      <c r="BL210" s="1133"/>
      <c r="BM210" s="142"/>
      <c r="BN210" s="1132"/>
      <c r="BO210" s="85"/>
      <c r="BP210" s="85"/>
      <c r="BQ210" s="1133"/>
      <c r="BR210" s="142"/>
      <c r="BS210" s="1132"/>
      <c r="BT210" s="85"/>
      <c r="BU210" s="85"/>
      <c r="BV210" s="1133"/>
      <c r="BW210" s="142"/>
      <c r="BX210" s="1132"/>
      <c r="BY210" s="85"/>
      <c r="BZ210" s="85"/>
      <c r="CA210" s="1133"/>
      <c r="CB210" s="142"/>
      <c r="CC210" s="1132"/>
      <c r="CD210" s="85"/>
      <c r="CE210" s="85"/>
      <c r="CF210" s="1133"/>
      <c r="CG210" s="142"/>
      <c r="CH210" s="1132"/>
      <c r="CI210" s="85"/>
      <c r="CJ210" s="85"/>
      <c r="CK210" s="1133"/>
      <c r="CL210" s="142"/>
      <c r="CM210" s="1132"/>
      <c r="CN210" s="85"/>
      <c r="CO210" s="85"/>
      <c r="CP210" s="1133"/>
      <c r="CQ210" s="1133"/>
      <c r="CR210" s="75"/>
    </row>
    <row r="211" spans="1:96" ht="13.5" customHeight="1">
      <c r="A211" s="132" t="s">
        <v>841</v>
      </c>
      <c r="B211" s="133"/>
      <c r="C211" s="134"/>
      <c r="D211" s="79"/>
      <c r="E211" s="79"/>
      <c r="F211" s="135"/>
      <c r="G211" s="135"/>
      <c r="H211" s="135"/>
      <c r="I211" s="135"/>
      <c r="J211" s="135"/>
      <c r="K211" s="135"/>
      <c r="L211" s="135"/>
      <c r="M211" s="135"/>
      <c r="N211" s="135"/>
      <c r="O211" s="135"/>
      <c r="P211" s="129"/>
      <c r="Q211" s="129"/>
      <c r="R211" s="129"/>
      <c r="S211" s="129"/>
      <c r="T211" s="129"/>
      <c r="U211" s="130"/>
      <c r="V211" s="130"/>
      <c r="W211" s="130"/>
      <c r="X211" s="130"/>
      <c r="Y211" s="129"/>
      <c r="Z211" s="129"/>
      <c r="AA211" s="129"/>
      <c r="AB211" s="129"/>
      <c r="AC211" s="129"/>
      <c r="AD211" s="129"/>
      <c r="AE211" s="129"/>
      <c r="AF211" s="129"/>
      <c r="AG211" s="129"/>
      <c r="AH211" s="129"/>
      <c r="AI211" s="129"/>
      <c r="AJ211" s="1203"/>
      <c r="AK211" s="135"/>
      <c r="AL211" s="135"/>
      <c r="AM211" s="1204"/>
      <c r="AN211" s="129"/>
      <c r="AO211" s="1203"/>
      <c r="AP211" s="135"/>
      <c r="AQ211" s="135"/>
      <c r="AR211" s="1204"/>
      <c r="AS211" s="129"/>
      <c r="AT211" s="1203"/>
      <c r="AU211" s="135"/>
      <c r="AV211" s="135"/>
      <c r="AW211" s="1204"/>
      <c r="AX211" s="129"/>
      <c r="AY211" s="1203"/>
      <c r="AZ211" s="135"/>
      <c r="BA211" s="135"/>
      <c r="BB211" s="1204"/>
      <c r="BC211" s="129"/>
      <c r="BD211" s="1203"/>
      <c r="BE211" s="135"/>
      <c r="BF211" s="139"/>
      <c r="BG211" s="1319"/>
      <c r="BH211" s="129"/>
      <c r="BI211" s="1203"/>
      <c r="BJ211" s="135"/>
      <c r="BK211" s="153"/>
      <c r="BL211" s="915"/>
      <c r="BM211" s="129"/>
      <c r="BN211" s="1203"/>
      <c r="BO211" s="135"/>
      <c r="BP211" s="135"/>
      <c r="BQ211" s="1204"/>
      <c r="BR211" s="129"/>
      <c r="BS211" s="1203"/>
      <c r="BT211" s="135"/>
      <c r="BU211" s="135"/>
      <c r="BV211" s="1204"/>
      <c r="BW211" s="129"/>
      <c r="BX211" s="1203"/>
      <c r="BY211" s="135"/>
      <c r="BZ211" s="135"/>
      <c r="CA211" s="1204"/>
      <c r="CB211" s="129"/>
      <c r="CC211" s="1203"/>
      <c r="CD211" s="135"/>
      <c r="CE211" s="135"/>
      <c r="CF211" s="1204"/>
      <c r="CG211" s="129"/>
      <c r="CH211" s="1203"/>
      <c r="CI211" s="135"/>
      <c r="CJ211" s="135"/>
      <c r="CK211" s="1204"/>
      <c r="CL211" s="129"/>
      <c r="CM211" s="1203"/>
      <c r="CN211" s="135"/>
      <c r="CO211" s="135"/>
      <c r="CP211" s="1204"/>
      <c r="CQ211" s="1204"/>
      <c r="CR211" s="75"/>
    </row>
    <row r="212" spans="1:96" ht="13.5" customHeight="1">
      <c r="A212" s="132" t="s">
        <v>842</v>
      </c>
      <c r="B212" s="133"/>
      <c r="C212" s="136"/>
      <c r="D212" s="137"/>
      <c r="E212" s="137"/>
      <c r="F212" s="135"/>
      <c r="G212" s="135"/>
      <c r="H212" s="135"/>
      <c r="I212" s="138"/>
      <c r="J212" s="138"/>
      <c r="K212" s="135"/>
      <c r="L212" s="135"/>
      <c r="M212" s="135"/>
      <c r="N212" s="135"/>
      <c r="O212" s="135"/>
      <c r="P212" s="135"/>
      <c r="Q212" s="135"/>
      <c r="R212" s="135"/>
      <c r="S212" s="135"/>
      <c r="T212" s="135"/>
      <c r="U212" s="139"/>
      <c r="V212" s="139"/>
      <c r="W212" s="139"/>
      <c r="X212" s="139"/>
      <c r="Y212" s="135"/>
      <c r="Z212" s="135"/>
      <c r="AA212" s="135"/>
      <c r="AB212" s="135"/>
      <c r="AC212" s="135"/>
      <c r="AD212" s="135"/>
      <c r="AE212" s="135"/>
      <c r="AF212" s="135"/>
      <c r="AG212" s="135"/>
      <c r="AH212" s="135"/>
      <c r="AI212" s="135"/>
      <c r="AJ212" s="1203"/>
      <c r="AK212" s="135"/>
      <c r="AL212" s="135"/>
      <c r="AM212" s="1204"/>
      <c r="AN212" s="135"/>
      <c r="AO212" s="1203"/>
      <c r="AP212" s="135"/>
      <c r="AQ212" s="135"/>
      <c r="AR212" s="1204"/>
      <c r="AS212" s="135"/>
      <c r="AT212" s="1203"/>
      <c r="AU212" s="135"/>
      <c r="AV212" s="135"/>
      <c r="AW212" s="1204"/>
      <c r="AX212" s="135"/>
      <c r="AY212" s="1203"/>
      <c r="AZ212" s="135"/>
      <c r="BA212" s="135"/>
      <c r="BB212" s="1204"/>
      <c r="BC212" s="135"/>
      <c r="BD212" s="1203"/>
      <c r="BE212" s="135"/>
      <c r="BF212" s="589"/>
      <c r="BG212" s="1320"/>
      <c r="BH212" s="135"/>
      <c r="BI212" s="1203"/>
      <c r="BJ212" s="135"/>
      <c r="BK212" s="153"/>
      <c r="BL212" s="915"/>
      <c r="BM212" s="135"/>
      <c r="BN212" s="1337"/>
      <c r="BO212" s="384"/>
      <c r="BP212" s="384"/>
      <c r="BQ212" s="1338"/>
      <c r="BR212" s="384"/>
      <c r="BS212" s="1337"/>
      <c r="BT212" s="135"/>
      <c r="BU212" s="135"/>
      <c r="BV212" s="1204"/>
      <c r="BW212" s="135"/>
      <c r="BX212" s="1203"/>
      <c r="BY212" s="135"/>
      <c r="BZ212" s="135"/>
      <c r="CA212" s="1204"/>
      <c r="CB212" s="135"/>
      <c r="CC212" s="1203"/>
      <c r="CD212" s="135"/>
      <c r="CE212" s="135"/>
      <c r="CF212" s="1204"/>
      <c r="CG212" s="135"/>
      <c r="CH212" s="1203"/>
      <c r="CI212" s="135"/>
      <c r="CJ212" s="135"/>
      <c r="CK212" s="1204"/>
      <c r="CL212" s="135"/>
      <c r="CM212" s="1203"/>
      <c r="CN212" s="135"/>
      <c r="CO212" s="135"/>
      <c r="CP212" s="1204"/>
      <c r="CQ212" s="1204"/>
      <c r="CR212" s="81"/>
    </row>
    <row r="213" spans="1:96" ht="13.5" hidden="1" customHeight="1" outlineLevel="1">
      <c r="A213" s="805"/>
      <c r="B213" s="806"/>
      <c r="C213" s="807"/>
      <c r="D213" s="895"/>
      <c r="E213" s="895"/>
      <c r="F213" s="896" t="s">
        <v>779</v>
      </c>
      <c r="G213" s="896"/>
      <c r="H213" s="896"/>
      <c r="I213" s="896"/>
      <c r="J213" s="808"/>
      <c r="K213" s="896" t="s">
        <v>780</v>
      </c>
      <c r="L213" s="896"/>
      <c r="M213" s="896"/>
      <c r="N213" s="896"/>
      <c r="O213" s="808"/>
      <c r="P213" s="896" t="s">
        <v>781</v>
      </c>
      <c r="Q213" s="896"/>
      <c r="R213" s="896"/>
      <c r="S213" s="896"/>
      <c r="T213" s="808"/>
      <c r="U213" s="896">
        <f>U6</f>
        <v>2006</v>
      </c>
      <c r="V213" s="896"/>
      <c r="W213" s="896"/>
      <c r="X213" s="896"/>
      <c r="Y213" s="808"/>
      <c r="Z213" s="896">
        <f>Z$6</f>
        <v>2007</v>
      </c>
      <c r="AA213" s="896"/>
      <c r="AB213" s="896"/>
      <c r="AC213" s="896"/>
      <c r="AD213" s="808"/>
      <c r="AE213" s="896">
        <f>AE$6</f>
        <v>2008</v>
      </c>
      <c r="AF213" s="896"/>
      <c r="AG213" s="896"/>
      <c r="AH213" s="896"/>
      <c r="AI213" s="808"/>
      <c r="AJ213" s="1205">
        <f>AJ$6</f>
        <v>2009</v>
      </c>
      <c r="AK213" s="896"/>
      <c r="AL213" s="896"/>
      <c r="AM213" s="1206"/>
      <c r="AN213" s="808"/>
      <c r="AO213" s="1205">
        <f>AO$6</f>
        <v>2010</v>
      </c>
      <c r="AP213" s="896"/>
      <c r="AQ213" s="896"/>
      <c r="AR213" s="1206"/>
      <c r="AS213" s="808"/>
      <c r="AT213" s="1205">
        <f>AT$6</f>
        <v>2011</v>
      </c>
      <c r="AU213" s="896"/>
      <c r="AV213" s="896"/>
      <c r="AW213" s="1206"/>
      <c r="AX213" s="808"/>
      <c r="AY213" s="1205">
        <f>AY$6</f>
        <v>2012</v>
      </c>
      <c r="AZ213" s="896"/>
      <c r="BA213" s="896"/>
      <c r="BB213" s="1206"/>
      <c r="BC213" s="808"/>
      <c r="BD213" s="1205">
        <f>BD$6</f>
        <v>2013</v>
      </c>
      <c r="BE213" s="896"/>
      <c r="BF213" s="896"/>
      <c r="BG213" s="1206"/>
      <c r="BH213" s="808"/>
      <c r="BI213" s="1205">
        <f>BI$6</f>
        <v>2014</v>
      </c>
      <c r="BJ213" s="896"/>
      <c r="BK213" s="896"/>
      <c r="BL213" s="1206"/>
      <c r="BM213" s="808"/>
      <c r="BN213" s="1205">
        <f>BN$6</f>
        <v>2015</v>
      </c>
      <c r="BO213" s="896"/>
      <c r="BP213" s="896"/>
      <c r="BQ213" s="1206"/>
      <c r="BR213" s="808"/>
      <c r="BS213" s="1205">
        <f>BS$6</f>
        <v>2016</v>
      </c>
      <c r="BT213" s="896"/>
      <c r="BU213" s="896"/>
      <c r="BV213" s="1206"/>
      <c r="BW213" s="808"/>
      <c r="BX213" s="1205">
        <f>BX$6</f>
        <v>2017</v>
      </c>
      <c r="BY213" s="896"/>
      <c r="BZ213" s="896"/>
      <c r="CA213" s="1206"/>
      <c r="CB213" s="808"/>
      <c r="CC213" s="1205" t="str">
        <f>CC$6</f>
        <v>2018E</v>
      </c>
      <c r="CD213" s="896"/>
      <c r="CE213" s="896"/>
      <c r="CF213" s="1206"/>
      <c r="CG213" s="808"/>
      <c r="CH213" s="1205" t="str">
        <f>CH$6</f>
        <v>2019E</v>
      </c>
      <c r="CI213" s="896"/>
      <c r="CJ213" s="896"/>
      <c r="CK213" s="1206"/>
      <c r="CL213" s="808"/>
      <c r="CM213" s="1205" t="str">
        <f>CM$6</f>
        <v>2020E</v>
      </c>
      <c r="CN213" s="896"/>
      <c r="CO213" s="896"/>
      <c r="CP213" s="1206"/>
      <c r="CQ213" s="1385"/>
      <c r="CR213" s="75"/>
    </row>
    <row r="214" spans="1:96" ht="13.5" customHeight="1" collapsed="1">
      <c r="A214" s="806" t="s">
        <v>774</v>
      </c>
      <c r="B214" s="806"/>
      <c r="C214" s="810"/>
      <c r="D214" s="895"/>
      <c r="E214" s="895"/>
      <c r="F214" s="897" t="s">
        <v>775</v>
      </c>
      <c r="G214" s="897" t="s">
        <v>776</v>
      </c>
      <c r="H214" s="897" t="s">
        <v>777</v>
      </c>
      <c r="I214" s="897" t="s">
        <v>778</v>
      </c>
      <c r="J214" s="811" t="s">
        <v>779</v>
      </c>
      <c r="K214" s="897" t="s">
        <v>775</v>
      </c>
      <c r="L214" s="897" t="s">
        <v>776</v>
      </c>
      <c r="M214" s="897" t="s">
        <v>777</v>
      </c>
      <c r="N214" s="897" t="s">
        <v>778</v>
      </c>
      <c r="O214" s="811" t="s">
        <v>780</v>
      </c>
      <c r="P214" s="897" t="str">
        <f>P7</f>
        <v>1Q</v>
      </c>
      <c r="Q214" s="897" t="str">
        <f>Q7</f>
        <v>2Q</v>
      </c>
      <c r="R214" s="897" t="str">
        <f>R7</f>
        <v>3Q</v>
      </c>
      <c r="S214" s="897" t="str">
        <f>S7</f>
        <v>4Q</v>
      </c>
      <c r="T214" s="811">
        <f>T7</f>
        <v>2005</v>
      </c>
      <c r="U214" s="897" t="str">
        <f>U7</f>
        <v>1Q</v>
      </c>
      <c r="V214" s="897" t="str">
        <f t="shared" ref="V214:BA214" si="296">V7</f>
        <v>2Q</v>
      </c>
      <c r="W214" s="897" t="str">
        <f t="shared" si="296"/>
        <v>3Q</v>
      </c>
      <c r="X214" s="897" t="str">
        <f t="shared" si="296"/>
        <v>4Q</v>
      </c>
      <c r="Y214" s="811">
        <f t="shared" si="296"/>
        <v>2006</v>
      </c>
      <c r="Z214" s="897" t="str">
        <f t="shared" si="296"/>
        <v>1Q</v>
      </c>
      <c r="AA214" s="897" t="str">
        <f t="shared" si="296"/>
        <v>2Q</v>
      </c>
      <c r="AB214" s="897" t="str">
        <f t="shared" si="296"/>
        <v>3Q</v>
      </c>
      <c r="AC214" s="897" t="str">
        <f t="shared" si="296"/>
        <v>4Q</v>
      </c>
      <c r="AD214" s="811">
        <f t="shared" si="296"/>
        <v>2007</v>
      </c>
      <c r="AE214" s="897" t="str">
        <f t="shared" si="296"/>
        <v>1Q</v>
      </c>
      <c r="AF214" s="897" t="str">
        <f t="shared" si="296"/>
        <v>2Q</v>
      </c>
      <c r="AG214" s="897" t="str">
        <f t="shared" si="296"/>
        <v>3Q</v>
      </c>
      <c r="AH214" s="897" t="str">
        <f t="shared" si="296"/>
        <v>4Q</v>
      </c>
      <c r="AI214" s="811">
        <f t="shared" si="296"/>
        <v>2008</v>
      </c>
      <c r="AJ214" s="1207" t="str">
        <f t="shared" si="296"/>
        <v>1Q</v>
      </c>
      <c r="AK214" s="897" t="str">
        <f t="shared" si="296"/>
        <v>2Q</v>
      </c>
      <c r="AL214" s="897" t="str">
        <f t="shared" si="296"/>
        <v>3Q</v>
      </c>
      <c r="AM214" s="1208" t="str">
        <f t="shared" si="296"/>
        <v>4Q</v>
      </c>
      <c r="AN214" s="811">
        <f t="shared" si="296"/>
        <v>2009</v>
      </c>
      <c r="AO214" s="1207" t="str">
        <f t="shared" si="296"/>
        <v>1Q</v>
      </c>
      <c r="AP214" s="897" t="str">
        <f t="shared" si="296"/>
        <v>2Q</v>
      </c>
      <c r="AQ214" s="897" t="str">
        <f t="shared" si="296"/>
        <v>3Q</v>
      </c>
      <c r="AR214" s="1208" t="str">
        <f t="shared" si="296"/>
        <v>4Q</v>
      </c>
      <c r="AS214" s="811">
        <f t="shared" si="296"/>
        <v>2010</v>
      </c>
      <c r="AT214" s="1207" t="str">
        <f t="shared" si="296"/>
        <v>1Q</v>
      </c>
      <c r="AU214" s="897" t="str">
        <f t="shared" si="296"/>
        <v>2Q</v>
      </c>
      <c r="AV214" s="897" t="str">
        <f t="shared" si="296"/>
        <v>3Q</v>
      </c>
      <c r="AW214" s="1208" t="str">
        <f t="shared" si="296"/>
        <v>4Q</v>
      </c>
      <c r="AX214" s="811">
        <f t="shared" si="296"/>
        <v>2011</v>
      </c>
      <c r="AY214" s="1207" t="str">
        <f t="shared" si="296"/>
        <v>1Q</v>
      </c>
      <c r="AZ214" s="897" t="str">
        <f t="shared" si="296"/>
        <v>2Q</v>
      </c>
      <c r="BA214" s="897" t="str">
        <f t="shared" si="296"/>
        <v>3Q</v>
      </c>
      <c r="BB214" s="1208" t="str">
        <f t="shared" ref="BB214:CG214" si="297">BB7</f>
        <v>4Q</v>
      </c>
      <c r="BC214" s="811">
        <f t="shared" si="297"/>
        <v>2012</v>
      </c>
      <c r="BD214" s="1207" t="str">
        <f t="shared" si="297"/>
        <v>1Q</v>
      </c>
      <c r="BE214" s="897" t="str">
        <f t="shared" si="297"/>
        <v>2Q</v>
      </c>
      <c r="BF214" s="897" t="str">
        <f t="shared" si="297"/>
        <v>3Q</v>
      </c>
      <c r="BG214" s="1208" t="str">
        <f t="shared" si="297"/>
        <v>4Q</v>
      </c>
      <c r="BH214" s="811">
        <f t="shared" si="297"/>
        <v>2013</v>
      </c>
      <c r="BI214" s="1207" t="str">
        <f t="shared" si="297"/>
        <v>1Q</v>
      </c>
      <c r="BJ214" s="897" t="str">
        <f t="shared" si="297"/>
        <v>2Q</v>
      </c>
      <c r="BK214" s="897" t="str">
        <f t="shared" si="297"/>
        <v>3Q</v>
      </c>
      <c r="BL214" s="1208" t="str">
        <f t="shared" si="297"/>
        <v>4Q</v>
      </c>
      <c r="BM214" s="811">
        <f t="shared" si="297"/>
        <v>2014</v>
      </c>
      <c r="BN214" s="1207" t="str">
        <f t="shared" si="297"/>
        <v>1Q</v>
      </c>
      <c r="BO214" s="897" t="str">
        <f t="shared" si="297"/>
        <v>2Q</v>
      </c>
      <c r="BP214" s="897" t="str">
        <f t="shared" si="297"/>
        <v>3Q</v>
      </c>
      <c r="BQ214" s="1208" t="str">
        <f t="shared" si="297"/>
        <v>4Q</v>
      </c>
      <c r="BR214" s="811">
        <f t="shared" si="297"/>
        <v>2015</v>
      </c>
      <c r="BS214" s="1207" t="str">
        <f t="shared" si="297"/>
        <v>1Q</v>
      </c>
      <c r="BT214" s="897" t="str">
        <f t="shared" si="297"/>
        <v>2Q</v>
      </c>
      <c r="BU214" s="897" t="str">
        <f t="shared" si="297"/>
        <v>3Q</v>
      </c>
      <c r="BV214" s="1208" t="str">
        <f t="shared" si="297"/>
        <v>4Q</v>
      </c>
      <c r="BW214" s="811">
        <f t="shared" si="297"/>
        <v>2016</v>
      </c>
      <c r="BX214" s="1207" t="str">
        <f t="shared" si="297"/>
        <v>1Q</v>
      </c>
      <c r="BY214" s="897" t="str">
        <f t="shared" si="297"/>
        <v>2Q</v>
      </c>
      <c r="BZ214" s="897" t="str">
        <f t="shared" si="297"/>
        <v>3Q</v>
      </c>
      <c r="CA214" s="1208" t="str">
        <f t="shared" si="297"/>
        <v>4Q</v>
      </c>
      <c r="CB214" s="811">
        <f t="shared" si="297"/>
        <v>2017</v>
      </c>
      <c r="CC214" s="1207" t="str">
        <f t="shared" si="297"/>
        <v>1QE</v>
      </c>
      <c r="CD214" s="897" t="str">
        <f t="shared" si="297"/>
        <v>2QE</v>
      </c>
      <c r="CE214" s="897" t="str">
        <f t="shared" si="297"/>
        <v>3QE</v>
      </c>
      <c r="CF214" s="1208" t="str">
        <f t="shared" si="297"/>
        <v>4QE</v>
      </c>
      <c r="CG214" s="811" t="str">
        <f t="shared" si="297"/>
        <v>2018E</v>
      </c>
      <c r="CH214" s="1207" t="str">
        <f t="shared" ref="CH214:CQ214" si="298">CH7</f>
        <v>1QE</v>
      </c>
      <c r="CI214" s="897" t="str">
        <f t="shared" si="298"/>
        <v>2QE</v>
      </c>
      <c r="CJ214" s="897" t="str">
        <f t="shared" si="298"/>
        <v>3QE</v>
      </c>
      <c r="CK214" s="1208" t="str">
        <f t="shared" si="298"/>
        <v>4QE</v>
      </c>
      <c r="CL214" s="811" t="str">
        <f t="shared" si="298"/>
        <v>2019E</v>
      </c>
      <c r="CM214" s="1207" t="str">
        <f t="shared" si="298"/>
        <v>1QE</v>
      </c>
      <c r="CN214" s="897" t="str">
        <f t="shared" si="298"/>
        <v>2QE</v>
      </c>
      <c r="CO214" s="897" t="str">
        <f t="shared" si="298"/>
        <v>3QE</v>
      </c>
      <c r="CP214" s="1208" t="str">
        <f t="shared" si="298"/>
        <v>4QE</v>
      </c>
      <c r="CQ214" s="1386" t="str">
        <f t="shared" si="298"/>
        <v>2020E</v>
      </c>
      <c r="CR214" s="75"/>
    </row>
    <row r="215" spans="1:96" ht="6.2" customHeight="1">
      <c r="A215" s="75"/>
      <c r="B215" s="115"/>
      <c r="C215" s="81"/>
      <c r="D215" s="75"/>
      <c r="E215" s="75"/>
      <c r="F215" s="155"/>
      <c r="G215" s="155"/>
      <c r="H215" s="155"/>
      <c r="I215" s="155"/>
      <c r="J215" s="155"/>
      <c r="K215" s="155"/>
      <c r="L215" s="155"/>
      <c r="M215" s="155"/>
      <c r="N215" s="155"/>
      <c r="O215" s="155"/>
      <c r="P215" s="142"/>
      <c r="Q215" s="142"/>
      <c r="R215" s="142"/>
      <c r="S215" s="142"/>
      <c r="T215" s="142"/>
      <c r="U215" s="142"/>
      <c r="V215" s="142"/>
      <c r="W215" s="142"/>
      <c r="X215" s="142"/>
      <c r="Y215" s="142"/>
      <c r="Z215" s="142"/>
      <c r="AA215" s="142"/>
      <c r="AB215" s="142"/>
      <c r="AC215" s="142"/>
      <c r="AD215" s="142"/>
      <c r="AE215" s="142"/>
      <c r="AF215" s="142"/>
      <c r="AG215" s="142"/>
      <c r="AH215" s="142"/>
      <c r="AI215" s="142"/>
      <c r="AJ215" s="1132"/>
      <c r="AK215" s="85"/>
      <c r="AL215" s="85"/>
      <c r="AM215" s="1133"/>
      <c r="AN215" s="142"/>
      <c r="AO215" s="1132"/>
      <c r="AP215" s="85"/>
      <c r="AQ215" s="85"/>
      <c r="AR215" s="1133"/>
      <c r="AS215" s="142"/>
      <c r="AT215" s="1132"/>
      <c r="AU215" s="85"/>
      <c r="AV215" s="1269"/>
      <c r="AW215" s="1133"/>
      <c r="AX215" s="142"/>
      <c r="AY215" s="1132"/>
      <c r="AZ215" s="85"/>
      <c r="BA215" s="85"/>
      <c r="BB215" s="1133"/>
      <c r="BC215" s="142"/>
      <c r="BD215" s="1132"/>
      <c r="BE215" s="85"/>
      <c r="BF215" s="85"/>
      <c r="BG215" s="1133"/>
      <c r="BH215" s="142"/>
      <c r="BI215" s="1132"/>
      <c r="BJ215" s="85"/>
      <c r="BK215" s="85"/>
      <c r="BL215" s="1133"/>
      <c r="BM215" s="142"/>
      <c r="BN215" s="1132"/>
      <c r="BO215" s="85"/>
      <c r="BP215" s="85"/>
      <c r="BQ215" s="1133"/>
      <c r="BR215" s="142"/>
      <c r="BS215" s="1132"/>
      <c r="BT215" s="85"/>
      <c r="BU215" s="85"/>
      <c r="BV215" s="1133"/>
      <c r="BW215" s="142"/>
      <c r="BX215" s="1132"/>
      <c r="BY215" s="85"/>
      <c r="BZ215" s="85"/>
      <c r="CA215" s="1133"/>
      <c r="CB215" s="142"/>
      <c r="CC215" s="1132"/>
      <c r="CD215" s="85"/>
      <c r="CE215" s="85"/>
      <c r="CF215" s="1133"/>
      <c r="CG215" s="142"/>
      <c r="CH215" s="1132"/>
      <c r="CI215" s="85"/>
      <c r="CJ215" s="85"/>
      <c r="CK215" s="1133"/>
      <c r="CL215" s="142"/>
      <c r="CM215" s="1132"/>
      <c r="CN215" s="85"/>
      <c r="CO215" s="85"/>
      <c r="CP215" s="1133"/>
      <c r="CQ215" s="1133"/>
      <c r="CR215" s="75"/>
    </row>
    <row r="216" spans="1:96" ht="13.5" customHeight="1">
      <c r="A216" s="93" t="s">
        <v>843</v>
      </c>
      <c r="B216" s="125"/>
      <c r="C216" s="75"/>
      <c r="D216" s="75"/>
      <c r="E216" s="75"/>
      <c r="F216" s="190"/>
      <c r="G216" s="190"/>
      <c r="H216" s="254"/>
      <c r="I216" s="190"/>
      <c r="J216" s="190"/>
      <c r="K216" s="190"/>
      <c r="L216" s="254"/>
      <c r="M216" s="254"/>
      <c r="N216" s="190"/>
      <c r="O216" s="190"/>
      <c r="P216" s="142"/>
      <c r="Q216" s="142"/>
      <c r="R216" s="142"/>
      <c r="S216" s="180"/>
      <c r="T216" s="142"/>
      <c r="U216" s="142"/>
      <c r="V216" s="142"/>
      <c r="W216" s="142"/>
      <c r="X216" s="142"/>
      <c r="Y216" s="142"/>
      <c r="Z216" s="142"/>
      <c r="AA216" s="180"/>
      <c r="AB216" s="180"/>
      <c r="AC216" s="142"/>
      <c r="AD216" s="142"/>
      <c r="AE216" s="142"/>
      <c r="AF216" s="142"/>
      <c r="AG216" s="180"/>
      <c r="AH216" s="142"/>
      <c r="AI216" s="142"/>
      <c r="AJ216" s="1132"/>
      <c r="AK216" s="212"/>
      <c r="AL216" s="212"/>
      <c r="AM216" s="1133"/>
      <c r="AN216" s="142"/>
      <c r="AO216" s="1132"/>
      <c r="AP216" s="85"/>
      <c r="AQ216" s="85"/>
      <c r="AR216" s="1133"/>
      <c r="AS216" s="142"/>
      <c r="AT216" s="1132"/>
      <c r="AU216" s="212"/>
      <c r="AV216" s="1269"/>
      <c r="AW216" s="1133"/>
      <c r="AX216" s="142"/>
      <c r="AY216" s="1132"/>
      <c r="AZ216" s="85"/>
      <c r="BA216" s="85"/>
      <c r="BB216" s="1133"/>
      <c r="BC216" s="142"/>
      <c r="BD216" s="1132"/>
      <c r="BE216" s="85"/>
      <c r="BF216" s="85"/>
      <c r="BG216" s="1133"/>
      <c r="BH216" s="142"/>
      <c r="BI216" s="1132"/>
      <c r="BJ216" s="85"/>
      <c r="BK216" s="85"/>
      <c r="BL216" s="1133"/>
      <c r="BM216" s="142"/>
      <c r="BN216" s="1132"/>
      <c r="BO216" s="85"/>
      <c r="BP216" s="85"/>
      <c r="BQ216" s="1133"/>
      <c r="BR216" s="142"/>
      <c r="BS216" s="1132"/>
      <c r="BT216" s="85"/>
      <c r="BU216" s="85"/>
      <c r="BV216" s="1133"/>
      <c r="BW216" s="142"/>
      <c r="BX216" s="1132"/>
      <c r="BY216" s="85"/>
      <c r="BZ216" s="85"/>
      <c r="CA216" s="1133"/>
      <c r="CB216" s="142"/>
      <c r="CC216" s="1132"/>
      <c r="CD216" s="85"/>
      <c r="CE216" s="85"/>
      <c r="CF216" s="1133"/>
      <c r="CG216" s="142"/>
      <c r="CH216" s="1132"/>
      <c r="CI216" s="85"/>
      <c r="CJ216" s="85"/>
      <c r="CK216" s="1133"/>
      <c r="CL216" s="142"/>
      <c r="CM216" s="1132"/>
      <c r="CN216" s="85"/>
      <c r="CO216" s="85"/>
      <c r="CP216" s="1133"/>
      <c r="CQ216" s="1133"/>
      <c r="CR216" s="75"/>
    </row>
    <row r="217" spans="1:96" ht="13.5" customHeight="1">
      <c r="A217" s="75"/>
      <c r="B217" s="125" t="s">
        <v>844</v>
      </c>
      <c r="C217" s="75"/>
      <c r="D217" s="75"/>
      <c r="E217" s="75"/>
      <c r="F217" s="153">
        <f t="shared" ref="F217:X217" si="299">F92+F56</f>
        <v>-38</v>
      </c>
      <c r="G217" s="153">
        <f t="shared" si="299"/>
        <v>-49</v>
      </c>
      <c r="H217" s="153">
        <f t="shared" si="299"/>
        <v>-354</v>
      </c>
      <c r="I217" s="153">
        <f t="shared" si="299"/>
        <v>-22</v>
      </c>
      <c r="J217" s="153">
        <f t="shared" si="299"/>
        <v>-463</v>
      </c>
      <c r="K217" s="153">
        <f t="shared" si="299"/>
        <v>70</v>
      </c>
      <c r="L217" s="153">
        <f t="shared" si="299"/>
        <v>255</v>
      </c>
      <c r="M217" s="153">
        <f t="shared" si="299"/>
        <v>359</v>
      </c>
      <c r="N217" s="153">
        <f t="shared" si="299"/>
        <v>451</v>
      </c>
      <c r="O217" s="153">
        <f t="shared" si="299"/>
        <v>1135</v>
      </c>
      <c r="P217" s="153">
        <f t="shared" si="299"/>
        <v>459</v>
      </c>
      <c r="Q217" s="153">
        <f t="shared" si="299"/>
        <v>249</v>
      </c>
      <c r="R217" s="153">
        <f t="shared" si="299"/>
        <v>93</v>
      </c>
      <c r="S217" s="153">
        <f t="shared" si="299"/>
        <v>109</v>
      </c>
      <c r="T217" s="153">
        <f t="shared" si="299"/>
        <v>910</v>
      </c>
      <c r="U217" s="153">
        <f t="shared" si="299"/>
        <v>256</v>
      </c>
      <c r="V217" s="153">
        <f t="shared" si="299"/>
        <v>404</v>
      </c>
      <c r="W217" s="153">
        <f t="shared" si="299"/>
        <v>417</v>
      </c>
      <c r="X217" s="153">
        <f t="shared" si="299"/>
        <v>297</v>
      </c>
      <c r="Y217" s="608">
        <v>1374</v>
      </c>
      <c r="Z217" s="608">
        <f>273</f>
        <v>273</v>
      </c>
      <c r="AA217" s="153">
        <f>AA92+AA56</f>
        <v>302</v>
      </c>
      <c r="AB217" s="153">
        <f>AB92+AB56</f>
        <v>269</v>
      </c>
      <c r="AC217" s="153">
        <f>AD217-SUM(Z217:AB217)</f>
        <v>35</v>
      </c>
      <c r="AD217" s="608">
        <v>879</v>
      </c>
      <c r="AE217" s="153">
        <f>AE92+AE56</f>
        <v>235</v>
      </c>
      <c r="AF217" s="153">
        <f>AF92+AF56</f>
        <v>668</v>
      </c>
      <c r="AG217" s="153">
        <f>AG92+AG56</f>
        <v>919</v>
      </c>
      <c r="AH217" s="153">
        <f>AH92+AH56</f>
        <v>308</v>
      </c>
      <c r="AI217" s="153">
        <f>AI92+AI56</f>
        <v>2130</v>
      </c>
      <c r="AJ217" s="914">
        <f>AJ92</f>
        <v>-439</v>
      </c>
      <c r="AK217" s="153">
        <f>AK92</f>
        <v>-392</v>
      </c>
      <c r="AL217" s="153">
        <f>AL92</f>
        <v>-303</v>
      </c>
      <c r="AM217" s="915">
        <f>AM92</f>
        <v>-267</v>
      </c>
      <c r="AN217" s="153">
        <f>AN92</f>
        <v>-1401</v>
      </c>
      <c r="AO217" s="914">
        <f t="shared" ref="AO217:BA217" si="300">AO92+AO54</f>
        <v>-158</v>
      </c>
      <c r="AP217" s="153">
        <f t="shared" si="300"/>
        <v>-24</v>
      </c>
      <c r="AQ217" s="153">
        <f t="shared" si="300"/>
        <v>-51</v>
      </c>
      <c r="AR217" s="915">
        <f t="shared" si="300"/>
        <v>-249</v>
      </c>
      <c r="AS217" s="153">
        <f t="shared" si="300"/>
        <v>-482</v>
      </c>
      <c r="AT217" s="914">
        <f t="shared" si="300"/>
        <v>-86</v>
      </c>
      <c r="AU217" s="170">
        <f t="shared" si="300"/>
        <v>222</v>
      </c>
      <c r="AV217" s="170">
        <f t="shared" si="300"/>
        <v>22</v>
      </c>
      <c r="AW217" s="915">
        <f t="shared" si="300"/>
        <v>-211</v>
      </c>
      <c r="AX217" s="153">
        <f t="shared" si="300"/>
        <v>-53</v>
      </c>
      <c r="AY217" s="914">
        <f t="shared" si="300"/>
        <v>-219</v>
      </c>
      <c r="AZ217" s="153">
        <f t="shared" si="300"/>
        <v>101</v>
      </c>
      <c r="BA217" s="170">
        <f t="shared" si="300"/>
        <v>44</v>
      </c>
      <c r="BB217" s="915">
        <f>BC217-SUM(AY217:BA217)</f>
        <v>-51</v>
      </c>
      <c r="BC217" s="153">
        <f>BC92+BC54</f>
        <v>-125</v>
      </c>
      <c r="BD217" s="914">
        <f>BD92+BD54</f>
        <v>-73</v>
      </c>
      <c r="BE217" s="153">
        <f>BE92+BE54</f>
        <v>-78</v>
      </c>
      <c r="BF217" s="153">
        <f>BF92+BF54</f>
        <v>-1791</v>
      </c>
      <c r="BG217" s="915">
        <f>BG92+BG54</f>
        <v>270</v>
      </c>
      <c r="BH217" s="153">
        <f>SUM(BD217:BG217)</f>
        <v>-1672</v>
      </c>
      <c r="BI217" s="914">
        <f t="shared" ref="BI217:CQ217" si="301">BI92+BI54</f>
        <v>52</v>
      </c>
      <c r="BJ217" s="153">
        <f t="shared" si="301"/>
        <v>-18</v>
      </c>
      <c r="BK217" s="153">
        <f t="shared" si="301"/>
        <v>-207</v>
      </c>
      <c r="BL217" s="915">
        <f t="shared" si="301"/>
        <v>275</v>
      </c>
      <c r="BM217" s="153">
        <f t="shared" si="301"/>
        <v>102</v>
      </c>
      <c r="BN217" s="914">
        <f t="shared" si="301"/>
        <v>-75</v>
      </c>
      <c r="BO217" s="170">
        <f t="shared" si="301"/>
        <v>-261</v>
      </c>
      <c r="BP217" s="170">
        <f t="shared" si="301"/>
        <v>-173</v>
      </c>
      <c r="BQ217" s="915">
        <f t="shared" si="301"/>
        <v>-1133</v>
      </c>
      <c r="BR217" s="153">
        <f t="shared" si="301"/>
        <v>-1642</v>
      </c>
      <c r="BS217" s="914">
        <f t="shared" si="301"/>
        <v>-340</v>
      </c>
      <c r="BT217" s="153">
        <f t="shared" si="301"/>
        <v>-46</v>
      </c>
      <c r="BU217" s="153">
        <f t="shared" si="301"/>
        <v>51</v>
      </c>
      <c r="BV217" s="915">
        <f t="shared" si="301"/>
        <v>-105</v>
      </c>
      <c r="BW217" s="153">
        <f t="shared" si="301"/>
        <v>-440</v>
      </c>
      <c r="BX217" s="914">
        <f t="shared" si="301"/>
        <v>-180</v>
      </c>
      <c r="BY217" s="153">
        <f t="shared" si="301"/>
        <v>261</v>
      </c>
      <c r="BZ217" s="153">
        <f t="shared" si="301"/>
        <v>147</v>
      </c>
      <c r="CA217" s="915">
        <f t="shared" si="301"/>
        <v>159</v>
      </c>
      <c r="CB217" s="153">
        <f t="shared" si="301"/>
        <v>387</v>
      </c>
      <c r="CC217" s="914">
        <f t="shared" si="301"/>
        <v>38.900496931614612</v>
      </c>
      <c r="CD217" s="153">
        <f t="shared" si="301"/>
        <v>253.30293584813623</v>
      </c>
      <c r="CE217" s="153">
        <f t="shared" si="301"/>
        <v>334.38776713614362</v>
      </c>
      <c r="CF217" s="915">
        <f t="shared" si="301"/>
        <v>267.80449808243009</v>
      </c>
      <c r="CG217" s="153">
        <f t="shared" si="301"/>
        <v>894.39569799832464</v>
      </c>
      <c r="CH217" s="914">
        <f t="shared" si="301"/>
        <v>114.90923427117056</v>
      </c>
      <c r="CI217" s="153">
        <f t="shared" si="301"/>
        <v>342.9093344643008</v>
      </c>
      <c r="CJ217" s="153">
        <f t="shared" si="301"/>
        <v>319.72186731508117</v>
      </c>
      <c r="CK217" s="915">
        <f t="shared" si="301"/>
        <v>304.53614576855244</v>
      </c>
      <c r="CL217" s="153">
        <f t="shared" si="301"/>
        <v>1082.0765818191051</v>
      </c>
      <c r="CM217" s="914">
        <f t="shared" si="301"/>
        <v>135.50418002268219</v>
      </c>
      <c r="CN217" s="153">
        <f t="shared" si="301"/>
        <v>263.06838285849545</v>
      </c>
      <c r="CO217" s="153">
        <f t="shared" si="301"/>
        <v>207.83141399191331</v>
      </c>
      <c r="CP217" s="915">
        <f t="shared" si="301"/>
        <v>199.21441883366413</v>
      </c>
      <c r="CQ217" s="915">
        <f t="shared" si="301"/>
        <v>805.618395706755</v>
      </c>
      <c r="CR217" s="75"/>
    </row>
    <row r="218" spans="1:96" ht="13.5" customHeight="1">
      <c r="A218" s="75"/>
      <c r="B218" s="75" t="s">
        <v>845</v>
      </c>
      <c r="C218" s="75"/>
      <c r="D218" s="75"/>
      <c r="E218" s="75"/>
      <c r="F218" s="608">
        <v>90</v>
      </c>
      <c r="G218" s="627">
        <f>177-F218</f>
        <v>87</v>
      </c>
      <c r="H218" s="627">
        <f>317-G218-F218</f>
        <v>140</v>
      </c>
      <c r="I218" s="153">
        <f>J218-F218-G218-H218</f>
        <v>46</v>
      </c>
      <c r="J218" s="608">
        <v>363</v>
      </c>
      <c r="K218" s="608">
        <v>98</v>
      </c>
      <c r="L218" s="627">
        <f>191-K218</f>
        <v>93</v>
      </c>
      <c r="M218" s="627">
        <f>287-L218-K218</f>
        <v>96</v>
      </c>
      <c r="N218" s="153">
        <f>O218-SUM(K218:M218)</f>
        <v>95</v>
      </c>
      <c r="O218" s="627">
        <v>382</v>
      </c>
      <c r="P218" s="608">
        <v>98</v>
      </c>
      <c r="Q218" s="608">
        <f>186-P218</f>
        <v>88</v>
      </c>
      <c r="R218" s="608">
        <f>274-Q218-P218</f>
        <v>88</v>
      </c>
      <c r="S218" s="153">
        <f>T218-SUM(P218:R218)</f>
        <v>92</v>
      </c>
      <c r="T218" s="608">
        <v>366</v>
      </c>
      <c r="U218" s="608">
        <v>112</v>
      </c>
      <c r="V218" s="608">
        <f>226-U218</f>
        <v>114</v>
      </c>
      <c r="W218" s="608">
        <f>339-V218-U218</f>
        <v>113</v>
      </c>
      <c r="X218" s="153">
        <f>441-W218-V218-U218</f>
        <v>102</v>
      </c>
      <c r="Y218" s="608">
        <v>441</v>
      </c>
      <c r="Z218" s="153">
        <f>Z25</f>
        <v>111</v>
      </c>
      <c r="AA218" s="153">
        <f>229-Z218</f>
        <v>118</v>
      </c>
      <c r="AB218" s="153">
        <f>353-AA218-Z218</f>
        <v>124</v>
      </c>
      <c r="AC218" s="153">
        <f>AD218-SUM(Z218:AB218)</f>
        <v>153</v>
      </c>
      <c r="AD218" s="608">
        <v>506</v>
      </c>
      <c r="AE218" s="153">
        <f>AE25</f>
        <v>156</v>
      </c>
      <c r="AF218" s="608">
        <f>315-AE218</f>
        <v>159</v>
      </c>
      <c r="AG218" s="608">
        <f>464-AF218-AE218</f>
        <v>149</v>
      </c>
      <c r="AH218" s="153">
        <f>AH25</f>
        <v>141</v>
      </c>
      <c r="AI218" s="153">
        <f>SUM(AE218:AH218)</f>
        <v>605</v>
      </c>
      <c r="AJ218" s="954">
        <v>158</v>
      </c>
      <c r="AK218" s="608">
        <f>317-AJ218</f>
        <v>159</v>
      </c>
      <c r="AL218" s="608">
        <f>484-AK218-AJ218</f>
        <v>167</v>
      </c>
      <c r="AM218" s="915">
        <f>AN218-SUM(AJ218:AL218)</f>
        <v>177</v>
      </c>
      <c r="AN218" s="608">
        <v>661</v>
      </c>
      <c r="AO218" s="914">
        <f>AO25</f>
        <v>165</v>
      </c>
      <c r="AP218" s="153">
        <f>AP25</f>
        <v>162</v>
      </c>
      <c r="AQ218" s="608">
        <f>490-AP218-AO218</f>
        <v>163</v>
      </c>
      <c r="AR218" s="915">
        <f>AS218-SUM(AO218:AQ218)</f>
        <v>168</v>
      </c>
      <c r="AS218" s="608">
        <v>658</v>
      </c>
      <c r="AT218" s="1033">
        <v>169</v>
      </c>
      <c r="AU218" s="639">
        <f>340-AT218</f>
        <v>171</v>
      </c>
      <c r="AV218" s="639">
        <f>512-AU218-AT218</f>
        <v>172</v>
      </c>
      <c r="AW218" s="915">
        <f>AW25</f>
        <v>169</v>
      </c>
      <c r="AX218" s="153">
        <f>SUM(AT218:AW218)</f>
        <v>681</v>
      </c>
      <c r="AY218" s="954">
        <v>163</v>
      </c>
      <c r="AZ218" s="608">
        <f>327-AY218</f>
        <v>164</v>
      </c>
      <c r="BA218" s="608">
        <f>490-AZ218-AY218</f>
        <v>163</v>
      </c>
      <c r="BB218" s="915">
        <f>BC218-SUM(AY218:BA218)</f>
        <v>171</v>
      </c>
      <c r="BC218" s="608">
        <v>661</v>
      </c>
      <c r="BD218" s="954">
        <v>171</v>
      </c>
      <c r="BE218" s="153">
        <f>BE25</f>
        <v>170</v>
      </c>
      <c r="BF218" s="153">
        <f>BF25</f>
        <v>173</v>
      </c>
      <c r="BG218" s="915">
        <f>BG25</f>
        <v>170</v>
      </c>
      <c r="BH218" s="153">
        <f>SUM(BD218:BG218)</f>
        <v>684</v>
      </c>
      <c r="BI218" s="914">
        <f>BI25</f>
        <v>166</v>
      </c>
      <c r="BJ218" s="153">
        <f>BJ25</f>
        <v>165</v>
      </c>
      <c r="BK218" s="153">
        <f>BK25</f>
        <v>158</v>
      </c>
      <c r="BL218" s="915">
        <f>BL25</f>
        <v>138</v>
      </c>
      <c r="BM218" s="153">
        <f>SUM(BI218:BL218)</f>
        <v>627</v>
      </c>
      <c r="BN218" s="914">
        <f>BN25</f>
        <v>144</v>
      </c>
      <c r="BO218" s="153">
        <f>BO25</f>
        <v>138</v>
      </c>
      <c r="BP218" s="170">
        <f>BP25</f>
        <v>136</v>
      </c>
      <c r="BQ218" s="915">
        <f>BQ25</f>
        <v>129</v>
      </c>
      <c r="BR218" s="153">
        <f>SUM(BN218:BQ218)</f>
        <v>547</v>
      </c>
      <c r="BS218" s="914">
        <f>BS25</f>
        <v>129</v>
      </c>
      <c r="BT218" s="153">
        <f>BT25</f>
        <v>129</v>
      </c>
      <c r="BU218" s="153">
        <f>BU25</f>
        <v>126</v>
      </c>
      <c r="BV218" s="915">
        <f>BV25</f>
        <v>123</v>
      </c>
      <c r="BW218" s="153">
        <f>SUM(BS218:BV218)</f>
        <v>507</v>
      </c>
      <c r="BX218" s="914">
        <f>BX25</f>
        <v>137</v>
      </c>
      <c r="BY218" s="153">
        <f>BY25</f>
        <v>121</v>
      </c>
      <c r="BZ218" s="153">
        <f>BZ25</f>
        <v>118</v>
      </c>
      <c r="CA218" s="915">
        <f>CA25</f>
        <v>125</v>
      </c>
      <c r="CB218" s="153">
        <f>SUM(BX218:CA218)</f>
        <v>501</v>
      </c>
      <c r="CC218" s="914">
        <f>CC25</f>
        <v>132</v>
      </c>
      <c r="CD218" s="153">
        <f>CD25</f>
        <v>124</v>
      </c>
      <c r="CE218" s="153">
        <f>CE25</f>
        <v>124</v>
      </c>
      <c r="CF218" s="915">
        <f>CF25</f>
        <v>115</v>
      </c>
      <c r="CG218" s="153">
        <f>SUM(CC218:CF218)</f>
        <v>495</v>
      </c>
      <c r="CH218" s="914">
        <f>CH25</f>
        <v>132</v>
      </c>
      <c r="CI218" s="153">
        <f>CI25</f>
        <v>124</v>
      </c>
      <c r="CJ218" s="153">
        <f>CJ25</f>
        <v>124</v>
      </c>
      <c r="CK218" s="915">
        <f>CK25</f>
        <v>115</v>
      </c>
      <c r="CL218" s="153">
        <f>SUM(CH218:CK218)</f>
        <v>495</v>
      </c>
      <c r="CM218" s="914">
        <f>CM25</f>
        <v>132</v>
      </c>
      <c r="CN218" s="153">
        <f>CN25</f>
        <v>124</v>
      </c>
      <c r="CO218" s="153">
        <f>CO25</f>
        <v>124</v>
      </c>
      <c r="CP218" s="915">
        <f>CP25</f>
        <v>115</v>
      </c>
      <c r="CQ218" s="915">
        <f>SUM(CM218:CP218)</f>
        <v>495</v>
      </c>
      <c r="CR218" s="257"/>
    </row>
    <row r="219" spans="1:96" ht="13.5" customHeight="1">
      <c r="A219" s="75"/>
      <c r="B219" s="81" t="s">
        <v>605</v>
      </c>
      <c r="C219" s="75"/>
      <c r="D219" s="185"/>
      <c r="E219" s="185"/>
      <c r="F219" s="627">
        <f>5-2-44</f>
        <v>-41</v>
      </c>
      <c r="G219" s="627">
        <f>52+5-23-34-21-F219</f>
        <v>20</v>
      </c>
      <c r="H219" s="627">
        <f>52+5-27-34-120-G219-F219</f>
        <v>-103</v>
      </c>
      <c r="I219" s="153">
        <f>J219-F219-G219-H219</f>
        <v>582</v>
      </c>
      <c r="J219" s="627">
        <f>5+43-85+594-34-117+52</f>
        <v>458</v>
      </c>
      <c r="K219" s="627">
        <f>-14-11-42-7-2</f>
        <v>-76</v>
      </c>
      <c r="L219" s="627">
        <f>-14-10-44-7+2-K219</f>
        <v>3</v>
      </c>
      <c r="M219" s="627">
        <f>-14-4-46-7-9-L219-K219</f>
        <v>-7</v>
      </c>
      <c r="N219" s="153">
        <f>O219-SUM(K219:M219)</f>
        <v>4</v>
      </c>
      <c r="O219" s="627">
        <f>-14+16-57-7-14</f>
        <v>-76</v>
      </c>
      <c r="P219" s="608">
        <f>2-4-95-4</f>
        <v>-101</v>
      </c>
      <c r="Q219" s="608">
        <f>5-10-95-6-P219</f>
        <v>-5</v>
      </c>
      <c r="R219" s="608">
        <f>6-17-95+2-Q219-P219</f>
        <v>2</v>
      </c>
      <c r="S219" s="153">
        <f>T219-SUM(P219:R219)</f>
        <v>8</v>
      </c>
      <c r="T219" s="608">
        <f>10-21-95+10</f>
        <v>-96</v>
      </c>
      <c r="U219" s="153">
        <f>3-1+5</f>
        <v>7</v>
      </c>
      <c r="V219" s="608">
        <f>2-2+4-U219</f>
        <v>-3</v>
      </c>
      <c r="W219" s="608">
        <f>2-2-2-V219-U219</f>
        <v>-6</v>
      </c>
      <c r="X219" s="153">
        <f>Y219-W219-V219-U219</f>
        <v>-17</v>
      </c>
      <c r="Y219" s="608">
        <f>-13-9+3</f>
        <v>-19</v>
      </c>
      <c r="Z219" s="608">
        <f>-8+8-10-13</f>
        <v>-23</v>
      </c>
      <c r="AA219" s="608">
        <f>-13+15-Z219-AA230-Z230</f>
        <v>21</v>
      </c>
      <c r="AB219" s="608">
        <f>-20+87-AA219-Z219-AA230-AB230-Z230</f>
        <v>64</v>
      </c>
      <c r="AC219" s="153">
        <f>AD219-SUM(Z219:AB219)</f>
        <v>87</v>
      </c>
      <c r="AD219" s="608">
        <f>183-23-AD230</f>
        <v>149</v>
      </c>
      <c r="AE219" s="608">
        <f>-71+4-1+3+24-38</f>
        <v>-79</v>
      </c>
      <c r="AF219" s="608">
        <f>-82-2-AE219-AF230-AE230</f>
        <v>-16</v>
      </c>
      <c r="AG219" s="608">
        <f>-8-1-AF219-AE219-AF230-AE230-AG230</f>
        <v>52</v>
      </c>
      <c r="AH219" s="153">
        <f>AI219-SUM(AE219:AG219)</f>
        <v>-337</v>
      </c>
      <c r="AI219" s="608">
        <f>-150-17-213</f>
        <v>-380</v>
      </c>
      <c r="AJ219" s="914">
        <f>-3-97+28+61-25</f>
        <v>-36</v>
      </c>
      <c r="AK219" s="608">
        <f>-133+42-AJ219</f>
        <v>-55</v>
      </c>
      <c r="AL219" s="608">
        <f>35-134-AK219-AJ219</f>
        <v>-8</v>
      </c>
      <c r="AM219" s="915">
        <f>AN219-SUM(AJ219:AL219)</f>
        <v>88</v>
      </c>
      <c r="AN219" s="608">
        <f>-124+113</f>
        <v>-11</v>
      </c>
      <c r="AO219" s="954">
        <f>3-3+8+51-31</f>
        <v>28</v>
      </c>
      <c r="AP219" s="608">
        <f>7-5+1+157-64-AO219</f>
        <v>68</v>
      </c>
      <c r="AQ219" s="608">
        <f>8+9-8+40-AP219-AO219</f>
        <v>-47</v>
      </c>
      <c r="AR219" s="915">
        <f>AS219-SUM(AO219:AQ219)</f>
        <v>53</v>
      </c>
      <c r="AS219" s="608">
        <f>-7-14+15+21+87</f>
        <v>102</v>
      </c>
      <c r="AT219" s="954">
        <f>4-6-6-101-32</f>
        <v>-141</v>
      </c>
      <c r="AU219" s="639">
        <f>5+5-10-145-26-AT219</f>
        <v>-30</v>
      </c>
      <c r="AV219" s="639">
        <f>-10-49-26+4+58-AU219-AT219</f>
        <v>148</v>
      </c>
      <c r="AW219" s="915">
        <f>AX219-SUM(AT219:AV219)</f>
        <v>-11</v>
      </c>
      <c r="AX219" s="608">
        <f>3-25+40-52</f>
        <v>-34</v>
      </c>
      <c r="AY219" s="1033">
        <f>-3+309-13+7</f>
        <v>300</v>
      </c>
      <c r="AZ219" s="639">
        <f>-3+309-7+6-AY219</f>
        <v>5</v>
      </c>
      <c r="BA219" s="608">
        <f>-3+308-13-33+67-AZ219-AY219</f>
        <v>21</v>
      </c>
      <c r="BB219" s="915">
        <f>BC219-SUM(AY219:BA219)</f>
        <v>28</v>
      </c>
      <c r="BC219" s="608">
        <f>-1+296-15-45+119</f>
        <v>354</v>
      </c>
      <c r="BD219" s="954">
        <f>-1+1+19-5</f>
        <v>14</v>
      </c>
      <c r="BE219" s="608">
        <f>-3+21+6-BD219</f>
        <v>10</v>
      </c>
      <c r="BF219" s="608">
        <f>61-20+8+1+1783-2-BE219-BD219</f>
        <v>1807</v>
      </c>
      <c r="BG219" s="960">
        <f>1806+248+5+7+85-27-SUM(BD219:BF219)</f>
        <v>293</v>
      </c>
      <c r="BH219" s="153">
        <f>SUM(BD219:BG219)</f>
        <v>2124</v>
      </c>
      <c r="BI219" s="954">
        <f>2-20+7+4</f>
        <v>-7</v>
      </c>
      <c r="BJ219" s="608">
        <f>18+1-21+3-52-BI219</f>
        <v>-44</v>
      </c>
      <c r="BK219" s="639">
        <f>254+413+4-23+32-96-SUM(BI219:BJ219)</f>
        <v>635</v>
      </c>
      <c r="BL219" s="960">
        <f>256+416-23+42-135-SUM(BI219:BK219)</f>
        <v>-28</v>
      </c>
      <c r="BM219" s="153">
        <f>SUM(BI219:BL219)</f>
        <v>556</v>
      </c>
      <c r="BN219" s="954">
        <f>153-6-4-18</f>
        <v>125</v>
      </c>
      <c r="BO219" s="639">
        <f>255+172-16-1-18-9-BN219</f>
        <v>258</v>
      </c>
      <c r="BP219" s="608">
        <f>271+275-13-2-26-64-SUM(BN219:BO219)</f>
        <v>58</v>
      </c>
      <c r="BQ219" s="960">
        <f>392+322+36-15-2-28-71-SUM(BN219:BP219)</f>
        <v>193</v>
      </c>
      <c r="BR219" s="153">
        <f>SUM(BN219:BQ219)</f>
        <v>634</v>
      </c>
      <c r="BS219" s="954">
        <f>10+3+5+12</f>
        <v>30</v>
      </c>
      <c r="BT219" s="608">
        <f>4+3-70-BS219</f>
        <v>-93</v>
      </c>
      <c r="BU219" s="608">
        <f>14+1+6-86-SUM(BS219:BT219)</f>
        <v>-2</v>
      </c>
      <c r="BV219" s="960">
        <f>14+122+22+5-56-SUM(BS219:BU219)</f>
        <v>172</v>
      </c>
      <c r="BW219" s="153">
        <f>SUM(BS219:BV219)</f>
        <v>107</v>
      </c>
      <c r="BX219" s="1090">
        <f>33-1+15+15</f>
        <v>62</v>
      </c>
      <c r="BY219" s="608">
        <f>-72+32-1+20+90-BX219</f>
        <v>7</v>
      </c>
      <c r="BZ219" s="608">
        <f>-72-21+30+154+15-2-BY219-BX219</f>
        <v>35</v>
      </c>
      <c r="CA219" s="960">
        <f>-72-2+31+54-5-52+28-SUM(BX219:BZ219)</f>
        <v>-122</v>
      </c>
      <c r="CB219" s="153">
        <f>SUM(BX219:CA219)</f>
        <v>-18</v>
      </c>
      <c r="CC219" s="954">
        <v>15</v>
      </c>
      <c r="CD219" s="608">
        <v>15</v>
      </c>
      <c r="CE219" s="608">
        <v>15</v>
      </c>
      <c r="CF219" s="960">
        <v>15</v>
      </c>
      <c r="CG219" s="153">
        <f>SUM(CC219:CF219)</f>
        <v>60</v>
      </c>
      <c r="CH219" s="954">
        <v>15</v>
      </c>
      <c r="CI219" s="608">
        <v>15</v>
      </c>
      <c r="CJ219" s="608">
        <v>15</v>
      </c>
      <c r="CK219" s="960">
        <v>15</v>
      </c>
      <c r="CL219" s="153">
        <f>SUM(CH219:CK219)</f>
        <v>60</v>
      </c>
      <c r="CM219" s="954">
        <v>15</v>
      </c>
      <c r="CN219" s="608">
        <v>15</v>
      </c>
      <c r="CO219" s="608">
        <v>15</v>
      </c>
      <c r="CP219" s="960">
        <v>15</v>
      </c>
      <c r="CQ219" s="915">
        <f>SUM(CM219:CP219)</f>
        <v>60</v>
      </c>
      <c r="CR219" s="185"/>
    </row>
    <row r="220" spans="1:96" ht="13.5" customHeight="1">
      <c r="A220" s="75"/>
      <c r="B220" s="81" t="s">
        <v>846</v>
      </c>
      <c r="C220" s="75"/>
      <c r="D220" s="185"/>
      <c r="E220" s="185"/>
      <c r="F220" s="608">
        <v>-49</v>
      </c>
      <c r="G220" s="627">
        <f>-53-F220</f>
        <v>-4</v>
      </c>
      <c r="H220" s="627">
        <f>-408-F220-G220</f>
        <v>-355</v>
      </c>
      <c r="I220" s="153">
        <f>J220-F220-G220-H220</f>
        <v>-37</v>
      </c>
      <c r="J220" s="608">
        <v>-445</v>
      </c>
      <c r="K220" s="627">
        <f>33+1</f>
        <v>34</v>
      </c>
      <c r="L220" s="627">
        <f>90-K220+1</f>
        <v>57</v>
      </c>
      <c r="M220" s="627">
        <f>264-L220-K220+2</f>
        <v>175</v>
      </c>
      <c r="N220" s="153">
        <f>O220-SUM(K220:M220)</f>
        <v>94</v>
      </c>
      <c r="O220" s="627">
        <f>355+5</f>
        <v>360</v>
      </c>
      <c r="P220" s="608">
        <f>103+1</f>
        <v>104</v>
      </c>
      <c r="Q220" s="608">
        <f>158-P220</f>
        <v>54</v>
      </c>
      <c r="R220" s="608">
        <f>86-Q220-P220-1</f>
        <v>-73</v>
      </c>
      <c r="S220" s="153">
        <f>T220-SUM(P220:R220)</f>
        <v>-42</v>
      </c>
      <c r="T220" s="608">
        <v>43</v>
      </c>
      <c r="U220" s="608">
        <v>16</v>
      </c>
      <c r="V220" s="608">
        <f>43-U220</f>
        <v>27</v>
      </c>
      <c r="W220" s="608">
        <f>124-V220-U220</f>
        <v>81</v>
      </c>
      <c r="X220" s="608">
        <f>-3-W220-V220-U220</f>
        <v>-127</v>
      </c>
      <c r="Y220" s="153">
        <f>SUM(U220:X220)</f>
        <v>-3</v>
      </c>
      <c r="Z220" s="608">
        <v>41</v>
      </c>
      <c r="AA220" s="608">
        <f>49-Z220</f>
        <v>8</v>
      </c>
      <c r="AB220" s="608">
        <f>113-AA220-Z220</f>
        <v>64</v>
      </c>
      <c r="AC220" s="153">
        <f>AD220-SUM(Z220:AB220)</f>
        <v>-60</v>
      </c>
      <c r="AD220" s="608">
        <v>53</v>
      </c>
      <c r="AE220" s="608">
        <v>0</v>
      </c>
      <c r="AF220" s="608">
        <f>97-AE220</f>
        <v>97</v>
      </c>
      <c r="AG220" s="608">
        <f>262-AF220-AE220</f>
        <v>165</v>
      </c>
      <c r="AH220" s="153">
        <f>AI220-SUM(AE220:AG220)</f>
        <v>115</v>
      </c>
      <c r="AI220" s="608">
        <v>377</v>
      </c>
      <c r="AJ220" s="954">
        <v>-165</v>
      </c>
      <c r="AK220" s="608">
        <f>-248-AJ220</f>
        <v>-83</v>
      </c>
      <c r="AL220" s="608">
        <f>-258-AK220-AJ220</f>
        <v>-10</v>
      </c>
      <c r="AM220" s="915">
        <f>AN220-SUM(AJ220:AL220)</f>
        <v>-111</v>
      </c>
      <c r="AN220" s="608">
        <v>-369</v>
      </c>
      <c r="AO220" s="954">
        <v>15</v>
      </c>
      <c r="AP220" s="608">
        <f>41-AO220</f>
        <v>26</v>
      </c>
      <c r="AQ220" s="608">
        <f>20-AP220-AO220</f>
        <v>-21</v>
      </c>
      <c r="AR220" s="915">
        <f>AS220-SUM(AO220:AQ220)</f>
        <v>135</v>
      </c>
      <c r="AS220" s="608">
        <v>155</v>
      </c>
      <c r="AT220" s="954">
        <v>8</v>
      </c>
      <c r="AU220" s="639">
        <f>43-AT220</f>
        <v>35</v>
      </c>
      <c r="AV220" s="639">
        <f>10-AU220-AT220</f>
        <v>-33</v>
      </c>
      <c r="AW220" s="915">
        <f>AX220-SUM(AT220:AV220)</f>
        <v>-78</v>
      </c>
      <c r="AX220" s="608">
        <v>-68</v>
      </c>
      <c r="AY220" s="1033">
        <v>44</v>
      </c>
      <c r="AZ220" s="639">
        <f>107-AY220</f>
        <v>63</v>
      </c>
      <c r="BA220" s="639">
        <f>86-AZ220-AY220</f>
        <v>-21</v>
      </c>
      <c r="BB220" s="915">
        <f>BC220-SUM(AY220:BA220)</f>
        <v>-12</v>
      </c>
      <c r="BC220" s="608">
        <v>74</v>
      </c>
      <c r="BD220" s="954">
        <v>4</v>
      </c>
      <c r="BE220" s="608">
        <f>-2-BD220</f>
        <v>-6</v>
      </c>
      <c r="BF220" s="639">
        <f>3-BE220-BD220</f>
        <v>5</v>
      </c>
      <c r="BG220" s="1034">
        <f>-359-SUM(BD220:BF220)</f>
        <v>-362</v>
      </c>
      <c r="BH220" s="170">
        <f>SUM(BD220:BG220)</f>
        <v>-359</v>
      </c>
      <c r="BI220" s="1033">
        <v>4</v>
      </c>
      <c r="BJ220" s="639">
        <f>16-BI220</f>
        <v>12</v>
      </c>
      <c r="BK220" s="639">
        <f>6-SUM(BI220:BJ220)</f>
        <v>-10</v>
      </c>
      <c r="BL220" s="1034">
        <f>76-SUM(BI220:BK220)</f>
        <v>70</v>
      </c>
      <c r="BM220" s="170">
        <f>SUM(BI220:BL220)</f>
        <v>76</v>
      </c>
      <c r="BN220" s="1033">
        <v>-166</v>
      </c>
      <c r="BO220" s="639">
        <f>-345-BN220</f>
        <v>-179</v>
      </c>
      <c r="BP220" s="639">
        <f>-385-BO220-BN220</f>
        <v>-40</v>
      </c>
      <c r="BQ220" s="1034">
        <f>213-BP220-BO220-BN220</f>
        <v>598</v>
      </c>
      <c r="BR220" s="153">
        <f>SUM(BN220:BQ220)</f>
        <v>213</v>
      </c>
      <c r="BS220" s="1033">
        <v>9</v>
      </c>
      <c r="BT220" s="639">
        <f>2-BS220</f>
        <v>-7</v>
      </c>
      <c r="BU220" s="639">
        <f>9-SUM(BS220:BT220)</f>
        <v>7</v>
      </c>
      <c r="BV220" s="1034">
        <f>9-SUM(BS220:BU220)</f>
        <v>0</v>
      </c>
      <c r="BW220" s="170">
        <f>SUM(BS220:BV220)</f>
        <v>9</v>
      </c>
      <c r="BX220" s="1365">
        <v>2</v>
      </c>
      <c r="BY220" s="639">
        <f>2-BX220</f>
        <v>0</v>
      </c>
      <c r="BZ220" s="639">
        <f>7-BY220-BX220</f>
        <v>5</v>
      </c>
      <c r="CA220" s="1034">
        <f>-72-BZ220-BY220-BX220</f>
        <v>-79</v>
      </c>
      <c r="CB220" s="170">
        <f>SUM(BX220:CA220)</f>
        <v>-72</v>
      </c>
      <c r="CC220" s="1033">
        <f>IF(CC51&lt;0,CC51,0)</f>
        <v>0</v>
      </c>
      <c r="CD220" s="639">
        <f>IF(CD51&lt;0,CD51,0)</f>
        <v>0</v>
      </c>
      <c r="CE220" s="639">
        <f>IF(CE51&lt;0,CE51,0)</f>
        <v>0</v>
      </c>
      <c r="CF220" s="1034">
        <f>IF(CF51&lt;0,CF51,0)</f>
        <v>0</v>
      </c>
      <c r="CG220" s="170">
        <f>SUM(CC220:CF220)</f>
        <v>0</v>
      </c>
      <c r="CH220" s="1033">
        <f>IF(CH51&lt;0,CH51,0)</f>
        <v>0</v>
      </c>
      <c r="CI220" s="639">
        <f>IF(CI51&lt;0,CI51,0)</f>
        <v>0</v>
      </c>
      <c r="CJ220" s="639">
        <f>IF(CJ51&lt;0,CJ51,0)</f>
        <v>0</v>
      </c>
      <c r="CK220" s="1034">
        <f>IF(CK51&lt;0,CK51,0)</f>
        <v>0</v>
      </c>
      <c r="CL220" s="170">
        <f>SUM(CH220:CK220)</f>
        <v>0</v>
      </c>
      <c r="CM220" s="1033">
        <f>IF(CM51&lt;0,CM51,0)</f>
        <v>0</v>
      </c>
      <c r="CN220" s="639">
        <f>IF(CN51&lt;0,CN51,0)</f>
        <v>0</v>
      </c>
      <c r="CO220" s="639">
        <f>IF(CO51&lt;0,CO51,0)</f>
        <v>0</v>
      </c>
      <c r="CP220" s="1034">
        <f>IF(CP51&lt;0,CP51,0)</f>
        <v>0</v>
      </c>
      <c r="CQ220" s="1294">
        <f>SUM(CM220:CP220)</f>
        <v>0</v>
      </c>
      <c r="CR220" s="185"/>
    </row>
    <row r="221" spans="1:96" ht="6.2" customHeight="1">
      <c r="A221" s="75"/>
      <c r="B221" s="75"/>
      <c r="C221" s="75"/>
      <c r="D221" s="75"/>
      <c r="E221" s="75"/>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608"/>
      <c r="AB221" s="608"/>
      <c r="AC221" s="153"/>
      <c r="AD221" s="153"/>
      <c r="AE221" s="153"/>
      <c r="AF221" s="153"/>
      <c r="AG221" s="153"/>
      <c r="AH221" s="153"/>
      <c r="AI221" s="153"/>
      <c r="AJ221" s="914"/>
      <c r="AK221" s="608"/>
      <c r="AL221" s="608"/>
      <c r="AM221" s="915"/>
      <c r="AN221" s="153"/>
      <c r="AO221" s="914"/>
      <c r="AP221" s="153"/>
      <c r="AQ221" s="153"/>
      <c r="AR221" s="915"/>
      <c r="AS221" s="153"/>
      <c r="AT221" s="914"/>
      <c r="AU221" s="170"/>
      <c r="AV221" s="170"/>
      <c r="AW221" s="915"/>
      <c r="AX221" s="153"/>
      <c r="AY221" s="914"/>
      <c r="AZ221" s="153"/>
      <c r="BA221" s="153"/>
      <c r="BB221" s="915"/>
      <c r="BC221" s="153"/>
      <c r="BD221" s="914"/>
      <c r="BE221" s="608"/>
      <c r="BF221" s="608"/>
      <c r="BG221" s="915"/>
      <c r="BH221" s="153"/>
      <c r="BI221" s="914"/>
      <c r="BJ221" s="153"/>
      <c r="BK221" s="170"/>
      <c r="BL221" s="915"/>
      <c r="BM221" s="153"/>
      <c r="BN221" s="914"/>
      <c r="BO221" s="170"/>
      <c r="BP221" s="153"/>
      <c r="BQ221" s="915"/>
      <c r="BR221" s="153"/>
      <c r="BS221" s="914"/>
      <c r="BT221" s="608"/>
      <c r="BU221" s="153"/>
      <c r="BV221" s="915"/>
      <c r="BW221" s="153"/>
      <c r="BX221" s="1090"/>
      <c r="BY221" s="153"/>
      <c r="BZ221" s="153"/>
      <c r="CA221" s="915"/>
      <c r="CB221" s="153"/>
      <c r="CC221" s="914"/>
      <c r="CD221" s="153"/>
      <c r="CE221" s="153"/>
      <c r="CF221" s="915"/>
      <c r="CG221" s="153"/>
      <c r="CH221" s="914"/>
      <c r="CI221" s="153"/>
      <c r="CJ221" s="153"/>
      <c r="CK221" s="915"/>
      <c r="CL221" s="153"/>
      <c r="CM221" s="914"/>
      <c r="CN221" s="153"/>
      <c r="CO221" s="153"/>
      <c r="CP221" s="915"/>
      <c r="CQ221" s="915"/>
      <c r="CR221" s="75"/>
    </row>
    <row r="222" spans="1:96" ht="13.5" customHeight="1">
      <c r="A222" s="75"/>
      <c r="B222" s="81"/>
      <c r="C222" s="159" t="s">
        <v>847</v>
      </c>
      <c r="D222" s="75"/>
      <c r="E222" s="75"/>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608"/>
      <c r="AB222" s="608"/>
      <c r="AC222" s="153"/>
      <c r="AD222" s="153"/>
      <c r="AE222" s="153"/>
      <c r="AF222" s="153"/>
      <c r="AG222" s="153"/>
      <c r="AH222" s="153"/>
      <c r="AI222" s="153"/>
      <c r="AJ222" s="914"/>
      <c r="AK222" s="608"/>
      <c r="AL222" s="608"/>
      <c r="AM222" s="915"/>
      <c r="AN222" s="153"/>
      <c r="AO222" s="914"/>
      <c r="AP222" s="153"/>
      <c r="AQ222" s="153"/>
      <c r="AR222" s="915"/>
      <c r="AS222" s="153"/>
      <c r="AT222" s="914"/>
      <c r="AU222" s="170"/>
      <c r="AV222" s="170"/>
      <c r="AW222" s="915"/>
      <c r="AX222" s="153"/>
      <c r="AY222" s="914"/>
      <c r="AZ222" s="153"/>
      <c r="BA222" s="153"/>
      <c r="BB222" s="1294"/>
      <c r="BC222" s="153"/>
      <c r="BD222" s="1291"/>
      <c r="BE222" s="153"/>
      <c r="BF222" s="153"/>
      <c r="BG222" s="915"/>
      <c r="BH222" s="153"/>
      <c r="BI222" s="914"/>
      <c r="BJ222" s="153"/>
      <c r="BK222" s="170"/>
      <c r="BL222" s="915"/>
      <c r="BM222" s="153"/>
      <c r="BN222" s="914"/>
      <c r="BO222" s="170"/>
      <c r="BP222" s="153"/>
      <c r="BQ222" s="915"/>
      <c r="BR222" s="153"/>
      <c r="BS222" s="914"/>
      <c r="BT222" s="608"/>
      <c r="BU222" s="153"/>
      <c r="BV222" s="915"/>
      <c r="BW222" s="153"/>
      <c r="BX222" s="1090"/>
      <c r="BY222" s="153"/>
      <c r="BZ222" s="153"/>
      <c r="CA222" s="915"/>
      <c r="CB222" s="153"/>
      <c r="CC222" s="914"/>
      <c r="CD222" s="153"/>
      <c r="CE222" s="153"/>
      <c r="CF222" s="915"/>
      <c r="CG222" s="153"/>
      <c r="CH222" s="914"/>
      <c r="CI222" s="153"/>
      <c r="CJ222" s="153"/>
      <c r="CK222" s="915"/>
      <c r="CL222" s="153"/>
      <c r="CM222" s="914"/>
      <c r="CN222" s="153"/>
      <c r="CO222" s="153"/>
      <c r="CP222" s="915"/>
      <c r="CQ222" s="915"/>
      <c r="CR222" s="75"/>
    </row>
    <row r="223" spans="1:96" ht="13.5" customHeight="1">
      <c r="A223" s="75"/>
      <c r="B223" s="81"/>
      <c r="C223" s="81" t="s">
        <v>848</v>
      </c>
      <c r="D223" s="75"/>
      <c r="E223" s="75"/>
      <c r="F223" s="608">
        <v>-171</v>
      </c>
      <c r="G223" s="627">
        <f>-129-F223</f>
        <v>42</v>
      </c>
      <c r="H223" s="627">
        <f>-74-G223-F223</f>
        <v>55</v>
      </c>
      <c r="I223" s="153">
        <f>J223-F223-G223-H223</f>
        <v>-25</v>
      </c>
      <c r="J223" s="627">
        <f>190-190-99</f>
        <v>-99</v>
      </c>
      <c r="K223" s="608">
        <v>-161</v>
      </c>
      <c r="L223" s="627">
        <f>-337-K223</f>
        <v>-176</v>
      </c>
      <c r="M223" s="627">
        <f>-431-L223-K223</f>
        <v>-94</v>
      </c>
      <c r="N223" s="153">
        <f>O223-SUM(K223:M223)</f>
        <v>-119</v>
      </c>
      <c r="O223" s="608">
        <v>-550</v>
      </c>
      <c r="P223" s="153">
        <f>(-P122+O122)+(-P123+O123)</f>
        <v>-141</v>
      </c>
      <c r="Q223" s="608">
        <f>58-P223</f>
        <v>199</v>
      </c>
      <c r="R223" s="608">
        <f>153-Q223-P223</f>
        <v>95</v>
      </c>
      <c r="S223" s="153">
        <f>T223-SUM(P223:R223)</f>
        <v>12</v>
      </c>
      <c r="T223" s="608">
        <v>165</v>
      </c>
      <c r="U223" s="608">
        <v>-221</v>
      </c>
      <c r="V223" s="608">
        <f>-367-U223</f>
        <v>-146</v>
      </c>
      <c r="W223" s="608">
        <f>-335-V223-U223</f>
        <v>32</v>
      </c>
      <c r="X223" s="608">
        <f>-93-W223-V223-U223</f>
        <v>242</v>
      </c>
      <c r="Y223" s="153">
        <f>SUM(U223:X223)</f>
        <v>-93</v>
      </c>
      <c r="Z223" s="608">
        <v>-136</v>
      </c>
      <c r="AA223" s="608">
        <f>-297-Z223</f>
        <v>-161</v>
      </c>
      <c r="AB223" s="608">
        <f>-300-AA223-Z223</f>
        <v>-3</v>
      </c>
      <c r="AC223" s="153">
        <f>AD223-SUM(Z223:AB223)</f>
        <v>538</v>
      </c>
      <c r="AD223" s="608">
        <v>238</v>
      </c>
      <c r="AE223" s="153">
        <f>-237-100+70</f>
        <v>-267</v>
      </c>
      <c r="AF223" s="608">
        <f>-1053-AE223</f>
        <v>-786</v>
      </c>
      <c r="AG223" s="608">
        <f>-1264-AF223-AE223</f>
        <v>-211</v>
      </c>
      <c r="AH223" s="153">
        <f>AI223-SUM(AE223:AG223)</f>
        <v>974</v>
      </c>
      <c r="AI223" s="608">
        <v>-290</v>
      </c>
      <c r="AJ223" s="954">
        <v>722</v>
      </c>
      <c r="AK223" s="608">
        <f>1028-AJ223</f>
        <v>306</v>
      </c>
      <c r="AL223" s="608">
        <f>671-AK223-AJ223</f>
        <v>-357</v>
      </c>
      <c r="AM223" s="915">
        <f>AN223-SUM(AJ223:AL223)</f>
        <v>64</v>
      </c>
      <c r="AN223" s="608">
        <v>735</v>
      </c>
      <c r="AO223" s="954">
        <v>-426</v>
      </c>
      <c r="AP223" s="608">
        <f>-882-AO223</f>
        <v>-456</v>
      </c>
      <c r="AQ223" s="608">
        <f>-767-AP223-AO223</f>
        <v>115</v>
      </c>
      <c r="AR223" s="915">
        <f t="shared" ref="AR223:AR229" si="302">AS223-SUM(AO223:AQ223)</f>
        <v>278</v>
      </c>
      <c r="AS223" s="608">
        <v>-489</v>
      </c>
      <c r="AT223" s="954">
        <v>-522</v>
      </c>
      <c r="AU223" s="639">
        <f>-591-AT223</f>
        <v>-69</v>
      </c>
      <c r="AV223" s="639">
        <f>-576-AU223-AT223</f>
        <v>15</v>
      </c>
      <c r="AW223" s="915">
        <f>AX223-SUM(AT223:AV223)</f>
        <v>152</v>
      </c>
      <c r="AX223" s="608">
        <v>-424</v>
      </c>
      <c r="AY223" s="1033">
        <v>-175</v>
      </c>
      <c r="AZ223" s="639">
        <f>-159-AY223</f>
        <v>16</v>
      </c>
      <c r="BA223" s="608">
        <f>-86-AZ223-AY223</f>
        <v>73</v>
      </c>
      <c r="BB223" s="1294">
        <f>BC223-SUM(AY223:BA223)</f>
        <v>332</v>
      </c>
      <c r="BC223" s="608">
        <v>246</v>
      </c>
      <c r="BD223" s="1033">
        <v>-203</v>
      </c>
      <c r="BE223" s="639">
        <f>-64-BD223</f>
        <v>139</v>
      </c>
      <c r="BF223" s="608">
        <f>137-BE223-BD223</f>
        <v>201</v>
      </c>
      <c r="BG223" s="1034">
        <f>114-SUM(BD223:BF223)</f>
        <v>-23</v>
      </c>
      <c r="BH223" s="153">
        <f>SUM(BD223:BG223)</f>
        <v>114</v>
      </c>
      <c r="BI223" s="954">
        <v>-232</v>
      </c>
      <c r="BJ223" s="608">
        <f>-102-BI223</f>
        <v>130</v>
      </c>
      <c r="BK223" s="639">
        <f>-312-SUM(BI223:BJ223)</f>
        <v>-210</v>
      </c>
      <c r="BL223" s="1034">
        <f>-199-SUM(BI223:BK223)</f>
        <v>113</v>
      </c>
      <c r="BM223" s="153">
        <f>SUM(BI223:BL223)</f>
        <v>-199</v>
      </c>
      <c r="BN223" s="954">
        <v>237</v>
      </c>
      <c r="BO223" s="639">
        <f>371-BN223</f>
        <v>134</v>
      </c>
      <c r="BP223" s="639">
        <f>529-SUM(BN223:BO223)</f>
        <v>158</v>
      </c>
      <c r="BQ223" s="960">
        <f>792-SUM(BN223:BP223)</f>
        <v>263</v>
      </c>
      <c r="BR223" s="153">
        <f>SUM(BN223:BQ223)</f>
        <v>792</v>
      </c>
      <c r="BS223" s="1033">
        <v>-63</v>
      </c>
      <c r="BT223" s="639">
        <f>-182-BS223</f>
        <v>-119</v>
      </c>
      <c r="BU223" s="639">
        <f>-127-SUM(BS223:BT223)</f>
        <v>55</v>
      </c>
      <c r="BV223" s="1034">
        <f>-182-SUM(BS223:BU223)</f>
        <v>-55</v>
      </c>
      <c r="BW223" s="153">
        <f>SUM(BS223:BV223)</f>
        <v>-182</v>
      </c>
      <c r="BX223" s="1365">
        <v>-146</v>
      </c>
      <c r="BY223" s="864">
        <f>-172-BX223</f>
        <v>-26</v>
      </c>
      <c r="BZ223" s="864">
        <f>-214-SUM(BX223:BY223)</f>
        <v>-42</v>
      </c>
      <c r="CA223" s="1532">
        <f>-36-SUM(BX223:BZ223)</f>
        <v>178</v>
      </c>
      <c r="CB223" s="170">
        <f>SUM(BX223:CA223)</f>
        <v>-36</v>
      </c>
      <c r="CC223" s="1291">
        <f>(CA122-CC122)+(CA123-CC123)</f>
        <v>68.363106498828074</v>
      </c>
      <c r="CD223" s="170">
        <f>(CC122-CD122)+(CC123-CD123)</f>
        <v>-386.29049456302891</v>
      </c>
      <c r="CE223" s="170">
        <f>(CD122-CE122)+(CD123-CE123)</f>
        <v>196.90621581811047</v>
      </c>
      <c r="CF223" s="1294">
        <f>(CE122-CF122)+(CE123-CF123)</f>
        <v>-197.64311144267867</v>
      </c>
      <c r="CG223" s="170">
        <f>SUM(CC223:CF223)</f>
        <v>-318.66428368876905</v>
      </c>
      <c r="CH223" s="1291">
        <f>(CF122-CH122)+(CF123-CH123)</f>
        <v>219.6938660639189</v>
      </c>
      <c r="CI223" s="153">
        <f>(CH122-CI122)+(CH123-CI123)</f>
        <v>-457.28446453077049</v>
      </c>
      <c r="CJ223" s="153">
        <f>(CI122-CJ122)+(CI123-CJ123)</f>
        <v>540.39188863966729</v>
      </c>
      <c r="CK223" s="915">
        <f>(CJ122-CK122)+(CJ123-CK123)</f>
        <v>-481.4359556127315</v>
      </c>
      <c r="CL223" s="153">
        <f>SUM(CH223:CK223)</f>
        <v>-178.63466543991581</v>
      </c>
      <c r="CM223" s="1291">
        <f>(CK122-CM122)+(CK123-CM123)</f>
        <v>702.45197863888643</v>
      </c>
      <c r="CN223" s="153">
        <f>(CM122-CN122)+(CM123-CN123)</f>
        <v>-908.16356762977603</v>
      </c>
      <c r="CO223" s="153">
        <f>(CN122-CO122)+(CN123-CO123)</f>
        <v>1024.25043535534</v>
      </c>
      <c r="CP223" s="915">
        <f>(CO122-CP122)+(CO123-CP123)</f>
        <v>-977.76801052504607</v>
      </c>
      <c r="CQ223" s="915">
        <f>SUM(CM223:CP223)</f>
        <v>-159.2291641605957</v>
      </c>
      <c r="CR223" s="75"/>
    </row>
    <row r="224" spans="1:96" ht="13.5" customHeight="1">
      <c r="A224" s="75"/>
      <c r="B224" s="81"/>
      <c r="C224" s="81" t="s">
        <v>849</v>
      </c>
      <c r="D224" s="75"/>
      <c r="E224" s="75"/>
      <c r="F224" s="608">
        <v>-47</v>
      </c>
      <c r="G224" s="627">
        <f>43-F224</f>
        <v>90</v>
      </c>
      <c r="H224" s="627">
        <f>123-G224-F224</f>
        <v>80</v>
      </c>
      <c r="I224" s="153">
        <f>J224-F224-G224-H224</f>
        <v>112</v>
      </c>
      <c r="J224" s="608">
        <v>235</v>
      </c>
      <c r="K224" s="627">
        <f>104-14</f>
        <v>90</v>
      </c>
      <c r="L224" s="627">
        <f>-48-K224-58</f>
        <v>-196</v>
      </c>
      <c r="M224" s="627">
        <f>32-L224-K224-63</f>
        <v>75</v>
      </c>
      <c r="N224" s="153">
        <f>O224-SUM(K224:M224)</f>
        <v>69</v>
      </c>
      <c r="O224" s="627">
        <f>87-49</f>
        <v>38</v>
      </c>
      <c r="P224" s="608">
        <v>-116</v>
      </c>
      <c r="Q224" s="608">
        <f>-231-P224-8</f>
        <v>-123</v>
      </c>
      <c r="R224" s="608">
        <f>-144-Q224-P224</f>
        <v>95</v>
      </c>
      <c r="S224" s="153">
        <f>T224-SUM(P224:R224)</f>
        <v>-17</v>
      </c>
      <c r="T224" s="608">
        <v>-161</v>
      </c>
      <c r="U224" s="608">
        <v>-16</v>
      </c>
      <c r="V224" s="608">
        <f>-30-U224</f>
        <v>-14</v>
      </c>
      <c r="W224" s="608">
        <f>-180-V224-U224</f>
        <v>-150</v>
      </c>
      <c r="X224" s="608">
        <f>-109-W224-V224-U224</f>
        <v>71</v>
      </c>
      <c r="Y224" s="153">
        <f>SUM(U224:X224)</f>
        <v>-109</v>
      </c>
      <c r="Z224" s="608">
        <v>-8</v>
      </c>
      <c r="AA224" s="608">
        <f>108-Z224</f>
        <v>116</v>
      </c>
      <c r="AB224" s="608">
        <f>243-AA224-Z224</f>
        <v>135</v>
      </c>
      <c r="AC224" s="153">
        <f>AD224-SUM(Z224:AB224)</f>
        <v>225</v>
      </c>
      <c r="AD224" s="608">
        <v>468</v>
      </c>
      <c r="AE224" s="608">
        <v>-28</v>
      </c>
      <c r="AF224" s="608">
        <f>-292-AE224</f>
        <v>-264</v>
      </c>
      <c r="AG224" s="608">
        <f>-478-AF224-AE224</f>
        <v>-186</v>
      </c>
      <c r="AH224" s="153">
        <f>AI224-SUM(AE224:AG224)</f>
        <v>153</v>
      </c>
      <c r="AI224" s="608">
        <v>-325</v>
      </c>
      <c r="AJ224" s="954">
        <v>350</v>
      </c>
      <c r="AK224" s="608">
        <f>718-AJ224</f>
        <v>368</v>
      </c>
      <c r="AL224" s="608">
        <f>865-AK224-AJ224</f>
        <v>147</v>
      </c>
      <c r="AM224" s="915">
        <f>AN224-SUM(AJ224:AL224)</f>
        <v>2</v>
      </c>
      <c r="AN224" s="608">
        <v>867</v>
      </c>
      <c r="AO224" s="954">
        <v>-11</v>
      </c>
      <c r="AP224" s="608">
        <f>-421-AO224</f>
        <v>-410</v>
      </c>
      <c r="AQ224" s="608">
        <f>-712-AP224-AO224</f>
        <v>-291</v>
      </c>
      <c r="AR224" s="915">
        <f t="shared" si="302"/>
        <v>24</v>
      </c>
      <c r="AS224" s="608">
        <v>-688</v>
      </c>
      <c r="AT224" s="954">
        <v>151</v>
      </c>
      <c r="AU224" s="639">
        <f>-275-AT224</f>
        <v>-426</v>
      </c>
      <c r="AV224" s="639">
        <f>-511-AU224-AT224</f>
        <v>-236</v>
      </c>
      <c r="AW224" s="915">
        <f>AX224-SUM(AT224:AV224)</f>
        <v>51</v>
      </c>
      <c r="AX224" s="608">
        <v>-460</v>
      </c>
      <c r="AY224" s="1033">
        <v>264</v>
      </c>
      <c r="AZ224" s="639">
        <f>252-AY224</f>
        <v>-12</v>
      </c>
      <c r="BA224" s="608">
        <f>168-AZ224-AY224</f>
        <v>-84</v>
      </c>
      <c r="BB224" s="1294">
        <f>BC224-SUM(AY224:BA224)</f>
        <v>24</v>
      </c>
      <c r="BC224" s="608">
        <v>192</v>
      </c>
      <c r="BD224" s="1033">
        <v>166</v>
      </c>
      <c r="BE224" s="639">
        <f>204-BD224</f>
        <v>38</v>
      </c>
      <c r="BF224" s="608">
        <f>15-BE224-BD224</f>
        <v>-189</v>
      </c>
      <c r="BG224" s="1034">
        <f>-201-SUM(BD224:BF224)</f>
        <v>-216</v>
      </c>
      <c r="BH224" s="153">
        <f>SUM(BD224:BG224)</f>
        <v>-201</v>
      </c>
      <c r="BI224" s="954">
        <v>260</v>
      </c>
      <c r="BJ224" s="608">
        <f>341-BI224</f>
        <v>81</v>
      </c>
      <c r="BK224" s="639">
        <f>63-SUM(BI224:BJ224)</f>
        <v>-278</v>
      </c>
      <c r="BL224" s="1034">
        <f>-247-SUM(BI224:BK224)</f>
        <v>-310</v>
      </c>
      <c r="BM224" s="153">
        <f>SUM(BI224:BL224)</f>
        <v>-247</v>
      </c>
      <c r="BN224" s="954">
        <v>33</v>
      </c>
      <c r="BO224" s="639">
        <f>142-BN224</f>
        <v>109</v>
      </c>
      <c r="BP224" s="639">
        <f>38-SUM(BN224:BO224)</f>
        <v>-104</v>
      </c>
      <c r="BQ224" s="960">
        <f>391-SUM(BN224:BP224)</f>
        <v>353</v>
      </c>
      <c r="BR224" s="153">
        <f>SUM(BN224:BQ224)</f>
        <v>391</v>
      </c>
      <c r="BS224" s="1033">
        <v>285</v>
      </c>
      <c r="BT224" s="639">
        <f>404-BS224</f>
        <v>119</v>
      </c>
      <c r="BU224" s="639">
        <f>339-SUM(BS224:BT224)</f>
        <v>-65</v>
      </c>
      <c r="BV224" s="1034">
        <f>491-SUM(BS224:BU224)</f>
        <v>152</v>
      </c>
      <c r="BW224" s="153">
        <f>SUM(BS224:BV224)</f>
        <v>491</v>
      </c>
      <c r="BX224" s="1365">
        <v>-140</v>
      </c>
      <c r="BY224" s="864">
        <f>-125-BX224</f>
        <v>15</v>
      </c>
      <c r="BZ224" s="864">
        <f>-123-SUM(BX224:BY224)</f>
        <v>2</v>
      </c>
      <c r="CA224" s="1532">
        <f>-117-SUM(BX224:BZ224)</f>
        <v>6</v>
      </c>
      <c r="CB224" s="170">
        <f>SUM(BX224:CA224)</f>
        <v>-117</v>
      </c>
      <c r="CC224" s="1291">
        <f>-CC124+CA124</f>
        <v>59.39728576115067</v>
      </c>
      <c r="CD224" s="170">
        <f>-CD124+CC124</f>
        <v>-255.46394589452757</v>
      </c>
      <c r="CE224" s="170">
        <f>-CE124+CD124</f>
        <v>92.480714070665726</v>
      </c>
      <c r="CF224" s="1294">
        <f>-CF124+CE124</f>
        <v>-290.96341373395671</v>
      </c>
      <c r="CG224" s="170">
        <f>SUM(CC224:CF224)</f>
        <v>-394.54935979666789</v>
      </c>
      <c r="CH224" s="1291">
        <f>-CH124+CF124</f>
        <v>139.64935952713131</v>
      </c>
      <c r="CI224" s="153">
        <f>-CI124+CH124</f>
        <v>-188.56049310403614</v>
      </c>
      <c r="CJ224" s="153">
        <f>-CJ124+CI124</f>
        <v>266.03622944739254</v>
      </c>
      <c r="CK224" s="915">
        <f>-CK124+CJ124</f>
        <v>-202.61472687849027</v>
      </c>
      <c r="CL224" s="153">
        <f>SUM(CH224:CK224)</f>
        <v>14.510368991997439</v>
      </c>
      <c r="CM224" s="1291">
        <f>-CM124+CK124</f>
        <v>180.86003053924969</v>
      </c>
      <c r="CN224" s="153">
        <f>-CN124+CM124</f>
        <v>-321.04849151296912</v>
      </c>
      <c r="CO224" s="153">
        <f>-CO124+CN124</f>
        <v>406.77002439998432</v>
      </c>
      <c r="CP224" s="915">
        <f>-CP124+CO124</f>
        <v>-118.85301235782526</v>
      </c>
      <c r="CQ224" s="915">
        <f>SUM(CM224:CP224)</f>
        <v>147.72855106843963</v>
      </c>
      <c r="CR224" s="75"/>
    </row>
    <row r="225" spans="1:96" ht="13.5" customHeight="1">
      <c r="A225" s="75"/>
      <c r="B225" s="93"/>
      <c r="C225" s="81" t="s">
        <v>850</v>
      </c>
      <c r="D225" s="75"/>
      <c r="E225" s="75"/>
      <c r="F225" s="608">
        <v>156</v>
      </c>
      <c r="G225" s="627">
        <f>162-F225</f>
        <v>6</v>
      </c>
      <c r="H225" s="627">
        <f>266-G225-F225</f>
        <v>104</v>
      </c>
      <c r="I225" s="153">
        <f>J225-F225-G225-H225</f>
        <v>31</v>
      </c>
      <c r="J225" s="608">
        <v>297</v>
      </c>
      <c r="K225" s="608">
        <v>31</v>
      </c>
      <c r="L225" s="627">
        <f>211-K225</f>
        <v>180</v>
      </c>
      <c r="M225" s="627">
        <f>328-L225-K225</f>
        <v>117</v>
      </c>
      <c r="N225" s="153">
        <f>O225-SUM(K225:M225)</f>
        <v>-17</v>
      </c>
      <c r="O225" s="608">
        <v>311</v>
      </c>
      <c r="P225" s="608">
        <v>92</v>
      </c>
      <c r="Q225" s="608">
        <f>-193-P225</f>
        <v>-285</v>
      </c>
      <c r="R225" s="608">
        <f>-104-Q225-P225+7</f>
        <v>96</v>
      </c>
      <c r="S225" s="153">
        <f>T225-SUM(P225:R225)</f>
        <v>147</v>
      </c>
      <c r="T225" s="608">
        <v>50</v>
      </c>
      <c r="U225" s="608">
        <v>79</v>
      </c>
      <c r="V225" s="608">
        <f>115-U225</f>
        <v>36</v>
      </c>
      <c r="W225" s="608">
        <f>211-V225-U225</f>
        <v>96</v>
      </c>
      <c r="X225" s="608">
        <f>274-W225-V225-U225</f>
        <v>63</v>
      </c>
      <c r="Y225" s="153">
        <f>SUM(U225:X225)</f>
        <v>274</v>
      </c>
      <c r="Z225" s="608">
        <v>108</v>
      </c>
      <c r="AA225" s="608">
        <f>229-Z225</f>
        <v>121</v>
      </c>
      <c r="AB225" s="608">
        <f>216-AA225-Z225</f>
        <v>-13</v>
      </c>
      <c r="AC225" s="153">
        <f>AD225-SUM(Z225:AB225)</f>
        <v>-657</v>
      </c>
      <c r="AD225" s="608">
        <v>-441</v>
      </c>
      <c r="AE225" s="608">
        <v>280</v>
      </c>
      <c r="AF225" s="608">
        <f>798-AE225</f>
        <v>518</v>
      </c>
      <c r="AG225" s="608">
        <f>931-AF225-AE225</f>
        <v>133</v>
      </c>
      <c r="AH225" s="153">
        <f>AI225-SUM(AE225:AG225)</f>
        <v>-846</v>
      </c>
      <c r="AI225" s="608">
        <v>85</v>
      </c>
      <c r="AJ225" s="954">
        <v>-283</v>
      </c>
      <c r="AK225" s="608">
        <f>-532-AJ225</f>
        <v>-249</v>
      </c>
      <c r="AL225" s="608">
        <f>-237-AK225-AJ225</f>
        <v>295</v>
      </c>
      <c r="AM225" s="915">
        <f>AN225-SUM(AJ225:AL225)</f>
        <v>-110</v>
      </c>
      <c r="AN225" s="608">
        <v>-347</v>
      </c>
      <c r="AO225" s="954">
        <v>269</v>
      </c>
      <c r="AP225" s="608">
        <f>609-AO225</f>
        <v>340</v>
      </c>
      <c r="AQ225" s="608">
        <f>689-AP225-AO225</f>
        <v>80</v>
      </c>
      <c r="AR225" s="915">
        <f t="shared" si="302"/>
        <v>-277</v>
      </c>
      <c r="AS225" s="608">
        <v>412</v>
      </c>
      <c r="AT225" s="954">
        <v>338</v>
      </c>
      <c r="AU225" s="639">
        <f>346-AT225</f>
        <v>8</v>
      </c>
      <c r="AV225" s="639">
        <f>443-AU225-AT225</f>
        <v>97</v>
      </c>
      <c r="AW225" s="915">
        <f>AX225-SUM(AT225:AV225)</f>
        <v>-111</v>
      </c>
      <c r="AX225" s="608">
        <v>332</v>
      </c>
      <c r="AY225" s="1033">
        <v>87</v>
      </c>
      <c r="AZ225" s="639">
        <f>158-AY225</f>
        <v>71</v>
      </c>
      <c r="BA225" s="608">
        <f>108-AZ225-AY225</f>
        <v>-50</v>
      </c>
      <c r="BB225" s="1294">
        <f>BC225-SUM(AY225:BA225)</f>
        <v>-211</v>
      </c>
      <c r="BC225" s="608">
        <v>-103</v>
      </c>
      <c r="BD225" s="1033">
        <v>135</v>
      </c>
      <c r="BE225" s="639">
        <f>-10-BD225</f>
        <v>-145</v>
      </c>
      <c r="BF225" s="608">
        <f>-34-BE225-BD225</f>
        <v>-24</v>
      </c>
      <c r="BG225" s="1034">
        <f>-61-SUM(BD225:BF225)</f>
        <v>-27</v>
      </c>
      <c r="BH225" s="153">
        <f>SUM(BD225:BG225)</f>
        <v>-61</v>
      </c>
      <c r="BI225" s="954">
        <v>335</v>
      </c>
      <c r="BJ225" s="608">
        <f>594-BI225</f>
        <v>259</v>
      </c>
      <c r="BK225" s="639">
        <f>586-SUM(BI225:BJ225)</f>
        <v>-8</v>
      </c>
      <c r="BL225" s="1034">
        <f>520-SUM(BI225:BK225)</f>
        <v>-66</v>
      </c>
      <c r="BM225" s="153">
        <f>SUM(BI225:BL225)</f>
        <v>520</v>
      </c>
      <c r="BN225" s="954">
        <v>-192</v>
      </c>
      <c r="BO225" s="639">
        <f>-287-BN225</f>
        <v>-95</v>
      </c>
      <c r="BP225" s="639">
        <f>-206-SUM(BN225:BO225)</f>
        <v>81</v>
      </c>
      <c r="BQ225" s="960">
        <f>-632-SUM(BN225:BP225)</f>
        <v>-426</v>
      </c>
      <c r="BR225" s="153">
        <f>SUM(BN225:BQ225)</f>
        <v>-632</v>
      </c>
      <c r="BS225" s="1033">
        <v>72</v>
      </c>
      <c r="BT225" s="639">
        <f>213-BS225</f>
        <v>141</v>
      </c>
      <c r="BU225" s="639">
        <f>279-SUM(BS225:BT225)</f>
        <v>66</v>
      </c>
      <c r="BV225" s="1034">
        <f>287-SUM(BS225:BU225)</f>
        <v>8</v>
      </c>
      <c r="BW225" s="153">
        <f>SUM(BS225:BV225)</f>
        <v>287</v>
      </c>
      <c r="BX225" s="1365">
        <v>116</v>
      </c>
      <c r="BY225" s="864">
        <f>98-BX225</f>
        <v>-18</v>
      </c>
      <c r="BZ225" s="864">
        <f>121-SUM(BX225:BY225)</f>
        <v>23</v>
      </c>
      <c r="CA225" s="1532">
        <f>173-SUM(BX225:BZ225)</f>
        <v>52</v>
      </c>
      <c r="CB225" s="170">
        <f>SUM(BX225:CA225)</f>
        <v>173</v>
      </c>
      <c r="CC225" s="1291">
        <f>(CC142-CA142)+(-CA143+CC143)</f>
        <v>-379.58888032355708</v>
      </c>
      <c r="CD225" s="170">
        <f>(CD142-CC142)+(-CC143+CD143)</f>
        <v>606.86276784753773</v>
      </c>
      <c r="CE225" s="170">
        <f>(CE142-CD142)+(-CD143+CE143)</f>
        <v>-417.93807931235642</v>
      </c>
      <c r="CF225" s="1294">
        <f>(CF142-CE142)+(-CE143+CF143)</f>
        <v>513.22931500342111</v>
      </c>
      <c r="CG225" s="170">
        <f>SUM(CC225:CF225)</f>
        <v>322.56512321504533</v>
      </c>
      <c r="CH225" s="1291">
        <f>(CH142-CF142)+(-CF143+CH143)</f>
        <v>-15.505907407323321</v>
      </c>
      <c r="CI225" s="153">
        <f>(CI142-CH142)+(-CH143+CI143)</f>
        <v>74.425539829880108</v>
      </c>
      <c r="CJ225" s="153">
        <f>(CJ142-CI142)+(-CI143+CJ143)</f>
        <v>-167.75484081285776</v>
      </c>
      <c r="CK225" s="915">
        <f>(CK142-CJ142)+(-CJ143+CK143)</f>
        <v>91.35563789578373</v>
      </c>
      <c r="CL225" s="153">
        <f>SUM(CH225:CK225)</f>
        <v>-17.479570494517247</v>
      </c>
      <c r="CM225" s="1291">
        <f>(CM142-CK142)+(-CK143+CM143)</f>
        <v>-210.849267124373</v>
      </c>
      <c r="CN225" s="153">
        <f>(CN142-CM142)+(-CM143+CN143)</f>
        <v>374.68712802095706</v>
      </c>
      <c r="CO225" s="153">
        <f>(CO142-CN142)+(-CN143+CO143)</f>
        <v>-474.86964292578796</v>
      </c>
      <c r="CP225" s="915">
        <f>(CP142-CO142)+(-CO143+CP143)</f>
        <v>409.43920353914837</v>
      </c>
      <c r="CQ225" s="915">
        <f>SUM(CM225:CP225)</f>
        <v>98.40742150994447</v>
      </c>
      <c r="CR225" s="75"/>
    </row>
    <row r="226" spans="1:96" ht="13.5" customHeight="1">
      <c r="A226" s="75"/>
      <c r="B226" s="115"/>
      <c r="C226" s="75" t="s">
        <v>851</v>
      </c>
      <c r="D226" s="75"/>
      <c r="E226" s="75"/>
      <c r="F226" s="651">
        <v>0</v>
      </c>
      <c r="G226" s="651">
        <v>0</v>
      </c>
      <c r="H226" s="651">
        <v>0</v>
      </c>
      <c r="I226" s="258">
        <f>J226-F226-G226-H226</f>
        <v>0</v>
      </c>
      <c r="J226" s="651">
        <v>0</v>
      </c>
      <c r="K226" s="651">
        <v>-52</v>
      </c>
      <c r="L226" s="651">
        <f>-28-K226</f>
        <v>24</v>
      </c>
      <c r="M226" s="651">
        <f>-8-L226-K226</f>
        <v>20</v>
      </c>
      <c r="N226" s="258">
        <f>O226-SUM(K226:M226)</f>
        <v>-10</v>
      </c>
      <c r="O226" s="651">
        <v>-18</v>
      </c>
      <c r="P226" s="651">
        <v>6</v>
      </c>
      <c r="Q226" s="651">
        <f>-8-P226</f>
        <v>-14</v>
      </c>
      <c r="R226" s="651">
        <f>-35-Q226-P226</f>
        <v>-27</v>
      </c>
      <c r="S226" s="258">
        <f>T226-SUM(P226:R226)</f>
        <v>25</v>
      </c>
      <c r="T226" s="651">
        <v>-10</v>
      </c>
      <c r="U226" s="651">
        <v>-3</v>
      </c>
      <c r="V226" s="651">
        <f>-45-U226</f>
        <v>-42</v>
      </c>
      <c r="W226" s="651">
        <f>-13-V226-U226</f>
        <v>32</v>
      </c>
      <c r="X226" s="651">
        <f>5-W226-V226-U226</f>
        <v>18</v>
      </c>
      <c r="Y226" s="258">
        <f>SUM(U226:X226)</f>
        <v>5</v>
      </c>
      <c r="Z226" s="651">
        <v>0</v>
      </c>
      <c r="AA226" s="651">
        <f>0-Z226</f>
        <v>0</v>
      </c>
      <c r="AB226" s="651">
        <f>0-AA226-Z226</f>
        <v>0</v>
      </c>
      <c r="AC226" s="258">
        <f>AD226-SUM(Z226:AB226)</f>
        <v>0</v>
      </c>
      <c r="AD226" s="651">
        <v>0</v>
      </c>
      <c r="AE226" s="651">
        <v>45</v>
      </c>
      <c r="AF226" s="651">
        <f>-5-AE226</f>
        <v>-50</v>
      </c>
      <c r="AG226" s="651">
        <f>-9-AF226-AE226</f>
        <v>-4</v>
      </c>
      <c r="AH226" s="258">
        <f>AI226-SUM(AE226:AG226)</f>
        <v>-33</v>
      </c>
      <c r="AI226" s="651">
        <v>-42</v>
      </c>
      <c r="AJ226" s="1234">
        <v>1</v>
      </c>
      <c r="AK226" s="651">
        <f>-1-AJ226</f>
        <v>-2</v>
      </c>
      <c r="AL226" s="651">
        <f>-10-AK226-AJ226</f>
        <v>-9</v>
      </c>
      <c r="AM226" s="1235">
        <f>AN226-SUM(AJ226:AL226)</f>
        <v>22</v>
      </c>
      <c r="AN226" s="651">
        <v>12</v>
      </c>
      <c r="AO226" s="1234">
        <f>218-9</f>
        <v>209</v>
      </c>
      <c r="AP226" s="651">
        <f>237-9-AO226</f>
        <v>19</v>
      </c>
      <c r="AQ226" s="651">
        <f>107+62-AP226-AO226</f>
        <v>-59</v>
      </c>
      <c r="AR226" s="1235">
        <f t="shared" si="302"/>
        <v>-105</v>
      </c>
      <c r="AS226" s="651">
        <f>56+8</f>
        <v>64</v>
      </c>
      <c r="AT226" s="1234">
        <f>79-12</f>
        <v>67</v>
      </c>
      <c r="AU226" s="651">
        <f>151+4-AT226</f>
        <v>88</v>
      </c>
      <c r="AV226" s="651">
        <f>148+21-AU226-AT226</f>
        <v>14</v>
      </c>
      <c r="AW226" s="1235">
        <f>AX226-SUM(AT226:AV226)</f>
        <v>49</v>
      </c>
      <c r="AX226" s="651">
        <f>133+85</f>
        <v>218</v>
      </c>
      <c r="AY226" s="1295">
        <f>54+33+6</f>
        <v>93</v>
      </c>
      <c r="AZ226" s="675">
        <f>22+31+47-AY226</f>
        <v>7</v>
      </c>
      <c r="BA226" s="651">
        <f>27+25-AZ226-AY226</f>
        <v>-48</v>
      </c>
      <c r="BB226" s="1296">
        <f>BC226-SUM(AY226:BA226)</f>
        <v>-35</v>
      </c>
      <c r="BC226" s="651">
        <v>17</v>
      </c>
      <c r="BD226" s="1295">
        <f>-16+33+13</f>
        <v>30</v>
      </c>
      <c r="BE226" s="675">
        <f>-3+32+3-BD226</f>
        <v>2</v>
      </c>
      <c r="BF226" s="651">
        <f>40-BE226-BD226</f>
        <v>8</v>
      </c>
      <c r="BG226" s="1321">
        <f>-187-SUM(BD226:BF226)</f>
        <v>-227</v>
      </c>
      <c r="BH226" s="258">
        <f>SUM(BD226:BG226)</f>
        <v>-187</v>
      </c>
      <c r="BI226" s="1234">
        <f>2+26-20</f>
        <v>8</v>
      </c>
      <c r="BJ226" s="651">
        <f>153+44+52-BI226</f>
        <v>241</v>
      </c>
      <c r="BK226" s="675">
        <f>167+25+78-SUM(BI226:BJ226)</f>
        <v>21</v>
      </c>
      <c r="BL226" s="1329">
        <f>161+131-SUM(BI226:BK226)</f>
        <v>22</v>
      </c>
      <c r="BM226" s="258">
        <f>SUM(BI226:BL226)</f>
        <v>292</v>
      </c>
      <c r="BN226" s="1234">
        <f>16+31</f>
        <v>47</v>
      </c>
      <c r="BO226" s="675">
        <f>18+11-BN226</f>
        <v>-18</v>
      </c>
      <c r="BP226" s="675">
        <f>7+8-SUM(BN226:BO226)</f>
        <v>-14</v>
      </c>
      <c r="BQ226" s="1329">
        <f>6-SUM(BN226:BP226)</f>
        <v>-9</v>
      </c>
      <c r="BR226" s="258">
        <f>SUM(BN226:BQ226)</f>
        <v>6</v>
      </c>
      <c r="BS226" s="1295">
        <v>0</v>
      </c>
      <c r="BT226" s="651">
        <f>6+9+73-BS226</f>
        <v>88</v>
      </c>
      <c r="BU226" s="651">
        <f>14+15+102-SUM(BS226:BT226)</f>
        <v>43</v>
      </c>
      <c r="BV226" s="1321">
        <f>10-SUM(BS226:BU226)</f>
        <v>-121</v>
      </c>
      <c r="BW226" s="258">
        <f>SUM(BS226:BV226)</f>
        <v>10</v>
      </c>
      <c r="BX226" s="1295">
        <v>0</v>
      </c>
      <c r="BY226" s="258">
        <v>0</v>
      </c>
      <c r="BZ226" s="258">
        <v>0</v>
      </c>
      <c r="CA226" s="1235">
        <v>0</v>
      </c>
      <c r="CB226" s="258">
        <f>SUM(BX226:CA226)</f>
        <v>0</v>
      </c>
      <c r="CC226" s="1372">
        <f>CC146-CB146+CC148-CB148+CC150-CB150+CC145-CB145+CC144-CB144</f>
        <v>0</v>
      </c>
      <c r="CD226" s="258">
        <f>CD146-CC146+CD148-CC148+CD150-CC150+CD145-CC145+CD144-CC144</f>
        <v>0</v>
      </c>
      <c r="CE226" s="258">
        <f>CE146-CD146+CE148-CD148+CE150-CD150+CE145-CD145+CE144-CD144</f>
        <v>0</v>
      </c>
      <c r="CF226" s="1235">
        <f>CF146-CE146+CF148-CE148+CF150-CE150+CF145-CE145+CF144-CE144</f>
        <v>0</v>
      </c>
      <c r="CG226" s="258">
        <f>SUM(CC226:CF226)</f>
        <v>0</v>
      </c>
      <c r="CH226" s="1372">
        <f>CH146-CG146+CH148-CG148+CH150-CG150+CH145-CG145+CH144-CG144</f>
        <v>0</v>
      </c>
      <c r="CI226" s="258">
        <f>CI146-CH146+CI148-CH148+CI150-CH150+CI145-CH145+CI144-CH144</f>
        <v>0</v>
      </c>
      <c r="CJ226" s="258">
        <f>CJ146-CI146+CJ148-CI148+CJ150-CI150+CJ145-CI145+CJ144-CI144</f>
        <v>0</v>
      </c>
      <c r="CK226" s="1235">
        <f>CK146-CJ146+CK148-CJ148+CK150-CJ150+CK145-CJ145+CK144-CJ144</f>
        <v>0</v>
      </c>
      <c r="CL226" s="258">
        <f>SUM(CH226:CK226)</f>
        <v>0</v>
      </c>
      <c r="CM226" s="1372">
        <f>CM146-CL146+CM148-CL148+CM150-CL150+CM145-CL145+CM144-CL144</f>
        <v>0</v>
      </c>
      <c r="CN226" s="258">
        <f>CN146-CM146+CN148-CM148+CN150-CM150+CN145-CM145+CN144-CM144</f>
        <v>0</v>
      </c>
      <c r="CO226" s="258">
        <f>CO146-CN146+CO148-CN148+CO150-CN150+CO145-CN145+CO144-CN144</f>
        <v>0</v>
      </c>
      <c r="CP226" s="1235">
        <f>CP146-CO146+CP148-CO148+CP150-CO150+CP145-CO145+CP144-CO144</f>
        <v>0</v>
      </c>
      <c r="CQ226" s="1235">
        <f>SUM(CM226:CP226)</f>
        <v>0</v>
      </c>
      <c r="CR226" s="75"/>
    </row>
    <row r="227" spans="1:96" ht="6.2" customHeight="1">
      <c r="A227" s="75"/>
      <c r="B227" s="115"/>
      <c r="C227" s="75"/>
      <c r="D227" s="75"/>
      <c r="E227" s="75"/>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c r="AC227" s="153"/>
      <c r="AD227" s="153"/>
      <c r="AE227" s="153"/>
      <c r="AF227" s="153"/>
      <c r="AG227" s="153"/>
      <c r="AH227" s="153"/>
      <c r="AI227" s="153"/>
      <c r="AJ227" s="914"/>
      <c r="AK227" s="153"/>
      <c r="AL227" s="153"/>
      <c r="AM227" s="915"/>
      <c r="AN227" s="153"/>
      <c r="AO227" s="914"/>
      <c r="AP227" s="153"/>
      <c r="AQ227" s="153"/>
      <c r="AR227" s="915">
        <f t="shared" si="302"/>
        <v>0</v>
      </c>
      <c r="AS227" s="153"/>
      <c r="AT227" s="914"/>
      <c r="AU227" s="170"/>
      <c r="AV227" s="170"/>
      <c r="AW227" s="915"/>
      <c r="AX227" s="153"/>
      <c r="AY227" s="1291"/>
      <c r="AZ227" s="153"/>
      <c r="BA227" s="153"/>
      <c r="BB227" s="1294"/>
      <c r="BC227" s="153"/>
      <c r="BD227" s="1291"/>
      <c r="BE227" s="153"/>
      <c r="BF227" s="153"/>
      <c r="BG227" s="915"/>
      <c r="BH227" s="153"/>
      <c r="BI227" s="914"/>
      <c r="BJ227" s="153"/>
      <c r="BK227" s="153"/>
      <c r="BL227" s="915"/>
      <c r="BM227" s="153"/>
      <c r="BN227" s="914"/>
      <c r="BO227" s="170"/>
      <c r="BP227" s="153"/>
      <c r="BQ227" s="915"/>
      <c r="BR227" s="153"/>
      <c r="BS227" s="914"/>
      <c r="BT227" s="153"/>
      <c r="BU227" s="153"/>
      <c r="BV227" s="915"/>
      <c r="BW227" s="153"/>
      <c r="BX227" s="914"/>
      <c r="BY227" s="153"/>
      <c r="BZ227" s="153"/>
      <c r="CA227" s="915"/>
      <c r="CB227" s="153"/>
      <c r="CC227" s="914"/>
      <c r="CD227" s="153"/>
      <c r="CE227" s="153"/>
      <c r="CF227" s="915"/>
      <c r="CG227" s="153"/>
      <c r="CH227" s="914"/>
      <c r="CI227" s="153"/>
      <c r="CJ227" s="153"/>
      <c r="CK227" s="915"/>
      <c r="CL227" s="153"/>
      <c r="CM227" s="914"/>
      <c r="CN227" s="153"/>
      <c r="CO227" s="153"/>
      <c r="CP227" s="915"/>
      <c r="CQ227" s="915"/>
      <c r="CR227" s="75"/>
    </row>
    <row r="228" spans="1:96" ht="13.5" customHeight="1">
      <c r="A228" s="93"/>
      <c r="B228" s="259"/>
      <c r="C228" s="93" t="s">
        <v>852</v>
      </c>
      <c r="D228" s="93"/>
      <c r="E228" s="93"/>
      <c r="F228" s="228">
        <f>SUM(F223:F226)</f>
        <v>-62</v>
      </c>
      <c r="G228" s="228">
        <f>SUM(G223:G226)</f>
        <v>138</v>
      </c>
      <c r="H228" s="228">
        <f>SUM(H223:H226)</f>
        <v>239</v>
      </c>
      <c r="I228" s="228">
        <f>J228-F228-G228-H228</f>
        <v>118</v>
      </c>
      <c r="J228" s="228">
        <f>SUM(J223:J226)</f>
        <v>433</v>
      </c>
      <c r="K228" s="228">
        <f>SUM(K223:K226)</f>
        <v>-92</v>
      </c>
      <c r="L228" s="228">
        <f>SUM(L223:L226)</f>
        <v>-168</v>
      </c>
      <c r="M228" s="228">
        <f>SUM(M223:M226)</f>
        <v>118</v>
      </c>
      <c r="N228" s="228">
        <f>O228-SUM(K228:M228)</f>
        <v>-77</v>
      </c>
      <c r="O228" s="228">
        <f t="shared" ref="O228:AC228" si="303">SUM(O223:O226)</f>
        <v>-219</v>
      </c>
      <c r="P228" s="228">
        <f t="shared" si="303"/>
        <v>-159</v>
      </c>
      <c r="Q228" s="228">
        <f t="shared" si="303"/>
        <v>-223</v>
      </c>
      <c r="R228" s="228">
        <f t="shared" si="303"/>
        <v>259</v>
      </c>
      <c r="S228" s="228">
        <f t="shared" si="303"/>
        <v>167</v>
      </c>
      <c r="T228" s="228">
        <f t="shared" si="303"/>
        <v>44</v>
      </c>
      <c r="U228" s="228">
        <f t="shared" si="303"/>
        <v>-161</v>
      </c>
      <c r="V228" s="228">
        <f t="shared" si="303"/>
        <v>-166</v>
      </c>
      <c r="W228" s="228">
        <f t="shared" si="303"/>
        <v>10</v>
      </c>
      <c r="X228" s="228">
        <f t="shared" si="303"/>
        <v>394</v>
      </c>
      <c r="Y228" s="228">
        <f t="shared" si="303"/>
        <v>77</v>
      </c>
      <c r="Z228" s="228">
        <f t="shared" si="303"/>
        <v>-36</v>
      </c>
      <c r="AA228" s="228">
        <f t="shared" si="303"/>
        <v>76</v>
      </c>
      <c r="AB228" s="228">
        <f t="shared" si="303"/>
        <v>119</v>
      </c>
      <c r="AC228" s="228">
        <f t="shared" si="303"/>
        <v>106</v>
      </c>
      <c r="AD228" s="228">
        <f>SUM(Z228:AC228)</f>
        <v>265</v>
      </c>
      <c r="AE228" s="228">
        <f>SUM(AE223:AE226)</f>
        <v>30</v>
      </c>
      <c r="AF228" s="228">
        <f>SUM(AF223:AF226)</f>
        <v>-582</v>
      </c>
      <c r="AG228" s="228">
        <f>SUM(AG223:AG226)</f>
        <v>-268</v>
      </c>
      <c r="AH228" s="228">
        <f>AI228-SUM(AE228:AG228)</f>
        <v>248</v>
      </c>
      <c r="AI228" s="228">
        <f>SUM(AI223:AI226)</f>
        <v>-572</v>
      </c>
      <c r="AJ228" s="916">
        <v>790</v>
      </c>
      <c r="AK228" s="228">
        <f t="shared" ref="AK228:AQ228" si="304">SUM(AK223:AK226)</f>
        <v>423</v>
      </c>
      <c r="AL228" s="228">
        <f t="shared" si="304"/>
        <v>76</v>
      </c>
      <c r="AM228" s="956">
        <f t="shared" si="304"/>
        <v>-22</v>
      </c>
      <c r="AN228" s="228">
        <f t="shared" si="304"/>
        <v>1267</v>
      </c>
      <c r="AO228" s="955">
        <f t="shared" si="304"/>
        <v>41</v>
      </c>
      <c r="AP228" s="228">
        <f t="shared" si="304"/>
        <v>-507</v>
      </c>
      <c r="AQ228" s="228">
        <f t="shared" si="304"/>
        <v>-155</v>
      </c>
      <c r="AR228" s="956">
        <f t="shared" si="302"/>
        <v>-80</v>
      </c>
      <c r="AS228" s="228">
        <f t="shared" ref="AS228:BA228" si="305">SUM(AS223:AS226)</f>
        <v>-701</v>
      </c>
      <c r="AT228" s="955">
        <f t="shared" si="305"/>
        <v>34</v>
      </c>
      <c r="AU228" s="228">
        <f t="shared" si="305"/>
        <v>-399</v>
      </c>
      <c r="AV228" s="228">
        <f t="shared" si="305"/>
        <v>-110</v>
      </c>
      <c r="AW228" s="956">
        <f t="shared" si="305"/>
        <v>141</v>
      </c>
      <c r="AX228" s="228">
        <f t="shared" si="305"/>
        <v>-334</v>
      </c>
      <c r="AY228" s="1297">
        <f t="shared" si="305"/>
        <v>269</v>
      </c>
      <c r="AZ228" s="228">
        <f t="shared" si="305"/>
        <v>82</v>
      </c>
      <c r="BA228" s="228">
        <f t="shared" si="305"/>
        <v>-109</v>
      </c>
      <c r="BB228" s="1298">
        <f>BC228-SUM(AY228:BA228)</f>
        <v>110</v>
      </c>
      <c r="BC228" s="228">
        <f t="shared" ref="BC228:CQ228" si="306">SUM(BC223:BC226)</f>
        <v>352</v>
      </c>
      <c r="BD228" s="1297">
        <f t="shared" si="306"/>
        <v>128</v>
      </c>
      <c r="BE228" s="228">
        <f t="shared" si="306"/>
        <v>34</v>
      </c>
      <c r="BF228" s="228">
        <f t="shared" si="306"/>
        <v>-4</v>
      </c>
      <c r="BG228" s="956">
        <f t="shared" si="306"/>
        <v>-493</v>
      </c>
      <c r="BH228" s="228">
        <f t="shared" si="306"/>
        <v>-335</v>
      </c>
      <c r="BI228" s="955">
        <f t="shared" si="306"/>
        <v>371</v>
      </c>
      <c r="BJ228" s="228">
        <f t="shared" si="306"/>
        <v>711</v>
      </c>
      <c r="BK228" s="228">
        <f t="shared" si="306"/>
        <v>-475</v>
      </c>
      <c r="BL228" s="956">
        <f t="shared" si="306"/>
        <v>-241</v>
      </c>
      <c r="BM228" s="228">
        <f t="shared" si="306"/>
        <v>366</v>
      </c>
      <c r="BN228" s="955">
        <f t="shared" si="306"/>
        <v>125</v>
      </c>
      <c r="BO228" s="260">
        <f t="shared" si="306"/>
        <v>130</v>
      </c>
      <c r="BP228" s="228">
        <f t="shared" si="306"/>
        <v>121</v>
      </c>
      <c r="BQ228" s="956">
        <f t="shared" si="306"/>
        <v>181</v>
      </c>
      <c r="BR228" s="228">
        <f t="shared" si="306"/>
        <v>557</v>
      </c>
      <c r="BS228" s="955">
        <f t="shared" si="306"/>
        <v>294</v>
      </c>
      <c r="BT228" s="228">
        <f t="shared" si="306"/>
        <v>229</v>
      </c>
      <c r="BU228" s="228">
        <f t="shared" si="306"/>
        <v>99</v>
      </c>
      <c r="BV228" s="956">
        <f t="shared" si="306"/>
        <v>-16</v>
      </c>
      <c r="BW228" s="228">
        <f t="shared" si="306"/>
        <v>606</v>
      </c>
      <c r="BX228" s="955">
        <f t="shared" si="306"/>
        <v>-170</v>
      </c>
      <c r="BY228" s="228">
        <f t="shared" si="306"/>
        <v>-29</v>
      </c>
      <c r="BZ228" s="228">
        <f t="shared" si="306"/>
        <v>-17</v>
      </c>
      <c r="CA228" s="956">
        <f t="shared" si="306"/>
        <v>236</v>
      </c>
      <c r="CB228" s="228">
        <f t="shared" si="306"/>
        <v>20</v>
      </c>
      <c r="CC228" s="955">
        <f t="shared" si="306"/>
        <v>-251.82848806357833</v>
      </c>
      <c r="CD228" s="228">
        <f t="shared" si="306"/>
        <v>-34.891672610018759</v>
      </c>
      <c r="CE228" s="228">
        <f t="shared" si="306"/>
        <v>-128.55114942358023</v>
      </c>
      <c r="CF228" s="956">
        <f t="shared" si="306"/>
        <v>24.62278982678572</v>
      </c>
      <c r="CG228" s="228">
        <f t="shared" si="306"/>
        <v>-390.6485202703916</v>
      </c>
      <c r="CH228" s="955">
        <f t="shared" si="306"/>
        <v>343.83731818372689</v>
      </c>
      <c r="CI228" s="228">
        <f t="shared" si="306"/>
        <v>-571.41941780492652</v>
      </c>
      <c r="CJ228" s="228">
        <f t="shared" si="306"/>
        <v>638.67327727420206</v>
      </c>
      <c r="CK228" s="956">
        <f t="shared" si="306"/>
        <v>-592.69504459543805</v>
      </c>
      <c r="CL228" s="228">
        <f t="shared" si="306"/>
        <v>-181.60386694243562</v>
      </c>
      <c r="CM228" s="955">
        <f t="shared" si="306"/>
        <v>672.46274205376312</v>
      </c>
      <c r="CN228" s="228">
        <f t="shared" si="306"/>
        <v>-854.52493112178809</v>
      </c>
      <c r="CO228" s="228">
        <f t="shared" si="306"/>
        <v>956.15081682953632</v>
      </c>
      <c r="CP228" s="956">
        <f t="shared" si="306"/>
        <v>-687.18181934372296</v>
      </c>
      <c r="CQ228" s="956">
        <f t="shared" si="306"/>
        <v>86.906808417788397</v>
      </c>
      <c r="CR228" s="93"/>
    </row>
    <row r="229" spans="1:96" ht="13.5" customHeight="1">
      <c r="A229" s="75"/>
      <c r="B229" s="75" t="s">
        <v>853</v>
      </c>
      <c r="C229" s="75"/>
      <c r="D229" s="75"/>
      <c r="E229" s="75"/>
      <c r="F229" s="608">
        <v>53</v>
      </c>
      <c r="G229" s="627">
        <f>98-F229</f>
        <v>45</v>
      </c>
      <c r="H229" s="627">
        <f>638-G229-F229</f>
        <v>540</v>
      </c>
      <c r="I229" s="153">
        <f>J229-F229-G229-H229</f>
        <v>-454</v>
      </c>
      <c r="J229" s="608">
        <v>184</v>
      </c>
      <c r="K229" s="608">
        <v>58</v>
      </c>
      <c r="L229" s="608">
        <f>30-K229</f>
        <v>-28</v>
      </c>
      <c r="M229" s="608">
        <f>19-L229-K229</f>
        <v>-11</v>
      </c>
      <c r="N229" s="153">
        <f>O229-SUM(K229:M229)</f>
        <v>-234</v>
      </c>
      <c r="O229" s="608">
        <v>-215</v>
      </c>
      <c r="P229" s="608">
        <v>-113</v>
      </c>
      <c r="Q229" s="608">
        <f>-81-P229</f>
        <v>32</v>
      </c>
      <c r="R229" s="608">
        <f>-77-Q229-P229</f>
        <v>4</v>
      </c>
      <c r="S229" s="153">
        <f>T229-SUM(P229:R229)</f>
        <v>-9</v>
      </c>
      <c r="T229" s="608">
        <v>-86</v>
      </c>
      <c r="U229" s="608">
        <v>-9</v>
      </c>
      <c r="V229" s="608">
        <f>-50-U229</f>
        <v>-41</v>
      </c>
      <c r="W229" s="608">
        <f>-199-V229-U229</f>
        <v>-149</v>
      </c>
      <c r="X229" s="608">
        <f>-209-W229-V229-U229</f>
        <v>-10</v>
      </c>
      <c r="Y229" s="153">
        <f>SUM(U229:X229)</f>
        <v>-209</v>
      </c>
      <c r="Z229" s="608">
        <f>-49</f>
        <v>-49</v>
      </c>
      <c r="AA229" s="608">
        <f>-105-Z229</f>
        <v>-56</v>
      </c>
      <c r="AB229" s="608">
        <f>-182-AA229-Z229</f>
        <v>-77</v>
      </c>
      <c r="AC229" s="153">
        <f>AD229-SUM(Z229:AB229)</f>
        <v>25</v>
      </c>
      <c r="AD229" s="608">
        <v>-157</v>
      </c>
      <c r="AE229" s="608">
        <v>-110</v>
      </c>
      <c r="AF229" s="608">
        <f>-216-AE229</f>
        <v>-106</v>
      </c>
      <c r="AG229" s="608">
        <f>-388-AF229-AE229</f>
        <v>-172</v>
      </c>
      <c r="AH229" s="153">
        <f>AI229-SUM(AE229:AG229)</f>
        <v>-114</v>
      </c>
      <c r="AI229" s="608">
        <v>-502</v>
      </c>
      <c r="AJ229" s="954">
        <v>1</v>
      </c>
      <c r="AK229" s="608">
        <f>1-AJ229</f>
        <v>0</v>
      </c>
      <c r="AL229" s="608">
        <f>-160-AK229-AJ229</f>
        <v>-161</v>
      </c>
      <c r="AM229" s="915">
        <f>AN229-SUM(AJ229:AL229)</f>
        <v>-43</v>
      </c>
      <c r="AN229" s="608">
        <v>-203</v>
      </c>
      <c r="AO229" s="954">
        <v>-150</v>
      </c>
      <c r="AP229" s="608">
        <f>-164-AO229</f>
        <v>-14</v>
      </c>
      <c r="AQ229" s="608">
        <f>-183-AP229-AO229</f>
        <v>-19</v>
      </c>
      <c r="AR229" s="915">
        <f t="shared" si="302"/>
        <v>72</v>
      </c>
      <c r="AS229" s="608">
        <v>-111</v>
      </c>
      <c r="AT229" s="954">
        <v>33</v>
      </c>
      <c r="AU229" s="639">
        <f>55-AT229</f>
        <v>22</v>
      </c>
      <c r="AV229" s="639">
        <f>-74-AU229-AT229</f>
        <v>-129</v>
      </c>
      <c r="AW229" s="915">
        <f>AX229-SUM(AT229:AV229)</f>
        <v>50</v>
      </c>
      <c r="AX229" s="608">
        <v>-24</v>
      </c>
      <c r="AY229" s="1033">
        <v>-131</v>
      </c>
      <c r="AZ229" s="608">
        <f>-111-AY229</f>
        <v>20</v>
      </c>
      <c r="BA229" s="608">
        <f>-112-AZ229-AY229</f>
        <v>-1</v>
      </c>
      <c r="BB229" s="915">
        <f>BC229-SUM(AY229:BA229)</f>
        <v>-69</v>
      </c>
      <c r="BC229" s="608">
        <v>-181</v>
      </c>
      <c r="BD229" s="954">
        <v>-11</v>
      </c>
      <c r="BE229" s="608">
        <f>10-BD229</f>
        <v>21</v>
      </c>
      <c r="BF229" s="639">
        <f>-143-BE229-BD229</f>
        <v>-153</v>
      </c>
      <c r="BG229" s="1034">
        <f>-28-SUM(BD229:BF229)</f>
        <v>115</v>
      </c>
      <c r="BH229" s="170">
        <f>BG229+BF229+BE229+BD229</f>
        <v>-28</v>
      </c>
      <c r="BI229" s="1033">
        <v>-16</v>
      </c>
      <c r="BJ229" s="639">
        <f>-59-BI229</f>
        <v>-43</v>
      </c>
      <c r="BK229" s="639">
        <f>-266-SUM(BI229:BJ229)</f>
        <v>-207</v>
      </c>
      <c r="BL229" s="1034">
        <f>-235-SUM(BI229:BK229)</f>
        <v>31</v>
      </c>
      <c r="BM229" s="170">
        <f>SUM(BI229:BL229)</f>
        <v>-235</v>
      </c>
      <c r="BN229" s="1033">
        <v>-17</v>
      </c>
      <c r="BO229" s="639">
        <f>-24-BN229</f>
        <v>-7</v>
      </c>
      <c r="BP229" s="639">
        <f>-33-BO229-BN229</f>
        <v>-9</v>
      </c>
      <c r="BQ229" s="1034">
        <f>50-BP229-BO229-BN229</f>
        <v>83</v>
      </c>
      <c r="BR229" s="153">
        <f>SUM(BN229:BQ229)</f>
        <v>50</v>
      </c>
      <c r="BS229" s="1033">
        <v>-9</v>
      </c>
      <c r="BT229" s="639">
        <f>-21-BS229</f>
        <v>-12</v>
      </c>
      <c r="BU229" s="639">
        <f>-38-SUM(BS229:BT229)</f>
        <v>-17</v>
      </c>
      <c r="BV229" s="1034">
        <f>-62-SUM(BS229:BU229)</f>
        <v>-24</v>
      </c>
      <c r="BW229" s="170">
        <f>SUM(BS229:BV229)</f>
        <v>-62</v>
      </c>
      <c r="BX229" s="1365">
        <v>14</v>
      </c>
      <c r="BY229" s="864">
        <f>31-BX229</f>
        <v>17</v>
      </c>
      <c r="BZ229" s="864">
        <f>42-BY229-BX229</f>
        <v>11</v>
      </c>
      <c r="CA229" s="1034">
        <f>-16-SUM(BX229:BZ229)</f>
        <v>-58</v>
      </c>
      <c r="CB229" s="170">
        <f>SUM(BX229:CA229)</f>
        <v>-16</v>
      </c>
      <c r="CC229" s="1291">
        <f>Pension!$Q$60/4+Pension!$Q$59/4+OPEB!$Q$59/4+OPEB!$Q$60/4</f>
        <v>18.296768749999991</v>
      </c>
      <c r="CD229" s="170">
        <f>Pension!$Q$60/4+Pension!$Q$59/4+OPEB!$Q$59/4+OPEB!$Q$60/4</f>
        <v>18.296768749999991</v>
      </c>
      <c r="CE229" s="170">
        <f>Pension!$Q$60/4+Pension!$Q$59/4+OPEB!$Q$59/4+OPEB!$Q$60/4</f>
        <v>18.296768749999991</v>
      </c>
      <c r="CF229" s="1294">
        <f>Pension!$Q$60/4+Pension!$Q$59/4+OPEB!$Q$59/4+OPEB!$Q$60/4</f>
        <v>18.296768749999991</v>
      </c>
      <c r="CG229" s="170">
        <f>SUM(CC229:CF229)</f>
        <v>73.187074999999965</v>
      </c>
      <c r="CH229" s="1291">
        <f>Pension!$R$60/4+Pension!$R$59/4+OPEB!$R$59/4+OPEB!$R$60/4</f>
        <v>18.145081784374998</v>
      </c>
      <c r="CI229" s="170">
        <f>Pension!$R$60/4+Pension!$R$59/4+OPEB!$R$59/4+OPEB!$R$60/4</f>
        <v>18.145081784374998</v>
      </c>
      <c r="CJ229" s="170">
        <f>Pension!$R$60/4+Pension!$R$59/4+OPEB!$R$59/4+OPEB!$R$60/4</f>
        <v>18.145081784374998</v>
      </c>
      <c r="CK229" s="1294">
        <f>Pension!$R$60/4+Pension!$R$59/4+OPEB!$R$59/4+OPEB!$R$60/4</f>
        <v>18.145081784374998</v>
      </c>
      <c r="CL229" s="170">
        <f>SUM(CH229:CK229)</f>
        <v>72.580327137499992</v>
      </c>
      <c r="CM229" s="1291">
        <f>Pension!$S$60/4+Pension!$S$59/4+OPEB!$S$59/4+OPEB!$S$60/4</f>
        <v>17.879645143323433</v>
      </c>
      <c r="CN229" s="170">
        <f>Pension!$S$60/4+Pension!$S$59/4+OPEB!$S$59/4+OPEB!$S$60/4</f>
        <v>17.879645143323433</v>
      </c>
      <c r="CO229" s="170">
        <f>Pension!$S$60/4+Pension!$S$59/4+OPEB!$S$59/4+OPEB!$S$60/4</f>
        <v>17.879645143323433</v>
      </c>
      <c r="CP229" s="1294">
        <f>Pension!$S$60/4+Pension!$S$59/4+OPEB!$S$59/4+OPEB!$S$60/4</f>
        <v>17.879645143323433</v>
      </c>
      <c r="CQ229" s="1294">
        <f>SUM(CM229:CP229)</f>
        <v>71.518580573293733</v>
      </c>
      <c r="CR229" s="75"/>
    </row>
    <row r="230" spans="1:96" ht="13.5" customHeight="1">
      <c r="A230" s="75"/>
      <c r="B230" s="75" t="s">
        <v>737</v>
      </c>
      <c r="C230" s="75"/>
      <c r="D230" s="75"/>
      <c r="E230" s="75"/>
      <c r="F230" s="608">
        <v>3</v>
      </c>
      <c r="G230" s="627">
        <f>-22-F230</f>
        <v>-25</v>
      </c>
      <c r="H230" s="627">
        <f>35-G230-F230</f>
        <v>57</v>
      </c>
      <c r="I230" s="153">
        <f>J230-F230-G230-H230</f>
        <v>12</v>
      </c>
      <c r="J230" s="608">
        <v>47</v>
      </c>
      <c r="K230" s="608">
        <v>4</v>
      </c>
      <c r="L230" s="608">
        <f>9-K230</f>
        <v>5</v>
      </c>
      <c r="M230" s="608">
        <f>-19-L230-K230</f>
        <v>-28</v>
      </c>
      <c r="N230" s="153">
        <f>O230-SUM(K230:M230)</f>
        <v>52</v>
      </c>
      <c r="O230" s="608">
        <v>33</v>
      </c>
      <c r="P230" s="608">
        <v>8</v>
      </c>
      <c r="Q230" s="608">
        <f>20-P230</f>
        <v>12</v>
      </c>
      <c r="R230" s="608">
        <f>28-Q230-P230</f>
        <v>8</v>
      </c>
      <c r="S230" s="153">
        <f>T230-SUM(P230:R230)</f>
        <v>9</v>
      </c>
      <c r="T230" s="608">
        <v>37</v>
      </c>
      <c r="U230" s="608">
        <v>7</v>
      </c>
      <c r="V230" s="608">
        <f>12-U230</f>
        <v>5</v>
      </c>
      <c r="W230" s="608">
        <f>13-V230-U230</f>
        <v>1</v>
      </c>
      <c r="X230" s="608">
        <f>25-W230-V230-U230</f>
        <v>12</v>
      </c>
      <c r="Y230" s="153">
        <f>SUM(U230:X230)</f>
        <v>25</v>
      </c>
      <c r="Z230" s="608">
        <v>2</v>
      </c>
      <c r="AA230" s="153">
        <f>AA55</f>
        <v>2</v>
      </c>
      <c r="AB230" s="153">
        <f>AB55</f>
        <v>1</v>
      </c>
      <c r="AC230" s="153">
        <f>AC55</f>
        <v>6</v>
      </c>
      <c r="AD230" s="153">
        <f>SUM(Z230:AC230)</f>
        <v>11</v>
      </c>
      <c r="AE230" s="153">
        <f>AE55</f>
        <v>5</v>
      </c>
      <c r="AF230" s="153">
        <f>AF55</f>
        <v>6</v>
      </c>
      <c r="AG230" s="153">
        <f>AG55</f>
        <v>23</v>
      </c>
      <c r="AH230" s="153">
        <f>AI230-SUM(AE230:AG230)</f>
        <v>-34</v>
      </c>
      <c r="AI230" s="608">
        <v>0</v>
      </c>
      <c r="AJ230" s="914">
        <f>AJ55</f>
        <v>0</v>
      </c>
      <c r="AK230" s="153">
        <f>AK55</f>
        <v>0</v>
      </c>
      <c r="AL230" s="153">
        <f>AL55</f>
        <v>-4</v>
      </c>
      <c r="AM230" s="915">
        <f>AM55</f>
        <v>-1</v>
      </c>
      <c r="AN230" s="153">
        <f>AN55</f>
        <v>-5</v>
      </c>
      <c r="AO230" s="954">
        <v>0</v>
      </c>
      <c r="AP230" s="608">
        <v>0</v>
      </c>
      <c r="AQ230" s="153">
        <f>AQ55</f>
        <v>0</v>
      </c>
      <c r="AR230" s="960">
        <v>0</v>
      </c>
      <c r="AS230" s="153">
        <f>SUM(AO230:AR230)</f>
        <v>0</v>
      </c>
      <c r="AT230" s="914">
        <f>AT55</f>
        <v>0</v>
      </c>
      <c r="AU230" s="170">
        <f>AU55</f>
        <v>0</v>
      </c>
      <c r="AV230" s="170">
        <f>AV55</f>
        <v>0</v>
      </c>
      <c r="AW230" s="915">
        <f>AW55</f>
        <v>0</v>
      </c>
      <c r="AX230" s="153">
        <f>SUM(AT230:AW230)</f>
        <v>0</v>
      </c>
      <c r="AY230" s="1033">
        <v>0</v>
      </c>
      <c r="AZ230" s="639">
        <v>0</v>
      </c>
      <c r="BA230" s="153">
        <f>BA55</f>
        <v>0</v>
      </c>
      <c r="BB230" s="960">
        <v>0</v>
      </c>
      <c r="BC230" s="153">
        <f>SUM(AY230:BB230)</f>
        <v>0</v>
      </c>
      <c r="BD230" s="914">
        <f>BD55</f>
        <v>0</v>
      </c>
      <c r="BE230" s="153">
        <f>BE55</f>
        <v>0</v>
      </c>
      <c r="BF230" s="153">
        <f>BF55</f>
        <v>0</v>
      </c>
      <c r="BG230" s="915">
        <f>BG55</f>
        <v>0</v>
      </c>
      <c r="BH230" s="153">
        <f>SUM(BD230:BG230)</f>
        <v>0</v>
      </c>
      <c r="BI230" s="914">
        <f>BI55</f>
        <v>0</v>
      </c>
      <c r="BJ230" s="153">
        <f>BJ55</f>
        <v>0</v>
      </c>
      <c r="BK230" s="153">
        <f>BK55</f>
        <v>0</v>
      </c>
      <c r="BL230" s="915">
        <f>BL55</f>
        <v>0</v>
      </c>
      <c r="BM230" s="153">
        <f>SUM(BI230:BL230)</f>
        <v>0</v>
      </c>
      <c r="BN230" s="914">
        <f>BN55</f>
        <v>0</v>
      </c>
      <c r="BO230" s="170">
        <f>BO55</f>
        <v>0</v>
      </c>
      <c r="BP230" s="153">
        <f>BP55</f>
        <v>0</v>
      </c>
      <c r="BQ230" s="915">
        <f>BQ55</f>
        <v>0</v>
      </c>
      <c r="BR230" s="153">
        <f>SUM(BN230:BQ230)</f>
        <v>0</v>
      </c>
      <c r="BS230" s="914">
        <f>BS55</f>
        <v>0</v>
      </c>
      <c r="BT230" s="153">
        <f>BT55</f>
        <v>0</v>
      </c>
      <c r="BU230" s="153">
        <f>BU55</f>
        <v>0</v>
      </c>
      <c r="BV230" s="915">
        <f>BV55</f>
        <v>0</v>
      </c>
      <c r="BW230" s="153">
        <f>SUM(BS230:BV230)</f>
        <v>0</v>
      </c>
      <c r="BX230" s="914">
        <f>BX55</f>
        <v>0</v>
      </c>
      <c r="BY230" s="153">
        <f>BY55</f>
        <v>0</v>
      </c>
      <c r="BZ230" s="153">
        <f>BZ55</f>
        <v>0</v>
      </c>
      <c r="CA230" s="915">
        <f>CA55</f>
        <v>0</v>
      </c>
      <c r="CB230" s="153">
        <f>SUM(BX230:CA230)</f>
        <v>0</v>
      </c>
      <c r="CC230" s="914">
        <f>CC55</f>
        <v>0</v>
      </c>
      <c r="CD230" s="153">
        <f>CD55</f>
        <v>0</v>
      </c>
      <c r="CE230" s="153">
        <f>CE55</f>
        <v>0</v>
      </c>
      <c r="CF230" s="915">
        <f>CF55</f>
        <v>0</v>
      </c>
      <c r="CG230" s="153">
        <f>SUM(CC230:CF230)</f>
        <v>0</v>
      </c>
      <c r="CH230" s="914">
        <f>CH55</f>
        <v>0</v>
      </c>
      <c r="CI230" s="153">
        <f>CI55</f>
        <v>0</v>
      </c>
      <c r="CJ230" s="153">
        <f>CJ55</f>
        <v>0</v>
      </c>
      <c r="CK230" s="915">
        <f>CK55</f>
        <v>0</v>
      </c>
      <c r="CL230" s="153">
        <f>SUM(CH230:CK230)</f>
        <v>0</v>
      </c>
      <c r="CM230" s="914">
        <f>CM55</f>
        <v>0</v>
      </c>
      <c r="CN230" s="153">
        <f>CN55</f>
        <v>0</v>
      </c>
      <c r="CO230" s="153">
        <f>CO55</f>
        <v>0</v>
      </c>
      <c r="CP230" s="915">
        <f>CP55</f>
        <v>0</v>
      </c>
      <c r="CQ230" s="915">
        <f>SUM(CM230:CP230)</f>
        <v>0</v>
      </c>
      <c r="CR230" s="75"/>
    </row>
    <row r="231" spans="1:96" ht="13.5" customHeight="1">
      <c r="A231" s="75"/>
      <c r="B231" s="75" t="s">
        <v>854</v>
      </c>
      <c r="C231" s="75"/>
      <c r="D231" s="75"/>
      <c r="E231" s="75"/>
      <c r="F231" s="608">
        <v>0</v>
      </c>
      <c r="G231" s="608">
        <v>0</v>
      </c>
      <c r="H231" s="608">
        <v>0</v>
      </c>
      <c r="I231" s="608">
        <v>0</v>
      </c>
      <c r="J231" s="153">
        <f>SUM(F231:I231)</f>
        <v>0</v>
      </c>
      <c r="K231" s="608">
        <v>1</v>
      </c>
      <c r="L231" s="608">
        <v>0</v>
      </c>
      <c r="M231" s="608">
        <v>-1</v>
      </c>
      <c r="N231" s="608">
        <v>0</v>
      </c>
      <c r="O231" s="153">
        <f>SUM(K231:N231)</f>
        <v>0</v>
      </c>
      <c r="P231" s="608">
        <v>0</v>
      </c>
      <c r="Q231" s="608">
        <v>0</v>
      </c>
      <c r="R231" s="608">
        <v>0</v>
      </c>
      <c r="S231" s="608">
        <v>0</v>
      </c>
      <c r="T231" s="153">
        <f>SUM(P231:S231)</f>
        <v>0</v>
      </c>
      <c r="U231" s="608">
        <v>0</v>
      </c>
      <c r="V231" s="608">
        <v>0</v>
      </c>
      <c r="W231" s="608">
        <v>0</v>
      </c>
      <c r="X231" s="608">
        <v>0</v>
      </c>
      <c r="Y231" s="153">
        <f>SUM(U231:X231)</f>
        <v>0</v>
      </c>
      <c r="Z231" s="608">
        <v>0</v>
      </c>
      <c r="AA231" s="608">
        <v>0</v>
      </c>
      <c r="AB231" s="608">
        <v>0</v>
      </c>
      <c r="AC231" s="608">
        <v>0</v>
      </c>
      <c r="AD231" s="153">
        <f>SUM(Z231:AC231)</f>
        <v>0</v>
      </c>
      <c r="AE231" s="608">
        <v>0</v>
      </c>
      <c r="AF231" s="608">
        <v>0</v>
      </c>
      <c r="AG231" s="608">
        <v>0</v>
      </c>
      <c r="AH231" s="608">
        <v>0</v>
      </c>
      <c r="AI231" s="153">
        <f>SUM(AE231:AH231)</f>
        <v>0</v>
      </c>
      <c r="AJ231" s="954">
        <v>0</v>
      </c>
      <c r="AK231" s="608">
        <v>0</v>
      </c>
      <c r="AL231" s="608">
        <v>0</v>
      </c>
      <c r="AM231" s="960">
        <v>0</v>
      </c>
      <c r="AN231" s="153">
        <f>SUM(AJ231:AM231)</f>
        <v>0</v>
      </c>
      <c r="AO231" s="954">
        <v>0</v>
      </c>
      <c r="AP231" s="608">
        <v>0</v>
      </c>
      <c r="AQ231" s="608">
        <v>0</v>
      </c>
      <c r="AR231" s="960">
        <v>0</v>
      </c>
      <c r="AS231" s="153">
        <f>SUM(AO231:AR231)</f>
        <v>0</v>
      </c>
      <c r="AT231" s="954">
        <v>0</v>
      </c>
      <c r="AU231" s="639">
        <v>0</v>
      </c>
      <c r="AV231" s="652">
        <v>0</v>
      </c>
      <c r="AW231" s="960">
        <v>0</v>
      </c>
      <c r="AX231" s="153">
        <f>SUM(AT231:AW231)</f>
        <v>0</v>
      </c>
      <c r="AY231" s="1033">
        <v>0</v>
      </c>
      <c r="AZ231" s="608">
        <v>0</v>
      </c>
      <c r="BA231" s="608">
        <v>0</v>
      </c>
      <c r="BB231" s="960">
        <v>0</v>
      </c>
      <c r="BC231" s="153">
        <f>SUM(AY231:BB231)</f>
        <v>0</v>
      </c>
      <c r="BD231" s="954">
        <v>0</v>
      </c>
      <c r="BE231" s="608">
        <v>0</v>
      </c>
      <c r="BF231" s="608">
        <v>0</v>
      </c>
      <c r="BG231" s="960">
        <v>0</v>
      </c>
      <c r="BH231" s="153">
        <f>SUM(BD231:BG231)</f>
        <v>0</v>
      </c>
      <c r="BI231" s="954">
        <v>0</v>
      </c>
      <c r="BJ231" s="608">
        <v>0</v>
      </c>
      <c r="BK231" s="608">
        <v>0</v>
      </c>
      <c r="BL231" s="960">
        <v>0</v>
      </c>
      <c r="BM231" s="153">
        <f>SUM(BI231:BL231)</f>
        <v>0</v>
      </c>
      <c r="BN231" s="914"/>
      <c r="BO231" s="614"/>
      <c r="BP231" s="153"/>
      <c r="BQ231" s="915"/>
      <c r="BR231" s="153"/>
      <c r="BS231" s="914"/>
      <c r="BT231" s="153"/>
      <c r="BU231" s="153"/>
      <c r="BV231" s="915"/>
      <c r="BW231" s="153"/>
      <c r="BX231" s="914"/>
      <c r="BY231" s="153"/>
      <c r="BZ231" s="153"/>
      <c r="CA231" s="915"/>
      <c r="CB231" s="153"/>
      <c r="CC231" s="914"/>
      <c r="CD231" s="153"/>
      <c r="CE231" s="153"/>
      <c r="CF231" s="915"/>
      <c r="CG231" s="153"/>
      <c r="CH231" s="914"/>
      <c r="CI231" s="153"/>
      <c r="CJ231" s="153"/>
      <c r="CK231" s="915"/>
      <c r="CL231" s="153"/>
      <c r="CM231" s="914"/>
      <c r="CN231" s="153"/>
      <c r="CO231" s="153"/>
      <c r="CP231" s="915"/>
      <c r="CQ231" s="915"/>
      <c r="CR231" s="75"/>
    </row>
    <row r="232" spans="1:96" ht="6.2" customHeight="1">
      <c r="A232" s="75"/>
      <c r="B232" s="75"/>
      <c r="C232" s="81"/>
      <c r="D232" s="75"/>
      <c r="E232" s="75"/>
      <c r="F232" s="234"/>
      <c r="G232" s="234"/>
      <c r="H232" s="234"/>
      <c r="I232" s="234"/>
      <c r="J232" s="234"/>
      <c r="K232" s="234"/>
      <c r="L232" s="234"/>
      <c r="M232" s="234"/>
      <c r="N232" s="234"/>
      <c r="O232" s="234"/>
      <c r="P232" s="234"/>
      <c r="Q232" s="234"/>
      <c r="R232" s="234"/>
      <c r="S232" s="234"/>
      <c r="T232" s="234"/>
      <c r="U232" s="234"/>
      <c r="V232" s="234"/>
      <c r="W232" s="234"/>
      <c r="X232" s="234"/>
      <c r="Y232" s="234"/>
      <c r="Z232" s="234"/>
      <c r="AA232" s="234"/>
      <c r="AB232" s="234"/>
      <c r="AC232" s="234"/>
      <c r="AD232" s="234"/>
      <c r="AE232" s="234"/>
      <c r="AF232" s="234"/>
      <c r="AG232" s="234"/>
      <c r="AH232" s="234"/>
      <c r="AI232" s="234"/>
      <c r="AJ232" s="1209"/>
      <c r="AK232" s="234"/>
      <c r="AL232" s="234"/>
      <c r="AM232" s="1210"/>
      <c r="AN232" s="234"/>
      <c r="AO232" s="1209"/>
      <c r="AP232" s="234"/>
      <c r="AQ232" s="234"/>
      <c r="AR232" s="1210"/>
      <c r="AS232" s="234"/>
      <c r="AT232" s="1209"/>
      <c r="AU232" s="235"/>
      <c r="AV232" s="235"/>
      <c r="AW232" s="1210"/>
      <c r="AX232" s="234"/>
      <c r="AY232" s="1289"/>
      <c r="AZ232" s="234"/>
      <c r="BA232" s="234"/>
      <c r="BB232" s="1210"/>
      <c r="BC232" s="234"/>
      <c r="BD232" s="1209"/>
      <c r="BE232" s="234"/>
      <c r="BF232" s="234"/>
      <c r="BG232" s="1210"/>
      <c r="BH232" s="234"/>
      <c r="BI232" s="1209"/>
      <c r="BJ232" s="234"/>
      <c r="BK232" s="234"/>
      <c r="BL232" s="1210"/>
      <c r="BM232" s="234"/>
      <c r="BN232" s="1209"/>
      <c r="BO232" s="235"/>
      <c r="BP232" s="234"/>
      <c r="BQ232" s="1210"/>
      <c r="BR232" s="234"/>
      <c r="BS232" s="1209"/>
      <c r="BT232" s="234"/>
      <c r="BU232" s="234"/>
      <c r="BV232" s="1210"/>
      <c r="BW232" s="234"/>
      <c r="BX232" s="1209"/>
      <c r="BY232" s="234"/>
      <c r="BZ232" s="234"/>
      <c r="CA232" s="1210"/>
      <c r="CB232" s="234"/>
      <c r="CC232" s="1209"/>
      <c r="CD232" s="234"/>
      <c r="CE232" s="234"/>
      <c r="CF232" s="1210"/>
      <c r="CG232" s="234"/>
      <c r="CH232" s="1209"/>
      <c r="CI232" s="234"/>
      <c r="CJ232" s="234"/>
      <c r="CK232" s="1210"/>
      <c r="CL232" s="234"/>
      <c r="CM232" s="1209"/>
      <c r="CN232" s="234"/>
      <c r="CO232" s="234"/>
      <c r="CP232" s="1210"/>
      <c r="CQ232" s="1210"/>
      <c r="CR232" s="75"/>
    </row>
    <row r="233" spans="1:96" ht="13.5" customHeight="1">
      <c r="A233" s="75"/>
      <c r="B233" s="75"/>
      <c r="C233" s="93" t="s">
        <v>855</v>
      </c>
      <c r="D233" s="75"/>
      <c r="E233" s="75"/>
      <c r="F233" s="238">
        <f>SUM(F217:F220,F228:F230)</f>
        <v>-44</v>
      </c>
      <c r="G233" s="238">
        <f>SUM(G217:G220,G228:G230)</f>
        <v>212</v>
      </c>
      <c r="H233" s="238">
        <f>SUM(H217:H220,H228:H230)</f>
        <v>164</v>
      </c>
      <c r="I233" s="238">
        <f>SUM(I217:I220,I228:I230)</f>
        <v>245</v>
      </c>
      <c r="J233" s="238">
        <f>SUM(J217:J220,J228:J230)</f>
        <v>577</v>
      </c>
      <c r="K233" s="238">
        <f>SUM(K217:K220,K228:K231)</f>
        <v>97</v>
      </c>
      <c r="L233" s="238">
        <f>SUM(L217:L220,L228:L231)</f>
        <v>217</v>
      </c>
      <c r="M233" s="238">
        <f>SUM(M217:M220,M228:M231)</f>
        <v>701</v>
      </c>
      <c r="N233" s="238">
        <f>SUM(N217:N220,N228:N231)</f>
        <v>385</v>
      </c>
      <c r="O233" s="238">
        <f t="shared" ref="O233:AT233" si="307">SUM(O217:O220,O228:O230)</f>
        <v>1400</v>
      </c>
      <c r="P233" s="238">
        <f t="shared" si="307"/>
        <v>296</v>
      </c>
      <c r="Q233" s="238">
        <f t="shared" si="307"/>
        <v>207</v>
      </c>
      <c r="R233" s="238">
        <f t="shared" si="307"/>
        <v>381</v>
      </c>
      <c r="S233" s="238">
        <f t="shared" si="307"/>
        <v>334</v>
      </c>
      <c r="T233" s="238">
        <f t="shared" si="307"/>
        <v>1218</v>
      </c>
      <c r="U233" s="238">
        <f t="shared" si="307"/>
        <v>228</v>
      </c>
      <c r="V233" s="238">
        <f t="shared" si="307"/>
        <v>340</v>
      </c>
      <c r="W233" s="238">
        <f t="shared" si="307"/>
        <v>467</v>
      </c>
      <c r="X233" s="238">
        <f t="shared" si="307"/>
        <v>651</v>
      </c>
      <c r="Y233" s="238">
        <f t="shared" si="307"/>
        <v>1686</v>
      </c>
      <c r="Z233" s="238">
        <f t="shared" si="307"/>
        <v>319</v>
      </c>
      <c r="AA233" s="238">
        <f t="shared" si="307"/>
        <v>471</v>
      </c>
      <c r="AB233" s="238">
        <f t="shared" si="307"/>
        <v>564</v>
      </c>
      <c r="AC233" s="238">
        <f t="shared" si="307"/>
        <v>352</v>
      </c>
      <c r="AD233" s="238">
        <f t="shared" si="307"/>
        <v>1706</v>
      </c>
      <c r="AE233" s="238">
        <f t="shared" si="307"/>
        <v>237</v>
      </c>
      <c r="AF233" s="238">
        <f t="shared" si="307"/>
        <v>226</v>
      </c>
      <c r="AG233" s="238">
        <f t="shared" si="307"/>
        <v>868</v>
      </c>
      <c r="AH233" s="238">
        <f t="shared" si="307"/>
        <v>327</v>
      </c>
      <c r="AI233" s="238">
        <f t="shared" si="307"/>
        <v>1658</v>
      </c>
      <c r="AJ233" s="1211">
        <f t="shared" si="307"/>
        <v>309</v>
      </c>
      <c r="AK233" s="1212">
        <f t="shared" si="307"/>
        <v>52</v>
      </c>
      <c r="AL233" s="1212">
        <f t="shared" si="307"/>
        <v>-243</v>
      </c>
      <c r="AM233" s="1213">
        <f t="shared" si="307"/>
        <v>-179</v>
      </c>
      <c r="AN233" s="238">
        <f t="shared" si="307"/>
        <v>-61</v>
      </c>
      <c r="AO233" s="1211">
        <f t="shared" si="307"/>
        <v>-59</v>
      </c>
      <c r="AP233" s="1212">
        <f t="shared" si="307"/>
        <v>-289</v>
      </c>
      <c r="AQ233" s="1212">
        <f t="shared" si="307"/>
        <v>-130</v>
      </c>
      <c r="AR233" s="1213">
        <f t="shared" si="307"/>
        <v>99</v>
      </c>
      <c r="AS233" s="238">
        <f t="shared" si="307"/>
        <v>-379</v>
      </c>
      <c r="AT233" s="1211">
        <f t="shared" si="307"/>
        <v>17</v>
      </c>
      <c r="AU233" s="1271">
        <f t="shared" ref="AU233:BZ233" si="308">SUM(AU217:AU220,AU228:AU230)</f>
        <v>21</v>
      </c>
      <c r="AV233" s="1271">
        <f t="shared" si="308"/>
        <v>70</v>
      </c>
      <c r="AW233" s="1213">
        <f t="shared" si="308"/>
        <v>60</v>
      </c>
      <c r="AX233" s="238">
        <f t="shared" si="308"/>
        <v>168</v>
      </c>
      <c r="AY233" s="1299">
        <f t="shared" si="308"/>
        <v>426</v>
      </c>
      <c r="AZ233" s="1212">
        <f t="shared" si="308"/>
        <v>435</v>
      </c>
      <c r="BA233" s="1271">
        <f t="shared" si="308"/>
        <v>97</v>
      </c>
      <c r="BB233" s="1213">
        <f t="shared" si="308"/>
        <v>177</v>
      </c>
      <c r="BC233" s="238">
        <f t="shared" si="308"/>
        <v>1135</v>
      </c>
      <c r="BD233" s="1211">
        <f t="shared" si="308"/>
        <v>233</v>
      </c>
      <c r="BE233" s="1212">
        <f t="shared" si="308"/>
        <v>151</v>
      </c>
      <c r="BF233" s="1212">
        <f t="shared" si="308"/>
        <v>37</v>
      </c>
      <c r="BG233" s="1213">
        <f t="shared" si="308"/>
        <v>-7</v>
      </c>
      <c r="BH233" s="238">
        <f t="shared" si="308"/>
        <v>414</v>
      </c>
      <c r="BI233" s="1211">
        <f t="shared" si="308"/>
        <v>570</v>
      </c>
      <c r="BJ233" s="1212">
        <f t="shared" si="308"/>
        <v>783</v>
      </c>
      <c r="BK233" s="1212">
        <f t="shared" si="308"/>
        <v>-106</v>
      </c>
      <c r="BL233" s="1213">
        <f t="shared" si="308"/>
        <v>245</v>
      </c>
      <c r="BM233" s="238">
        <f t="shared" si="308"/>
        <v>1492</v>
      </c>
      <c r="BN233" s="1211">
        <f t="shared" si="308"/>
        <v>136</v>
      </c>
      <c r="BO233" s="1271">
        <f t="shared" si="308"/>
        <v>79</v>
      </c>
      <c r="BP233" s="1212">
        <f t="shared" si="308"/>
        <v>93</v>
      </c>
      <c r="BQ233" s="1213">
        <f t="shared" si="308"/>
        <v>51</v>
      </c>
      <c r="BR233" s="238">
        <f t="shared" si="308"/>
        <v>359</v>
      </c>
      <c r="BS233" s="1211">
        <f t="shared" si="308"/>
        <v>113</v>
      </c>
      <c r="BT233" s="1212">
        <f t="shared" si="308"/>
        <v>200</v>
      </c>
      <c r="BU233" s="1212">
        <f t="shared" si="308"/>
        <v>264</v>
      </c>
      <c r="BV233" s="1213">
        <f t="shared" si="308"/>
        <v>150</v>
      </c>
      <c r="BW233" s="238">
        <f t="shared" si="308"/>
        <v>727</v>
      </c>
      <c r="BX233" s="1211">
        <f t="shared" si="308"/>
        <v>-135</v>
      </c>
      <c r="BY233" s="1212">
        <f t="shared" si="308"/>
        <v>377</v>
      </c>
      <c r="BZ233" s="1212">
        <f t="shared" si="308"/>
        <v>299</v>
      </c>
      <c r="CA233" s="1213">
        <f t="shared" ref="CA233:CQ233" si="309">SUM(CA217:CA220,CA228:CA230)</f>
        <v>261</v>
      </c>
      <c r="CB233" s="238">
        <f t="shared" si="309"/>
        <v>802</v>
      </c>
      <c r="CC233" s="1211">
        <f t="shared" si="309"/>
        <v>-47.631222381963731</v>
      </c>
      <c r="CD233" s="1212">
        <f t="shared" si="309"/>
        <v>375.70803198811751</v>
      </c>
      <c r="CE233" s="1212">
        <f t="shared" si="309"/>
        <v>363.13338646256341</v>
      </c>
      <c r="CF233" s="1213">
        <f t="shared" si="309"/>
        <v>440.72405665921582</v>
      </c>
      <c r="CG233" s="238">
        <f t="shared" si="309"/>
        <v>1131.934252727933</v>
      </c>
      <c r="CH233" s="1211">
        <f t="shared" si="309"/>
        <v>623.89163423927243</v>
      </c>
      <c r="CI233" s="1212">
        <f t="shared" si="309"/>
        <v>-71.365001556250732</v>
      </c>
      <c r="CJ233" s="1212">
        <f t="shared" si="309"/>
        <v>1115.5402263736582</v>
      </c>
      <c r="CK233" s="1213">
        <f t="shared" si="309"/>
        <v>-140.0138170425106</v>
      </c>
      <c r="CL233" s="238">
        <f t="shared" si="309"/>
        <v>1528.0530420141695</v>
      </c>
      <c r="CM233" s="1211">
        <f t="shared" si="309"/>
        <v>972.84656721976876</v>
      </c>
      <c r="CN233" s="1212">
        <f t="shared" si="309"/>
        <v>-434.57690311996919</v>
      </c>
      <c r="CO233" s="1212">
        <f t="shared" si="309"/>
        <v>1320.8618759647732</v>
      </c>
      <c r="CP233" s="1213">
        <f t="shared" si="309"/>
        <v>-340.08775536673539</v>
      </c>
      <c r="CQ233" s="1213">
        <f t="shared" si="309"/>
        <v>1519.0437846978373</v>
      </c>
      <c r="CR233" s="75"/>
    </row>
    <row r="234" spans="1:96" ht="6.2" customHeight="1">
      <c r="A234" s="263"/>
      <c r="B234" s="263"/>
      <c r="C234" s="263"/>
      <c r="D234" s="262"/>
      <c r="E234" s="262"/>
      <c r="F234" s="251"/>
      <c r="G234" s="251"/>
      <c r="H234" s="251"/>
      <c r="I234" s="251"/>
      <c r="J234" s="251"/>
      <c r="K234" s="251"/>
      <c r="L234" s="251"/>
      <c r="M234" s="251"/>
      <c r="N234" s="251"/>
      <c r="O234" s="251"/>
      <c r="P234" s="251"/>
      <c r="Q234" s="251"/>
      <c r="R234" s="251"/>
      <c r="S234" s="251"/>
      <c r="T234" s="251"/>
      <c r="U234" s="251"/>
      <c r="V234" s="251"/>
      <c r="W234" s="251"/>
      <c r="X234" s="251"/>
      <c r="Y234" s="251"/>
      <c r="Z234" s="251"/>
      <c r="AA234" s="263"/>
      <c r="AB234" s="97"/>
      <c r="AC234" s="251"/>
      <c r="AD234" s="251"/>
      <c r="AE234" s="252"/>
      <c r="AF234" s="252"/>
      <c r="AG234" s="264"/>
      <c r="AH234" s="251"/>
      <c r="AI234" s="251"/>
      <c r="AJ234" s="1228"/>
      <c r="AK234" s="1229"/>
      <c r="AL234" s="1236">
        <f>SUM(AJ233:AL233)</f>
        <v>118</v>
      </c>
      <c r="AM234" s="1237"/>
      <c r="AN234" s="251"/>
      <c r="AO234" s="1228"/>
      <c r="AP234" s="1236"/>
      <c r="AQ234" s="1229"/>
      <c r="AR234" s="1237"/>
      <c r="AS234" s="251"/>
      <c r="AT234" s="1272"/>
      <c r="AU234" s="1273"/>
      <c r="AV234" s="1273"/>
      <c r="AW234" s="1237"/>
      <c r="AX234" s="153">
        <f>AX36+Operations!AX89+AX229</f>
        <v>-626</v>
      </c>
      <c r="AY234" s="1272"/>
      <c r="AZ234" s="1273"/>
      <c r="BA234" s="1273"/>
      <c r="BB234" s="1237"/>
      <c r="BC234" s="153">
        <f>BC36+Operations!BC89+BC229</f>
        <v>-693</v>
      </c>
      <c r="BD234" s="1272"/>
      <c r="BE234" s="1273"/>
      <c r="BF234" s="1273"/>
      <c r="BG234" s="1237"/>
      <c r="BH234" s="153"/>
      <c r="BI234" s="1272"/>
      <c r="BJ234" s="1273"/>
      <c r="BK234" s="1273"/>
      <c r="BL234" s="1237"/>
      <c r="BM234" s="153"/>
      <c r="BN234" s="1228"/>
      <c r="BO234" s="1273"/>
      <c r="BP234" s="1273"/>
      <c r="BQ234" s="1237"/>
      <c r="BR234" s="153"/>
      <c r="BS234" s="1272"/>
      <c r="BT234" s="1273"/>
      <c r="BU234" s="1273"/>
      <c r="BV234" s="1237"/>
      <c r="BW234" s="153"/>
      <c r="BX234" s="1272"/>
      <c r="BY234" s="1273"/>
      <c r="BZ234" s="1273"/>
      <c r="CA234" s="1237"/>
      <c r="CB234" s="153"/>
      <c r="CC234" s="1272"/>
      <c r="CD234" s="1273"/>
      <c r="CE234" s="1273"/>
      <c r="CF234" s="1237"/>
      <c r="CG234" s="153"/>
      <c r="CH234" s="1272"/>
      <c r="CI234" s="1273"/>
      <c r="CJ234" s="1273"/>
      <c r="CK234" s="1237"/>
      <c r="CL234" s="153"/>
      <c r="CM234" s="1272"/>
      <c r="CN234" s="1273"/>
      <c r="CO234" s="1273"/>
      <c r="CP234" s="1237"/>
      <c r="CQ234" s="915"/>
      <c r="CR234" s="262"/>
    </row>
    <row r="235" spans="1:96" ht="13.5" customHeight="1">
      <c r="A235" s="93" t="s">
        <v>856</v>
      </c>
      <c r="B235" s="93"/>
      <c r="C235" s="93"/>
      <c r="D235" s="75"/>
      <c r="E235" s="75"/>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54"/>
      <c r="AB235" s="154"/>
      <c r="AC235" s="179"/>
      <c r="AD235" s="190"/>
      <c r="AE235" s="154"/>
      <c r="AF235" s="154"/>
      <c r="AG235" s="154"/>
      <c r="AH235" s="190"/>
      <c r="AI235" s="190"/>
      <c r="AJ235" s="1163"/>
      <c r="AK235" s="154"/>
      <c r="AL235" s="154"/>
      <c r="AM235" s="1165"/>
      <c r="AN235" s="190"/>
      <c r="AO235" s="1163"/>
      <c r="AP235" s="154"/>
      <c r="AQ235" s="154"/>
      <c r="AR235" s="1165"/>
      <c r="AS235" s="190"/>
      <c r="AT235" s="1274"/>
      <c r="AU235" s="190"/>
      <c r="AV235" s="190"/>
      <c r="AW235" s="1165"/>
      <c r="AX235" s="190"/>
      <c r="AY235" s="1274"/>
      <c r="AZ235" s="190"/>
      <c r="BA235" s="254"/>
      <c r="BB235" s="1165"/>
      <c r="BC235" s="190"/>
      <c r="BD235" s="1274"/>
      <c r="BE235" s="190"/>
      <c r="BF235" s="190"/>
      <c r="BG235" s="1165"/>
      <c r="BH235" s="190"/>
      <c r="BI235" s="1274"/>
      <c r="BJ235" s="190"/>
      <c r="BK235" s="190"/>
      <c r="BL235" s="1165"/>
      <c r="BM235" s="190"/>
      <c r="BN235" s="1163"/>
      <c r="BO235" s="190"/>
      <c r="BP235" s="190"/>
      <c r="BQ235" s="1165"/>
      <c r="BR235" s="254"/>
      <c r="BS235" s="1355"/>
      <c r="BT235" s="190"/>
      <c r="BU235" s="190"/>
      <c r="BV235" s="1165"/>
      <c r="BW235" s="190"/>
      <c r="BX235" s="1274"/>
      <c r="BY235" s="190"/>
      <c r="BZ235" s="190"/>
      <c r="CA235" s="1165"/>
      <c r="CB235" s="190"/>
      <c r="CC235" s="1274"/>
      <c r="CD235" s="190"/>
      <c r="CE235" s="190"/>
      <c r="CF235" s="1165"/>
      <c r="CG235" s="190"/>
      <c r="CH235" s="1274"/>
      <c r="CI235" s="190"/>
      <c r="CJ235" s="190"/>
      <c r="CK235" s="1165"/>
      <c r="CL235" s="190"/>
      <c r="CM235" s="1274"/>
      <c r="CN235" s="190"/>
      <c r="CO235" s="190"/>
      <c r="CP235" s="1165"/>
      <c r="CQ235" s="1165"/>
      <c r="CR235" s="75"/>
    </row>
    <row r="236" spans="1:96" ht="13.5" customHeight="1">
      <c r="A236" s="75"/>
      <c r="B236" s="81" t="s">
        <v>857</v>
      </c>
      <c r="C236" s="81"/>
      <c r="D236" s="75"/>
      <c r="E236" s="75"/>
      <c r="F236" s="608">
        <v>-63</v>
      </c>
      <c r="G236" s="627">
        <f>-132-F236</f>
        <v>-69</v>
      </c>
      <c r="H236" s="627">
        <f>-205-G236-F236</f>
        <v>-73</v>
      </c>
      <c r="I236" s="153">
        <f>J236-F236-G236-H236</f>
        <v>-111</v>
      </c>
      <c r="J236" s="608">
        <v>-316</v>
      </c>
      <c r="K236" s="608">
        <v>-70</v>
      </c>
      <c r="L236" s="627">
        <f>-165-K236</f>
        <v>-95</v>
      </c>
      <c r="M236" s="627">
        <f>-367-L236-K236</f>
        <v>-202</v>
      </c>
      <c r="N236" s="153">
        <f>O236-SUM(K236:M236)</f>
        <v>-212</v>
      </c>
      <c r="O236" s="608">
        <v>-579</v>
      </c>
      <c r="P236" s="608">
        <v>-122</v>
      </c>
      <c r="Q236" s="608">
        <f>-279-P236</f>
        <v>-157</v>
      </c>
      <c r="R236" s="608">
        <f>-473-Q236-P236</f>
        <v>-194</v>
      </c>
      <c r="S236" s="153">
        <f>T236-SUM(P236:R236)</f>
        <v>-268</v>
      </c>
      <c r="T236" s="608">
        <v>-741</v>
      </c>
      <c r="U236" s="608">
        <v>-127</v>
      </c>
      <c r="V236" s="153">
        <f>-251-U236</f>
        <v>-124</v>
      </c>
      <c r="W236" s="153">
        <f>-397-V236-U236</f>
        <v>-146</v>
      </c>
      <c r="X236" s="153">
        <f>Y236-SUM(U236:W236)</f>
        <v>-215</v>
      </c>
      <c r="Y236" s="153">
        <f>-612</f>
        <v>-612</v>
      </c>
      <c r="Z236" s="608">
        <f>-108</f>
        <v>-108</v>
      </c>
      <c r="AA236" s="608">
        <f>-250-Z236</f>
        <v>-142</v>
      </c>
      <c r="AB236" s="608">
        <f>-460-AA236-Z236</f>
        <v>-210</v>
      </c>
      <c r="AC236" s="153">
        <f>AD236-SUM(Z236:AB236)</f>
        <v>-215</v>
      </c>
      <c r="AD236" s="608">
        <v>-675</v>
      </c>
      <c r="AE236" s="608">
        <v>-127</v>
      </c>
      <c r="AF236" s="608">
        <f>-340-AE236</f>
        <v>-213</v>
      </c>
      <c r="AG236" s="608">
        <f>-633-AF236-AE236</f>
        <v>-293</v>
      </c>
      <c r="AH236" s="153">
        <f>AI236-SUM(AE236:AG236)</f>
        <v>-263</v>
      </c>
      <c r="AI236" s="608">
        <v>-896</v>
      </c>
      <c r="AJ236" s="954">
        <f>-118</f>
        <v>-118</v>
      </c>
      <c r="AK236" s="608">
        <f>-206-AJ236</f>
        <v>-88</v>
      </c>
      <c r="AL236" s="608">
        <f>-323-AK236-AJ236</f>
        <v>-117</v>
      </c>
      <c r="AM236" s="915">
        <f t="shared" ref="AM236:AM241" si="310">AN236-SUM(AJ236:AL236)</f>
        <v>-149</v>
      </c>
      <c r="AN236" s="608">
        <v>-472</v>
      </c>
      <c r="AO236" s="954">
        <v>-125</v>
      </c>
      <c r="AP236" s="608">
        <f>-242-AO236</f>
        <v>-117</v>
      </c>
      <c r="AQ236" s="608">
        <f>-426-AP236-AO236</f>
        <v>-184</v>
      </c>
      <c r="AR236" s="915">
        <f>AS236-SUM(AO236:AQ236)</f>
        <v>-250</v>
      </c>
      <c r="AS236" s="608">
        <v>-676</v>
      </c>
      <c r="AT236" s="954">
        <v>-180</v>
      </c>
      <c r="AU236" s="608">
        <f>-401-AT236</f>
        <v>-221</v>
      </c>
      <c r="AV236" s="639">
        <f>-626-AU236-AT236</f>
        <v>-225</v>
      </c>
      <c r="AW236" s="915">
        <f t="shared" ref="AW236:AW241" si="311">AX236-SUM(AT236:AV236)</f>
        <v>-222</v>
      </c>
      <c r="AX236" s="608">
        <v>-848</v>
      </c>
      <c r="AY236" s="954">
        <v>-189</v>
      </c>
      <c r="AZ236" s="608">
        <f>-397-AY236</f>
        <v>-208</v>
      </c>
      <c r="BA236" s="608">
        <f>-536-AZ236-AY236</f>
        <v>-139</v>
      </c>
      <c r="BB236" s="915">
        <f t="shared" ref="BB236:BB241" si="312">BC236-SUM(AY236:BA236)</f>
        <v>-187</v>
      </c>
      <c r="BC236" s="608">
        <v>-723</v>
      </c>
      <c r="BD236" s="954">
        <v>-116</v>
      </c>
      <c r="BE236" s="608">
        <f>-221-BD236</f>
        <v>-105</v>
      </c>
      <c r="BF236" s="608">
        <f>-328-BE236-BD236</f>
        <v>-107</v>
      </c>
      <c r="BG236" s="960">
        <f>-477-SUM(BD236:BF236)</f>
        <v>-149</v>
      </c>
      <c r="BH236" s="153">
        <f t="shared" ref="BH236:BH241" si="313">SUM(BD236:BG236)</f>
        <v>-477</v>
      </c>
      <c r="BI236" s="954">
        <v>-90</v>
      </c>
      <c r="BJ236" s="608">
        <f>-186-BI236</f>
        <v>-96</v>
      </c>
      <c r="BK236" s="608">
        <f>-282-SUM(BI236:BJ236)</f>
        <v>-96</v>
      </c>
      <c r="BL236" s="960">
        <f>-419-SUM(BI236:BK236)</f>
        <v>-137</v>
      </c>
      <c r="BM236" s="153">
        <f t="shared" ref="BM236:BM241" si="314">SUM(BI236:BL236)</f>
        <v>-419</v>
      </c>
      <c r="BN236" s="954">
        <v>-172</v>
      </c>
      <c r="BO236" s="608">
        <f>-276-BN236</f>
        <v>-104</v>
      </c>
      <c r="BP236" s="608">
        <f>-409-BO236-BN236</f>
        <v>-133</v>
      </c>
      <c r="BQ236" s="960">
        <f>-500-BP236-BO236-BN236</f>
        <v>-91</v>
      </c>
      <c r="BR236" s="153">
        <f t="shared" ref="BR236:BR241" si="315">SUM(BN236:BQ236)</f>
        <v>-500</v>
      </c>
      <c r="BS236" s="954">
        <v>-148</v>
      </c>
      <c r="BT236" s="608">
        <f>-217-BS236</f>
        <v>-69</v>
      </c>
      <c r="BU236" s="608">
        <f>-268-SUM(BS236:BT236)</f>
        <v>-51</v>
      </c>
      <c r="BV236" s="960">
        <f>-306-SUM(BS236:BU236)</f>
        <v>-38</v>
      </c>
      <c r="BW236" s="153">
        <f t="shared" ref="BW236:BW241" si="316">SUM(BS236:BV236)</f>
        <v>-306</v>
      </c>
      <c r="BX236" s="1090">
        <v>-47</v>
      </c>
      <c r="BY236" s="863">
        <f>-120-BX236</f>
        <v>-73</v>
      </c>
      <c r="BZ236" s="863">
        <f>-291-BY236-BX236</f>
        <v>-171</v>
      </c>
      <c r="CA236" s="1518">
        <f>-505-SUM(BX236:BZ236)</f>
        <v>-214</v>
      </c>
      <c r="CB236" s="153">
        <f t="shared" ref="CB236:CB241" si="317">SUM(BX236:CA236)</f>
        <v>-505</v>
      </c>
      <c r="CC236" s="914">
        <f>-Operations!CC214</f>
        <v>-212.5</v>
      </c>
      <c r="CD236" s="153">
        <f>-Operations!CD214</f>
        <v>-212.5</v>
      </c>
      <c r="CE236" s="153">
        <f>-Operations!CE214</f>
        <v>-212.5</v>
      </c>
      <c r="CF236" s="915">
        <f>-Operations!CF214</f>
        <v>-212.5</v>
      </c>
      <c r="CG236" s="153">
        <f t="shared" ref="CG236:CG241" si="318">SUM(CC236:CF236)</f>
        <v>-850</v>
      </c>
      <c r="CH236" s="914">
        <f>-Operations!CH214</f>
        <v>-287.5</v>
      </c>
      <c r="CI236" s="153">
        <f>-Operations!CI214</f>
        <v>-287.5</v>
      </c>
      <c r="CJ236" s="153">
        <f>-Operations!CJ214</f>
        <v>-287.5</v>
      </c>
      <c r="CK236" s="915">
        <f>-Operations!CK214</f>
        <v>-287.5</v>
      </c>
      <c r="CL236" s="153">
        <f t="shared" ref="CL236:CL241" si="319">SUM(CH236:CK236)</f>
        <v>-1150</v>
      </c>
      <c r="CM236" s="914">
        <f>-Operations!CM214</f>
        <v>-287.5</v>
      </c>
      <c r="CN236" s="153">
        <f>-Operations!CN214</f>
        <v>-287.5</v>
      </c>
      <c r="CO236" s="153">
        <f>-Operations!CO214</f>
        <v>-287.5</v>
      </c>
      <c r="CP236" s="915">
        <f>-Operations!CP214</f>
        <v>-287.5</v>
      </c>
      <c r="CQ236" s="915">
        <f t="shared" ref="CQ236:CQ241" si="320">SUM(CM236:CP236)</f>
        <v>-1150</v>
      </c>
      <c r="CR236" s="75"/>
    </row>
    <row r="237" spans="1:96" ht="13.5" customHeight="1">
      <c r="A237" s="75"/>
      <c r="B237" s="81" t="s">
        <v>858</v>
      </c>
      <c r="C237" s="81"/>
      <c r="D237" s="75"/>
      <c r="E237" s="75"/>
      <c r="F237" s="153"/>
      <c r="G237" s="153"/>
      <c r="H237" s="153"/>
      <c r="I237" s="153"/>
      <c r="J237" s="153"/>
      <c r="K237" s="153"/>
      <c r="L237" s="153"/>
      <c r="M237" s="153"/>
      <c r="N237" s="153"/>
      <c r="O237" s="153"/>
      <c r="P237" s="153"/>
      <c r="Q237" s="153"/>
      <c r="R237" s="153"/>
      <c r="S237" s="153"/>
      <c r="T237" s="153"/>
      <c r="U237" s="153"/>
      <c r="V237" s="153"/>
      <c r="W237" s="153"/>
      <c r="X237" s="153"/>
      <c r="Y237" s="153"/>
      <c r="Z237" s="608"/>
      <c r="AA237" s="608"/>
      <c r="AB237" s="608"/>
      <c r="AC237" s="153"/>
      <c r="AD237" s="153"/>
      <c r="AE237" s="153"/>
      <c r="AF237" s="608"/>
      <c r="AG237" s="608"/>
      <c r="AH237" s="153"/>
      <c r="AI237" s="153"/>
      <c r="AJ237" s="954">
        <v>-45</v>
      </c>
      <c r="AK237" s="608">
        <f>-93-AJ237</f>
        <v>-48</v>
      </c>
      <c r="AL237" s="608">
        <f>-126-AK237-AJ237</f>
        <v>-33</v>
      </c>
      <c r="AM237" s="915">
        <f t="shared" si="310"/>
        <v>-21</v>
      </c>
      <c r="AN237" s="608">
        <v>-147</v>
      </c>
      <c r="AO237" s="954">
        <v>0</v>
      </c>
      <c r="AP237" s="608">
        <v>0</v>
      </c>
      <c r="AQ237" s="608">
        <v>0</v>
      </c>
      <c r="AR237" s="960">
        <v>0</v>
      </c>
      <c r="AS237" s="153">
        <f>SUM(AO237:AR237)</f>
        <v>0</v>
      </c>
      <c r="AT237" s="954">
        <v>0</v>
      </c>
      <c r="AU237" s="608">
        <v>0</v>
      </c>
      <c r="AV237" s="608">
        <v>0</v>
      </c>
      <c r="AW237" s="915">
        <f t="shared" si="311"/>
        <v>0</v>
      </c>
      <c r="AX237" s="608">
        <v>0</v>
      </c>
      <c r="AY237" s="954">
        <v>0</v>
      </c>
      <c r="AZ237" s="608">
        <v>0</v>
      </c>
      <c r="BA237" s="608">
        <v>0</v>
      </c>
      <c r="BB237" s="960">
        <v>0</v>
      </c>
      <c r="BC237" s="153">
        <f>SUM(AY237:BB237)</f>
        <v>0</v>
      </c>
      <c r="BD237" s="954">
        <v>0</v>
      </c>
      <c r="BE237" s="608">
        <v>0</v>
      </c>
      <c r="BF237" s="608">
        <v>0</v>
      </c>
      <c r="BG237" s="960">
        <v>0</v>
      </c>
      <c r="BH237" s="153">
        <f t="shared" si="313"/>
        <v>0</v>
      </c>
      <c r="BI237" s="954">
        <v>0</v>
      </c>
      <c r="BJ237" s="608">
        <v>0</v>
      </c>
      <c r="BK237" s="608">
        <v>0</v>
      </c>
      <c r="BL237" s="960">
        <v>0</v>
      </c>
      <c r="BM237" s="153">
        <f t="shared" si="314"/>
        <v>0</v>
      </c>
      <c r="BN237" s="954">
        <v>0</v>
      </c>
      <c r="BO237" s="608">
        <v>0</v>
      </c>
      <c r="BP237" s="608">
        <v>0</v>
      </c>
      <c r="BQ237" s="960">
        <v>0</v>
      </c>
      <c r="BR237" s="153">
        <f t="shared" si="315"/>
        <v>0</v>
      </c>
      <c r="BS237" s="954">
        <v>0</v>
      </c>
      <c r="BT237" s="608">
        <v>0</v>
      </c>
      <c r="BU237" s="608">
        <v>0</v>
      </c>
      <c r="BV237" s="960"/>
      <c r="BW237" s="153">
        <f t="shared" si="316"/>
        <v>0</v>
      </c>
      <c r="BX237" s="1090">
        <v>0</v>
      </c>
      <c r="BY237" s="863">
        <v>0</v>
      </c>
      <c r="BZ237" s="863">
        <v>0</v>
      </c>
      <c r="CA237" s="1518">
        <v>0</v>
      </c>
      <c r="CB237" s="153">
        <f t="shared" si="317"/>
        <v>0</v>
      </c>
      <c r="CC237" s="954">
        <v>0</v>
      </c>
      <c r="CD237" s="608">
        <v>0</v>
      </c>
      <c r="CE237" s="608">
        <v>0</v>
      </c>
      <c r="CF237" s="960">
        <v>0</v>
      </c>
      <c r="CG237" s="153">
        <f t="shared" si="318"/>
        <v>0</v>
      </c>
      <c r="CH237" s="954">
        <v>0</v>
      </c>
      <c r="CI237" s="608">
        <v>0</v>
      </c>
      <c r="CJ237" s="608">
        <v>0</v>
      </c>
      <c r="CK237" s="960">
        <v>0</v>
      </c>
      <c r="CL237" s="153">
        <f t="shared" si="319"/>
        <v>0</v>
      </c>
      <c r="CM237" s="954">
        <v>0</v>
      </c>
      <c r="CN237" s="608">
        <v>0</v>
      </c>
      <c r="CO237" s="608">
        <v>0</v>
      </c>
      <c r="CP237" s="960">
        <v>0</v>
      </c>
      <c r="CQ237" s="915">
        <f t="shared" si="320"/>
        <v>0</v>
      </c>
      <c r="CR237" s="75"/>
    </row>
    <row r="238" spans="1:96" ht="13.5" customHeight="1">
      <c r="A238" s="75"/>
      <c r="B238" s="81" t="s">
        <v>859</v>
      </c>
      <c r="C238" s="81"/>
      <c r="D238" s="75"/>
      <c r="E238" s="75"/>
      <c r="F238" s="608">
        <v>0</v>
      </c>
      <c r="G238" s="608">
        <v>-872</v>
      </c>
      <c r="H238" s="627">
        <f>-873-6-37-G238-F238</f>
        <v>-44</v>
      </c>
      <c r="I238" s="153">
        <f>J238-F238-G238-H238</f>
        <v>11</v>
      </c>
      <c r="J238" s="608">
        <v>-905</v>
      </c>
      <c r="K238" s="608">
        <v>0</v>
      </c>
      <c r="L238" s="608">
        <v>0</v>
      </c>
      <c r="M238" s="608">
        <v>0</v>
      </c>
      <c r="N238" s="608">
        <v>0</v>
      </c>
      <c r="O238" s="608">
        <v>0</v>
      </c>
      <c r="P238" s="608">
        <v>0</v>
      </c>
      <c r="Q238" s="608">
        <v>0</v>
      </c>
      <c r="R238" s="608">
        <v>0</v>
      </c>
      <c r="S238" s="608">
        <v>0</v>
      </c>
      <c r="T238" s="608">
        <v>0</v>
      </c>
      <c r="U238" s="608">
        <v>0</v>
      </c>
      <c r="V238" s="608">
        <v>0</v>
      </c>
      <c r="W238" s="608">
        <v>0</v>
      </c>
      <c r="X238" s="608">
        <v>0</v>
      </c>
      <c r="Y238" s="153">
        <f>SUM(U238:X238)</f>
        <v>0</v>
      </c>
      <c r="Z238" s="608">
        <v>0</v>
      </c>
      <c r="AA238" s="608">
        <v>-1990</v>
      </c>
      <c r="AB238" s="608">
        <f>-1990-AA238-Z238</f>
        <v>0</v>
      </c>
      <c r="AC238" s="153">
        <f>AD238-SUM(Z238:AB238)</f>
        <v>-2036</v>
      </c>
      <c r="AD238" s="608">
        <f>-1990-2036</f>
        <v>-4026</v>
      </c>
      <c r="AE238" s="608">
        <v>-1</v>
      </c>
      <c r="AF238" s="608">
        <f>-1-AE238</f>
        <v>0</v>
      </c>
      <c r="AG238" s="608">
        <f>-36-1-AF238-AE238</f>
        <v>-36</v>
      </c>
      <c r="AH238" s="153">
        <f>AI238-SUM(AE238:AG238)</f>
        <v>-104</v>
      </c>
      <c r="AI238" s="608">
        <f>-104-36-1</f>
        <v>-141</v>
      </c>
      <c r="AJ238" s="954">
        <v>0</v>
      </c>
      <c r="AK238" s="608">
        <v>0</v>
      </c>
      <c r="AL238" s="608">
        <v>0</v>
      </c>
      <c r="AM238" s="915">
        <f t="shared" si="310"/>
        <v>-24</v>
      </c>
      <c r="AN238" s="608">
        <v>-24</v>
      </c>
      <c r="AO238" s="954">
        <v>0</v>
      </c>
      <c r="AP238" s="608">
        <v>0</v>
      </c>
      <c r="AQ238" s="608">
        <v>0</v>
      </c>
      <c r="AR238" s="960">
        <v>0</v>
      </c>
      <c r="AS238" s="153">
        <f>SUM(AO238:AR238)</f>
        <v>0</v>
      </c>
      <c r="AT238" s="954">
        <v>0</v>
      </c>
      <c r="AU238" s="608">
        <v>0</v>
      </c>
      <c r="AV238" s="608">
        <v>0</v>
      </c>
      <c r="AW238" s="915">
        <f t="shared" si="311"/>
        <v>0</v>
      </c>
      <c r="AX238" s="608">
        <v>0</v>
      </c>
      <c r="AY238" s="954">
        <v>0</v>
      </c>
      <c r="AZ238" s="608">
        <v>0</v>
      </c>
      <c r="BA238" s="608">
        <v>0</v>
      </c>
      <c r="BB238" s="960">
        <v>0</v>
      </c>
      <c r="BC238" s="153">
        <f>SUM(AY238:BB238)</f>
        <v>0</v>
      </c>
      <c r="BD238" s="954">
        <v>0</v>
      </c>
      <c r="BE238" s="608">
        <f>-12-BD238</f>
        <v>-12</v>
      </c>
      <c r="BF238" s="608">
        <f>-12-BE238-BD238</f>
        <v>0</v>
      </c>
      <c r="BG238" s="960">
        <f>-12-SUM(BD238:BF238)</f>
        <v>0</v>
      </c>
      <c r="BH238" s="153">
        <f t="shared" si="313"/>
        <v>-12</v>
      </c>
      <c r="BI238" s="954">
        <v>0</v>
      </c>
      <c r="BJ238" s="608">
        <v>0</v>
      </c>
      <c r="BK238" s="608">
        <v>0</v>
      </c>
      <c r="BL238" s="960">
        <v>0</v>
      </c>
      <c r="BM238" s="153">
        <f t="shared" si="314"/>
        <v>0</v>
      </c>
      <c r="BN238" s="954">
        <v>0</v>
      </c>
      <c r="BO238" s="639">
        <f>-25-BN238</f>
        <v>-25</v>
      </c>
      <c r="BP238" s="608">
        <f>-25-BO238-BN238</f>
        <v>0</v>
      </c>
      <c r="BQ238" s="960">
        <f>-25-BP238-BO238-BN238</f>
        <v>0</v>
      </c>
      <c r="BR238" s="153">
        <f t="shared" si="315"/>
        <v>-25</v>
      </c>
      <c r="BS238" s="954">
        <v>0</v>
      </c>
      <c r="BT238" s="608">
        <v>0</v>
      </c>
      <c r="BU238" s="608">
        <v>0</v>
      </c>
      <c r="BV238" s="960">
        <v>0</v>
      </c>
      <c r="BW238" s="153">
        <f t="shared" si="316"/>
        <v>0</v>
      </c>
      <c r="BX238" s="1090">
        <v>0</v>
      </c>
      <c r="BY238" s="863">
        <v>0</v>
      </c>
      <c r="BZ238" s="863">
        <v>0</v>
      </c>
      <c r="CA238" s="1518">
        <v>0</v>
      </c>
      <c r="CB238" s="153">
        <f t="shared" si="317"/>
        <v>0</v>
      </c>
      <c r="CC238" s="954">
        <v>0</v>
      </c>
      <c r="CD238" s="608">
        <v>0</v>
      </c>
      <c r="CE238" s="608">
        <v>0</v>
      </c>
      <c r="CF238" s="960">
        <v>0</v>
      </c>
      <c r="CG238" s="153">
        <f t="shared" si="318"/>
        <v>0</v>
      </c>
      <c r="CH238" s="954">
        <v>0</v>
      </c>
      <c r="CI238" s="608">
        <v>0</v>
      </c>
      <c r="CJ238" s="608">
        <v>0</v>
      </c>
      <c r="CK238" s="960">
        <v>0</v>
      </c>
      <c r="CL238" s="153">
        <f t="shared" si="319"/>
        <v>0</v>
      </c>
      <c r="CM238" s="954">
        <v>0</v>
      </c>
      <c r="CN238" s="608">
        <v>0</v>
      </c>
      <c r="CO238" s="608">
        <v>0</v>
      </c>
      <c r="CP238" s="960">
        <v>0</v>
      </c>
      <c r="CQ238" s="915">
        <f t="shared" si="320"/>
        <v>0</v>
      </c>
      <c r="CR238" s="75"/>
    </row>
    <row r="239" spans="1:96" ht="13.5" customHeight="1">
      <c r="A239" s="75"/>
      <c r="B239" s="81" t="s">
        <v>860</v>
      </c>
      <c r="C239" s="81"/>
      <c r="D239" s="75"/>
      <c r="E239" s="75"/>
      <c r="F239" s="608">
        <v>12</v>
      </c>
      <c r="G239" s="627">
        <f>71+34-F239</f>
        <v>93</v>
      </c>
      <c r="H239" s="627">
        <f>76-G239-F239</f>
        <v>-29</v>
      </c>
      <c r="I239" s="153">
        <f>J239-F239-G239-H239</f>
        <v>18</v>
      </c>
      <c r="J239" s="608">
        <v>94</v>
      </c>
      <c r="K239" s="608">
        <v>87</v>
      </c>
      <c r="L239" s="627">
        <f>85+7-K239</f>
        <v>5</v>
      </c>
      <c r="M239" s="627">
        <f>87-L239-K239</f>
        <v>-5</v>
      </c>
      <c r="N239" s="153">
        <f>O239-SUM(K239:M239)</f>
        <v>15</v>
      </c>
      <c r="O239" s="627">
        <f>95+7</f>
        <v>102</v>
      </c>
      <c r="P239" s="608">
        <v>3</v>
      </c>
      <c r="Q239" s="608">
        <f>10-P239</f>
        <v>7</v>
      </c>
      <c r="R239" s="608">
        <f>25-Q239-P239</f>
        <v>15</v>
      </c>
      <c r="S239" s="153">
        <f>T239-SUM(P239:R239)</f>
        <v>6</v>
      </c>
      <c r="T239" s="608">
        <v>31</v>
      </c>
      <c r="U239" s="608">
        <v>4</v>
      </c>
      <c r="V239" s="608">
        <f>6-U239</f>
        <v>2</v>
      </c>
      <c r="W239" s="608">
        <f>6-V239-U239</f>
        <v>0</v>
      </c>
      <c r="X239" s="153">
        <f>Y239-SUM(U239:W239)</f>
        <v>20</v>
      </c>
      <c r="Y239" s="608">
        <f>26</f>
        <v>26</v>
      </c>
      <c r="Z239" s="608">
        <v>5</v>
      </c>
      <c r="AA239" s="608">
        <f>18-Z239</f>
        <v>13</v>
      </c>
      <c r="AB239" s="608">
        <f>27-AA239-Z239</f>
        <v>9</v>
      </c>
      <c r="AC239" s="153">
        <f>AD239-SUM(Z239:AB239)</f>
        <v>15</v>
      </c>
      <c r="AD239" s="608">
        <v>42</v>
      </c>
      <c r="AE239" s="608">
        <v>4</v>
      </c>
      <c r="AF239" s="608">
        <f>7-AE239</f>
        <v>3</v>
      </c>
      <c r="AG239" s="608">
        <f>19-AF239-AE239</f>
        <v>12</v>
      </c>
      <c r="AH239" s="153">
        <f>AI239-SUM(AE239:AG239)</f>
        <v>5</v>
      </c>
      <c r="AI239" s="608">
        <v>24</v>
      </c>
      <c r="AJ239" s="954">
        <v>303</v>
      </c>
      <c r="AK239" s="608">
        <f>339-AJ239</f>
        <v>36</v>
      </c>
      <c r="AL239" s="608">
        <f>340-AK239-AJ239</f>
        <v>1</v>
      </c>
      <c r="AM239" s="915">
        <f t="shared" si="310"/>
        <v>26</v>
      </c>
      <c r="AN239" s="608">
        <v>366</v>
      </c>
      <c r="AO239" s="954">
        <v>65</v>
      </c>
      <c r="AP239" s="608">
        <f>80-AO239</f>
        <v>15</v>
      </c>
      <c r="AQ239" s="608">
        <f>103-AP239-AO239</f>
        <v>23</v>
      </c>
      <c r="AR239" s="915">
        <f>AS239-SUM(AO239:AQ239)</f>
        <v>66</v>
      </c>
      <c r="AS239" s="608">
        <v>169</v>
      </c>
      <c r="AT239" s="954">
        <v>12</v>
      </c>
      <c r="AU239" s="608">
        <f>16-AT239</f>
        <v>4</v>
      </c>
      <c r="AV239" s="608">
        <f>16-AU239-AT239</f>
        <v>0</v>
      </c>
      <c r="AW239" s="915">
        <f t="shared" si="311"/>
        <v>25</v>
      </c>
      <c r="AX239" s="608">
        <v>41</v>
      </c>
      <c r="AY239" s="954">
        <v>131</v>
      </c>
      <c r="AZ239" s="608">
        <f>133-AY239</f>
        <v>2</v>
      </c>
      <c r="BA239" s="608">
        <f>141-AZ239-AY239</f>
        <v>8</v>
      </c>
      <c r="BB239" s="915">
        <f t="shared" si="312"/>
        <v>14</v>
      </c>
      <c r="BC239" s="608">
        <v>155</v>
      </c>
      <c r="BD239" s="954">
        <v>0</v>
      </c>
      <c r="BE239" s="608">
        <f>1-BD239</f>
        <v>1</v>
      </c>
      <c r="BF239" s="608">
        <f>0-BE239-BD239</f>
        <v>-1</v>
      </c>
      <c r="BG239" s="960">
        <f>3-SUM(BD239:BF239)</f>
        <v>3</v>
      </c>
      <c r="BH239" s="153">
        <f t="shared" si="313"/>
        <v>3</v>
      </c>
      <c r="BI239" s="954">
        <v>19</v>
      </c>
      <c r="BJ239" s="608">
        <f>26-BI239</f>
        <v>7</v>
      </c>
      <c r="BK239" s="608">
        <f>28-SUM(BI239:BJ239)</f>
        <v>2</v>
      </c>
      <c r="BL239" s="960">
        <f>29-SUM(BI239:BK239)</f>
        <v>1</v>
      </c>
      <c r="BM239" s="153">
        <f t="shared" si="314"/>
        <v>29</v>
      </c>
      <c r="BN239" s="954">
        <v>0</v>
      </c>
      <c r="BO239" s="639">
        <f>1-BN239</f>
        <v>1</v>
      </c>
      <c r="BP239" s="608">
        <f>2-BO239-BN239</f>
        <v>1</v>
      </c>
      <c r="BQ239" s="960">
        <f>4-BP239-BO239-BN239</f>
        <v>2</v>
      </c>
      <c r="BR239" s="153">
        <f t="shared" si="315"/>
        <v>4</v>
      </c>
      <c r="BS239" s="954">
        <v>0</v>
      </c>
      <c r="BT239" s="608">
        <f>1-BS239</f>
        <v>1</v>
      </c>
      <c r="BU239" s="608">
        <f>6-SUM(BS239:BT239)</f>
        <v>5</v>
      </c>
      <c r="BV239" s="960">
        <f>12-SUM(BS239:BU239)</f>
        <v>6</v>
      </c>
      <c r="BW239" s="153">
        <f t="shared" si="316"/>
        <v>12</v>
      </c>
      <c r="BX239" s="1090">
        <v>0</v>
      </c>
      <c r="BY239" s="863">
        <v>0</v>
      </c>
      <c r="BZ239" s="863">
        <f>105-BY239-BX239</f>
        <v>105</v>
      </c>
      <c r="CA239" s="1518">
        <f>116+5-SUM(BX239:BZ239)</f>
        <v>16</v>
      </c>
      <c r="CB239" s="153">
        <f t="shared" si="317"/>
        <v>121</v>
      </c>
      <c r="CC239" s="954">
        <v>0</v>
      </c>
      <c r="CD239" s="608">
        <v>0</v>
      </c>
      <c r="CE239" s="608">
        <v>0</v>
      </c>
      <c r="CF239" s="960">
        <v>0</v>
      </c>
      <c r="CG239" s="153">
        <f t="shared" si="318"/>
        <v>0</v>
      </c>
      <c r="CH239" s="954">
        <v>0</v>
      </c>
      <c r="CI239" s="608">
        <v>0</v>
      </c>
      <c r="CJ239" s="608">
        <v>0</v>
      </c>
      <c r="CK239" s="960">
        <v>0</v>
      </c>
      <c r="CL239" s="153">
        <f t="shared" si="319"/>
        <v>0</v>
      </c>
      <c r="CM239" s="954">
        <v>0</v>
      </c>
      <c r="CN239" s="608">
        <v>0</v>
      </c>
      <c r="CO239" s="608">
        <v>0</v>
      </c>
      <c r="CP239" s="960">
        <v>0</v>
      </c>
      <c r="CQ239" s="915">
        <f t="shared" si="320"/>
        <v>0</v>
      </c>
      <c r="CR239" s="75"/>
    </row>
    <row r="240" spans="1:96" ht="13.5" customHeight="1">
      <c r="A240" s="75"/>
      <c r="B240" s="81" t="s">
        <v>861</v>
      </c>
      <c r="C240" s="81"/>
      <c r="D240" s="75"/>
      <c r="E240" s="75"/>
      <c r="F240" s="608">
        <v>-1</v>
      </c>
      <c r="G240" s="627">
        <f>-4-F240</f>
        <v>-3</v>
      </c>
      <c r="H240" s="627">
        <f>-4+1-G240-F240</f>
        <v>1</v>
      </c>
      <c r="I240" s="153">
        <f>J240-F240-G240-H240</f>
        <v>-2</v>
      </c>
      <c r="J240" s="608">
        <v>-5</v>
      </c>
      <c r="K240" s="608">
        <v>0</v>
      </c>
      <c r="L240" s="608">
        <v>0</v>
      </c>
      <c r="M240" s="608">
        <v>0</v>
      </c>
      <c r="N240" s="153">
        <f>O240-SUM(K240:M240)</f>
        <v>-1</v>
      </c>
      <c r="O240" s="627">
        <v>-1</v>
      </c>
      <c r="P240" s="608">
        <v>0</v>
      </c>
      <c r="Q240" s="608">
        <v>0</v>
      </c>
      <c r="R240" s="608">
        <v>0</v>
      </c>
      <c r="S240" s="153">
        <f>T240-SUM(P240:R240)</f>
        <v>-9</v>
      </c>
      <c r="T240" s="608">
        <v>-9</v>
      </c>
      <c r="U240" s="608">
        <v>0</v>
      </c>
      <c r="V240" s="608">
        <v>0</v>
      </c>
      <c r="W240" s="608">
        <v>0</v>
      </c>
      <c r="X240" s="608">
        <v>0</v>
      </c>
      <c r="Y240" s="153">
        <f>SUM(U240:X240)</f>
        <v>0</v>
      </c>
      <c r="Z240" s="608">
        <v>0</v>
      </c>
      <c r="AA240" s="608">
        <v>0</v>
      </c>
      <c r="AB240" s="608">
        <v>0</v>
      </c>
      <c r="AC240" s="153">
        <f>AD240-SUM(Z240:AB240)</f>
        <v>0</v>
      </c>
      <c r="AD240" s="608">
        <v>0</v>
      </c>
      <c r="AE240" s="608">
        <v>-19</v>
      </c>
      <c r="AF240" s="608">
        <v>0</v>
      </c>
      <c r="AG240" s="608">
        <v>0</v>
      </c>
      <c r="AH240" s="153">
        <f>AI240-SUM(AE240:AG240)</f>
        <v>0</v>
      </c>
      <c r="AI240" s="608">
        <v>-19</v>
      </c>
      <c r="AJ240" s="954">
        <v>-22</v>
      </c>
      <c r="AK240" s="608">
        <f>-55-AJ240</f>
        <v>-33</v>
      </c>
      <c r="AL240" s="608">
        <f>-42-AK240-AJ240</f>
        <v>13</v>
      </c>
      <c r="AM240" s="915">
        <f t="shared" si="310"/>
        <v>42</v>
      </c>
      <c r="AN240" s="608">
        <v>0</v>
      </c>
      <c r="AO240" s="954">
        <v>-10</v>
      </c>
      <c r="AP240" s="608">
        <f>-15-AO240</f>
        <v>-5</v>
      </c>
      <c r="AQ240" s="608">
        <f>-29-AP240-AO240</f>
        <v>-14</v>
      </c>
      <c r="AR240" s="915">
        <f>AS240-SUM(AO240:AQ240)</f>
        <v>-47</v>
      </c>
      <c r="AS240" s="608">
        <f>-76</f>
        <v>-76</v>
      </c>
      <c r="AT240" s="954">
        <v>-6</v>
      </c>
      <c r="AU240" s="608">
        <f>-16-AT240</f>
        <v>-10</v>
      </c>
      <c r="AV240" s="608">
        <f>-22-AU240-AT240</f>
        <v>-6</v>
      </c>
      <c r="AW240" s="915">
        <f t="shared" si="311"/>
        <v>22</v>
      </c>
      <c r="AX240" s="608">
        <v>0</v>
      </c>
      <c r="AY240" s="954">
        <v>0</v>
      </c>
      <c r="AZ240" s="608">
        <v>0</v>
      </c>
      <c r="BA240" s="608">
        <f>-4-AZ240-AY240</f>
        <v>-4</v>
      </c>
      <c r="BB240" s="915">
        <f t="shared" si="312"/>
        <v>-9</v>
      </c>
      <c r="BC240" s="608">
        <v>-13</v>
      </c>
      <c r="BD240" s="954">
        <v>0</v>
      </c>
      <c r="BE240" s="608">
        <v>0</v>
      </c>
      <c r="BF240" s="608">
        <v>0</v>
      </c>
      <c r="BG240" s="960">
        <v>0</v>
      </c>
      <c r="BH240" s="153">
        <f t="shared" si="313"/>
        <v>0</v>
      </c>
      <c r="BI240" s="954">
        <v>-1</v>
      </c>
      <c r="BJ240" s="608">
        <f>-2-BI240</f>
        <v>-1</v>
      </c>
      <c r="BK240" s="639">
        <f>-3-SUM(BI240:BJ240)</f>
        <v>-1</v>
      </c>
      <c r="BL240" s="1034">
        <f>-5-SUM(BI240:BK240)</f>
        <v>-2</v>
      </c>
      <c r="BM240" s="153">
        <f t="shared" si="314"/>
        <v>-5</v>
      </c>
      <c r="BN240" s="954">
        <v>-1</v>
      </c>
      <c r="BO240" s="170">
        <f>-BN240</f>
        <v>1</v>
      </c>
      <c r="BP240" s="608">
        <f>0-BO240-BN240</f>
        <v>0</v>
      </c>
      <c r="BQ240" s="960">
        <f>0-BP240-BO240-BN240</f>
        <v>0</v>
      </c>
      <c r="BR240" s="153">
        <f t="shared" si="315"/>
        <v>0</v>
      </c>
      <c r="BS240" s="954">
        <v>0</v>
      </c>
      <c r="BT240" s="608">
        <v>0</v>
      </c>
      <c r="BU240" s="608">
        <v>0</v>
      </c>
      <c r="BV240" s="960">
        <v>0</v>
      </c>
      <c r="BW240" s="153">
        <f t="shared" si="316"/>
        <v>0</v>
      </c>
      <c r="BX240" s="1090">
        <v>0</v>
      </c>
      <c r="BY240" s="863">
        <v>0</v>
      </c>
      <c r="BZ240" s="863">
        <v>0</v>
      </c>
      <c r="CA240" s="1518">
        <v>0</v>
      </c>
      <c r="CB240" s="153">
        <f t="shared" si="317"/>
        <v>0</v>
      </c>
      <c r="CC240" s="954">
        <v>0</v>
      </c>
      <c r="CD240" s="608">
        <v>0</v>
      </c>
      <c r="CE240" s="608">
        <v>0</v>
      </c>
      <c r="CF240" s="960">
        <v>0</v>
      </c>
      <c r="CG240" s="153">
        <f t="shared" si="318"/>
        <v>0</v>
      </c>
      <c r="CH240" s="954">
        <v>0</v>
      </c>
      <c r="CI240" s="608">
        <v>0</v>
      </c>
      <c r="CJ240" s="608">
        <v>0</v>
      </c>
      <c r="CK240" s="960">
        <v>0</v>
      </c>
      <c r="CL240" s="153">
        <f t="shared" si="319"/>
        <v>0</v>
      </c>
      <c r="CM240" s="954">
        <v>0</v>
      </c>
      <c r="CN240" s="608">
        <v>0</v>
      </c>
      <c r="CO240" s="608">
        <v>0</v>
      </c>
      <c r="CP240" s="960">
        <v>0</v>
      </c>
      <c r="CQ240" s="915">
        <f t="shared" si="320"/>
        <v>0</v>
      </c>
      <c r="CR240" s="75"/>
    </row>
    <row r="241" spans="1:96" ht="13.5" customHeight="1">
      <c r="A241" s="75"/>
      <c r="B241" s="81" t="s">
        <v>862</v>
      </c>
      <c r="C241" s="81"/>
      <c r="D241" s="75"/>
      <c r="E241" s="75"/>
      <c r="F241" s="608">
        <v>-23</v>
      </c>
      <c r="G241" s="627">
        <f>41-66-F241</f>
        <v>-2</v>
      </c>
      <c r="H241" s="627">
        <f>34+42-93-G241-F241</f>
        <v>8</v>
      </c>
      <c r="I241" s="153">
        <f>J241-F241-G241-H241</f>
        <v>19</v>
      </c>
      <c r="J241" s="627">
        <f>34+51-83</f>
        <v>2</v>
      </c>
      <c r="K241" s="627">
        <f>1-4</f>
        <v>-3</v>
      </c>
      <c r="L241" s="627">
        <f>5-13-K241</f>
        <v>-5</v>
      </c>
      <c r="M241" s="627">
        <f>-1-1+7-L241-K241</f>
        <v>13</v>
      </c>
      <c r="N241" s="153">
        <f>O241-SUM(K241:M241)</f>
        <v>-11</v>
      </c>
      <c r="O241" s="627">
        <f>-12+6</f>
        <v>-6</v>
      </c>
      <c r="P241" s="608">
        <v>-1</v>
      </c>
      <c r="Q241" s="608">
        <f>(-6+1)-P241</f>
        <v>-4</v>
      </c>
      <c r="R241" s="608">
        <f>7+4-Q241-P241</f>
        <v>16</v>
      </c>
      <c r="S241" s="153">
        <f>T241-SUM(P241:R241)</f>
        <v>0</v>
      </c>
      <c r="T241" s="608">
        <f>7+4</f>
        <v>11</v>
      </c>
      <c r="U241" s="608">
        <v>4</v>
      </c>
      <c r="V241" s="608">
        <f>0-U241</f>
        <v>-4</v>
      </c>
      <c r="W241" s="608">
        <f>6-V241-U241</f>
        <v>6</v>
      </c>
      <c r="X241" s="608">
        <f>-4-W241-V241-U241</f>
        <v>-10</v>
      </c>
      <c r="Y241" s="153">
        <f>SUM(U241:X241)</f>
        <v>-4</v>
      </c>
      <c r="Z241" s="608">
        <f>-4</f>
        <v>-4</v>
      </c>
      <c r="AA241" s="608">
        <f>-1-Z241</f>
        <v>3</v>
      </c>
      <c r="AB241" s="608">
        <f>2-AA241-Z241</f>
        <v>3</v>
      </c>
      <c r="AC241" s="153">
        <f>AD241-SUM(Z241:AB241)</f>
        <v>21</v>
      </c>
      <c r="AD241" s="608">
        <v>23</v>
      </c>
      <c r="AE241" s="608">
        <v>-4</v>
      </c>
      <c r="AF241" s="608">
        <f>-16-AE241-AF240-AE240</f>
        <v>7</v>
      </c>
      <c r="AG241" s="608">
        <f>-14-AF241-AE241-AE240-AF240-AG240</f>
        <v>2</v>
      </c>
      <c r="AH241" s="153">
        <f>AI241-SUM(AE241:AG241)</f>
        <v>-5</v>
      </c>
      <c r="AI241" s="608">
        <v>0</v>
      </c>
      <c r="AJ241" s="954">
        <v>-2</v>
      </c>
      <c r="AK241" s="608">
        <f>0-AJ241</f>
        <v>2</v>
      </c>
      <c r="AL241" s="608">
        <f>-59-AK241-AJ241</f>
        <v>-59</v>
      </c>
      <c r="AM241" s="915">
        <f t="shared" si="310"/>
        <v>-38</v>
      </c>
      <c r="AN241" s="608">
        <f>-97</f>
        <v>-97</v>
      </c>
      <c r="AO241" s="954">
        <v>6</v>
      </c>
      <c r="AP241" s="608">
        <f>-8-AO241</f>
        <v>-14</v>
      </c>
      <c r="AQ241" s="608">
        <f>-6-AP241-AO241</f>
        <v>2</v>
      </c>
      <c r="AR241" s="915">
        <f>AS241-SUM(AO241:AQ241)</f>
        <v>6</v>
      </c>
      <c r="AS241" s="608">
        <v>0</v>
      </c>
      <c r="AT241" s="954">
        <v>2</v>
      </c>
      <c r="AU241" s="608">
        <f>22-AT241</f>
        <v>20</v>
      </c>
      <c r="AV241" s="608">
        <f>21-AU241-AT241</f>
        <v>-1</v>
      </c>
      <c r="AW241" s="915">
        <f t="shared" si="311"/>
        <v>-27</v>
      </c>
      <c r="AX241" s="608">
        <f>-41+35</f>
        <v>-6</v>
      </c>
      <c r="AY241" s="954">
        <v>2</v>
      </c>
      <c r="AZ241" s="608">
        <f>9-AY241</f>
        <v>7</v>
      </c>
      <c r="BA241" s="608">
        <f>-67-AZ241-AY241</f>
        <v>-76</v>
      </c>
      <c r="BB241" s="915">
        <f t="shared" si="312"/>
        <v>46</v>
      </c>
      <c r="BC241" s="608">
        <v>-21</v>
      </c>
      <c r="BD241" s="954">
        <f>27-3</f>
        <v>24</v>
      </c>
      <c r="BE241" s="608">
        <f>28-BD241</f>
        <v>4</v>
      </c>
      <c r="BF241" s="608">
        <f>39-8-BE241-BD241</f>
        <v>3</v>
      </c>
      <c r="BG241" s="960">
        <f>93-SUM(BD241:BF241)</f>
        <v>62</v>
      </c>
      <c r="BH241" s="153">
        <f t="shared" si="313"/>
        <v>93</v>
      </c>
      <c r="BI241" s="954">
        <v>6</v>
      </c>
      <c r="BJ241" s="608">
        <f>15-BI241</f>
        <v>9</v>
      </c>
      <c r="BK241" s="639">
        <f>23-SUM(BI241:BJ241)</f>
        <v>8</v>
      </c>
      <c r="BL241" s="1034">
        <f>29-SUM(BI241:BK241)</f>
        <v>6</v>
      </c>
      <c r="BM241" s="153">
        <f t="shared" si="314"/>
        <v>29</v>
      </c>
      <c r="BN241" s="954">
        <v>2</v>
      </c>
      <c r="BO241" s="639">
        <f>7-2-BN241</f>
        <v>3</v>
      </c>
      <c r="BP241" s="608">
        <f>8-2-BO241-BN241</f>
        <v>1</v>
      </c>
      <c r="BQ241" s="960">
        <f>-2+13-SUM(BN241:BP241)</f>
        <v>5</v>
      </c>
      <c r="BR241" s="153">
        <f t="shared" si="315"/>
        <v>11</v>
      </c>
      <c r="BS241" s="954">
        <v>-4</v>
      </c>
      <c r="BT241" s="608">
        <f>-18-BS241</f>
        <v>-14</v>
      </c>
      <c r="BU241" s="608">
        <f>-20-SUM(BS241:BT241)</f>
        <v>-2</v>
      </c>
      <c r="BV241" s="960">
        <f>-24-SUM(BS241:BU241)</f>
        <v>-4</v>
      </c>
      <c r="BW241" s="153">
        <f t="shared" si="316"/>
        <v>-24</v>
      </c>
      <c r="BX241" s="1090">
        <v>-4</v>
      </c>
      <c r="BY241" s="863">
        <f>-2-BX241</f>
        <v>2</v>
      </c>
      <c r="BZ241" s="863">
        <f>-4-BY241-BX241</f>
        <v>-2</v>
      </c>
      <c r="CA241" s="1518">
        <f>-5-SUM(BX241:BZ241)</f>
        <v>-1</v>
      </c>
      <c r="CB241" s="153">
        <f t="shared" si="317"/>
        <v>-5</v>
      </c>
      <c r="CC241" s="954">
        <v>0</v>
      </c>
      <c r="CD241" s="608">
        <v>0</v>
      </c>
      <c r="CE241" s="608">
        <v>0</v>
      </c>
      <c r="CF241" s="960">
        <v>0</v>
      </c>
      <c r="CG241" s="153">
        <f t="shared" si="318"/>
        <v>0</v>
      </c>
      <c r="CH241" s="954">
        <v>0</v>
      </c>
      <c r="CI241" s="608">
        <v>0</v>
      </c>
      <c r="CJ241" s="608">
        <v>0</v>
      </c>
      <c r="CK241" s="960">
        <v>0</v>
      </c>
      <c r="CL241" s="153">
        <f t="shared" si="319"/>
        <v>0</v>
      </c>
      <c r="CM241" s="954">
        <v>0</v>
      </c>
      <c r="CN241" s="608">
        <v>0</v>
      </c>
      <c r="CO241" s="608">
        <v>0</v>
      </c>
      <c r="CP241" s="960">
        <v>0</v>
      </c>
      <c r="CQ241" s="915">
        <f t="shared" si="320"/>
        <v>0</v>
      </c>
      <c r="CR241" s="75"/>
    </row>
    <row r="242" spans="1:96" ht="6.2" customHeight="1">
      <c r="A242" s="75"/>
      <c r="B242" s="75"/>
      <c r="C242" s="81"/>
      <c r="D242" s="75"/>
      <c r="E242" s="75"/>
      <c r="F242" s="234"/>
      <c r="G242" s="234"/>
      <c r="H242" s="234"/>
      <c r="I242" s="234"/>
      <c r="J242" s="234"/>
      <c r="K242" s="234"/>
      <c r="L242" s="234"/>
      <c r="M242" s="234"/>
      <c r="N242" s="234"/>
      <c r="O242" s="234"/>
      <c r="P242" s="234"/>
      <c r="Q242" s="234"/>
      <c r="R242" s="234"/>
      <c r="S242" s="234"/>
      <c r="T242" s="234"/>
      <c r="U242" s="234"/>
      <c r="V242" s="234"/>
      <c r="W242" s="234"/>
      <c r="X242" s="234"/>
      <c r="Y242" s="234"/>
      <c r="Z242" s="234"/>
      <c r="AA242" s="234"/>
      <c r="AB242" s="234"/>
      <c r="AC242" s="234"/>
      <c r="AD242" s="234"/>
      <c r="AE242" s="234"/>
      <c r="AF242" s="234"/>
      <c r="AG242" s="234"/>
      <c r="AH242" s="234"/>
      <c r="AI242" s="234"/>
      <c r="AJ242" s="1209"/>
      <c r="AK242" s="234"/>
      <c r="AL242" s="234"/>
      <c r="AM242" s="1210"/>
      <c r="AN242" s="234"/>
      <c r="AO242" s="1209"/>
      <c r="AP242" s="234"/>
      <c r="AQ242" s="234"/>
      <c r="AR242" s="1210"/>
      <c r="AS242" s="234"/>
      <c r="AT242" s="1209"/>
      <c r="AU242" s="234"/>
      <c r="AV242" s="234"/>
      <c r="AW242" s="1210"/>
      <c r="AX242" s="234"/>
      <c r="AY242" s="1209"/>
      <c r="AZ242" s="234"/>
      <c r="BA242" s="234"/>
      <c r="BB242" s="1210"/>
      <c r="BC242" s="234"/>
      <c r="BD242" s="1209"/>
      <c r="BE242" s="234"/>
      <c r="BF242" s="234"/>
      <c r="BG242" s="1210"/>
      <c r="BH242" s="234"/>
      <c r="BI242" s="1209"/>
      <c r="BJ242" s="234"/>
      <c r="BK242" s="234"/>
      <c r="BL242" s="1210"/>
      <c r="BM242" s="234"/>
      <c r="BN242" s="1209"/>
      <c r="BO242" s="234"/>
      <c r="BP242" s="234"/>
      <c r="BQ242" s="1210"/>
      <c r="BR242" s="234"/>
      <c r="BS242" s="1209"/>
      <c r="BT242" s="234"/>
      <c r="BU242" s="234"/>
      <c r="BV242" s="1210"/>
      <c r="BW242" s="234"/>
      <c r="BX242" s="1209"/>
      <c r="BY242" s="234"/>
      <c r="BZ242" s="234"/>
      <c r="CA242" s="1210"/>
      <c r="CB242" s="234"/>
      <c r="CC242" s="1209"/>
      <c r="CD242" s="234"/>
      <c r="CE242" s="234"/>
      <c r="CF242" s="1210"/>
      <c r="CG242" s="234"/>
      <c r="CH242" s="1209"/>
      <c r="CI242" s="234"/>
      <c r="CJ242" s="234"/>
      <c r="CK242" s="1210"/>
      <c r="CL242" s="234"/>
      <c r="CM242" s="1209"/>
      <c r="CN242" s="234"/>
      <c r="CO242" s="234"/>
      <c r="CP242" s="1210"/>
      <c r="CQ242" s="1210"/>
      <c r="CR242" s="75"/>
    </row>
    <row r="243" spans="1:96" ht="13.5" customHeight="1">
      <c r="A243" s="75"/>
      <c r="B243" s="75"/>
      <c r="C243" s="93" t="s">
        <v>863</v>
      </c>
      <c r="D243" s="75"/>
      <c r="E243" s="75"/>
      <c r="F243" s="238">
        <f t="shared" ref="F243:AK243" si="321">SUM(F236:F241)</f>
        <v>-75</v>
      </c>
      <c r="G243" s="238">
        <f t="shared" si="321"/>
        <v>-853</v>
      </c>
      <c r="H243" s="238">
        <f t="shared" si="321"/>
        <v>-137</v>
      </c>
      <c r="I243" s="238">
        <f t="shared" si="321"/>
        <v>-65</v>
      </c>
      <c r="J243" s="238">
        <f t="shared" si="321"/>
        <v>-1130</v>
      </c>
      <c r="K243" s="238">
        <f t="shared" si="321"/>
        <v>14</v>
      </c>
      <c r="L243" s="238">
        <f t="shared" si="321"/>
        <v>-95</v>
      </c>
      <c r="M243" s="238">
        <f t="shared" si="321"/>
        <v>-194</v>
      </c>
      <c r="N243" s="238">
        <f t="shared" si="321"/>
        <v>-209</v>
      </c>
      <c r="O243" s="238">
        <f t="shared" si="321"/>
        <v>-484</v>
      </c>
      <c r="P243" s="238">
        <f t="shared" si="321"/>
        <v>-120</v>
      </c>
      <c r="Q243" s="238">
        <f t="shared" si="321"/>
        <v>-154</v>
      </c>
      <c r="R243" s="238">
        <f t="shared" si="321"/>
        <v>-163</v>
      </c>
      <c r="S243" s="238">
        <f t="shared" si="321"/>
        <v>-271</v>
      </c>
      <c r="T243" s="238">
        <f t="shared" si="321"/>
        <v>-708</v>
      </c>
      <c r="U243" s="238">
        <f t="shared" si="321"/>
        <v>-119</v>
      </c>
      <c r="V243" s="238">
        <f t="shared" si="321"/>
        <v>-126</v>
      </c>
      <c r="W243" s="238">
        <f t="shared" si="321"/>
        <v>-140</v>
      </c>
      <c r="X243" s="238">
        <f t="shared" si="321"/>
        <v>-205</v>
      </c>
      <c r="Y243" s="238">
        <f t="shared" si="321"/>
        <v>-590</v>
      </c>
      <c r="Z243" s="238">
        <f t="shared" si="321"/>
        <v>-107</v>
      </c>
      <c r="AA243" s="238">
        <f t="shared" si="321"/>
        <v>-2116</v>
      </c>
      <c r="AB243" s="238">
        <f t="shared" si="321"/>
        <v>-198</v>
      </c>
      <c r="AC243" s="238">
        <f t="shared" si="321"/>
        <v>-2215</v>
      </c>
      <c r="AD243" s="238">
        <f t="shared" si="321"/>
        <v>-4636</v>
      </c>
      <c r="AE243" s="238">
        <f t="shared" si="321"/>
        <v>-147</v>
      </c>
      <c r="AF243" s="238">
        <f t="shared" si="321"/>
        <v>-203</v>
      </c>
      <c r="AG243" s="238">
        <f t="shared" si="321"/>
        <v>-315</v>
      </c>
      <c r="AH243" s="238">
        <f t="shared" si="321"/>
        <v>-367</v>
      </c>
      <c r="AI243" s="238">
        <f t="shared" si="321"/>
        <v>-1032</v>
      </c>
      <c r="AJ243" s="1211">
        <f t="shared" si="321"/>
        <v>116</v>
      </c>
      <c r="AK243" s="1212">
        <f t="shared" si="321"/>
        <v>-131</v>
      </c>
      <c r="AL243" s="1212">
        <f t="shared" ref="AL243:BQ243" si="322">SUM(AL236:AL241)</f>
        <v>-195</v>
      </c>
      <c r="AM243" s="1213">
        <f t="shared" si="322"/>
        <v>-164</v>
      </c>
      <c r="AN243" s="238">
        <f t="shared" si="322"/>
        <v>-374</v>
      </c>
      <c r="AO243" s="1211">
        <f t="shared" si="322"/>
        <v>-64</v>
      </c>
      <c r="AP243" s="1212">
        <f t="shared" si="322"/>
        <v>-121</v>
      </c>
      <c r="AQ243" s="1212">
        <f t="shared" si="322"/>
        <v>-173</v>
      </c>
      <c r="AR243" s="1213">
        <f t="shared" si="322"/>
        <v>-225</v>
      </c>
      <c r="AS243" s="238">
        <f t="shared" si="322"/>
        <v>-583</v>
      </c>
      <c r="AT243" s="1211">
        <f t="shared" si="322"/>
        <v>-172</v>
      </c>
      <c r="AU243" s="1212">
        <f t="shared" si="322"/>
        <v>-207</v>
      </c>
      <c r="AV243" s="1212">
        <f t="shared" si="322"/>
        <v>-232</v>
      </c>
      <c r="AW243" s="1213">
        <f t="shared" si="322"/>
        <v>-202</v>
      </c>
      <c r="AX243" s="238">
        <f t="shared" si="322"/>
        <v>-813</v>
      </c>
      <c r="AY243" s="1211">
        <f t="shared" si="322"/>
        <v>-56</v>
      </c>
      <c r="AZ243" s="1212">
        <f t="shared" si="322"/>
        <v>-199</v>
      </c>
      <c r="BA243" s="1212">
        <f t="shared" si="322"/>
        <v>-211</v>
      </c>
      <c r="BB243" s="1213">
        <f t="shared" si="322"/>
        <v>-136</v>
      </c>
      <c r="BC243" s="238">
        <f t="shared" si="322"/>
        <v>-602</v>
      </c>
      <c r="BD243" s="1211">
        <f t="shared" si="322"/>
        <v>-92</v>
      </c>
      <c r="BE243" s="1212">
        <f t="shared" si="322"/>
        <v>-112</v>
      </c>
      <c r="BF243" s="1212">
        <f t="shared" si="322"/>
        <v>-105</v>
      </c>
      <c r="BG243" s="1213">
        <f t="shared" si="322"/>
        <v>-84</v>
      </c>
      <c r="BH243" s="238">
        <f t="shared" si="322"/>
        <v>-393</v>
      </c>
      <c r="BI243" s="1211">
        <f t="shared" si="322"/>
        <v>-66</v>
      </c>
      <c r="BJ243" s="1212">
        <f t="shared" si="322"/>
        <v>-81</v>
      </c>
      <c r="BK243" s="1212">
        <f t="shared" si="322"/>
        <v>-87</v>
      </c>
      <c r="BL243" s="1213">
        <f t="shared" si="322"/>
        <v>-132</v>
      </c>
      <c r="BM243" s="238">
        <f t="shared" si="322"/>
        <v>-366</v>
      </c>
      <c r="BN243" s="1211">
        <f t="shared" si="322"/>
        <v>-171</v>
      </c>
      <c r="BO243" s="1212">
        <f t="shared" si="322"/>
        <v>-124</v>
      </c>
      <c r="BP243" s="1212">
        <f t="shared" si="322"/>
        <v>-131</v>
      </c>
      <c r="BQ243" s="1213">
        <f t="shared" si="322"/>
        <v>-84</v>
      </c>
      <c r="BR243" s="238">
        <f t="shared" ref="BR243:CQ243" si="323">SUM(BR236:BR241)</f>
        <v>-510</v>
      </c>
      <c r="BS243" s="1211">
        <f t="shared" si="323"/>
        <v>-152</v>
      </c>
      <c r="BT243" s="1212">
        <f t="shared" si="323"/>
        <v>-82</v>
      </c>
      <c r="BU243" s="1212">
        <f t="shared" si="323"/>
        <v>-48</v>
      </c>
      <c r="BV243" s="1213">
        <f t="shared" si="323"/>
        <v>-36</v>
      </c>
      <c r="BW243" s="238">
        <f t="shared" si="323"/>
        <v>-318</v>
      </c>
      <c r="BX243" s="1211">
        <f t="shared" si="323"/>
        <v>-51</v>
      </c>
      <c r="BY243" s="1212">
        <f t="shared" si="323"/>
        <v>-71</v>
      </c>
      <c r="BZ243" s="1212">
        <f t="shared" si="323"/>
        <v>-68</v>
      </c>
      <c r="CA243" s="1213">
        <f t="shared" si="323"/>
        <v>-199</v>
      </c>
      <c r="CB243" s="238">
        <f t="shared" si="323"/>
        <v>-389</v>
      </c>
      <c r="CC243" s="1211">
        <f t="shared" si="323"/>
        <v>-212.5</v>
      </c>
      <c r="CD243" s="1212">
        <f t="shared" si="323"/>
        <v>-212.5</v>
      </c>
      <c r="CE243" s="1212">
        <f t="shared" si="323"/>
        <v>-212.5</v>
      </c>
      <c r="CF243" s="1213">
        <f t="shared" si="323"/>
        <v>-212.5</v>
      </c>
      <c r="CG243" s="238">
        <f t="shared" si="323"/>
        <v>-850</v>
      </c>
      <c r="CH243" s="1211">
        <f t="shared" si="323"/>
        <v>-287.5</v>
      </c>
      <c r="CI243" s="1212">
        <f t="shared" si="323"/>
        <v>-287.5</v>
      </c>
      <c r="CJ243" s="1212">
        <f t="shared" si="323"/>
        <v>-287.5</v>
      </c>
      <c r="CK243" s="1213">
        <f t="shared" si="323"/>
        <v>-287.5</v>
      </c>
      <c r="CL243" s="238">
        <f t="shared" si="323"/>
        <v>-1150</v>
      </c>
      <c r="CM243" s="1211">
        <f t="shared" si="323"/>
        <v>-287.5</v>
      </c>
      <c r="CN243" s="1212">
        <f t="shared" si="323"/>
        <v>-287.5</v>
      </c>
      <c r="CO243" s="1212">
        <f t="shared" si="323"/>
        <v>-287.5</v>
      </c>
      <c r="CP243" s="1213">
        <f t="shared" si="323"/>
        <v>-287.5</v>
      </c>
      <c r="CQ243" s="1213">
        <f t="shared" si="323"/>
        <v>-1150</v>
      </c>
      <c r="CR243" s="257"/>
    </row>
    <row r="244" spans="1:96" ht="6.2" customHeight="1">
      <c r="A244" s="75"/>
      <c r="B244" s="75"/>
      <c r="C244" s="93"/>
      <c r="D244" s="75"/>
      <c r="E244" s="75"/>
      <c r="F244" s="238"/>
      <c r="G244" s="190"/>
      <c r="H244" s="238"/>
      <c r="I244" s="190"/>
      <c r="J244" s="190"/>
      <c r="K244" s="190"/>
      <c r="L244" s="190"/>
      <c r="M244" s="190"/>
      <c r="N244" s="190"/>
      <c r="O244" s="190"/>
      <c r="P244" s="190"/>
      <c r="Q244" s="190"/>
      <c r="R244" s="190"/>
      <c r="S244" s="190"/>
      <c r="T244" s="190"/>
      <c r="U244" s="190"/>
      <c r="V244" s="190"/>
      <c r="W244" s="190"/>
      <c r="X244" s="190"/>
      <c r="Y244" s="190"/>
      <c r="Z244" s="190"/>
      <c r="AA244" s="142"/>
      <c r="AB244" s="265"/>
      <c r="AC244" s="190"/>
      <c r="AD244" s="190"/>
      <c r="AE244" s="154"/>
      <c r="AF244" s="266"/>
      <c r="AG244" s="264"/>
      <c r="AH244" s="190"/>
      <c r="AI244" s="190"/>
      <c r="AJ244" s="1163"/>
      <c r="AK244" s="154"/>
      <c r="AL244" s="154"/>
      <c r="AM244" s="1165"/>
      <c r="AN244" s="190"/>
      <c r="AO244" s="1163"/>
      <c r="AP244" s="154"/>
      <c r="AQ244" s="154"/>
      <c r="AR244" s="1165"/>
      <c r="AS244" s="190"/>
      <c r="AT244" s="1274"/>
      <c r="AU244" s="190"/>
      <c r="AV244" s="267"/>
      <c r="AW244" s="1165"/>
      <c r="AX244" s="190"/>
      <c r="AY244" s="1274"/>
      <c r="AZ244" s="190"/>
      <c r="BA244" s="1212"/>
      <c r="BB244" s="1165"/>
      <c r="BC244" s="190"/>
      <c r="BD244" s="1274"/>
      <c r="BE244" s="190"/>
      <c r="BF244" s="190"/>
      <c r="BG244" s="1165"/>
      <c r="BH244" s="190"/>
      <c r="BI244" s="1274"/>
      <c r="BJ244" s="190"/>
      <c r="BK244" s="190"/>
      <c r="BL244" s="1165"/>
      <c r="BM244" s="190"/>
      <c r="BN244" s="1163"/>
      <c r="BO244" s="254"/>
      <c r="BP244" s="190"/>
      <c r="BQ244" s="1165"/>
      <c r="BR244" s="190"/>
      <c r="BS244" s="1355"/>
      <c r="BT244" s="190"/>
      <c r="BU244" s="190"/>
      <c r="BV244" s="1165"/>
      <c r="BW244" s="190"/>
      <c r="BX244" s="1274"/>
      <c r="BY244" s="190"/>
      <c r="BZ244" s="190"/>
      <c r="CA244" s="1165"/>
      <c r="CB244" s="190"/>
      <c r="CC244" s="1274"/>
      <c r="CD244" s="190"/>
      <c r="CE244" s="190"/>
      <c r="CF244" s="1165"/>
      <c r="CG244" s="190"/>
      <c r="CH244" s="1274"/>
      <c r="CI244" s="190"/>
      <c r="CJ244" s="190"/>
      <c r="CK244" s="1165"/>
      <c r="CL244" s="190"/>
      <c r="CM244" s="1274"/>
      <c r="CN244" s="190"/>
      <c r="CO244" s="190"/>
      <c r="CP244" s="1165"/>
      <c r="CQ244" s="1165"/>
      <c r="CR244" s="257"/>
    </row>
    <row r="245" spans="1:96" ht="13.5" customHeight="1">
      <c r="A245" s="93" t="s">
        <v>864</v>
      </c>
      <c r="B245" s="93"/>
      <c r="C245" s="93"/>
      <c r="D245" s="75"/>
      <c r="E245" s="75"/>
      <c r="F245" s="238"/>
      <c r="G245" s="190"/>
      <c r="H245" s="190"/>
      <c r="I245" s="190"/>
      <c r="J245" s="190"/>
      <c r="K245" s="190"/>
      <c r="L245" s="190"/>
      <c r="M245" s="190"/>
      <c r="N245" s="190"/>
      <c r="O245" s="190"/>
      <c r="P245" s="190"/>
      <c r="Q245" s="190"/>
      <c r="R245" s="190"/>
      <c r="S245" s="190"/>
      <c r="T245" s="190"/>
      <c r="U245" s="190"/>
      <c r="V245" s="190"/>
      <c r="W245" s="190"/>
      <c r="X245" s="190"/>
      <c r="Y245" s="190"/>
      <c r="Z245" s="190"/>
      <c r="AA245" s="154"/>
      <c r="AB245" s="154"/>
      <c r="AC245" s="179"/>
      <c r="AD245" s="190"/>
      <c r="AE245" s="154"/>
      <c r="AF245" s="154"/>
      <c r="AG245" s="154"/>
      <c r="AH245" s="190"/>
      <c r="AI245" s="190"/>
      <c r="AJ245" s="1163"/>
      <c r="AK245" s="154"/>
      <c r="AL245" s="154"/>
      <c r="AM245" s="1165"/>
      <c r="AN245" s="190"/>
      <c r="AO245" s="1163"/>
      <c r="AP245" s="154"/>
      <c r="AQ245" s="154"/>
      <c r="AR245" s="1165"/>
      <c r="AS245" s="190"/>
      <c r="AT245" s="1274"/>
      <c r="AU245" s="190"/>
      <c r="AV245" s="267"/>
      <c r="AW245" s="1165"/>
      <c r="AX245" s="190"/>
      <c r="AY245" s="1274"/>
      <c r="AZ245" s="190"/>
      <c r="BA245" s="190"/>
      <c r="BB245" s="1165"/>
      <c r="BC245" s="190"/>
      <c r="BD245" s="1274"/>
      <c r="BE245" s="190"/>
      <c r="BF245" s="190"/>
      <c r="BG245" s="1165"/>
      <c r="BH245" s="190"/>
      <c r="BI245" s="1274"/>
      <c r="BJ245" s="190"/>
      <c r="BK245" s="190"/>
      <c r="BL245" s="1165"/>
      <c r="BM245" s="190"/>
      <c r="BN245" s="1163"/>
      <c r="BO245" s="190"/>
      <c r="BP245" s="190"/>
      <c r="BQ245" s="1165"/>
      <c r="BR245" s="190"/>
      <c r="BS245" s="1355"/>
      <c r="BT245" s="190"/>
      <c r="BU245" s="190"/>
      <c r="BV245" s="1165"/>
      <c r="BW245" s="190"/>
      <c r="BX245" s="1274"/>
      <c r="BY245" s="190"/>
      <c r="BZ245" s="190"/>
      <c r="CA245" s="1165"/>
      <c r="CB245" s="190"/>
      <c r="CC245" s="1274"/>
      <c r="CD245" s="190"/>
      <c r="CE245" s="190"/>
      <c r="CF245" s="1165"/>
      <c r="CG245" s="190"/>
      <c r="CH245" s="1274"/>
      <c r="CI245" s="190"/>
      <c r="CJ245" s="190"/>
      <c r="CK245" s="1165"/>
      <c r="CL245" s="190"/>
      <c r="CM245" s="1274"/>
      <c r="CN245" s="190"/>
      <c r="CO245" s="190"/>
      <c r="CP245" s="1165"/>
      <c r="CQ245" s="1165"/>
      <c r="CR245" s="75"/>
    </row>
    <row r="246" spans="1:96" ht="13.5" customHeight="1">
      <c r="A246" s="75"/>
      <c r="B246" s="81" t="s">
        <v>865</v>
      </c>
      <c r="C246" s="93"/>
      <c r="D246" s="75"/>
      <c r="E246" s="75"/>
      <c r="F246" s="608">
        <v>6</v>
      </c>
      <c r="G246" s="627">
        <f>11-F246</f>
        <v>5</v>
      </c>
      <c r="H246" s="627">
        <f>11-G246-F246</f>
        <v>0</v>
      </c>
      <c r="I246" s="153">
        <f>J246-F246-G246-H246</f>
        <v>12</v>
      </c>
      <c r="J246" s="608">
        <v>23</v>
      </c>
      <c r="K246" s="608">
        <v>339</v>
      </c>
      <c r="L246" s="608">
        <f>341-K246</f>
        <v>2</v>
      </c>
      <c r="M246" s="608">
        <f>348-L246-K246</f>
        <v>7</v>
      </c>
      <c r="N246" s="153">
        <f t="shared" ref="N246:N255" si="324">O246-SUM(K246:M246)</f>
        <v>13</v>
      </c>
      <c r="O246" s="608">
        <v>361</v>
      </c>
      <c r="P246" s="608">
        <v>6</v>
      </c>
      <c r="Q246" s="608">
        <f>7-P246</f>
        <v>1</v>
      </c>
      <c r="R246" s="608">
        <f>27-Q246-P246</f>
        <v>20</v>
      </c>
      <c r="S246" s="153">
        <f t="shared" ref="S246:S255" si="325">T246-SUM(P246:R246)</f>
        <v>1</v>
      </c>
      <c r="T246" s="608">
        <v>28</v>
      </c>
      <c r="U246" s="608">
        <v>3</v>
      </c>
      <c r="V246" s="608">
        <f>10-U246</f>
        <v>7</v>
      </c>
      <c r="W246" s="608">
        <f>16-V246-U246</f>
        <v>6</v>
      </c>
      <c r="X246" s="153">
        <f>Y246-SUM(U246:W246)</f>
        <v>17</v>
      </c>
      <c r="Y246" s="608">
        <v>33</v>
      </c>
      <c r="Z246" s="608">
        <v>5</v>
      </c>
      <c r="AA246" s="608">
        <f>15-Z246</f>
        <v>10</v>
      </c>
      <c r="AB246" s="608">
        <f>15-AA246-Z246</f>
        <v>0</v>
      </c>
      <c r="AC246" s="153">
        <f t="shared" ref="AC246:AC255" si="326">AD246-SUM(Z246:AB246)</f>
        <v>3</v>
      </c>
      <c r="AD246" s="608">
        <v>18</v>
      </c>
      <c r="AE246" s="608">
        <v>4</v>
      </c>
      <c r="AF246" s="608">
        <f>11-AE246</f>
        <v>7</v>
      </c>
      <c r="AG246" s="608">
        <f>11-AF246-AE246</f>
        <v>0</v>
      </c>
      <c r="AH246" s="153">
        <f>AI246-SUM(AE246:AG246)</f>
        <v>-6</v>
      </c>
      <c r="AI246" s="608">
        <v>5</v>
      </c>
      <c r="AJ246" s="954">
        <v>0</v>
      </c>
      <c r="AK246" s="608">
        <f>666-AJ246</f>
        <v>666</v>
      </c>
      <c r="AL246" s="608">
        <f>667-AK246-AJ246</f>
        <v>1</v>
      </c>
      <c r="AM246" s="915">
        <f>AN246-SUM(AJ246:AL246)</f>
        <v>0</v>
      </c>
      <c r="AN246" s="608">
        <v>667</v>
      </c>
      <c r="AO246" s="954">
        <v>1</v>
      </c>
      <c r="AP246" s="608">
        <f>2-AO246</f>
        <v>1</v>
      </c>
      <c r="AQ246" s="608">
        <f>3-AP246-AO246</f>
        <v>1</v>
      </c>
      <c r="AR246" s="915">
        <f>AS246-SUM(AO246:AQ246)</f>
        <v>2</v>
      </c>
      <c r="AS246" s="608">
        <v>5</v>
      </c>
      <c r="AT246" s="954">
        <v>4</v>
      </c>
      <c r="AU246" s="608">
        <f>4-AT246</f>
        <v>0</v>
      </c>
      <c r="AV246" s="608">
        <f>4-AU246-AT246</f>
        <v>0</v>
      </c>
      <c r="AW246" s="915">
        <f t="shared" ref="AW246:AW255" si="327">AX246-SUM(AT246:AV246)</f>
        <v>-1</v>
      </c>
      <c r="AX246" s="608">
        <v>3</v>
      </c>
      <c r="AY246" s="954">
        <v>0</v>
      </c>
      <c r="AZ246" s="608">
        <v>0</v>
      </c>
      <c r="BA246" s="608">
        <v>0</v>
      </c>
      <c r="BB246" s="960">
        <v>0</v>
      </c>
      <c r="BC246" s="153">
        <f>SUM(AY246:BB246)</f>
        <v>0</v>
      </c>
      <c r="BD246" s="954">
        <v>0</v>
      </c>
      <c r="BE246" s="608">
        <v>0</v>
      </c>
      <c r="BF246" s="608">
        <v>0</v>
      </c>
      <c r="BG246" s="960">
        <v>0</v>
      </c>
      <c r="BH246" s="153">
        <f t="shared" ref="BH246:BH255" si="328">SUM(BD246:BG246)</f>
        <v>0</v>
      </c>
      <c r="BI246" s="954">
        <v>0</v>
      </c>
      <c r="BJ246" s="608">
        <v>0</v>
      </c>
      <c r="BK246" s="608">
        <v>0</v>
      </c>
      <c r="BL246" s="960">
        <v>0</v>
      </c>
      <c r="BM246" s="153">
        <f t="shared" ref="BM246:BM255" si="329">SUM(BI246:BL246)</f>
        <v>0</v>
      </c>
      <c r="BN246" s="954">
        <v>0</v>
      </c>
      <c r="BO246" s="608">
        <v>0</v>
      </c>
      <c r="BP246" s="608">
        <v>0</v>
      </c>
      <c r="BQ246" s="960">
        <v>0</v>
      </c>
      <c r="BR246" s="153">
        <f t="shared" ref="BR246:BR255" si="330">SUM(BN246:BQ246)</f>
        <v>0</v>
      </c>
      <c r="BS246" s="954">
        <v>0</v>
      </c>
      <c r="BT246" s="608">
        <v>0</v>
      </c>
      <c r="BU246" s="608">
        <f>482+4-SUM(BS246:BT246)</f>
        <v>486</v>
      </c>
      <c r="BV246" s="960">
        <f>482+35-SUM(BS246:BU246)</f>
        <v>31</v>
      </c>
      <c r="BW246" s="153">
        <f t="shared" ref="BW246:BW255" si="331">SUM(BS246:BV246)</f>
        <v>517</v>
      </c>
      <c r="BX246" s="1090">
        <v>12</v>
      </c>
      <c r="BY246" s="863">
        <f>13-BX246</f>
        <v>1</v>
      </c>
      <c r="BZ246" s="863">
        <f>14-BX246-BY246</f>
        <v>1</v>
      </c>
      <c r="CA246" s="960">
        <f>20-SUM(BX246:BZ246)</f>
        <v>6</v>
      </c>
      <c r="CB246" s="153">
        <f t="shared" ref="CB246:CB255" si="332">SUM(BX246:CA246)</f>
        <v>20</v>
      </c>
      <c r="CC246" s="954">
        <v>0</v>
      </c>
      <c r="CD246" s="608">
        <v>0</v>
      </c>
      <c r="CE246" s="608">
        <v>0</v>
      </c>
      <c r="CF246" s="960">
        <v>0</v>
      </c>
      <c r="CG246" s="153">
        <f t="shared" ref="CG246:CG255" si="333">SUM(CC246:CF246)</f>
        <v>0</v>
      </c>
      <c r="CH246" s="954">
        <v>0</v>
      </c>
      <c r="CI246" s="608">
        <v>0</v>
      </c>
      <c r="CJ246" s="608">
        <v>0</v>
      </c>
      <c r="CK246" s="960">
        <v>0</v>
      </c>
      <c r="CL246" s="153">
        <f t="shared" ref="CL246:CL255" si="334">SUM(CH246:CK246)</f>
        <v>0</v>
      </c>
      <c r="CM246" s="954">
        <v>0</v>
      </c>
      <c r="CN246" s="608">
        <v>0</v>
      </c>
      <c r="CO246" s="608">
        <v>0</v>
      </c>
      <c r="CP246" s="960">
        <v>0</v>
      </c>
      <c r="CQ246" s="915">
        <f t="shared" ref="CQ246:CQ255" si="335">SUM(CM246:CP246)</f>
        <v>0</v>
      </c>
      <c r="CR246" s="75"/>
    </row>
    <row r="247" spans="1:96" ht="13.5" customHeight="1">
      <c r="A247" s="75"/>
      <c r="B247" s="81" t="s">
        <v>866</v>
      </c>
      <c r="C247" s="93"/>
      <c r="D247" s="75"/>
      <c r="E247" s="75"/>
      <c r="F247" s="608">
        <v>0</v>
      </c>
      <c r="G247" s="608">
        <v>0</v>
      </c>
      <c r="H247" s="608">
        <v>0</v>
      </c>
      <c r="I247" s="608">
        <v>0</v>
      </c>
      <c r="J247" s="608">
        <v>0</v>
      </c>
      <c r="K247" s="608">
        <v>0</v>
      </c>
      <c r="L247" s="608">
        <v>0</v>
      </c>
      <c r="M247" s="608">
        <v>0</v>
      </c>
      <c r="N247" s="153">
        <f t="shared" si="324"/>
        <v>0</v>
      </c>
      <c r="O247" s="608">
        <v>0</v>
      </c>
      <c r="P247" s="608">
        <v>0</v>
      </c>
      <c r="Q247" s="608">
        <v>0</v>
      </c>
      <c r="R247" s="608">
        <v>-52</v>
      </c>
      <c r="S247" s="153">
        <f t="shared" si="325"/>
        <v>-202</v>
      </c>
      <c r="T247" s="608">
        <v>-254</v>
      </c>
      <c r="U247" s="608">
        <v>0</v>
      </c>
      <c r="V247" s="608">
        <f>-117-U247</f>
        <v>-117</v>
      </c>
      <c r="W247" s="608">
        <f>-396-V247-U247</f>
        <v>-279</v>
      </c>
      <c r="X247" s="153">
        <f>Y247-SUM(U247:W247)</f>
        <v>-46</v>
      </c>
      <c r="Y247" s="608">
        <f>-442</f>
        <v>-442</v>
      </c>
      <c r="Z247" s="608">
        <f>-25</f>
        <v>-25</v>
      </c>
      <c r="AA247" s="608">
        <f>-58-Z247</f>
        <v>-33</v>
      </c>
      <c r="AB247" s="608">
        <f>-87-AA247-Z247</f>
        <v>-29</v>
      </c>
      <c r="AC247" s="153">
        <f t="shared" si="326"/>
        <v>-30</v>
      </c>
      <c r="AD247" s="608">
        <v>-117</v>
      </c>
      <c r="AE247" s="608">
        <v>-33</v>
      </c>
      <c r="AF247" s="608">
        <f>-85-AE247</f>
        <v>-52</v>
      </c>
      <c r="AG247" s="608">
        <f>-214-AF247-AE247</f>
        <v>-129</v>
      </c>
      <c r="AH247" s="153">
        <f>AI247-SUM(AE247:AG247)</f>
        <v>-13</v>
      </c>
      <c r="AI247" s="608">
        <v>-227</v>
      </c>
      <c r="AJ247" s="954">
        <v>0</v>
      </c>
      <c r="AK247" s="608">
        <v>0</v>
      </c>
      <c r="AL247" s="608">
        <v>0</v>
      </c>
      <c r="AM247" s="960">
        <v>0</v>
      </c>
      <c r="AN247" s="153">
        <f>SUM(AJ247:AM247)</f>
        <v>0</v>
      </c>
      <c r="AO247" s="954">
        <v>0</v>
      </c>
      <c r="AP247" s="608">
        <v>0</v>
      </c>
      <c r="AQ247" s="608">
        <v>0</v>
      </c>
      <c r="AR247" s="915">
        <f>AS247-SUM(AO247:AQ247)</f>
        <v>0</v>
      </c>
      <c r="AS247" s="608">
        <v>0</v>
      </c>
      <c r="AT247" s="954">
        <v>0</v>
      </c>
      <c r="AU247" s="608">
        <v>0</v>
      </c>
      <c r="AV247" s="608">
        <v>0</v>
      </c>
      <c r="AW247" s="915">
        <f t="shared" si="327"/>
        <v>0</v>
      </c>
      <c r="AX247" s="608">
        <v>0</v>
      </c>
      <c r="AY247" s="954">
        <v>0</v>
      </c>
      <c r="AZ247" s="608">
        <v>0</v>
      </c>
      <c r="BA247" s="608">
        <v>0</v>
      </c>
      <c r="BB247" s="960">
        <v>0</v>
      </c>
      <c r="BC247" s="153">
        <f>SUM(AY247:BB247)</f>
        <v>0</v>
      </c>
      <c r="BD247" s="954">
        <v>0</v>
      </c>
      <c r="BE247" s="608">
        <v>0</v>
      </c>
      <c r="BF247" s="608">
        <v>0</v>
      </c>
      <c r="BG247" s="960">
        <v>0</v>
      </c>
      <c r="BH247" s="153">
        <f t="shared" si="328"/>
        <v>0</v>
      </c>
      <c r="BI247" s="954">
        <v>0</v>
      </c>
      <c r="BJ247" s="608">
        <v>0</v>
      </c>
      <c r="BK247" s="608">
        <v>0</v>
      </c>
      <c r="BL247" s="960">
        <v>0</v>
      </c>
      <c r="BM247" s="153">
        <f t="shared" si="329"/>
        <v>0</v>
      </c>
      <c r="BN247" s="954">
        <v>0</v>
      </c>
      <c r="BO247" s="608">
        <v>0</v>
      </c>
      <c r="BP247" s="608">
        <v>0</v>
      </c>
      <c r="BQ247" s="960">
        <v>0</v>
      </c>
      <c r="BR247" s="153">
        <f t="shared" si="330"/>
        <v>0</v>
      </c>
      <c r="BS247" s="954">
        <v>0</v>
      </c>
      <c r="BT247" s="608">
        <v>0</v>
      </c>
      <c r="BU247" s="608">
        <v>0</v>
      </c>
      <c r="BV247" s="960">
        <v>0</v>
      </c>
      <c r="BW247" s="153">
        <f t="shared" si="331"/>
        <v>0</v>
      </c>
      <c r="BX247" s="1090">
        <v>0</v>
      </c>
      <c r="BY247" s="863">
        <v>0</v>
      </c>
      <c r="BZ247" s="863">
        <v>0</v>
      </c>
      <c r="CA247" s="960">
        <v>0</v>
      </c>
      <c r="CB247" s="153">
        <f t="shared" si="332"/>
        <v>0</v>
      </c>
      <c r="CC247" s="954">
        <v>0</v>
      </c>
      <c r="CD247" s="608">
        <v>0</v>
      </c>
      <c r="CE247" s="608">
        <v>0</v>
      </c>
      <c r="CF247" s="960">
        <v>0</v>
      </c>
      <c r="CG247" s="153">
        <f t="shared" si="333"/>
        <v>0</v>
      </c>
      <c r="CH247" s="954">
        <v>0</v>
      </c>
      <c r="CI247" s="608">
        <v>0</v>
      </c>
      <c r="CJ247" s="608">
        <v>0</v>
      </c>
      <c r="CK247" s="960">
        <v>0</v>
      </c>
      <c r="CL247" s="153">
        <f t="shared" si="334"/>
        <v>0</v>
      </c>
      <c r="CM247" s="954">
        <v>0</v>
      </c>
      <c r="CN247" s="608">
        <v>0</v>
      </c>
      <c r="CO247" s="608">
        <v>0</v>
      </c>
      <c r="CP247" s="960">
        <v>0</v>
      </c>
      <c r="CQ247" s="915">
        <f t="shared" si="335"/>
        <v>0</v>
      </c>
      <c r="CR247" s="75"/>
    </row>
    <row r="248" spans="1:96" ht="13.5" customHeight="1">
      <c r="A248" s="75"/>
      <c r="B248" s="81" t="s">
        <v>867</v>
      </c>
      <c r="C248" s="93"/>
      <c r="D248" s="75"/>
      <c r="E248" s="75"/>
      <c r="F248" s="608">
        <v>242</v>
      </c>
      <c r="G248" s="627">
        <f>242-F248</f>
        <v>0</v>
      </c>
      <c r="H248" s="627">
        <f>242-G248-F248</f>
        <v>0</v>
      </c>
      <c r="I248" s="153">
        <f t="shared" ref="I248:I255" si="336">J248-F248-G248-H248</f>
        <v>0</v>
      </c>
      <c r="J248" s="608">
        <v>242</v>
      </c>
      <c r="K248" s="608">
        <v>0</v>
      </c>
      <c r="L248" s="608">
        <v>0</v>
      </c>
      <c r="M248" s="608">
        <v>0</v>
      </c>
      <c r="N248" s="153">
        <f t="shared" si="324"/>
        <v>0</v>
      </c>
      <c r="O248" s="608">
        <v>0</v>
      </c>
      <c r="P248" s="608">
        <v>0</v>
      </c>
      <c r="Q248" s="608">
        <v>0</v>
      </c>
      <c r="R248" s="608">
        <v>0</v>
      </c>
      <c r="S248" s="153">
        <f t="shared" si="325"/>
        <v>0</v>
      </c>
      <c r="T248" s="608">
        <v>0</v>
      </c>
      <c r="U248" s="608">
        <v>0</v>
      </c>
      <c r="V248" s="608">
        <v>0</v>
      </c>
      <c r="W248" s="608">
        <v>0</v>
      </c>
      <c r="X248" s="608">
        <v>0</v>
      </c>
      <c r="Y248" s="153">
        <f>SUM(U248:X248)</f>
        <v>0</v>
      </c>
      <c r="Z248" s="608">
        <v>0</v>
      </c>
      <c r="AA248" s="608">
        <v>0</v>
      </c>
      <c r="AB248" s="608">
        <v>0</v>
      </c>
      <c r="AC248" s="153">
        <f t="shared" si="326"/>
        <v>0</v>
      </c>
      <c r="AD248" s="608">
        <v>0</v>
      </c>
      <c r="AE248" s="608">
        <v>0</v>
      </c>
      <c r="AF248" s="608">
        <v>0</v>
      </c>
      <c r="AG248" s="608">
        <v>0</v>
      </c>
      <c r="AH248" s="608">
        <v>0</v>
      </c>
      <c r="AI248" s="153">
        <f>SUM(AE248:AH248)</f>
        <v>0</v>
      </c>
      <c r="AJ248" s="954">
        <v>0</v>
      </c>
      <c r="AK248" s="608">
        <v>0</v>
      </c>
      <c r="AL248" s="608">
        <v>0</v>
      </c>
      <c r="AM248" s="960">
        <v>0</v>
      </c>
      <c r="AN248" s="153">
        <f>SUM(AJ248:AM248)</f>
        <v>0</v>
      </c>
      <c r="AO248" s="954">
        <v>0</v>
      </c>
      <c r="AP248" s="608">
        <v>0</v>
      </c>
      <c r="AQ248" s="608">
        <v>0</v>
      </c>
      <c r="AR248" s="915">
        <f>AS248-SUM(AO248:AQ248)</f>
        <v>0</v>
      </c>
      <c r="AS248" s="608">
        <v>0</v>
      </c>
      <c r="AT248" s="954">
        <v>0</v>
      </c>
      <c r="AU248" s="608">
        <v>0</v>
      </c>
      <c r="AV248" s="608">
        <v>0</v>
      </c>
      <c r="AW248" s="915">
        <f t="shared" si="327"/>
        <v>0</v>
      </c>
      <c r="AX248" s="608">
        <v>0</v>
      </c>
      <c r="AY248" s="954">
        <v>0</v>
      </c>
      <c r="AZ248" s="608">
        <v>0</v>
      </c>
      <c r="BA248" s="608">
        <v>0</v>
      </c>
      <c r="BB248" s="960">
        <v>0</v>
      </c>
      <c r="BC248" s="153">
        <f>SUM(AY248:BB248)</f>
        <v>0</v>
      </c>
      <c r="BD248" s="954">
        <v>0</v>
      </c>
      <c r="BE248" s="608">
        <v>0</v>
      </c>
      <c r="BF248" s="608">
        <v>0</v>
      </c>
      <c r="BG248" s="960">
        <v>0</v>
      </c>
      <c r="BH248" s="153">
        <f t="shared" si="328"/>
        <v>0</v>
      </c>
      <c r="BI248" s="954">
        <v>0</v>
      </c>
      <c r="BJ248" s="608">
        <v>0</v>
      </c>
      <c r="BK248" s="608">
        <v>0</v>
      </c>
      <c r="BL248" s="960">
        <v>0</v>
      </c>
      <c r="BM248" s="153">
        <f t="shared" si="329"/>
        <v>0</v>
      </c>
      <c r="BN248" s="954">
        <v>0</v>
      </c>
      <c r="BO248" s="608">
        <v>0</v>
      </c>
      <c r="BP248" s="608">
        <v>0</v>
      </c>
      <c r="BQ248" s="960">
        <v>0</v>
      </c>
      <c r="BR248" s="153">
        <f t="shared" si="330"/>
        <v>0</v>
      </c>
      <c r="BS248" s="954">
        <v>0</v>
      </c>
      <c r="BT248" s="608">
        <v>0</v>
      </c>
      <c r="BU248" s="608">
        <v>0</v>
      </c>
      <c r="BV248" s="960">
        <v>0</v>
      </c>
      <c r="BW248" s="153">
        <f t="shared" si="331"/>
        <v>0</v>
      </c>
      <c r="BX248" s="1090">
        <v>0</v>
      </c>
      <c r="BY248" s="863">
        <v>0</v>
      </c>
      <c r="BZ248" s="863">
        <v>0</v>
      </c>
      <c r="CA248" s="960">
        <v>0</v>
      </c>
      <c r="CB248" s="153">
        <f t="shared" si="332"/>
        <v>0</v>
      </c>
      <c r="CC248" s="954">
        <v>0</v>
      </c>
      <c r="CD248" s="608">
        <v>0</v>
      </c>
      <c r="CE248" s="608">
        <v>0</v>
      </c>
      <c r="CF248" s="960">
        <v>0</v>
      </c>
      <c r="CG248" s="153">
        <f t="shared" si="333"/>
        <v>0</v>
      </c>
      <c r="CH248" s="954">
        <v>0</v>
      </c>
      <c r="CI248" s="608">
        <v>0</v>
      </c>
      <c r="CJ248" s="608">
        <v>0</v>
      </c>
      <c r="CK248" s="960">
        <v>0</v>
      </c>
      <c r="CL248" s="153">
        <f t="shared" si="334"/>
        <v>0</v>
      </c>
      <c r="CM248" s="954">
        <v>0</v>
      </c>
      <c r="CN248" s="608">
        <v>0</v>
      </c>
      <c r="CO248" s="608">
        <v>0</v>
      </c>
      <c r="CP248" s="960">
        <v>0</v>
      </c>
      <c r="CQ248" s="915">
        <f t="shared" si="335"/>
        <v>0</v>
      </c>
      <c r="CR248" s="75"/>
    </row>
    <row r="249" spans="1:96" ht="13.5" customHeight="1">
      <c r="A249" s="81"/>
      <c r="B249" s="81" t="s">
        <v>868</v>
      </c>
      <c r="C249" s="93"/>
      <c r="D249" s="75"/>
      <c r="E249" s="75"/>
      <c r="F249" s="608">
        <v>0</v>
      </c>
      <c r="G249" s="608">
        <v>428</v>
      </c>
      <c r="H249" s="627">
        <f>427-G249-F249</f>
        <v>-1</v>
      </c>
      <c r="I249" s="153">
        <f t="shared" si="336"/>
        <v>0</v>
      </c>
      <c r="J249" s="608">
        <v>427</v>
      </c>
      <c r="K249" s="608">
        <v>0</v>
      </c>
      <c r="L249" s="608">
        <v>0</v>
      </c>
      <c r="M249" s="608">
        <v>0</v>
      </c>
      <c r="N249" s="153">
        <f t="shared" si="324"/>
        <v>0</v>
      </c>
      <c r="O249" s="608">
        <v>0</v>
      </c>
      <c r="P249" s="608">
        <v>0</v>
      </c>
      <c r="Q249" s="608">
        <v>0</v>
      </c>
      <c r="R249" s="608">
        <v>0</v>
      </c>
      <c r="S249" s="153">
        <f t="shared" si="325"/>
        <v>42</v>
      </c>
      <c r="T249" s="608">
        <v>42</v>
      </c>
      <c r="U249" s="608">
        <v>0</v>
      </c>
      <c r="V249" s="608">
        <v>0</v>
      </c>
      <c r="W249" s="608">
        <v>0</v>
      </c>
      <c r="X249" s="608">
        <v>0</v>
      </c>
      <c r="Y249" s="153">
        <f>SUM(U249:X249)</f>
        <v>0</v>
      </c>
      <c r="Z249" s="608">
        <v>0</v>
      </c>
      <c r="AA249" s="608">
        <f>1583-Z249</f>
        <v>1583</v>
      </c>
      <c r="AB249" s="608">
        <f>1583-AA249-Z249</f>
        <v>0</v>
      </c>
      <c r="AC249" s="153">
        <f t="shared" si="326"/>
        <v>1393</v>
      </c>
      <c r="AD249" s="608">
        <v>2976</v>
      </c>
      <c r="AE249" s="608">
        <v>0</v>
      </c>
      <c r="AF249" s="608">
        <v>0</v>
      </c>
      <c r="AG249" s="608">
        <f>359-AF249-AE249</f>
        <v>359</v>
      </c>
      <c r="AH249" s="153">
        <f>AI249-SUM(AE249:AG249)</f>
        <v>0</v>
      </c>
      <c r="AI249" s="608">
        <v>359</v>
      </c>
      <c r="AJ249" s="914">
        <f>'debt schedule'!AK192+'debt schedule'!AK193</f>
        <v>0</v>
      </c>
      <c r="AK249" s="608">
        <f>839</f>
        <v>839</v>
      </c>
      <c r="AL249" s="608">
        <f>839-AK249-AJ249</f>
        <v>0</v>
      </c>
      <c r="AM249" s="915">
        <f>AN249-SUM(AJ249:AL249)</f>
        <v>127</v>
      </c>
      <c r="AN249" s="608">
        <v>966</v>
      </c>
      <c r="AO249" s="954">
        <v>582</v>
      </c>
      <c r="AP249" s="608">
        <f>669-AO249</f>
        <v>87</v>
      </c>
      <c r="AQ249" s="608">
        <f>669+25-AP249-AO249</f>
        <v>25</v>
      </c>
      <c r="AR249" s="915">
        <f>AS249-SUM(AO249:AQ249)</f>
        <v>82</v>
      </c>
      <c r="AS249" s="608">
        <f>737+39</f>
        <v>776</v>
      </c>
      <c r="AT249" s="954">
        <v>0</v>
      </c>
      <c r="AU249" s="608">
        <f>1273-AT249</f>
        <v>1273</v>
      </c>
      <c r="AV249" s="608">
        <f>3316-AU249-AT249</f>
        <v>2043</v>
      </c>
      <c r="AW249" s="915">
        <f t="shared" si="327"/>
        <v>1972</v>
      </c>
      <c r="AX249" s="608">
        <f>4715+193+380</f>
        <v>5288</v>
      </c>
      <c r="AY249" s="954">
        <f>522+392</f>
        <v>914</v>
      </c>
      <c r="AZ249" s="608">
        <f>392+523-AY249</f>
        <v>1</v>
      </c>
      <c r="BA249" s="608">
        <f>485+523-AZ249-AY249</f>
        <v>93</v>
      </c>
      <c r="BB249" s="915">
        <f>BC249-SUM(AY249:BA249)</f>
        <v>0</v>
      </c>
      <c r="BC249" s="608">
        <f>523+485</f>
        <v>1008</v>
      </c>
      <c r="BD249" s="954">
        <v>578</v>
      </c>
      <c r="BE249" s="608">
        <f>576-BD249</f>
        <v>-2</v>
      </c>
      <c r="BF249" s="608">
        <f>575-BE249-BD249</f>
        <v>-1</v>
      </c>
      <c r="BG249" s="960">
        <f>575-SUM(BD249:BF249)</f>
        <v>0</v>
      </c>
      <c r="BH249" s="153">
        <f t="shared" si="328"/>
        <v>575</v>
      </c>
      <c r="BI249" s="954">
        <v>0</v>
      </c>
      <c r="BJ249" s="608">
        <v>0</v>
      </c>
      <c r="BK249" s="608">
        <v>0</v>
      </c>
      <c r="BL249" s="960">
        <v>0</v>
      </c>
      <c r="BM249" s="153">
        <f t="shared" si="329"/>
        <v>0</v>
      </c>
      <c r="BN249" s="954">
        <v>0</v>
      </c>
      <c r="BO249" s="608">
        <v>0</v>
      </c>
      <c r="BP249" s="608">
        <v>0</v>
      </c>
      <c r="BQ249" s="960">
        <v>0</v>
      </c>
      <c r="BR249" s="153">
        <f t="shared" si="330"/>
        <v>0</v>
      </c>
      <c r="BS249" s="954">
        <v>0</v>
      </c>
      <c r="BT249" s="608">
        <f>958-BS249</f>
        <v>958</v>
      </c>
      <c r="BU249" s="608">
        <f>958-SUM(BS249:BT249)</f>
        <v>0</v>
      </c>
      <c r="BV249" s="960">
        <f>958-SUM(BS249:BU249)</f>
        <v>0</v>
      </c>
      <c r="BW249" s="153">
        <f t="shared" si="331"/>
        <v>958</v>
      </c>
      <c r="BX249" s="1090">
        <v>0</v>
      </c>
      <c r="BY249" s="863">
        <v>0</v>
      </c>
      <c r="BZ249" s="863">
        <f>737-BY249-BX249</f>
        <v>737</v>
      </c>
      <c r="CA249" s="960">
        <f>737-SUM(BX249:BZ249)</f>
        <v>0</v>
      </c>
      <c r="CB249" s="153">
        <f t="shared" si="332"/>
        <v>737</v>
      </c>
      <c r="CC249" s="914">
        <f>'debt schedule'!CD192+'debt schedule'!CD193</f>
        <v>0</v>
      </c>
      <c r="CD249" s="153">
        <f>'debt schedule'!CE192+'debt schedule'!CE193</f>
        <v>0</v>
      </c>
      <c r="CE249" s="153">
        <f>'debt schedule'!CF192+'debt schedule'!CF193</f>
        <v>0</v>
      </c>
      <c r="CF249" s="915">
        <f>'debt schedule'!CG192+'debt schedule'!CG193</f>
        <v>0</v>
      </c>
      <c r="CG249" s="153">
        <f t="shared" si="333"/>
        <v>0</v>
      </c>
      <c r="CH249" s="914">
        <f>'debt schedule'!CI192+'debt schedule'!CI193</f>
        <v>0</v>
      </c>
      <c r="CI249" s="153">
        <f>'debt schedule'!CJ192+'debt schedule'!CJ193</f>
        <v>0</v>
      </c>
      <c r="CJ249" s="153">
        <f>'debt schedule'!CK192+'debt schedule'!CK193</f>
        <v>0</v>
      </c>
      <c r="CK249" s="915">
        <f>'debt schedule'!CL192+'debt schedule'!CL193</f>
        <v>0</v>
      </c>
      <c r="CL249" s="153">
        <f t="shared" si="334"/>
        <v>0</v>
      </c>
      <c r="CM249" s="914">
        <f>'debt schedule'!CN192+'debt schedule'!CN193</f>
        <v>0</v>
      </c>
      <c r="CN249" s="153">
        <f>'debt schedule'!CO192+'debt schedule'!CO193</f>
        <v>0</v>
      </c>
      <c r="CO249" s="153">
        <f>'debt schedule'!CP192+'debt schedule'!CP193</f>
        <v>0</v>
      </c>
      <c r="CP249" s="915">
        <f>'debt schedule'!CQ192+'debt schedule'!CQ193</f>
        <v>0</v>
      </c>
      <c r="CQ249" s="915">
        <f t="shared" si="335"/>
        <v>0</v>
      </c>
      <c r="CR249" s="75"/>
    </row>
    <row r="250" spans="1:96" ht="13.5" customHeight="1">
      <c r="A250" s="81"/>
      <c r="B250" s="81" t="s">
        <v>869</v>
      </c>
      <c r="C250" s="93"/>
      <c r="D250" s="75"/>
      <c r="E250" s="75"/>
      <c r="F250" s="608">
        <v>0</v>
      </c>
      <c r="G250" s="608">
        <v>-2</v>
      </c>
      <c r="H250" s="627">
        <f>-3-G250-F250</f>
        <v>-1</v>
      </c>
      <c r="I250" s="153">
        <f t="shared" si="336"/>
        <v>-27</v>
      </c>
      <c r="J250" s="608">
        <v>-30</v>
      </c>
      <c r="K250" s="608">
        <v>-2</v>
      </c>
      <c r="L250" s="627">
        <f>-289-K250</f>
        <v>-287</v>
      </c>
      <c r="M250" s="627">
        <f>-297-L250-K250</f>
        <v>-8</v>
      </c>
      <c r="N250" s="153">
        <f t="shared" si="324"/>
        <v>297</v>
      </c>
      <c r="O250" s="608">
        <v>0</v>
      </c>
      <c r="P250" s="608">
        <v>0</v>
      </c>
      <c r="Q250" s="608">
        <v>-6</v>
      </c>
      <c r="R250" s="608">
        <f>-7-Q250-P250</f>
        <v>-1</v>
      </c>
      <c r="S250" s="153">
        <f t="shared" si="325"/>
        <v>-45</v>
      </c>
      <c r="T250" s="608">
        <v>-52</v>
      </c>
      <c r="U250" s="608">
        <v>-83</v>
      </c>
      <c r="V250" s="608">
        <f>-156-U250</f>
        <v>-73</v>
      </c>
      <c r="W250" s="608">
        <f>-277-V250-U250</f>
        <v>-121</v>
      </c>
      <c r="X250" s="153">
        <f>Y250-SUM(U250:W250)</f>
        <v>-330</v>
      </c>
      <c r="Y250" s="608">
        <f>-248-359</f>
        <v>-607</v>
      </c>
      <c r="Z250" s="608">
        <f>-53</f>
        <v>-53</v>
      </c>
      <c r="AA250" s="608">
        <f>-449-Z250</f>
        <v>-396</v>
      </c>
      <c r="AB250" s="608">
        <f>-458-AA250-Z250</f>
        <v>-9</v>
      </c>
      <c r="AC250" s="153">
        <f t="shared" si="326"/>
        <v>-415</v>
      </c>
      <c r="AD250" s="608">
        <v>-873</v>
      </c>
      <c r="AE250" s="608">
        <v>-3</v>
      </c>
      <c r="AF250" s="608">
        <f>-36-AE250</f>
        <v>-33</v>
      </c>
      <c r="AG250" s="608">
        <f>-359-44-AF250-AE250</f>
        <v>-367</v>
      </c>
      <c r="AH250" s="153">
        <f>AI250-SUM(AE250:AG250)</f>
        <v>-21</v>
      </c>
      <c r="AI250" s="608">
        <f>-380-44</f>
        <v>-424</v>
      </c>
      <c r="AJ250" s="954">
        <v>-4</v>
      </c>
      <c r="AK250" s="608">
        <f>-667-AJ250</f>
        <v>-663</v>
      </c>
      <c r="AL250" s="608">
        <f>-671-AK250-AJ250</f>
        <v>-4</v>
      </c>
      <c r="AM250" s="915">
        <f>AN250-SUM(AJ250:AL250)</f>
        <v>-129</v>
      </c>
      <c r="AN250" s="608">
        <v>-800</v>
      </c>
      <c r="AO250" s="954">
        <f>-270-4</f>
        <v>-274</v>
      </c>
      <c r="AP250" s="608">
        <f>-270-103-AO250</f>
        <v>-99</v>
      </c>
      <c r="AQ250" s="608">
        <f>-105-297-AP250-AO250</f>
        <v>-29</v>
      </c>
      <c r="AR250" s="915">
        <f>AS250-SUM(AO250:AQ250)</f>
        <v>-15</v>
      </c>
      <c r="AS250" s="608">
        <f>-107-310</f>
        <v>-417</v>
      </c>
      <c r="AT250" s="954">
        <v>-4</v>
      </c>
      <c r="AU250" s="608">
        <f>-1100-AT250-14</f>
        <v>-1110</v>
      </c>
      <c r="AV250" s="608">
        <f>-3163-18-AU250-AT250</f>
        <v>-2067</v>
      </c>
      <c r="AW250" s="915">
        <f t="shared" si="327"/>
        <v>-1605</v>
      </c>
      <c r="AX250" s="608">
        <f>-4570-216</f>
        <v>-4786</v>
      </c>
      <c r="AY250" s="954">
        <f>-652-380-4</f>
        <v>-1036</v>
      </c>
      <c r="AZ250" s="608">
        <f>-315-653-380-AY250</f>
        <v>-312</v>
      </c>
      <c r="BA250" s="608">
        <f>-653-319-AZ250-AY250</f>
        <v>376</v>
      </c>
      <c r="BB250" s="915">
        <f>BC250-SUM(AY250:BA250)</f>
        <v>0</v>
      </c>
      <c r="BC250" s="608">
        <f>-653-319</f>
        <v>-972</v>
      </c>
      <c r="BD250" s="954">
        <v>-542</v>
      </c>
      <c r="BE250" s="608">
        <f>-542-BD250</f>
        <v>0</v>
      </c>
      <c r="BF250" s="608">
        <f>-542-BE250-BD250</f>
        <v>0</v>
      </c>
      <c r="BG250" s="960">
        <f>-542-SUM(BD250:BF250)</f>
        <v>0</v>
      </c>
      <c r="BH250" s="153">
        <f t="shared" si="328"/>
        <v>-542</v>
      </c>
      <c r="BI250" s="954">
        <v>0</v>
      </c>
      <c r="BJ250" s="608">
        <f>-322-BI250</f>
        <v>-322</v>
      </c>
      <c r="BK250" s="608">
        <f>-323-SUM(BI250:BJ250)</f>
        <v>-1</v>
      </c>
      <c r="BL250" s="960">
        <f>-325-SUM(BI250:BK250)</f>
        <v>-2</v>
      </c>
      <c r="BM250" s="153">
        <f t="shared" si="329"/>
        <v>-325</v>
      </c>
      <c r="BN250" s="1033">
        <v>0</v>
      </c>
      <c r="BO250" s="608">
        <f>-18-BN250</f>
        <v>-18</v>
      </c>
      <c r="BP250" s="608">
        <f>-18-BO250-BN250</f>
        <v>0</v>
      </c>
      <c r="BQ250" s="960">
        <f>-379-BP250-BO250-BN250</f>
        <v>-361</v>
      </c>
      <c r="BR250" s="153">
        <f t="shared" si="330"/>
        <v>-379</v>
      </c>
      <c r="BS250" s="954">
        <v>-17</v>
      </c>
      <c r="BT250" s="608">
        <f>-962-BS250</f>
        <v>-945</v>
      </c>
      <c r="BU250" s="608">
        <f>-1019-SUM(BS250:BT250)</f>
        <v>-57</v>
      </c>
      <c r="BV250" s="960">
        <f>-1070-SUM(BS250:BU250)</f>
        <v>-51</v>
      </c>
      <c r="BW250" s="153">
        <f t="shared" si="331"/>
        <v>-1070</v>
      </c>
      <c r="BX250" s="1090">
        <v>0</v>
      </c>
      <c r="BY250" s="863">
        <f>-108-BX250</f>
        <v>-108</v>
      </c>
      <c r="BZ250" s="863">
        <f>-902-BY250-BX250</f>
        <v>-794</v>
      </c>
      <c r="CA250" s="960">
        <f>-1104-SUM(BX250:BZ250)</f>
        <v>-202</v>
      </c>
      <c r="CB250" s="153">
        <f t="shared" si="332"/>
        <v>-1104</v>
      </c>
      <c r="CC250" s="914">
        <f>'debt schedule'!CD194</f>
        <v>0</v>
      </c>
      <c r="CD250" s="153">
        <f>'debt schedule'!CE194</f>
        <v>0</v>
      </c>
      <c r="CE250" s="153">
        <f>'debt schedule'!CF194</f>
        <v>0</v>
      </c>
      <c r="CF250" s="915">
        <f>'debt schedule'!CG194</f>
        <v>0</v>
      </c>
      <c r="CG250" s="153">
        <f t="shared" si="333"/>
        <v>0</v>
      </c>
      <c r="CH250" s="914">
        <f>'debt schedule'!CI194</f>
        <v>0</v>
      </c>
      <c r="CI250" s="153">
        <f>'debt schedule'!CJ194</f>
        <v>0</v>
      </c>
      <c r="CJ250" s="153">
        <f>'debt schedule'!CK194</f>
        <v>0</v>
      </c>
      <c r="CK250" s="915">
        <f>'debt schedule'!CL194</f>
        <v>0</v>
      </c>
      <c r="CL250" s="153">
        <f t="shared" si="334"/>
        <v>0</v>
      </c>
      <c r="CM250" s="914">
        <f>'debt schedule'!CN194</f>
        <v>0</v>
      </c>
      <c r="CN250" s="153">
        <f>'debt schedule'!CO194</f>
        <v>0</v>
      </c>
      <c r="CO250" s="153">
        <f>'debt schedule'!CP194</f>
        <v>0</v>
      </c>
      <c r="CP250" s="915">
        <f>'debt schedule'!CQ194</f>
        <v>0</v>
      </c>
      <c r="CQ250" s="915">
        <f t="shared" si="335"/>
        <v>0</v>
      </c>
      <c r="CR250" s="75"/>
    </row>
    <row r="251" spans="1:96" ht="13.5" customHeight="1">
      <c r="A251" s="81"/>
      <c r="B251" s="81" t="s">
        <v>870</v>
      </c>
      <c r="C251" s="93"/>
      <c r="D251" s="75"/>
      <c r="E251" s="75"/>
      <c r="F251" s="608">
        <v>0</v>
      </c>
      <c r="G251" s="608">
        <v>0</v>
      </c>
      <c r="H251" s="608">
        <v>0</v>
      </c>
      <c r="I251" s="153">
        <f t="shared" si="336"/>
        <v>0</v>
      </c>
      <c r="J251" s="627">
        <f>-15+15</f>
        <v>0</v>
      </c>
      <c r="K251" s="627">
        <f>40-30</f>
        <v>10</v>
      </c>
      <c r="L251" s="627">
        <f>83-70-K251</f>
        <v>3</v>
      </c>
      <c r="M251" s="627">
        <f>-135+135-L251-K251</f>
        <v>-13</v>
      </c>
      <c r="N251" s="153">
        <f t="shared" si="324"/>
        <v>-569</v>
      </c>
      <c r="O251" s="608">
        <v>-569</v>
      </c>
      <c r="P251" s="608">
        <v>0</v>
      </c>
      <c r="Q251" s="608">
        <v>0</v>
      </c>
      <c r="R251" s="608">
        <v>0</v>
      </c>
      <c r="S251" s="153">
        <f t="shared" si="325"/>
        <v>231</v>
      </c>
      <c r="T251" s="608">
        <v>231</v>
      </c>
      <c r="U251" s="608">
        <v>0</v>
      </c>
      <c r="V251" s="608">
        <v>0</v>
      </c>
      <c r="W251" s="608">
        <v>0</v>
      </c>
      <c r="X251" s="608">
        <v>0</v>
      </c>
      <c r="Y251" s="153">
        <f>SUM(U251:X251)</f>
        <v>0</v>
      </c>
      <c r="Z251" s="608">
        <v>0</v>
      </c>
      <c r="AA251" s="608">
        <v>0</v>
      </c>
      <c r="AB251" s="608">
        <v>0</v>
      </c>
      <c r="AC251" s="153">
        <f t="shared" si="326"/>
        <v>0</v>
      </c>
      <c r="AD251" s="608">
        <v>0</v>
      </c>
      <c r="AE251" s="608">
        <v>0</v>
      </c>
      <c r="AF251" s="608">
        <v>0</v>
      </c>
      <c r="AG251" s="608">
        <v>0</v>
      </c>
      <c r="AH251" s="608">
        <v>0</v>
      </c>
      <c r="AI251" s="153">
        <f>SUM(AE251:AH251)</f>
        <v>0</v>
      </c>
      <c r="AJ251" s="954">
        <v>0</v>
      </c>
      <c r="AK251" s="608">
        <v>0</v>
      </c>
      <c r="AL251" s="608">
        <v>0</v>
      </c>
      <c r="AM251" s="960">
        <v>0</v>
      </c>
      <c r="AN251" s="153">
        <f>SUM(AJ251:AM251)</f>
        <v>0</v>
      </c>
      <c r="AO251" s="954">
        <v>0</v>
      </c>
      <c r="AP251" s="608">
        <v>0</v>
      </c>
      <c r="AQ251" s="608">
        <v>0</v>
      </c>
      <c r="AR251" s="960">
        <v>0</v>
      </c>
      <c r="AS251" s="153">
        <f>SUM(AO251:AR251)</f>
        <v>0</v>
      </c>
      <c r="AT251" s="954">
        <v>0</v>
      </c>
      <c r="AU251" s="608">
        <v>0</v>
      </c>
      <c r="AV251" s="608">
        <v>0</v>
      </c>
      <c r="AW251" s="915">
        <f t="shared" si="327"/>
        <v>0</v>
      </c>
      <c r="AX251" s="608">
        <v>0</v>
      </c>
      <c r="AY251" s="954">
        <v>0</v>
      </c>
      <c r="AZ251" s="608">
        <v>0</v>
      </c>
      <c r="BA251" s="608">
        <v>0</v>
      </c>
      <c r="BB251" s="960">
        <v>0</v>
      </c>
      <c r="BC251" s="153">
        <f>SUM(AY251:BB251)</f>
        <v>0</v>
      </c>
      <c r="BD251" s="954">
        <v>0</v>
      </c>
      <c r="BE251" s="608">
        <v>0</v>
      </c>
      <c r="BF251" s="608">
        <v>0</v>
      </c>
      <c r="BG251" s="960">
        <v>0</v>
      </c>
      <c r="BH251" s="153">
        <f t="shared" si="328"/>
        <v>0</v>
      </c>
      <c r="BI251" s="954">
        <v>0</v>
      </c>
      <c r="BJ251" s="608">
        <v>0</v>
      </c>
      <c r="BK251" s="608">
        <v>0</v>
      </c>
      <c r="BL251" s="960">
        <v>0</v>
      </c>
      <c r="BM251" s="153">
        <f t="shared" si="329"/>
        <v>0</v>
      </c>
      <c r="BN251" s="954">
        <v>0</v>
      </c>
      <c r="BO251" s="608">
        <v>0</v>
      </c>
      <c r="BP251" s="608">
        <v>0</v>
      </c>
      <c r="BQ251" s="960">
        <v>0</v>
      </c>
      <c r="BR251" s="153">
        <f t="shared" si="330"/>
        <v>0</v>
      </c>
      <c r="BS251" s="954">
        <v>0</v>
      </c>
      <c r="BT251" s="608">
        <v>0</v>
      </c>
      <c r="BU251" s="608">
        <v>0</v>
      </c>
      <c r="BV251" s="960">
        <v>0</v>
      </c>
      <c r="BW251" s="153">
        <f t="shared" si="331"/>
        <v>0</v>
      </c>
      <c r="BX251" s="1090">
        <v>0</v>
      </c>
      <c r="BY251" s="863">
        <v>0</v>
      </c>
      <c r="BZ251" s="863">
        <v>0</v>
      </c>
      <c r="CA251" s="960">
        <v>0</v>
      </c>
      <c r="CB251" s="153">
        <f t="shared" si="332"/>
        <v>0</v>
      </c>
      <c r="CC251" s="954">
        <v>0</v>
      </c>
      <c r="CD251" s="608">
        <v>0</v>
      </c>
      <c r="CE251" s="608">
        <v>0</v>
      </c>
      <c r="CF251" s="960">
        <v>0</v>
      </c>
      <c r="CG251" s="153">
        <f t="shared" si="333"/>
        <v>0</v>
      </c>
      <c r="CH251" s="954">
        <v>0</v>
      </c>
      <c r="CI251" s="608">
        <v>0</v>
      </c>
      <c r="CJ251" s="608">
        <v>0</v>
      </c>
      <c r="CK251" s="960">
        <v>0</v>
      </c>
      <c r="CL251" s="153">
        <f t="shared" si="334"/>
        <v>0</v>
      </c>
      <c r="CM251" s="954">
        <v>0</v>
      </c>
      <c r="CN251" s="608">
        <v>0</v>
      </c>
      <c r="CO251" s="608">
        <v>0</v>
      </c>
      <c r="CP251" s="960">
        <v>0</v>
      </c>
      <c r="CQ251" s="915">
        <f t="shared" si="335"/>
        <v>0</v>
      </c>
      <c r="CR251" s="75"/>
    </row>
    <row r="252" spans="1:96" ht="13.5" customHeight="1">
      <c r="A252" s="81"/>
      <c r="B252" s="81" t="s">
        <v>871</v>
      </c>
      <c r="C252" s="93"/>
      <c r="D252" s="75"/>
      <c r="E252" s="75"/>
      <c r="F252" s="608">
        <v>0</v>
      </c>
      <c r="G252" s="608">
        <v>0</v>
      </c>
      <c r="H252" s="608">
        <v>0</v>
      </c>
      <c r="I252" s="153">
        <f t="shared" si="336"/>
        <v>0</v>
      </c>
      <c r="J252" s="608">
        <v>0</v>
      </c>
      <c r="K252" s="608">
        <v>0</v>
      </c>
      <c r="L252" s="608">
        <v>0</v>
      </c>
      <c r="M252" s="608">
        <v>0</v>
      </c>
      <c r="N252" s="153">
        <f t="shared" si="324"/>
        <v>73</v>
      </c>
      <c r="O252" s="608">
        <v>73</v>
      </c>
      <c r="P252" s="608">
        <v>-51</v>
      </c>
      <c r="Q252" s="608">
        <f>27-P252</f>
        <v>78</v>
      </c>
      <c r="R252" s="608">
        <f>20-Q252-P252</f>
        <v>-7</v>
      </c>
      <c r="S252" s="153">
        <f t="shared" si="325"/>
        <v>17</v>
      </c>
      <c r="T252" s="608">
        <v>37</v>
      </c>
      <c r="U252" s="608">
        <v>-16</v>
      </c>
      <c r="V252" s="608">
        <f>-13-U252</f>
        <v>3</v>
      </c>
      <c r="W252" s="608">
        <f>5-V252-U252</f>
        <v>18</v>
      </c>
      <c r="X252" s="153">
        <f>Y252-SUM(U252:W252)</f>
        <v>-54</v>
      </c>
      <c r="Y252" s="608">
        <f>-49</f>
        <v>-49</v>
      </c>
      <c r="Z252" s="608">
        <v>13</v>
      </c>
      <c r="AA252" s="608">
        <f>63-Z252</f>
        <v>50</v>
      </c>
      <c r="AB252" s="608">
        <f>61-AA252-Z252</f>
        <v>-2</v>
      </c>
      <c r="AC252" s="153">
        <f t="shared" si="326"/>
        <v>-74</v>
      </c>
      <c r="AD252" s="608">
        <v>-13</v>
      </c>
      <c r="AE252" s="608">
        <v>0</v>
      </c>
      <c r="AF252" s="608">
        <v>0</v>
      </c>
      <c r="AG252" s="608">
        <v>0</v>
      </c>
      <c r="AH252" s="608">
        <v>0</v>
      </c>
      <c r="AI252" s="153">
        <f>SUM(AE252:AH252)</f>
        <v>0</v>
      </c>
      <c r="AJ252" s="954">
        <v>0</v>
      </c>
      <c r="AK252" s="608">
        <v>0</v>
      </c>
      <c r="AL252" s="608">
        <v>0</v>
      </c>
      <c r="AM252" s="960">
        <v>0</v>
      </c>
      <c r="AN252" s="153">
        <f>SUM(AJ252:AM252)</f>
        <v>0</v>
      </c>
      <c r="AO252" s="954">
        <v>0</v>
      </c>
      <c r="AP252" s="608">
        <v>0</v>
      </c>
      <c r="AQ252" s="608">
        <v>0</v>
      </c>
      <c r="AR252" s="960">
        <v>0</v>
      </c>
      <c r="AS252" s="153">
        <f>SUM(AO252:AR252)</f>
        <v>0</v>
      </c>
      <c r="AT252" s="954">
        <v>0</v>
      </c>
      <c r="AU252" s="608">
        <v>0</v>
      </c>
      <c r="AV252" s="608">
        <v>0</v>
      </c>
      <c r="AW252" s="915">
        <f t="shared" si="327"/>
        <v>0</v>
      </c>
      <c r="AX252" s="608">
        <v>0</v>
      </c>
      <c r="AY252" s="954">
        <v>0</v>
      </c>
      <c r="AZ252" s="608">
        <v>0</v>
      </c>
      <c r="BA252" s="608">
        <v>0</v>
      </c>
      <c r="BB252" s="960">
        <v>0</v>
      </c>
      <c r="BC252" s="153">
        <f>SUM(AY252:BB252)</f>
        <v>0</v>
      </c>
      <c r="BD252" s="954">
        <v>0</v>
      </c>
      <c r="BE252" s="608">
        <v>0</v>
      </c>
      <c r="BF252" s="608">
        <v>0</v>
      </c>
      <c r="BG252" s="960">
        <v>0</v>
      </c>
      <c r="BH252" s="153">
        <f t="shared" si="328"/>
        <v>0</v>
      </c>
      <c r="BI252" s="954">
        <v>0</v>
      </c>
      <c r="BJ252" s="608">
        <v>0</v>
      </c>
      <c r="BK252" s="608">
        <v>0</v>
      </c>
      <c r="BL252" s="960">
        <v>0</v>
      </c>
      <c r="BM252" s="153">
        <f t="shared" si="329"/>
        <v>0</v>
      </c>
      <c r="BN252" s="954">
        <v>0</v>
      </c>
      <c r="BO252" s="608">
        <v>0</v>
      </c>
      <c r="BP252" s="608">
        <v>0</v>
      </c>
      <c r="BQ252" s="960">
        <v>0</v>
      </c>
      <c r="BR252" s="153">
        <f t="shared" si="330"/>
        <v>0</v>
      </c>
      <c r="BS252" s="954">
        <v>0</v>
      </c>
      <c r="BT252" s="608">
        <v>0</v>
      </c>
      <c r="BU252" s="608">
        <v>0</v>
      </c>
      <c r="BV252" s="960">
        <v>0</v>
      </c>
      <c r="BW252" s="153">
        <f t="shared" si="331"/>
        <v>0</v>
      </c>
      <c r="BX252" s="1090">
        <v>0</v>
      </c>
      <c r="BY252" s="863">
        <v>0</v>
      </c>
      <c r="BZ252" s="863">
        <v>0</v>
      </c>
      <c r="CA252" s="960">
        <v>0</v>
      </c>
      <c r="CB252" s="153">
        <f t="shared" si="332"/>
        <v>0</v>
      </c>
      <c r="CC252" s="954">
        <v>0</v>
      </c>
      <c r="CD252" s="608">
        <v>0</v>
      </c>
      <c r="CE252" s="608">
        <v>0</v>
      </c>
      <c r="CF252" s="960">
        <v>0</v>
      </c>
      <c r="CG252" s="153">
        <f t="shared" si="333"/>
        <v>0</v>
      </c>
      <c r="CH252" s="954">
        <v>0</v>
      </c>
      <c r="CI252" s="608">
        <v>0</v>
      </c>
      <c r="CJ252" s="608">
        <v>0</v>
      </c>
      <c r="CK252" s="960">
        <v>0</v>
      </c>
      <c r="CL252" s="153">
        <f t="shared" si="334"/>
        <v>0</v>
      </c>
      <c r="CM252" s="954">
        <v>0</v>
      </c>
      <c r="CN252" s="608">
        <v>0</v>
      </c>
      <c r="CO252" s="608">
        <v>0</v>
      </c>
      <c r="CP252" s="960">
        <v>0</v>
      </c>
      <c r="CQ252" s="915">
        <f t="shared" si="335"/>
        <v>0</v>
      </c>
      <c r="CR252" s="75"/>
    </row>
    <row r="253" spans="1:96" ht="13.5" customHeight="1">
      <c r="A253" s="81"/>
      <c r="B253" s="81" t="s">
        <v>872</v>
      </c>
      <c r="C253" s="93"/>
      <c r="D253" s="75"/>
      <c r="E253" s="75"/>
      <c r="F253" s="608">
        <v>-5</v>
      </c>
      <c r="G253" s="627">
        <f>-16-F253</f>
        <v>-11</v>
      </c>
      <c r="H253" s="627">
        <f>-26-G253-F253</f>
        <v>-10</v>
      </c>
      <c r="I253" s="153">
        <f t="shared" si="336"/>
        <v>-9</v>
      </c>
      <c r="J253" s="608">
        <v>-35</v>
      </c>
      <c r="K253" s="608">
        <v>-9</v>
      </c>
      <c r="L253" s="627">
        <f>-19-K253</f>
        <v>-10</v>
      </c>
      <c r="M253" s="627">
        <f>-29-L253-K253</f>
        <v>-10</v>
      </c>
      <c r="N253" s="153">
        <f t="shared" si="324"/>
        <v>-10</v>
      </c>
      <c r="O253" s="608">
        <v>-39</v>
      </c>
      <c r="P253" s="608">
        <v>-13</v>
      </c>
      <c r="Q253" s="608">
        <f>-29-P253</f>
        <v>-16</v>
      </c>
      <c r="R253" s="608">
        <f>-45-Q253-P253</f>
        <v>-16</v>
      </c>
      <c r="S253" s="153">
        <f t="shared" si="325"/>
        <v>-15</v>
      </c>
      <c r="T253" s="608">
        <v>-60</v>
      </c>
      <c r="U253" s="608">
        <v>-15</v>
      </c>
      <c r="V253" s="608">
        <f>-36-U253</f>
        <v>-21</v>
      </c>
      <c r="W253" s="608">
        <f>-54-V253-U253</f>
        <v>-18</v>
      </c>
      <c r="X253" s="153">
        <f>Y253-SUM(U253:W253)</f>
        <v>-23</v>
      </c>
      <c r="Y253" s="608">
        <f>-77</f>
        <v>-77</v>
      </c>
      <c r="Z253" s="608">
        <f>-24</f>
        <v>-24</v>
      </c>
      <c r="AA253" s="608">
        <f>-47-Z253</f>
        <v>-23</v>
      </c>
      <c r="AB253" s="608">
        <f>-71-AA253-Z253</f>
        <v>-24</v>
      </c>
      <c r="AC253" s="153">
        <f t="shared" si="326"/>
        <v>-24</v>
      </c>
      <c r="AD253" s="608">
        <v>-95</v>
      </c>
      <c r="AE253" s="608">
        <v>-29</v>
      </c>
      <c r="AF253" s="608">
        <f>-59-AE253</f>
        <v>-30</v>
      </c>
      <c r="AG253" s="608">
        <f>-94-AF253-AE253</f>
        <v>-35</v>
      </c>
      <c r="AH253" s="153">
        <f>AI253-SUM(AE253:AG253)</f>
        <v>-35</v>
      </c>
      <c r="AI253" s="608">
        <v>-129</v>
      </c>
      <c r="AJ253" s="954">
        <v>-35</v>
      </c>
      <c r="AK253" s="608">
        <f>-42-AJ253</f>
        <v>-7</v>
      </c>
      <c r="AL253" s="608">
        <f>-49-AK253-AJ253</f>
        <v>-7</v>
      </c>
      <c r="AM253" s="915">
        <f>AN253-SUM(AJ253:AL253)</f>
        <v>-7</v>
      </c>
      <c r="AN253" s="608">
        <v>-56</v>
      </c>
      <c r="AO253" s="954">
        <v>-7</v>
      </c>
      <c r="AP253" s="608">
        <f>-14-AO253</f>
        <v>-7</v>
      </c>
      <c r="AQ253" s="608">
        <f>-22-AP253-AO253</f>
        <v>-8</v>
      </c>
      <c r="AR253" s="915">
        <f>AS253-SUM(AO253:AQ253)</f>
        <v>-7</v>
      </c>
      <c r="AS253" s="608">
        <v>-29</v>
      </c>
      <c r="AT253" s="954">
        <v>-7</v>
      </c>
      <c r="AU253" s="608">
        <f>-14-AT253</f>
        <v>-7</v>
      </c>
      <c r="AV253" s="639">
        <f>-22-AU253-AT253</f>
        <v>-8</v>
      </c>
      <c r="AW253" s="915">
        <f t="shared" si="327"/>
        <v>-7</v>
      </c>
      <c r="AX253" s="608">
        <v>-29</v>
      </c>
      <c r="AY253" s="954">
        <v>-7</v>
      </c>
      <c r="AZ253" s="608">
        <f>-14-AY253</f>
        <v>-7</v>
      </c>
      <c r="BA253" s="608">
        <f>-22-AZ253-AY253</f>
        <v>-8</v>
      </c>
      <c r="BB253" s="915">
        <f>BC253-SUM(AY253:BA253)</f>
        <v>-7</v>
      </c>
      <c r="BC253" s="608">
        <v>-29</v>
      </c>
      <c r="BD253" s="954">
        <v>-7</v>
      </c>
      <c r="BE253" s="608">
        <f>-14-BD253</f>
        <v>-7</v>
      </c>
      <c r="BF253" s="608">
        <f>-22-BE253-BD253</f>
        <v>-8</v>
      </c>
      <c r="BG253" s="960">
        <f>-29-SUM(BD253:BF253)</f>
        <v>-7</v>
      </c>
      <c r="BH253" s="153">
        <f t="shared" si="328"/>
        <v>-29</v>
      </c>
      <c r="BI253" s="954">
        <v>-7</v>
      </c>
      <c r="BJ253" s="608">
        <f>-15-BI253</f>
        <v>-8</v>
      </c>
      <c r="BK253" s="608">
        <f>-22-SUM(BI253:BJ253)</f>
        <v>-7</v>
      </c>
      <c r="BL253" s="960">
        <f>-29-SUM(BI253:BK253)</f>
        <v>-7</v>
      </c>
      <c r="BM253" s="153">
        <f t="shared" si="329"/>
        <v>-29</v>
      </c>
      <c r="BN253" s="954">
        <v>-7</v>
      </c>
      <c r="BO253" s="608">
        <f>-15-BN253</f>
        <v>-8</v>
      </c>
      <c r="BP253" s="608">
        <f>-22-BO253-BN253</f>
        <v>-7</v>
      </c>
      <c r="BQ253" s="960">
        <f>-29-BP253-BO253-BN253</f>
        <v>-7</v>
      </c>
      <c r="BR253" s="153">
        <f t="shared" si="330"/>
        <v>-29</v>
      </c>
      <c r="BS253" s="954">
        <v>-7</v>
      </c>
      <c r="BT253" s="608">
        <f>-15-BS253</f>
        <v>-8</v>
      </c>
      <c r="BU253" s="608">
        <f>-22-SUM(BS253:BT253)</f>
        <v>-7</v>
      </c>
      <c r="BV253" s="960">
        <f>-31-SUM(BS253:BU253)</f>
        <v>-9</v>
      </c>
      <c r="BW253" s="153">
        <f t="shared" si="331"/>
        <v>-31</v>
      </c>
      <c r="BX253" s="1090">
        <v>-9</v>
      </c>
      <c r="BY253" s="863">
        <f>-18-BX253</f>
        <v>-9</v>
      </c>
      <c r="BZ253" s="863">
        <f>-26-BY253-BX253</f>
        <v>-8</v>
      </c>
      <c r="CA253" s="960">
        <f>-35-SUM(BX253:BZ253)</f>
        <v>-9</v>
      </c>
      <c r="CB253" s="153">
        <f t="shared" si="332"/>
        <v>-35</v>
      </c>
      <c r="CC253" s="914">
        <f>-CC69*CC77</f>
        <v>-8.7497232</v>
      </c>
      <c r="CD253" s="153">
        <f>-CD69*CD77</f>
        <v>-8.7497232</v>
      </c>
      <c r="CE253" s="153">
        <f>-CE69*CE77</f>
        <v>-8.7497232</v>
      </c>
      <c r="CF253" s="915">
        <f>-CF69*CF77</f>
        <v>-8.7497232</v>
      </c>
      <c r="CG253" s="153">
        <f t="shared" si="333"/>
        <v>-34.9988928</v>
      </c>
      <c r="CH253" s="914">
        <f>-CH69*CH77</f>
        <v>-8.7497232</v>
      </c>
      <c r="CI253" s="153">
        <f>-CI69*CI77</f>
        <v>-8.7497232</v>
      </c>
      <c r="CJ253" s="153">
        <f>-CJ69*CJ77</f>
        <v>-8.7497232</v>
      </c>
      <c r="CK253" s="915">
        <f>-CK69*CK77</f>
        <v>-8.7497232</v>
      </c>
      <c r="CL253" s="153">
        <f t="shared" si="334"/>
        <v>-34.9988928</v>
      </c>
      <c r="CM253" s="914">
        <f>-CM69*CM77</f>
        <v>-8.7497232</v>
      </c>
      <c r="CN253" s="153">
        <f>-CN69*CN77</f>
        <v>-8.7497232</v>
      </c>
      <c r="CO253" s="153">
        <f>-CO69*CO77</f>
        <v>-8.7497232</v>
      </c>
      <c r="CP253" s="915">
        <f>-CP69*CP77</f>
        <v>-8.7497232</v>
      </c>
      <c r="CQ253" s="915">
        <f t="shared" si="335"/>
        <v>-34.9988928</v>
      </c>
      <c r="CR253" s="75"/>
    </row>
    <row r="254" spans="1:96" ht="13.5" customHeight="1">
      <c r="A254" s="81"/>
      <c r="B254" s="81" t="s">
        <v>873</v>
      </c>
      <c r="C254" s="93"/>
      <c r="D254" s="75"/>
      <c r="E254" s="75"/>
      <c r="F254" s="608">
        <v>0</v>
      </c>
      <c r="G254" s="608">
        <v>0</v>
      </c>
      <c r="H254" s="608">
        <v>0</v>
      </c>
      <c r="I254" s="153">
        <f t="shared" si="336"/>
        <v>0</v>
      </c>
      <c r="J254" s="608">
        <v>0</v>
      </c>
      <c r="K254" s="608">
        <v>0</v>
      </c>
      <c r="L254" s="627">
        <f>-5-K254</f>
        <v>-5</v>
      </c>
      <c r="M254" s="627">
        <f>-16-L254</f>
        <v>-11</v>
      </c>
      <c r="N254" s="153">
        <f t="shared" si="324"/>
        <v>-11</v>
      </c>
      <c r="O254" s="608">
        <v>-27</v>
      </c>
      <c r="P254" s="608">
        <v>-6</v>
      </c>
      <c r="Q254" s="608">
        <f>-17-P254</f>
        <v>-11</v>
      </c>
      <c r="R254" s="608">
        <f>-26-Q254-P254</f>
        <v>-9</v>
      </c>
      <c r="S254" s="153">
        <f t="shared" si="325"/>
        <v>-7</v>
      </c>
      <c r="T254" s="608">
        <v>-33</v>
      </c>
      <c r="U254" s="608">
        <v>-8</v>
      </c>
      <c r="V254" s="608">
        <f>-13-U254</f>
        <v>-5</v>
      </c>
      <c r="W254" s="608">
        <f>-15-V254-U254</f>
        <v>-2</v>
      </c>
      <c r="X254" s="153">
        <f>Y254-SUM(U254:W254)</f>
        <v>-3</v>
      </c>
      <c r="Y254" s="608">
        <f>-18</f>
        <v>-18</v>
      </c>
      <c r="Z254" s="608">
        <v>0</v>
      </c>
      <c r="AA254" s="608">
        <v>0</v>
      </c>
      <c r="AB254" s="608">
        <v>0</v>
      </c>
      <c r="AC254" s="153">
        <f t="shared" si="326"/>
        <v>0</v>
      </c>
      <c r="AD254" s="608">
        <v>0</v>
      </c>
      <c r="AE254" s="608">
        <v>7</v>
      </c>
      <c r="AF254" s="608">
        <v>0</v>
      </c>
      <c r="AG254" s="608">
        <v>0</v>
      </c>
      <c r="AH254" s="153">
        <f>AI254-SUM(AE254:AG254)</f>
        <v>0</v>
      </c>
      <c r="AI254" s="608">
        <v>7</v>
      </c>
      <c r="AJ254" s="954">
        <v>37</v>
      </c>
      <c r="AK254" s="608">
        <f>90-AJ254</f>
        <v>53</v>
      </c>
      <c r="AL254" s="608">
        <f>127-AK254-AJ254</f>
        <v>37</v>
      </c>
      <c r="AM254" s="915">
        <f>AN254-SUM(AJ254:AL254)</f>
        <v>34</v>
      </c>
      <c r="AN254" s="608">
        <v>161</v>
      </c>
      <c r="AO254" s="954">
        <v>0</v>
      </c>
      <c r="AP254" s="608">
        <v>0</v>
      </c>
      <c r="AQ254" s="608">
        <v>0</v>
      </c>
      <c r="AR254" s="960">
        <v>0</v>
      </c>
      <c r="AS254" s="153">
        <f>SUM(AO254:AR254)</f>
        <v>0</v>
      </c>
      <c r="AT254" s="954">
        <v>0</v>
      </c>
      <c r="AU254" s="608">
        <v>0</v>
      </c>
      <c r="AV254" s="608">
        <f>1-AU254-AT254</f>
        <v>1</v>
      </c>
      <c r="AW254" s="915">
        <f t="shared" si="327"/>
        <v>0</v>
      </c>
      <c r="AX254" s="608">
        <v>1</v>
      </c>
      <c r="AY254" s="954">
        <v>0</v>
      </c>
      <c r="AZ254" s="608">
        <v>0</v>
      </c>
      <c r="BA254" s="608">
        <v>0</v>
      </c>
      <c r="BB254" s="960">
        <v>0</v>
      </c>
      <c r="BC254" s="153">
        <f>SUM(AY254:BB254)</f>
        <v>0</v>
      </c>
      <c r="BD254" s="954">
        <v>0</v>
      </c>
      <c r="BE254" s="608">
        <v>0</v>
      </c>
      <c r="BF254" s="608">
        <v>0</v>
      </c>
      <c r="BG254" s="960">
        <v>0</v>
      </c>
      <c r="BH254" s="153">
        <f t="shared" si="328"/>
        <v>0</v>
      </c>
      <c r="BI254" s="954">
        <v>0</v>
      </c>
      <c r="BJ254" s="608">
        <v>0</v>
      </c>
      <c r="BK254" s="608">
        <v>0</v>
      </c>
      <c r="BL254" s="960">
        <v>0</v>
      </c>
      <c r="BM254" s="153">
        <f t="shared" si="329"/>
        <v>0</v>
      </c>
      <c r="BN254" s="954">
        <v>0</v>
      </c>
      <c r="BO254" s="608">
        <v>0</v>
      </c>
      <c r="BP254" s="608">
        <v>0</v>
      </c>
      <c r="BQ254" s="960">
        <v>0</v>
      </c>
      <c r="BR254" s="153">
        <f t="shared" si="330"/>
        <v>0</v>
      </c>
      <c r="BS254" s="954">
        <v>0</v>
      </c>
      <c r="BT254" s="608">
        <v>0</v>
      </c>
      <c r="BU254" s="608">
        <v>0</v>
      </c>
      <c r="BV254" s="960">
        <v>0</v>
      </c>
      <c r="BW254" s="153">
        <f t="shared" si="331"/>
        <v>0</v>
      </c>
      <c r="BX254" s="1090">
        <v>0</v>
      </c>
      <c r="BY254" s="863">
        <v>0</v>
      </c>
      <c r="BZ254" s="863">
        <v>0</v>
      </c>
      <c r="CA254" s="960">
        <v>0</v>
      </c>
      <c r="CB254" s="153">
        <f t="shared" si="332"/>
        <v>0</v>
      </c>
      <c r="CC254" s="954">
        <v>0</v>
      </c>
      <c r="CD254" s="608">
        <v>0</v>
      </c>
      <c r="CE254" s="608">
        <v>0</v>
      </c>
      <c r="CF254" s="960">
        <v>0</v>
      </c>
      <c r="CG254" s="153">
        <f t="shared" si="333"/>
        <v>0</v>
      </c>
      <c r="CH254" s="954">
        <v>0</v>
      </c>
      <c r="CI254" s="608">
        <v>0</v>
      </c>
      <c r="CJ254" s="608">
        <v>0</v>
      </c>
      <c r="CK254" s="960">
        <v>0</v>
      </c>
      <c r="CL254" s="153">
        <f t="shared" si="334"/>
        <v>0</v>
      </c>
      <c r="CM254" s="954">
        <v>0</v>
      </c>
      <c r="CN254" s="608">
        <v>0</v>
      </c>
      <c r="CO254" s="608">
        <v>0</v>
      </c>
      <c r="CP254" s="960">
        <v>0</v>
      </c>
      <c r="CQ254" s="915">
        <f t="shared" si="335"/>
        <v>0</v>
      </c>
      <c r="CR254" s="75"/>
    </row>
    <row r="255" spans="1:96" ht="13.5" customHeight="1">
      <c r="A255" s="75"/>
      <c r="B255" s="81" t="s">
        <v>862</v>
      </c>
      <c r="C255" s="75"/>
      <c r="D255" s="75"/>
      <c r="E255" s="75"/>
      <c r="F255" s="608">
        <v>0</v>
      </c>
      <c r="G255" s="608">
        <v>0</v>
      </c>
      <c r="H255" s="608">
        <v>0</v>
      </c>
      <c r="I255" s="153">
        <f t="shared" si="336"/>
        <v>0</v>
      </c>
      <c r="J255" s="608">
        <v>0</v>
      </c>
      <c r="K255" s="608">
        <v>0</v>
      </c>
      <c r="L255" s="608">
        <v>0</v>
      </c>
      <c r="M255" s="608">
        <v>0</v>
      </c>
      <c r="N255" s="153">
        <f t="shared" si="324"/>
        <v>-2</v>
      </c>
      <c r="O255" s="608">
        <v>-2</v>
      </c>
      <c r="P255" s="608">
        <v>0</v>
      </c>
      <c r="Q255" s="608">
        <v>0</v>
      </c>
      <c r="R255" s="608">
        <v>0</v>
      </c>
      <c r="S255" s="153">
        <f t="shared" si="325"/>
        <v>0</v>
      </c>
      <c r="T255" s="608">
        <v>0</v>
      </c>
      <c r="U255" s="608">
        <v>1</v>
      </c>
      <c r="V255" s="608">
        <f>1-U255</f>
        <v>0</v>
      </c>
      <c r="W255" s="608">
        <f>2-V255-U255</f>
        <v>1</v>
      </c>
      <c r="X255" s="153">
        <f>Y255-SUM(U255:W255)</f>
        <v>3</v>
      </c>
      <c r="Y255" s="608">
        <v>5</v>
      </c>
      <c r="Z255" s="608">
        <f>-2</f>
        <v>-2</v>
      </c>
      <c r="AA255" s="608">
        <f>1-Z255</f>
        <v>3</v>
      </c>
      <c r="AB255" s="608">
        <f>-1-AA255-Z255</f>
        <v>-2</v>
      </c>
      <c r="AC255" s="153">
        <f t="shared" si="326"/>
        <v>-4</v>
      </c>
      <c r="AD255" s="608">
        <v>-5</v>
      </c>
      <c r="AE255" s="608">
        <v>3</v>
      </c>
      <c r="AF255" s="608">
        <f>34-AE255-AF254-AE254</f>
        <v>24</v>
      </c>
      <c r="AG255" s="608">
        <f>68-AF255-AE255-AF254-AE254-AG254</f>
        <v>34</v>
      </c>
      <c r="AH255" s="153">
        <f>AI255-SUM(AE255:AG255)</f>
        <v>43</v>
      </c>
      <c r="AI255" s="608">
        <f>111-AI254</f>
        <v>104</v>
      </c>
      <c r="AJ255" s="954">
        <v>0</v>
      </c>
      <c r="AK255" s="608">
        <v>0</v>
      </c>
      <c r="AL255" s="608">
        <v>0</v>
      </c>
      <c r="AM255" s="960">
        <v>0</v>
      </c>
      <c r="AN255" s="153">
        <f>SUM(AJ255:AM255)</f>
        <v>0</v>
      </c>
      <c r="AO255" s="954">
        <v>0</v>
      </c>
      <c r="AP255" s="608">
        <v>0</v>
      </c>
      <c r="AQ255" s="608">
        <v>0</v>
      </c>
      <c r="AR255" s="960">
        <v>0</v>
      </c>
      <c r="AS255" s="153">
        <f>SUM(AO255:AR255)</f>
        <v>0</v>
      </c>
      <c r="AT255" s="954">
        <v>0</v>
      </c>
      <c r="AU255" s="608">
        <v>0</v>
      </c>
      <c r="AV255" s="608">
        <f>75-AU255-AT255</f>
        <v>75</v>
      </c>
      <c r="AW255" s="915">
        <f t="shared" si="327"/>
        <v>-75</v>
      </c>
      <c r="AX255" s="608">
        <f>1-AX254</f>
        <v>0</v>
      </c>
      <c r="AY255" s="954">
        <v>0</v>
      </c>
      <c r="AZ255" s="608">
        <v>0</v>
      </c>
      <c r="BA255" s="608">
        <f>-380-AZ255-AY255</f>
        <v>-380</v>
      </c>
      <c r="BB255" s="915">
        <f>BC255-SUM(AY255:BA255)</f>
        <v>0</v>
      </c>
      <c r="BC255" s="608">
        <v>-380</v>
      </c>
      <c r="BD255" s="954">
        <v>0</v>
      </c>
      <c r="BE255" s="608">
        <v>0</v>
      </c>
      <c r="BF255" s="608">
        <v>0</v>
      </c>
      <c r="BG255" s="960">
        <v>0</v>
      </c>
      <c r="BH255" s="153">
        <f t="shared" si="328"/>
        <v>0</v>
      </c>
      <c r="BI255" s="954">
        <v>0</v>
      </c>
      <c r="BJ255" s="608">
        <f>1-BI255</f>
        <v>1</v>
      </c>
      <c r="BK255" s="608">
        <f>10-SUM(BI255:BJ255)</f>
        <v>9</v>
      </c>
      <c r="BL255" s="960">
        <f>13-SUM(BI255:BK255)</f>
        <v>3</v>
      </c>
      <c r="BM255" s="153">
        <f t="shared" si="329"/>
        <v>13</v>
      </c>
      <c r="BN255" s="954">
        <v>0</v>
      </c>
      <c r="BO255" s="608">
        <v>1</v>
      </c>
      <c r="BP255" s="608">
        <f>1-BO255-BN255</f>
        <v>0</v>
      </c>
      <c r="BQ255" s="1034">
        <f>1-BP255-BO255-BN255</f>
        <v>0</v>
      </c>
      <c r="BR255" s="153">
        <f t="shared" si="330"/>
        <v>1</v>
      </c>
      <c r="BS255" s="954">
        <v>0</v>
      </c>
      <c r="BT255" s="608">
        <v>0</v>
      </c>
      <c r="BU255" s="608">
        <f>-15-SUM(BS255:BT255)</f>
        <v>-15</v>
      </c>
      <c r="BV255" s="960">
        <f>-15-SUM(BS255:BU255)</f>
        <v>0</v>
      </c>
      <c r="BW255" s="153">
        <f t="shared" si="331"/>
        <v>-15</v>
      </c>
      <c r="BX255" s="1090">
        <v>-7</v>
      </c>
      <c r="BY255" s="863">
        <f>-10-BX255</f>
        <v>-3</v>
      </c>
      <c r="BZ255" s="863">
        <f>-10-BY255-BX255</f>
        <v>0</v>
      </c>
      <c r="CA255" s="960">
        <f>-10-SUM(BX255:BZ255)</f>
        <v>0</v>
      </c>
      <c r="CB255" s="153">
        <f t="shared" si="332"/>
        <v>-10</v>
      </c>
      <c r="CC255" s="914">
        <f>'debt schedule'!CD197+'debt schedule'!CD195</f>
        <v>-1.7053025658242404E-13</v>
      </c>
      <c r="CD255" s="153">
        <f>'debt schedule'!CE197+'debt schedule'!CE195</f>
        <v>0</v>
      </c>
      <c r="CE255" s="153">
        <f>'debt schedule'!CF197+'debt schedule'!CF195</f>
        <v>0</v>
      </c>
      <c r="CF255" s="915">
        <f>'debt schedule'!CG197+'debt schedule'!CG195</f>
        <v>0</v>
      </c>
      <c r="CG255" s="153">
        <f t="shared" si="333"/>
        <v>-1.7053025658242404E-13</v>
      </c>
      <c r="CH255" s="914">
        <f>'debt schedule'!CI197+'debt schedule'!CI195</f>
        <v>0</v>
      </c>
      <c r="CI255" s="153">
        <f>'debt schedule'!CJ197+'debt schedule'!CJ195</f>
        <v>0</v>
      </c>
      <c r="CJ255" s="153">
        <f>'debt schedule'!CK197+'debt schedule'!CK195</f>
        <v>0</v>
      </c>
      <c r="CK255" s="915">
        <f>'debt schedule'!CL197+'debt schedule'!CL195</f>
        <v>0</v>
      </c>
      <c r="CL255" s="153">
        <f t="shared" si="334"/>
        <v>0</v>
      </c>
      <c r="CM255" s="914">
        <f>'debt schedule'!CN197+'debt schedule'!CN195</f>
        <v>0</v>
      </c>
      <c r="CN255" s="153">
        <f>'debt schedule'!CO197+'debt schedule'!CO195</f>
        <v>0</v>
      </c>
      <c r="CO255" s="153">
        <f>'debt schedule'!CP197+'debt schedule'!CP195</f>
        <v>0</v>
      </c>
      <c r="CP255" s="915">
        <f>'debt schedule'!CQ197+'debt schedule'!CQ195</f>
        <v>0</v>
      </c>
      <c r="CQ255" s="915">
        <f t="shared" si="335"/>
        <v>0</v>
      </c>
      <c r="CR255" s="75"/>
    </row>
    <row r="256" spans="1:96" ht="6.2" customHeight="1">
      <c r="A256" s="75"/>
      <c r="B256" s="81"/>
      <c r="C256" s="75"/>
      <c r="D256" s="75"/>
      <c r="E256" s="75"/>
      <c r="F256" s="234"/>
      <c r="G256" s="234"/>
      <c r="H256" s="234"/>
      <c r="I256" s="234"/>
      <c r="J256" s="234"/>
      <c r="K256" s="234"/>
      <c r="L256" s="234"/>
      <c r="M256" s="234"/>
      <c r="N256" s="234"/>
      <c r="O256" s="234"/>
      <c r="P256" s="234"/>
      <c r="Q256" s="234"/>
      <c r="R256" s="234"/>
      <c r="S256" s="234"/>
      <c r="T256" s="234"/>
      <c r="U256" s="234"/>
      <c r="V256" s="234"/>
      <c r="W256" s="234"/>
      <c r="X256" s="234"/>
      <c r="Y256" s="234"/>
      <c r="Z256" s="234"/>
      <c r="AA256" s="234"/>
      <c r="AB256" s="234"/>
      <c r="AC256" s="234"/>
      <c r="AD256" s="234"/>
      <c r="AE256" s="234"/>
      <c r="AF256" s="234"/>
      <c r="AG256" s="234"/>
      <c r="AH256" s="234"/>
      <c r="AI256" s="234"/>
      <c r="AJ256" s="1209"/>
      <c r="AK256" s="234"/>
      <c r="AL256" s="234"/>
      <c r="AM256" s="1210"/>
      <c r="AN256" s="234"/>
      <c r="AO256" s="1209"/>
      <c r="AP256" s="234"/>
      <c r="AQ256" s="234"/>
      <c r="AR256" s="1210"/>
      <c r="AS256" s="234"/>
      <c r="AT256" s="1209"/>
      <c r="AU256" s="234"/>
      <c r="AV256" s="234"/>
      <c r="AW256" s="1210"/>
      <c r="AX256" s="234"/>
      <c r="AY256" s="1209"/>
      <c r="AZ256" s="234"/>
      <c r="BA256" s="234"/>
      <c r="BB256" s="1210"/>
      <c r="BC256" s="234"/>
      <c r="BD256" s="1209"/>
      <c r="BE256" s="234"/>
      <c r="BF256" s="234"/>
      <c r="BG256" s="1210"/>
      <c r="BH256" s="234"/>
      <c r="BI256" s="1209"/>
      <c r="BJ256" s="234"/>
      <c r="BK256" s="234"/>
      <c r="BL256" s="1210"/>
      <c r="BM256" s="234"/>
      <c r="BN256" s="1209"/>
      <c r="BO256" s="234"/>
      <c r="BP256" s="234"/>
      <c r="BQ256" s="1210"/>
      <c r="BR256" s="234"/>
      <c r="BS256" s="1209"/>
      <c r="BT256" s="234"/>
      <c r="BU256" s="234"/>
      <c r="BV256" s="1210"/>
      <c r="BW256" s="234"/>
      <c r="BX256" s="1209"/>
      <c r="BY256" s="234"/>
      <c r="BZ256" s="234"/>
      <c r="CA256" s="1210"/>
      <c r="CB256" s="234"/>
      <c r="CC256" s="1209"/>
      <c r="CD256" s="234"/>
      <c r="CE256" s="234"/>
      <c r="CF256" s="1210"/>
      <c r="CG256" s="234"/>
      <c r="CH256" s="1209"/>
      <c r="CI256" s="234"/>
      <c r="CJ256" s="234"/>
      <c r="CK256" s="1210"/>
      <c r="CL256" s="234"/>
      <c r="CM256" s="1209"/>
      <c r="CN256" s="234"/>
      <c r="CO256" s="234"/>
      <c r="CP256" s="1210"/>
      <c r="CQ256" s="1210"/>
      <c r="CR256" s="75"/>
    </row>
    <row r="257" spans="1:96" ht="13.5" customHeight="1">
      <c r="A257" s="75"/>
      <c r="B257" s="93"/>
      <c r="C257" s="93" t="s">
        <v>874</v>
      </c>
      <c r="D257" s="75"/>
      <c r="E257" s="75"/>
      <c r="F257" s="238">
        <f t="shared" ref="F257:R257" si="337">SUM(F246:F255)</f>
        <v>243</v>
      </c>
      <c r="G257" s="238">
        <f t="shared" si="337"/>
        <v>420</v>
      </c>
      <c r="H257" s="238">
        <f t="shared" si="337"/>
        <v>-12</v>
      </c>
      <c r="I257" s="238">
        <f t="shared" si="337"/>
        <v>-24</v>
      </c>
      <c r="J257" s="238">
        <f t="shared" si="337"/>
        <v>627</v>
      </c>
      <c r="K257" s="238">
        <f t="shared" si="337"/>
        <v>338</v>
      </c>
      <c r="L257" s="238">
        <f t="shared" si="337"/>
        <v>-297</v>
      </c>
      <c r="M257" s="238">
        <f t="shared" si="337"/>
        <v>-35</v>
      </c>
      <c r="N257" s="238">
        <f t="shared" si="337"/>
        <v>-209</v>
      </c>
      <c r="O257" s="238">
        <f t="shared" si="337"/>
        <v>-203</v>
      </c>
      <c r="P257" s="238">
        <f t="shared" si="337"/>
        <v>-64</v>
      </c>
      <c r="Q257" s="238">
        <f t="shared" si="337"/>
        <v>46</v>
      </c>
      <c r="R257" s="238">
        <f t="shared" si="337"/>
        <v>-65</v>
      </c>
      <c r="S257" s="238">
        <f>T257-SUM(P257:R257)</f>
        <v>22</v>
      </c>
      <c r="T257" s="238">
        <f t="shared" ref="T257:AY257" si="338">SUM(T246:T255)</f>
        <v>-61</v>
      </c>
      <c r="U257" s="238">
        <f t="shared" si="338"/>
        <v>-118</v>
      </c>
      <c r="V257" s="238">
        <f t="shared" si="338"/>
        <v>-206</v>
      </c>
      <c r="W257" s="238">
        <f t="shared" si="338"/>
        <v>-395</v>
      </c>
      <c r="X257" s="238">
        <f t="shared" si="338"/>
        <v>-436</v>
      </c>
      <c r="Y257" s="238">
        <f t="shared" si="338"/>
        <v>-1155</v>
      </c>
      <c r="Z257" s="238">
        <f t="shared" si="338"/>
        <v>-86</v>
      </c>
      <c r="AA257" s="238">
        <f t="shared" si="338"/>
        <v>1194</v>
      </c>
      <c r="AB257" s="238">
        <f t="shared" si="338"/>
        <v>-66</v>
      </c>
      <c r="AC257" s="238">
        <f t="shared" si="338"/>
        <v>849</v>
      </c>
      <c r="AD257" s="238">
        <f t="shared" si="338"/>
        <v>1891</v>
      </c>
      <c r="AE257" s="238">
        <f t="shared" si="338"/>
        <v>-51</v>
      </c>
      <c r="AF257" s="238">
        <f t="shared" si="338"/>
        <v>-84</v>
      </c>
      <c r="AG257" s="238">
        <f t="shared" si="338"/>
        <v>-138</v>
      </c>
      <c r="AH257" s="238">
        <f t="shared" si="338"/>
        <v>-32</v>
      </c>
      <c r="AI257" s="238">
        <f t="shared" si="338"/>
        <v>-305</v>
      </c>
      <c r="AJ257" s="1211">
        <f t="shared" si="338"/>
        <v>-2</v>
      </c>
      <c r="AK257" s="1212">
        <f t="shared" si="338"/>
        <v>888</v>
      </c>
      <c r="AL257" s="1212">
        <f t="shared" si="338"/>
        <v>27</v>
      </c>
      <c r="AM257" s="1213">
        <f t="shared" si="338"/>
        <v>25</v>
      </c>
      <c r="AN257" s="238">
        <f t="shared" si="338"/>
        <v>938</v>
      </c>
      <c r="AO257" s="1211">
        <f t="shared" si="338"/>
        <v>302</v>
      </c>
      <c r="AP257" s="1212">
        <f t="shared" si="338"/>
        <v>-18</v>
      </c>
      <c r="AQ257" s="1212">
        <f t="shared" si="338"/>
        <v>-11</v>
      </c>
      <c r="AR257" s="1213">
        <f t="shared" si="338"/>
        <v>62</v>
      </c>
      <c r="AS257" s="238">
        <f t="shared" si="338"/>
        <v>335</v>
      </c>
      <c r="AT257" s="1211">
        <f t="shared" si="338"/>
        <v>-7</v>
      </c>
      <c r="AU257" s="1212">
        <f t="shared" si="338"/>
        <v>156</v>
      </c>
      <c r="AV257" s="1212">
        <f t="shared" si="338"/>
        <v>44</v>
      </c>
      <c r="AW257" s="1213">
        <f t="shared" si="338"/>
        <v>284</v>
      </c>
      <c r="AX257" s="238">
        <f t="shared" si="338"/>
        <v>477</v>
      </c>
      <c r="AY257" s="1211">
        <f t="shared" si="338"/>
        <v>-129</v>
      </c>
      <c r="AZ257" s="1212">
        <f t="shared" ref="AZ257:CE257" si="339">SUM(AZ246:AZ255)</f>
        <v>-318</v>
      </c>
      <c r="BA257" s="1212">
        <f t="shared" si="339"/>
        <v>81</v>
      </c>
      <c r="BB257" s="1213">
        <f t="shared" si="339"/>
        <v>-7</v>
      </c>
      <c r="BC257" s="238">
        <f t="shared" si="339"/>
        <v>-373</v>
      </c>
      <c r="BD257" s="1211">
        <f t="shared" si="339"/>
        <v>29</v>
      </c>
      <c r="BE257" s="1212">
        <f t="shared" si="339"/>
        <v>-9</v>
      </c>
      <c r="BF257" s="1212">
        <f t="shared" si="339"/>
        <v>-9</v>
      </c>
      <c r="BG257" s="1213">
        <f t="shared" si="339"/>
        <v>-7</v>
      </c>
      <c r="BH257" s="238">
        <f t="shared" si="339"/>
        <v>4</v>
      </c>
      <c r="BI257" s="1211">
        <f t="shared" si="339"/>
        <v>-7</v>
      </c>
      <c r="BJ257" s="1212">
        <f t="shared" si="339"/>
        <v>-329</v>
      </c>
      <c r="BK257" s="1212">
        <f t="shared" si="339"/>
        <v>1</v>
      </c>
      <c r="BL257" s="1213">
        <f t="shared" si="339"/>
        <v>-6</v>
      </c>
      <c r="BM257" s="238">
        <f t="shared" si="339"/>
        <v>-341</v>
      </c>
      <c r="BN257" s="1211">
        <f t="shared" si="339"/>
        <v>-7</v>
      </c>
      <c r="BO257" s="1212">
        <f t="shared" si="339"/>
        <v>-25</v>
      </c>
      <c r="BP257" s="1212">
        <f t="shared" si="339"/>
        <v>-7</v>
      </c>
      <c r="BQ257" s="1213">
        <f t="shared" si="339"/>
        <v>-368</v>
      </c>
      <c r="BR257" s="238">
        <f t="shared" si="339"/>
        <v>-407</v>
      </c>
      <c r="BS257" s="1211">
        <f t="shared" si="339"/>
        <v>-24</v>
      </c>
      <c r="BT257" s="1212">
        <f t="shared" si="339"/>
        <v>5</v>
      </c>
      <c r="BU257" s="1212">
        <f t="shared" si="339"/>
        <v>407</v>
      </c>
      <c r="BV257" s="1213">
        <f t="shared" si="339"/>
        <v>-29</v>
      </c>
      <c r="BW257" s="238">
        <f t="shared" si="339"/>
        <v>359</v>
      </c>
      <c r="BX257" s="1211">
        <f t="shared" si="339"/>
        <v>-4</v>
      </c>
      <c r="BY257" s="1212">
        <f t="shared" si="339"/>
        <v>-119</v>
      </c>
      <c r="BZ257" s="1212">
        <f t="shared" si="339"/>
        <v>-64</v>
      </c>
      <c r="CA257" s="1213">
        <f t="shared" si="339"/>
        <v>-205</v>
      </c>
      <c r="CB257" s="238">
        <f t="shared" si="339"/>
        <v>-392</v>
      </c>
      <c r="CC257" s="1211">
        <f t="shared" si="339"/>
        <v>-8.7497232000001706</v>
      </c>
      <c r="CD257" s="1212">
        <f t="shared" si="339"/>
        <v>-8.7497232</v>
      </c>
      <c r="CE257" s="1212">
        <f t="shared" si="339"/>
        <v>-8.7497232</v>
      </c>
      <c r="CF257" s="1213">
        <f t="shared" ref="CF257:CQ257" si="340">SUM(CF246:CF255)</f>
        <v>-8.7497232</v>
      </c>
      <c r="CG257" s="238">
        <f t="shared" si="340"/>
        <v>-34.998892800000171</v>
      </c>
      <c r="CH257" s="1211">
        <f t="shared" si="340"/>
        <v>-8.7497232</v>
      </c>
      <c r="CI257" s="1212">
        <f t="shared" si="340"/>
        <v>-8.7497232</v>
      </c>
      <c r="CJ257" s="1212">
        <f t="shared" si="340"/>
        <v>-8.7497232</v>
      </c>
      <c r="CK257" s="1213">
        <f t="shared" si="340"/>
        <v>-8.7497232</v>
      </c>
      <c r="CL257" s="238">
        <f t="shared" si="340"/>
        <v>-34.9988928</v>
      </c>
      <c r="CM257" s="1211">
        <f t="shared" si="340"/>
        <v>-8.7497232</v>
      </c>
      <c r="CN257" s="1212">
        <f t="shared" si="340"/>
        <v>-8.7497232</v>
      </c>
      <c r="CO257" s="1212">
        <f t="shared" si="340"/>
        <v>-8.7497232</v>
      </c>
      <c r="CP257" s="1213">
        <f t="shared" si="340"/>
        <v>-8.7497232</v>
      </c>
      <c r="CQ257" s="1213">
        <f t="shared" si="340"/>
        <v>-34.9988928</v>
      </c>
      <c r="CR257" s="75"/>
    </row>
    <row r="258" spans="1:96" ht="6.2" customHeight="1">
      <c r="A258" s="263"/>
      <c r="B258" s="268"/>
      <c r="C258" s="263"/>
      <c r="D258" s="263"/>
      <c r="E258" s="263"/>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5"/>
      <c r="AB258" s="266"/>
      <c r="AC258" s="266"/>
      <c r="AD258" s="266"/>
      <c r="AE258" s="266"/>
      <c r="AF258" s="266"/>
      <c r="AG258" s="264"/>
      <c r="AH258" s="266"/>
      <c r="AI258" s="266"/>
      <c r="AJ258" s="1238"/>
      <c r="AK258" s="266"/>
      <c r="AL258" s="266"/>
      <c r="AM258" s="1239"/>
      <c r="AN258" s="266"/>
      <c r="AO258" s="1238"/>
      <c r="AP258" s="266"/>
      <c r="AQ258" s="266"/>
      <c r="AR258" s="1239"/>
      <c r="AS258" s="266"/>
      <c r="AT258" s="1238"/>
      <c r="AU258" s="266"/>
      <c r="AV258" s="266"/>
      <c r="AW258" s="1239"/>
      <c r="AX258" s="266"/>
      <c r="AY258" s="1238"/>
      <c r="AZ258" s="266"/>
      <c r="BA258" s="266"/>
      <c r="BB258" s="1239"/>
      <c r="BC258" s="266"/>
      <c r="BD258" s="1238"/>
      <c r="BE258" s="266"/>
      <c r="BF258" s="266"/>
      <c r="BG258" s="1239"/>
      <c r="BH258" s="266"/>
      <c r="BI258" s="1238"/>
      <c r="BJ258" s="266"/>
      <c r="BK258" s="266"/>
      <c r="BL258" s="1239"/>
      <c r="BM258" s="266"/>
      <c r="BN258" s="1238"/>
      <c r="BO258" s="266"/>
      <c r="BP258" s="266"/>
      <c r="BQ258" s="1239"/>
      <c r="BR258" s="266"/>
      <c r="BS258" s="1238"/>
      <c r="BT258" s="266"/>
      <c r="BU258" s="266"/>
      <c r="BV258" s="1239"/>
      <c r="BW258" s="266"/>
      <c r="BX258" s="1238"/>
      <c r="BY258" s="266"/>
      <c r="BZ258" s="266"/>
      <c r="CA258" s="1239"/>
      <c r="CB258" s="266"/>
      <c r="CC258" s="1238"/>
      <c r="CD258" s="266"/>
      <c r="CE258" s="266"/>
      <c r="CF258" s="1239"/>
      <c r="CG258" s="266"/>
      <c r="CH258" s="1238"/>
      <c r="CI258" s="266"/>
      <c r="CJ258" s="266"/>
      <c r="CK258" s="1239"/>
      <c r="CL258" s="266"/>
      <c r="CM258" s="1238"/>
      <c r="CN258" s="266"/>
      <c r="CO258" s="266"/>
      <c r="CP258" s="1239"/>
      <c r="CQ258" s="1239"/>
      <c r="CR258" s="263"/>
    </row>
    <row r="259" spans="1:96" ht="13.5" customHeight="1">
      <c r="A259" s="75"/>
      <c r="B259" s="75" t="s">
        <v>875</v>
      </c>
      <c r="C259" s="81"/>
      <c r="D259" s="75"/>
      <c r="E259" s="75"/>
      <c r="F259" s="627">
        <v>0</v>
      </c>
      <c r="G259" s="608">
        <v>-1</v>
      </c>
      <c r="H259" s="653">
        <v>0</v>
      </c>
      <c r="I259" s="653">
        <v>0</v>
      </c>
      <c r="J259" s="608">
        <v>-1</v>
      </c>
      <c r="K259" s="608">
        <v>-1</v>
      </c>
      <c r="L259" s="608">
        <v>1</v>
      </c>
      <c r="M259" s="608">
        <v>0</v>
      </c>
      <c r="N259" s="153">
        <f>O259-SUM(K259:M259)</f>
        <v>8</v>
      </c>
      <c r="O259" s="608">
        <v>8</v>
      </c>
      <c r="P259" s="608">
        <v>-2</v>
      </c>
      <c r="Q259" s="608">
        <f>-6-P259</f>
        <v>-4</v>
      </c>
      <c r="R259" s="608">
        <f>-7-Q259-P259</f>
        <v>-1</v>
      </c>
      <c r="S259" s="153">
        <f>T259-SUM(P259:R259)</f>
        <v>0</v>
      </c>
      <c r="T259" s="608">
        <v>-7</v>
      </c>
      <c r="U259" s="608">
        <v>1</v>
      </c>
      <c r="V259" s="608">
        <v>-2</v>
      </c>
      <c r="W259" s="608">
        <f>0-V259-U259</f>
        <v>1</v>
      </c>
      <c r="X259" s="153">
        <f>Y259-SUM(U259:W259)</f>
        <v>2</v>
      </c>
      <c r="Y259" s="608">
        <v>2</v>
      </c>
      <c r="Z259" s="608">
        <v>4</v>
      </c>
      <c r="AA259" s="608">
        <f>6-Z259</f>
        <v>2</v>
      </c>
      <c r="AB259" s="608">
        <f>6-AA259-Z259</f>
        <v>0</v>
      </c>
      <c r="AC259" s="153">
        <f>AD259-SUM(Z259:AB259)</f>
        <v>12</v>
      </c>
      <c r="AD259" s="608">
        <v>18</v>
      </c>
      <c r="AE259" s="608">
        <v>14</v>
      </c>
      <c r="AF259" s="608">
        <f>12-AE259</f>
        <v>-2</v>
      </c>
      <c r="AG259" s="608">
        <f>-1-AF259-AE259</f>
        <v>-13</v>
      </c>
      <c r="AH259" s="153">
        <f>AI259-SUM(AE259:AG259)</f>
        <v>3</v>
      </c>
      <c r="AI259" s="608">
        <v>2</v>
      </c>
      <c r="AJ259" s="954">
        <v>-16</v>
      </c>
      <c r="AK259" s="608">
        <f>-6-AJ259</f>
        <v>10</v>
      </c>
      <c r="AL259" s="608">
        <f>-2-AK259-AJ259</f>
        <v>4</v>
      </c>
      <c r="AM259" s="915">
        <f>AN259-SUM(AJ259:AL259)</f>
        <v>-7</v>
      </c>
      <c r="AN259" s="608">
        <v>-9</v>
      </c>
      <c r="AO259" s="954">
        <v>-11</v>
      </c>
      <c r="AP259" s="608">
        <f>-22-AO259</f>
        <v>-11</v>
      </c>
      <c r="AQ259" s="608">
        <f>-12-AP259-AO259</f>
        <v>10</v>
      </c>
      <c r="AR259" s="915">
        <f>AS259-SUM(AO259:AQ259)</f>
        <v>-1</v>
      </c>
      <c r="AS259" s="608">
        <v>-13</v>
      </c>
      <c r="AT259" s="954">
        <v>5</v>
      </c>
      <c r="AU259" s="608">
        <f>7-AT259</f>
        <v>2</v>
      </c>
      <c r="AV259" s="639">
        <f>2-AU259-AT259</f>
        <v>-5</v>
      </c>
      <c r="AW259" s="915">
        <f>AX259-SUM(AT259:AV259)</f>
        <v>-4</v>
      </c>
      <c r="AX259" s="608">
        <v>-2</v>
      </c>
      <c r="AY259" s="954">
        <v>3</v>
      </c>
      <c r="AZ259" s="608">
        <f>-2-AY259</f>
        <v>-5</v>
      </c>
      <c r="BA259" s="608">
        <f>2-AZ259-AY259</f>
        <v>4</v>
      </c>
      <c r="BB259" s="915">
        <f>BC259-SUM(AY259:BA259)</f>
        <v>0</v>
      </c>
      <c r="BC259" s="608">
        <v>2</v>
      </c>
      <c r="BD259" s="954">
        <v>-7</v>
      </c>
      <c r="BE259" s="608">
        <f>-3-BD259</f>
        <v>4</v>
      </c>
      <c r="BF259" s="608">
        <f>4-BE259-BD259</f>
        <v>7</v>
      </c>
      <c r="BG259" s="960">
        <f>9-SUM(BD259:BF259)</f>
        <v>5</v>
      </c>
      <c r="BH259" s="153">
        <f>SUM(BD259:BG259)</f>
        <v>9</v>
      </c>
      <c r="BI259" s="954">
        <v>-2</v>
      </c>
      <c r="BJ259" s="608">
        <f>-3-BI259</f>
        <v>-1</v>
      </c>
      <c r="BK259" s="608">
        <f>-25-SUM(BI259:BJ259)</f>
        <v>-22</v>
      </c>
      <c r="BL259" s="960">
        <f>-35-SUM(BI259:BK259)</f>
        <v>-10</v>
      </c>
      <c r="BM259" s="153">
        <f>SUM(BI259:BL259)</f>
        <v>-35</v>
      </c>
      <c r="BN259" s="954">
        <v>-46</v>
      </c>
      <c r="BO259" s="608">
        <f>-32-BN259</f>
        <v>14</v>
      </c>
      <c r="BP259" s="639">
        <f>-32-SUM(BN259:BO259)</f>
        <v>0</v>
      </c>
      <c r="BQ259" s="960">
        <f>-41-BP259-BO259-BN259</f>
        <v>-9</v>
      </c>
      <c r="BR259" s="153">
        <f>SUM(BN259:BQ259)</f>
        <v>-41</v>
      </c>
      <c r="BS259" s="954">
        <v>13</v>
      </c>
      <c r="BT259" s="608">
        <f>5-BS259</f>
        <v>-8</v>
      </c>
      <c r="BU259" s="608">
        <f>7-SUM(BS259:BT259)</f>
        <v>2</v>
      </c>
      <c r="BV259" s="960">
        <f>-8-SUM(BS259:BU259)</f>
        <v>-15</v>
      </c>
      <c r="BW259" s="153">
        <f>SUM(BS259:BV259)</f>
        <v>-8</v>
      </c>
      <c r="BX259" s="1090">
        <v>1</v>
      </c>
      <c r="BY259" s="863">
        <f>10-BX259</f>
        <v>9</v>
      </c>
      <c r="BZ259" s="863">
        <f>15-BY259-BX259</f>
        <v>5</v>
      </c>
      <c r="CA259" s="960">
        <f>17-SUM(BX259:BZ259)</f>
        <v>2</v>
      </c>
      <c r="CB259" s="153">
        <f>SUM(BX259:CA259)</f>
        <v>17</v>
      </c>
      <c r="CC259" s="914">
        <f>'debt schedule'!CD196</f>
        <v>0</v>
      </c>
      <c r="CD259" s="153">
        <f>'debt schedule'!CE196</f>
        <v>0</v>
      </c>
      <c r="CE259" s="153">
        <f>'debt schedule'!CF196</f>
        <v>0</v>
      </c>
      <c r="CF259" s="915">
        <f>'debt schedule'!CG196</f>
        <v>0</v>
      </c>
      <c r="CG259" s="153">
        <f>SUM(CC259:CF259)</f>
        <v>0</v>
      </c>
      <c r="CH259" s="914">
        <f>'debt schedule'!CI196</f>
        <v>0</v>
      </c>
      <c r="CI259" s="153">
        <f>'debt schedule'!CJ196</f>
        <v>0</v>
      </c>
      <c r="CJ259" s="153">
        <f>'debt schedule'!CK196</f>
        <v>0</v>
      </c>
      <c r="CK259" s="915">
        <f>'debt schedule'!CL196</f>
        <v>0</v>
      </c>
      <c r="CL259" s="153">
        <f>SUM(CH259:CK259)</f>
        <v>0</v>
      </c>
      <c r="CM259" s="914">
        <f>'debt schedule'!CN196</f>
        <v>0</v>
      </c>
      <c r="CN259" s="153">
        <f>'debt schedule'!CO196</f>
        <v>0</v>
      </c>
      <c r="CO259" s="153">
        <f>'debt schedule'!CP196</f>
        <v>0</v>
      </c>
      <c r="CP259" s="915">
        <f>'debt schedule'!CQ196</f>
        <v>0</v>
      </c>
      <c r="CQ259" s="915">
        <f>SUM(CM259:CP259)</f>
        <v>0</v>
      </c>
      <c r="CR259" s="75"/>
    </row>
    <row r="260" spans="1:96" ht="6.2" customHeight="1">
      <c r="A260" s="75"/>
      <c r="B260" s="75"/>
      <c r="C260" s="81"/>
      <c r="D260" s="75"/>
      <c r="E260" s="75"/>
      <c r="F260" s="145"/>
      <c r="G260" s="153"/>
      <c r="H260" s="264"/>
      <c r="I260" s="264"/>
      <c r="J260" s="153"/>
      <c r="K260" s="153"/>
      <c r="L260" s="153"/>
      <c r="M260" s="153"/>
      <c r="N260" s="153"/>
      <c r="O260" s="153"/>
      <c r="P260" s="179"/>
      <c r="Q260" s="179"/>
      <c r="R260" s="179"/>
      <c r="S260" s="179"/>
      <c r="T260" s="179"/>
      <c r="U260" s="179"/>
      <c r="V260" s="179"/>
      <c r="W260" s="179"/>
      <c r="X260" s="179"/>
      <c r="Y260" s="179"/>
      <c r="Z260" s="179"/>
      <c r="AA260" s="153"/>
      <c r="AB260" s="153"/>
      <c r="AC260" s="179"/>
      <c r="AD260" s="179"/>
      <c r="AE260" s="153"/>
      <c r="AF260" s="153"/>
      <c r="AG260" s="264"/>
      <c r="AH260" s="179"/>
      <c r="AI260" s="179"/>
      <c r="AJ260" s="1240"/>
      <c r="AK260" s="153"/>
      <c r="AL260" s="179"/>
      <c r="AM260" s="1157"/>
      <c r="AN260" s="179"/>
      <c r="AO260" s="1240"/>
      <c r="AP260" s="153"/>
      <c r="AQ260" s="153"/>
      <c r="AR260" s="1157"/>
      <c r="AS260" s="179"/>
      <c r="AT260" s="1240"/>
      <c r="AU260" s="179"/>
      <c r="AV260" s="179"/>
      <c r="AW260" s="1157"/>
      <c r="AX260" s="179"/>
      <c r="AY260" s="1240"/>
      <c r="AZ260" s="179"/>
      <c r="BA260" s="179"/>
      <c r="BB260" s="1157"/>
      <c r="BC260" s="179"/>
      <c r="BD260" s="1240"/>
      <c r="BE260" s="179"/>
      <c r="BF260" s="179"/>
      <c r="BG260" s="1157"/>
      <c r="BH260" s="179"/>
      <c r="BI260" s="1240"/>
      <c r="BJ260" s="179"/>
      <c r="BK260" s="179"/>
      <c r="BL260" s="1157"/>
      <c r="BM260" s="179"/>
      <c r="BN260" s="1240"/>
      <c r="BO260" s="179"/>
      <c r="BP260" s="179"/>
      <c r="BQ260" s="1157"/>
      <c r="BR260" s="179"/>
      <c r="BS260" s="1240"/>
      <c r="BT260" s="179"/>
      <c r="BU260" s="179"/>
      <c r="BV260" s="1157"/>
      <c r="BW260" s="179"/>
      <c r="BX260" s="1240"/>
      <c r="BY260" s="179"/>
      <c r="BZ260" s="179"/>
      <c r="CA260" s="1157"/>
      <c r="CB260" s="179"/>
      <c r="CC260" s="1240"/>
      <c r="CD260" s="179"/>
      <c r="CE260" s="179"/>
      <c r="CF260" s="1157"/>
      <c r="CG260" s="179"/>
      <c r="CH260" s="1240"/>
      <c r="CI260" s="179"/>
      <c r="CJ260" s="179"/>
      <c r="CK260" s="1157"/>
      <c r="CL260" s="179"/>
      <c r="CM260" s="1240"/>
      <c r="CN260" s="179"/>
      <c r="CO260" s="179"/>
      <c r="CP260" s="1157"/>
      <c r="CQ260" s="1157"/>
      <c r="CR260" s="75"/>
    </row>
    <row r="261" spans="1:96" ht="13.5" customHeight="1">
      <c r="A261" s="75"/>
      <c r="B261" s="75" t="s">
        <v>876</v>
      </c>
      <c r="C261" s="81"/>
      <c r="D261" s="75"/>
      <c r="E261" s="75"/>
      <c r="F261" s="145">
        <f t="shared" ref="F261:AK261" si="341">F233+F243+F257+F259</f>
        <v>124</v>
      </c>
      <c r="G261" s="145">
        <f t="shared" si="341"/>
        <v>-222</v>
      </c>
      <c r="H261" s="145">
        <f t="shared" si="341"/>
        <v>15</v>
      </c>
      <c r="I261" s="145">
        <f t="shared" si="341"/>
        <v>156</v>
      </c>
      <c r="J261" s="145">
        <f t="shared" si="341"/>
        <v>73</v>
      </c>
      <c r="K261" s="145">
        <f t="shared" si="341"/>
        <v>448</v>
      </c>
      <c r="L261" s="145">
        <f t="shared" si="341"/>
        <v>-174</v>
      </c>
      <c r="M261" s="145">
        <f t="shared" si="341"/>
        <v>472</v>
      </c>
      <c r="N261" s="145">
        <f t="shared" si="341"/>
        <v>-25</v>
      </c>
      <c r="O261" s="145">
        <f t="shared" si="341"/>
        <v>721</v>
      </c>
      <c r="P261" s="145">
        <f t="shared" si="341"/>
        <v>110</v>
      </c>
      <c r="Q261" s="145">
        <f t="shared" si="341"/>
        <v>95</v>
      </c>
      <c r="R261" s="145">
        <f t="shared" si="341"/>
        <v>152</v>
      </c>
      <c r="S261" s="145">
        <f t="shared" si="341"/>
        <v>85</v>
      </c>
      <c r="T261" s="145">
        <f t="shared" si="341"/>
        <v>442</v>
      </c>
      <c r="U261" s="145">
        <f t="shared" si="341"/>
        <v>-8</v>
      </c>
      <c r="V261" s="145">
        <f t="shared" si="341"/>
        <v>6</v>
      </c>
      <c r="W261" s="145">
        <f t="shared" si="341"/>
        <v>-67</v>
      </c>
      <c r="X261" s="145">
        <f t="shared" si="341"/>
        <v>12</v>
      </c>
      <c r="Y261" s="145">
        <f t="shared" si="341"/>
        <v>-57</v>
      </c>
      <c r="Z261" s="145">
        <f t="shared" si="341"/>
        <v>130</v>
      </c>
      <c r="AA261" s="145">
        <f t="shared" si="341"/>
        <v>-449</v>
      </c>
      <c r="AB261" s="145">
        <f t="shared" si="341"/>
        <v>300</v>
      </c>
      <c r="AC261" s="145">
        <f t="shared" si="341"/>
        <v>-1002</v>
      </c>
      <c r="AD261" s="145">
        <f t="shared" si="341"/>
        <v>-1021</v>
      </c>
      <c r="AE261" s="145">
        <f t="shared" si="341"/>
        <v>53</v>
      </c>
      <c r="AF261" s="145">
        <f t="shared" si="341"/>
        <v>-63</v>
      </c>
      <c r="AG261" s="145">
        <f t="shared" si="341"/>
        <v>402</v>
      </c>
      <c r="AH261" s="145">
        <f t="shared" si="341"/>
        <v>-69</v>
      </c>
      <c r="AI261" s="145">
        <f t="shared" si="341"/>
        <v>323</v>
      </c>
      <c r="AJ261" s="1134">
        <f t="shared" si="341"/>
        <v>407</v>
      </c>
      <c r="AK261" s="145">
        <f t="shared" si="341"/>
        <v>819</v>
      </c>
      <c r="AL261" s="145">
        <f t="shared" ref="AL261:BQ261" si="342">AL233+AL243+AL257+AL259</f>
        <v>-407</v>
      </c>
      <c r="AM261" s="1135">
        <f t="shared" si="342"/>
        <v>-325</v>
      </c>
      <c r="AN261" s="145">
        <f t="shared" si="342"/>
        <v>494</v>
      </c>
      <c r="AO261" s="1134">
        <f t="shared" si="342"/>
        <v>168</v>
      </c>
      <c r="AP261" s="145">
        <f t="shared" si="342"/>
        <v>-439</v>
      </c>
      <c r="AQ261" s="145">
        <f t="shared" si="342"/>
        <v>-304</v>
      </c>
      <c r="AR261" s="1135">
        <f t="shared" si="342"/>
        <v>-65</v>
      </c>
      <c r="AS261" s="145">
        <f t="shared" si="342"/>
        <v>-640</v>
      </c>
      <c r="AT261" s="1134">
        <f t="shared" si="342"/>
        <v>-157</v>
      </c>
      <c r="AU261" s="145">
        <f t="shared" si="342"/>
        <v>-28</v>
      </c>
      <c r="AV261" s="145">
        <f t="shared" si="342"/>
        <v>-123</v>
      </c>
      <c r="AW261" s="1135">
        <f t="shared" si="342"/>
        <v>138</v>
      </c>
      <c r="AX261" s="145">
        <f t="shared" si="342"/>
        <v>-170</v>
      </c>
      <c r="AY261" s="1134">
        <f t="shared" si="342"/>
        <v>244</v>
      </c>
      <c r="AZ261" s="145">
        <f t="shared" si="342"/>
        <v>-87</v>
      </c>
      <c r="BA261" s="145">
        <f t="shared" si="342"/>
        <v>-29</v>
      </c>
      <c r="BB261" s="1135">
        <f t="shared" si="342"/>
        <v>34</v>
      </c>
      <c r="BC261" s="145">
        <f t="shared" si="342"/>
        <v>162</v>
      </c>
      <c r="BD261" s="1134">
        <f t="shared" si="342"/>
        <v>163</v>
      </c>
      <c r="BE261" s="145">
        <f t="shared" si="342"/>
        <v>34</v>
      </c>
      <c r="BF261" s="145">
        <f t="shared" si="342"/>
        <v>-70</v>
      </c>
      <c r="BG261" s="1135">
        <f t="shared" si="342"/>
        <v>-93</v>
      </c>
      <c r="BH261" s="145">
        <f t="shared" si="342"/>
        <v>34</v>
      </c>
      <c r="BI261" s="1134">
        <f t="shared" si="342"/>
        <v>495</v>
      </c>
      <c r="BJ261" s="145">
        <f t="shared" si="342"/>
        <v>372</v>
      </c>
      <c r="BK261" s="145">
        <f t="shared" si="342"/>
        <v>-214</v>
      </c>
      <c r="BL261" s="1135">
        <f t="shared" si="342"/>
        <v>97</v>
      </c>
      <c r="BM261" s="145">
        <f t="shared" si="342"/>
        <v>750</v>
      </c>
      <c r="BN261" s="1134">
        <f t="shared" si="342"/>
        <v>-88</v>
      </c>
      <c r="BO261" s="145">
        <f t="shared" si="342"/>
        <v>-56</v>
      </c>
      <c r="BP261" s="145">
        <f t="shared" si="342"/>
        <v>-45</v>
      </c>
      <c r="BQ261" s="1135">
        <f t="shared" si="342"/>
        <v>-410</v>
      </c>
      <c r="BR261" s="145">
        <f t="shared" ref="BR261:CQ261" si="343">BR233+BR243+BR257+BR259</f>
        <v>-599</v>
      </c>
      <c r="BS261" s="1134">
        <f t="shared" si="343"/>
        <v>-50</v>
      </c>
      <c r="BT261" s="145">
        <f t="shared" si="343"/>
        <v>115</v>
      </c>
      <c r="BU261" s="145">
        <f t="shared" si="343"/>
        <v>625</v>
      </c>
      <c r="BV261" s="1135">
        <f t="shared" si="343"/>
        <v>70</v>
      </c>
      <c r="BW261" s="145">
        <f t="shared" si="343"/>
        <v>760</v>
      </c>
      <c r="BX261" s="1134">
        <f t="shared" si="343"/>
        <v>-189</v>
      </c>
      <c r="BY261" s="145">
        <f t="shared" si="343"/>
        <v>196</v>
      </c>
      <c r="BZ261" s="145">
        <f t="shared" si="343"/>
        <v>172</v>
      </c>
      <c r="CA261" s="1135">
        <f t="shared" si="343"/>
        <v>-141</v>
      </c>
      <c r="CB261" s="145">
        <f t="shared" si="343"/>
        <v>38</v>
      </c>
      <c r="CC261" s="1134">
        <f t="shared" si="343"/>
        <v>-268.88094558196389</v>
      </c>
      <c r="CD261" s="145">
        <f t="shared" si="343"/>
        <v>154.45830878811751</v>
      </c>
      <c r="CE261" s="145">
        <f t="shared" si="343"/>
        <v>141.8836632625634</v>
      </c>
      <c r="CF261" s="1135">
        <f t="shared" si="343"/>
        <v>219.47433345921581</v>
      </c>
      <c r="CG261" s="145">
        <f t="shared" si="343"/>
        <v>246.93535992793281</v>
      </c>
      <c r="CH261" s="1134">
        <f t="shared" si="343"/>
        <v>327.64191103927243</v>
      </c>
      <c r="CI261" s="145">
        <f t="shared" si="343"/>
        <v>-367.61472475625072</v>
      </c>
      <c r="CJ261" s="145">
        <f t="shared" si="343"/>
        <v>819.29050317365829</v>
      </c>
      <c r="CK261" s="1135">
        <f t="shared" si="343"/>
        <v>-436.2635402425106</v>
      </c>
      <c r="CL261" s="145">
        <f t="shared" si="343"/>
        <v>343.05414921416946</v>
      </c>
      <c r="CM261" s="1134">
        <f t="shared" si="343"/>
        <v>676.59684401976881</v>
      </c>
      <c r="CN261" s="145">
        <f t="shared" si="343"/>
        <v>-730.82662631996914</v>
      </c>
      <c r="CO261" s="145">
        <f t="shared" si="343"/>
        <v>1024.6121527647731</v>
      </c>
      <c r="CP261" s="1135">
        <f t="shared" si="343"/>
        <v>-636.33747856673529</v>
      </c>
      <c r="CQ261" s="1135">
        <f t="shared" si="343"/>
        <v>334.04489189783726</v>
      </c>
      <c r="CR261" s="75"/>
    </row>
    <row r="262" spans="1:96" ht="13.5" customHeight="1">
      <c r="A262" s="75"/>
      <c r="B262" s="75" t="s">
        <v>877</v>
      </c>
      <c r="C262" s="81"/>
      <c r="D262" s="75"/>
      <c r="E262" s="75"/>
      <c r="F262" s="97">
        <v>243</v>
      </c>
      <c r="G262" s="194">
        <f>F121</f>
        <v>367</v>
      </c>
      <c r="H262" s="194">
        <f>G263</f>
        <v>145</v>
      </c>
      <c r="I262" s="194">
        <f>H121</f>
        <v>160</v>
      </c>
      <c r="J262" s="194">
        <f>F262</f>
        <v>243</v>
      </c>
      <c r="K262" s="194">
        <f>I121</f>
        <v>316</v>
      </c>
      <c r="L262" s="194">
        <f>K121</f>
        <v>764</v>
      </c>
      <c r="M262" s="194">
        <f>L121</f>
        <v>590</v>
      </c>
      <c r="N262" s="194">
        <f>M121</f>
        <v>1062</v>
      </c>
      <c r="O262" s="194">
        <f>J121</f>
        <v>316</v>
      </c>
      <c r="P262" s="194">
        <f>N121</f>
        <v>1037</v>
      </c>
      <c r="Q262" s="194">
        <f>P121</f>
        <v>1147</v>
      </c>
      <c r="R262" s="194">
        <f>Q121</f>
        <v>1242</v>
      </c>
      <c r="S262" s="194">
        <f>R121</f>
        <v>1394</v>
      </c>
      <c r="T262" s="194">
        <f>O121</f>
        <v>1037</v>
      </c>
      <c r="U262" s="194">
        <f>S121</f>
        <v>1479</v>
      </c>
      <c r="V262" s="194">
        <f>U121</f>
        <v>1471</v>
      </c>
      <c r="W262" s="194">
        <f>V121</f>
        <v>1477</v>
      </c>
      <c r="X262" s="194">
        <f>W263</f>
        <v>1410</v>
      </c>
      <c r="Y262" s="194">
        <f>T121</f>
        <v>1479</v>
      </c>
      <c r="Z262" s="194">
        <f>X121</f>
        <v>1422</v>
      </c>
      <c r="AA262" s="194">
        <f>Z121</f>
        <v>1552</v>
      </c>
      <c r="AB262" s="194">
        <f>AA263</f>
        <v>1103</v>
      </c>
      <c r="AC262" s="194">
        <f>AB263</f>
        <v>1403</v>
      </c>
      <c r="AD262" s="194">
        <f>Z262</f>
        <v>1422</v>
      </c>
      <c r="AE262" s="194">
        <f>AC263</f>
        <v>401</v>
      </c>
      <c r="AF262" s="194">
        <f>AE263</f>
        <v>454</v>
      </c>
      <c r="AG262" s="194">
        <f>AF263</f>
        <v>391</v>
      </c>
      <c r="AH262" s="194">
        <f>AG263</f>
        <v>793</v>
      </c>
      <c r="AI262" s="194">
        <f>AE262</f>
        <v>401</v>
      </c>
      <c r="AJ262" s="1231">
        <f>AH263</f>
        <v>724</v>
      </c>
      <c r="AK262" s="272">
        <f>AJ263</f>
        <v>1131</v>
      </c>
      <c r="AL262" s="272">
        <f>AK263</f>
        <v>1950</v>
      </c>
      <c r="AM262" s="1241">
        <f>AL263</f>
        <v>1543</v>
      </c>
      <c r="AN262" s="194">
        <f>AJ262</f>
        <v>724</v>
      </c>
      <c r="AO262" s="1231">
        <f>AM263</f>
        <v>1218</v>
      </c>
      <c r="AP262" s="272">
        <f>AO263</f>
        <v>1386</v>
      </c>
      <c r="AQ262" s="272">
        <f>AP263</f>
        <v>947</v>
      </c>
      <c r="AR262" s="1241">
        <f>AQ263</f>
        <v>643</v>
      </c>
      <c r="AS262" s="194">
        <f>AO262</f>
        <v>1218</v>
      </c>
      <c r="AT262" s="1231">
        <f>AR263</f>
        <v>578</v>
      </c>
      <c r="AU262" s="272">
        <f>AT263</f>
        <v>421</v>
      </c>
      <c r="AV262" s="272">
        <f>AU263</f>
        <v>393</v>
      </c>
      <c r="AW262" s="1241">
        <f>AV263</f>
        <v>270</v>
      </c>
      <c r="AX262" s="194">
        <f>AT262</f>
        <v>578</v>
      </c>
      <c r="AY262" s="1231">
        <f>AW263</f>
        <v>408</v>
      </c>
      <c r="AZ262" s="272">
        <f>AY263</f>
        <v>652</v>
      </c>
      <c r="BA262" s="272">
        <f>AZ263</f>
        <v>565</v>
      </c>
      <c r="BB262" s="1241">
        <f>BA263</f>
        <v>536</v>
      </c>
      <c r="BC262" s="194">
        <f>AY262</f>
        <v>408</v>
      </c>
      <c r="BD262" s="1231">
        <f>BB263</f>
        <v>570</v>
      </c>
      <c r="BE262" s="272">
        <f>BD263</f>
        <v>733</v>
      </c>
      <c r="BF262" s="272">
        <f>BE263</f>
        <v>767</v>
      </c>
      <c r="BG262" s="1241">
        <f>BF263</f>
        <v>697</v>
      </c>
      <c r="BH262" s="194">
        <f>BD262</f>
        <v>570</v>
      </c>
      <c r="BI262" s="1231">
        <f>BG263</f>
        <v>604</v>
      </c>
      <c r="BJ262" s="272">
        <f>BI263</f>
        <v>1099</v>
      </c>
      <c r="BK262" s="272">
        <f>BJ263</f>
        <v>1471</v>
      </c>
      <c r="BL262" s="1241">
        <f>BK263</f>
        <v>1257</v>
      </c>
      <c r="BM262" s="194">
        <f>BI262</f>
        <v>604</v>
      </c>
      <c r="BN262" s="1231">
        <f>BL263</f>
        <v>1354</v>
      </c>
      <c r="BO262" s="272">
        <f>BN263</f>
        <v>1266</v>
      </c>
      <c r="BP262" s="272">
        <f>BO263</f>
        <v>1210</v>
      </c>
      <c r="BQ262" s="1241">
        <f>BP263</f>
        <v>1165</v>
      </c>
      <c r="BR262" s="194">
        <f>BN262</f>
        <v>1354</v>
      </c>
      <c r="BS262" s="1231">
        <f>BQ263</f>
        <v>755</v>
      </c>
      <c r="BT262" s="272">
        <f>BS263</f>
        <v>705</v>
      </c>
      <c r="BU262" s="272">
        <f>BT263</f>
        <v>820</v>
      </c>
      <c r="BV262" s="1241">
        <f>BU263</f>
        <v>1445</v>
      </c>
      <c r="BW262" s="194">
        <f>BS262</f>
        <v>755</v>
      </c>
      <c r="BX262" s="1231">
        <f>BV263</f>
        <v>1515</v>
      </c>
      <c r="BY262" s="272">
        <f>BX263</f>
        <v>1326</v>
      </c>
      <c r="BZ262" s="272">
        <f>BY263</f>
        <v>1522</v>
      </c>
      <c r="CA262" s="1241">
        <f>BZ263</f>
        <v>1694</v>
      </c>
      <c r="CB262" s="194">
        <f>BX262</f>
        <v>1515</v>
      </c>
      <c r="CC262" s="1231">
        <f>CA263</f>
        <v>1553</v>
      </c>
      <c r="CD262" s="272">
        <f>CC263</f>
        <v>1284.1190544180361</v>
      </c>
      <c r="CE262" s="272">
        <f>CD263</f>
        <v>1438.5773632061537</v>
      </c>
      <c r="CF262" s="1241">
        <f>CE263</f>
        <v>1580.4610264687171</v>
      </c>
      <c r="CG262" s="194">
        <f>CC262</f>
        <v>1553</v>
      </c>
      <c r="CH262" s="1231">
        <f>CF263</f>
        <v>1799.935359927933</v>
      </c>
      <c r="CI262" s="272">
        <f>CH263</f>
        <v>2127.5772709672055</v>
      </c>
      <c r="CJ262" s="272">
        <f>CI263</f>
        <v>1759.9625462109548</v>
      </c>
      <c r="CK262" s="1241">
        <f>CJ263</f>
        <v>2579.253049384613</v>
      </c>
      <c r="CL262" s="194">
        <f>CH262</f>
        <v>1799.935359927933</v>
      </c>
      <c r="CM262" s="1231">
        <f>CK263</f>
        <v>2142.9895091421022</v>
      </c>
      <c r="CN262" s="272">
        <f>CM263</f>
        <v>2819.5863531618711</v>
      </c>
      <c r="CO262" s="272">
        <f>CN263</f>
        <v>2088.7597268419022</v>
      </c>
      <c r="CP262" s="1241">
        <f>CO263</f>
        <v>3113.3718796066751</v>
      </c>
      <c r="CQ262" s="1241">
        <f>CM262</f>
        <v>2142.9895091421022</v>
      </c>
      <c r="CR262" s="75"/>
    </row>
    <row r="263" spans="1:96" ht="13.5" customHeight="1">
      <c r="A263" s="75"/>
      <c r="B263" s="75" t="s">
        <v>878</v>
      </c>
      <c r="C263" s="81"/>
      <c r="D263" s="75"/>
      <c r="E263" s="75"/>
      <c r="F263" s="145">
        <f t="shared" ref="F263:AK263" si="344">F261+F262</f>
        <v>367</v>
      </c>
      <c r="G263" s="145">
        <f t="shared" si="344"/>
        <v>145</v>
      </c>
      <c r="H263" s="145">
        <f t="shared" si="344"/>
        <v>160</v>
      </c>
      <c r="I263" s="145">
        <f t="shared" si="344"/>
        <v>316</v>
      </c>
      <c r="J263" s="145">
        <f t="shared" si="344"/>
        <v>316</v>
      </c>
      <c r="K263" s="145">
        <f t="shared" si="344"/>
        <v>764</v>
      </c>
      <c r="L263" s="145">
        <f t="shared" si="344"/>
        <v>590</v>
      </c>
      <c r="M263" s="145">
        <f t="shared" si="344"/>
        <v>1062</v>
      </c>
      <c r="N263" s="145">
        <f t="shared" si="344"/>
        <v>1037</v>
      </c>
      <c r="O263" s="145">
        <f t="shared" si="344"/>
        <v>1037</v>
      </c>
      <c r="P263" s="145">
        <f t="shared" si="344"/>
        <v>1147</v>
      </c>
      <c r="Q263" s="145">
        <f t="shared" si="344"/>
        <v>1242</v>
      </c>
      <c r="R263" s="145">
        <f t="shared" si="344"/>
        <v>1394</v>
      </c>
      <c r="S263" s="145">
        <f t="shared" si="344"/>
        <v>1479</v>
      </c>
      <c r="T263" s="145">
        <f t="shared" si="344"/>
        <v>1479</v>
      </c>
      <c r="U263" s="145">
        <f t="shared" si="344"/>
        <v>1471</v>
      </c>
      <c r="V263" s="145">
        <f t="shared" si="344"/>
        <v>1477</v>
      </c>
      <c r="W263" s="145">
        <f t="shared" si="344"/>
        <v>1410</v>
      </c>
      <c r="X263" s="145">
        <f t="shared" si="344"/>
        <v>1422</v>
      </c>
      <c r="Y263" s="145">
        <f t="shared" si="344"/>
        <v>1422</v>
      </c>
      <c r="Z263" s="145">
        <f t="shared" si="344"/>
        <v>1552</v>
      </c>
      <c r="AA263" s="145">
        <f t="shared" si="344"/>
        <v>1103</v>
      </c>
      <c r="AB263" s="145">
        <f t="shared" si="344"/>
        <v>1403</v>
      </c>
      <c r="AC263" s="145">
        <f t="shared" si="344"/>
        <v>401</v>
      </c>
      <c r="AD263" s="145">
        <f t="shared" si="344"/>
        <v>401</v>
      </c>
      <c r="AE263" s="145">
        <f t="shared" si="344"/>
        <v>454</v>
      </c>
      <c r="AF263" s="145">
        <f t="shared" si="344"/>
        <v>391</v>
      </c>
      <c r="AG263" s="145">
        <f t="shared" si="344"/>
        <v>793</v>
      </c>
      <c r="AH263" s="145">
        <f t="shared" si="344"/>
        <v>724</v>
      </c>
      <c r="AI263" s="145">
        <f t="shared" si="344"/>
        <v>724</v>
      </c>
      <c r="AJ263" s="1134">
        <f t="shared" si="344"/>
        <v>1131</v>
      </c>
      <c r="AK263" s="145">
        <f t="shared" si="344"/>
        <v>1950</v>
      </c>
      <c r="AL263" s="145">
        <f t="shared" ref="AL263:BQ263" si="345">AL261+AL262</f>
        <v>1543</v>
      </c>
      <c r="AM263" s="1135">
        <f t="shared" si="345"/>
        <v>1218</v>
      </c>
      <c r="AN263" s="145">
        <f t="shared" si="345"/>
        <v>1218</v>
      </c>
      <c r="AO263" s="1134">
        <f t="shared" si="345"/>
        <v>1386</v>
      </c>
      <c r="AP263" s="145">
        <f t="shared" si="345"/>
        <v>947</v>
      </c>
      <c r="AQ263" s="145">
        <f t="shared" si="345"/>
        <v>643</v>
      </c>
      <c r="AR263" s="1135">
        <f t="shared" si="345"/>
        <v>578</v>
      </c>
      <c r="AS263" s="145">
        <f t="shared" si="345"/>
        <v>578</v>
      </c>
      <c r="AT263" s="1134">
        <f t="shared" si="345"/>
        <v>421</v>
      </c>
      <c r="AU263" s="145">
        <f t="shared" si="345"/>
        <v>393</v>
      </c>
      <c r="AV263" s="145">
        <f t="shared" si="345"/>
        <v>270</v>
      </c>
      <c r="AW263" s="1135">
        <f t="shared" si="345"/>
        <v>408</v>
      </c>
      <c r="AX263" s="145">
        <f t="shared" si="345"/>
        <v>408</v>
      </c>
      <c r="AY263" s="1134">
        <f t="shared" si="345"/>
        <v>652</v>
      </c>
      <c r="AZ263" s="145">
        <f t="shared" si="345"/>
        <v>565</v>
      </c>
      <c r="BA263" s="145">
        <f t="shared" si="345"/>
        <v>536</v>
      </c>
      <c r="BB263" s="1135">
        <f t="shared" si="345"/>
        <v>570</v>
      </c>
      <c r="BC263" s="145">
        <f t="shared" si="345"/>
        <v>570</v>
      </c>
      <c r="BD263" s="1134">
        <f t="shared" si="345"/>
        <v>733</v>
      </c>
      <c r="BE263" s="145">
        <f t="shared" si="345"/>
        <v>767</v>
      </c>
      <c r="BF263" s="145">
        <f t="shared" si="345"/>
        <v>697</v>
      </c>
      <c r="BG263" s="1135">
        <f t="shared" si="345"/>
        <v>604</v>
      </c>
      <c r="BH263" s="145">
        <f t="shared" si="345"/>
        <v>604</v>
      </c>
      <c r="BI263" s="1134">
        <f t="shared" si="345"/>
        <v>1099</v>
      </c>
      <c r="BJ263" s="145">
        <f t="shared" si="345"/>
        <v>1471</v>
      </c>
      <c r="BK263" s="145">
        <f t="shared" si="345"/>
        <v>1257</v>
      </c>
      <c r="BL263" s="1135">
        <f t="shared" si="345"/>
        <v>1354</v>
      </c>
      <c r="BM263" s="145">
        <f t="shared" si="345"/>
        <v>1354</v>
      </c>
      <c r="BN263" s="1134">
        <f t="shared" si="345"/>
        <v>1266</v>
      </c>
      <c r="BO263" s="145">
        <f t="shared" si="345"/>
        <v>1210</v>
      </c>
      <c r="BP263" s="145">
        <f t="shared" si="345"/>
        <v>1165</v>
      </c>
      <c r="BQ263" s="1135">
        <f t="shared" si="345"/>
        <v>755</v>
      </c>
      <c r="BR263" s="145">
        <f t="shared" ref="BR263:CQ263" si="346">BR261+BR262</f>
        <v>755</v>
      </c>
      <c r="BS263" s="1134">
        <f t="shared" si="346"/>
        <v>705</v>
      </c>
      <c r="BT263" s="145">
        <f t="shared" si="346"/>
        <v>820</v>
      </c>
      <c r="BU263" s="145">
        <f t="shared" si="346"/>
        <v>1445</v>
      </c>
      <c r="BV263" s="1135">
        <f t="shared" si="346"/>
        <v>1515</v>
      </c>
      <c r="BW263" s="145">
        <f t="shared" si="346"/>
        <v>1515</v>
      </c>
      <c r="BX263" s="1134">
        <f t="shared" si="346"/>
        <v>1326</v>
      </c>
      <c r="BY263" s="145">
        <f t="shared" si="346"/>
        <v>1522</v>
      </c>
      <c r="BZ263" s="145">
        <f t="shared" si="346"/>
        <v>1694</v>
      </c>
      <c r="CA263" s="1135">
        <f t="shared" si="346"/>
        <v>1553</v>
      </c>
      <c r="CB263" s="145">
        <f t="shared" si="346"/>
        <v>1553</v>
      </c>
      <c r="CC263" s="1134">
        <f t="shared" si="346"/>
        <v>1284.1190544180361</v>
      </c>
      <c r="CD263" s="145">
        <f t="shared" si="346"/>
        <v>1438.5773632061537</v>
      </c>
      <c r="CE263" s="145">
        <f t="shared" si="346"/>
        <v>1580.4610264687171</v>
      </c>
      <c r="CF263" s="1135">
        <f t="shared" si="346"/>
        <v>1799.935359927933</v>
      </c>
      <c r="CG263" s="145">
        <f t="shared" si="346"/>
        <v>1799.9353599279327</v>
      </c>
      <c r="CH263" s="1134">
        <f t="shared" si="346"/>
        <v>2127.5772709672055</v>
      </c>
      <c r="CI263" s="145">
        <f t="shared" si="346"/>
        <v>1759.9625462109548</v>
      </c>
      <c r="CJ263" s="145">
        <f t="shared" si="346"/>
        <v>2579.253049384613</v>
      </c>
      <c r="CK263" s="1135">
        <f t="shared" si="346"/>
        <v>2142.9895091421022</v>
      </c>
      <c r="CL263" s="145">
        <f t="shared" si="346"/>
        <v>2142.9895091421022</v>
      </c>
      <c r="CM263" s="1134">
        <f t="shared" si="346"/>
        <v>2819.5863531618711</v>
      </c>
      <c r="CN263" s="145">
        <f t="shared" si="346"/>
        <v>2088.7597268419022</v>
      </c>
      <c r="CO263" s="145">
        <f t="shared" si="346"/>
        <v>3113.3718796066751</v>
      </c>
      <c r="CP263" s="1135">
        <f t="shared" si="346"/>
        <v>2477.0344010399399</v>
      </c>
      <c r="CQ263" s="1135">
        <f t="shared" si="346"/>
        <v>2477.0344010399394</v>
      </c>
      <c r="CR263" s="75"/>
    </row>
    <row r="264" spans="1:96" ht="13.5" customHeight="1">
      <c r="A264" s="75"/>
      <c r="B264" s="75" t="s">
        <v>879</v>
      </c>
      <c r="C264" s="81"/>
      <c r="D264" s="75"/>
      <c r="E264" s="75"/>
      <c r="F264" s="145">
        <f>F263-F262</f>
        <v>124</v>
      </c>
      <c r="G264" s="145">
        <f>G121-F121</f>
        <v>-222</v>
      </c>
      <c r="H264" s="145">
        <f>H121-G121</f>
        <v>15</v>
      </c>
      <c r="I264" s="145">
        <f>I121-H121</f>
        <v>156</v>
      </c>
      <c r="J264" s="145">
        <v>73</v>
      </c>
      <c r="K264" s="145">
        <f>K121-J121</f>
        <v>448</v>
      </c>
      <c r="L264" s="145">
        <f>L121-K121</f>
        <v>-174</v>
      </c>
      <c r="M264" s="145">
        <f>M121-L121</f>
        <v>472</v>
      </c>
      <c r="N264" s="145">
        <f>N121-M121</f>
        <v>-25</v>
      </c>
      <c r="O264" s="145">
        <f>O121-J121</f>
        <v>721</v>
      </c>
      <c r="P264" s="145">
        <f>P121-O121</f>
        <v>110</v>
      </c>
      <c r="Q264" s="145">
        <f>Q121-P121</f>
        <v>95</v>
      </c>
      <c r="R264" s="145">
        <f>R121-Q121</f>
        <v>152</v>
      </c>
      <c r="S264" s="145">
        <f>S121-R121</f>
        <v>85</v>
      </c>
      <c r="T264" s="145">
        <f>T121-O121</f>
        <v>442</v>
      </c>
      <c r="U264" s="145">
        <f>U121-T121</f>
        <v>-8</v>
      </c>
      <c r="V264" s="145">
        <f>V121-U121</f>
        <v>6</v>
      </c>
      <c r="W264" s="145">
        <f>W121-V121</f>
        <v>-67</v>
      </c>
      <c r="X264" s="145">
        <f>X121-W121</f>
        <v>12</v>
      </c>
      <c r="Y264" s="145">
        <f>Y121-T121</f>
        <v>-57</v>
      </c>
      <c r="Z264" s="145">
        <f>Z121-Y121</f>
        <v>130</v>
      </c>
      <c r="AA264" s="145">
        <f>AA121-Z121</f>
        <v>-449</v>
      </c>
      <c r="AB264" s="145">
        <f>AB121-AA121</f>
        <v>300</v>
      </c>
      <c r="AC264" s="145">
        <f>AC121-AB121</f>
        <v>-1002</v>
      </c>
      <c r="AD264" s="145">
        <f>AD121-Y121</f>
        <v>-1021</v>
      </c>
      <c r="AE264" s="145">
        <f>AE121-AD121</f>
        <v>53</v>
      </c>
      <c r="AF264" s="145">
        <f>AF121-AE121</f>
        <v>-63</v>
      </c>
      <c r="AG264" s="145">
        <f>AG121-AF121</f>
        <v>402</v>
      </c>
      <c r="AH264" s="145">
        <f>AH121-AG121</f>
        <v>-69</v>
      </c>
      <c r="AI264" s="145">
        <f>AI121-AD121</f>
        <v>323</v>
      </c>
      <c r="AJ264" s="1134">
        <f>AJ121-AI121</f>
        <v>407</v>
      </c>
      <c r="AK264" s="145">
        <f>AK121-AJ121</f>
        <v>819</v>
      </c>
      <c r="AL264" s="145">
        <f>AL121-AK121</f>
        <v>-407</v>
      </c>
      <c r="AM264" s="1135">
        <f>AM121-AL121</f>
        <v>-325</v>
      </c>
      <c r="AN264" s="145">
        <f>AN121-AI121</f>
        <v>494</v>
      </c>
      <c r="AO264" s="1134">
        <f>AO121-AN121</f>
        <v>168</v>
      </c>
      <c r="AP264" s="145">
        <f>AP121-AO121</f>
        <v>-439</v>
      </c>
      <c r="AQ264" s="145">
        <f>AQ121-AP121</f>
        <v>-304</v>
      </c>
      <c r="AR264" s="1135">
        <f>AR121-AQ121</f>
        <v>-65</v>
      </c>
      <c r="AS264" s="145">
        <f>AS121-AN121</f>
        <v>-640</v>
      </c>
      <c r="AT264" s="1134">
        <f>AT121-AS121</f>
        <v>-157</v>
      </c>
      <c r="AU264" s="145">
        <f>AU121-AT121</f>
        <v>-28</v>
      </c>
      <c r="AV264" s="145">
        <f>AV121-AU121</f>
        <v>-123</v>
      </c>
      <c r="AW264" s="1135">
        <f>AW121-AV121</f>
        <v>138</v>
      </c>
      <c r="AX264" s="145">
        <f>AX121-AS121</f>
        <v>-170</v>
      </c>
      <c r="AY264" s="1134">
        <f>AY121-AX121</f>
        <v>244</v>
      </c>
      <c r="AZ264" s="145">
        <f>AZ121-AY121</f>
        <v>-87</v>
      </c>
      <c r="BA264" s="145">
        <f>BA121-AZ121</f>
        <v>-29</v>
      </c>
      <c r="BB264" s="1135">
        <f>BB121-BA121</f>
        <v>34</v>
      </c>
      <c r="BC264" s="145">
        <f>BC121-AX121</f>
        <v>162</v>
      </c>
      <c r="BD264" s="1134">
        <f>BD121-BC121</f>
        <v>163</v>
      </c>
      <c r="BE264" s="145">
        <f>BE121-BD121</f>
        <v>34</v>
      </c>
      <c r="BF264" s="145">
        <f>BF121-BE121</f>
        <v>-70</v>
      </c>
      <c r="BG264" s="1135">
        <f>BG121-BF121</f>
        <v>-93</v>
      </c>
      <c r="BH264" s="145">
        <f>BH121-BC121</f>
        <v>34</v>
      </c>
      <c r="BI264" s="1134">
        <f>BI121-BH121</f>
        <v>495</v>
      </c>
      <c r="BJ264" s="145">
        <f>BJ121-BI121</f>
        <v>372</v>
      </c>
      <c r="BK264" s="145">
        <f>BK121-BJ121</f>
        <v>-214</v>
      </c>
      <c r="BL264" s="1135">
        <f>BL121-BK121</f>
        <v>97</v>
      </c>
      <c r="BM264" s="145">
        <f>BM121-BH121</f>
        <v>750</v>
      </c>
      <c r="BN264" s="1134">
        <f>BN121-BM121</f>
        <v>-88</v>
      </c>
      <c r="BO264" s="145">
        <f>BO121-BN121</f>
        <v>-56</v>
      </c>
      <c r="BP264" s="145">
        <f>BP121-BO121</f>
        <v>-45</v>
      </c>
      <c r="BQ264" s="1135">
        <f>BQ121-BP121</f>
        <v>-410</v>
      </c>
      <c r="BR264" s="145">
        <f>BR121-BM121</f>
        <v>-599</v>
      </c>
      <c r="BS264" s="1134">
        <f>BS121-BR121</f>
        <v>-50</v>
      </c>
      <c r="BT264" s="145">
        <f>BT121-BS121</f>
        <v>115</v>
      </c>
      <c r="BU264" s="145">
        <f>BU121-BT121</f>
        <v>625</v>
      </c>
      <c r="BV264" s="1135">
        <f>BV121-BU121</f>
        <v>70</v>
      </c>
      <c r="BW264" s="145">
        <f>BW121-BR121</f>
        <v>760</v>
      </c>
      <c r="BX264" s="1134">
        <f>BX121-BW121</f>
        <v>-189</v>
      </c>
      <c r="BY264" s="145">
        <f>BY121-BX121</f>
        <v>196</v>
      </c>
      <c r="BZ264" s="145">
        <f>BZ121-BY121</f>
        <v>172</v>
      </c>
      <c r="CA264" s="1135">
        <f>CA121-BZ121</f>
        <v>-141</v>
      </c>
      <c r="CB264" s="145">
        <f>CB121-BW121</f>
        <v>38</v>
      </c>
      <c r="CC264" s="1134">
        <f>CC121-CB121</f>
        <v>-268.88094558196394</v>
      </c>
      <c r="CD264" s="145">
        <f>CD121-CC121</f>
        <v>154.45830878811762</v>
      </c>
      <c r="CE264" s="145">
        <f>CE121-CD121</f>
        <v>141.88366326256346</v>
      </c>
      <c r="CF264" s="1135">
        <f>CF121-CE121</f>
        <v>219.47433345921581</v>
      </c>
      <c r="CG264" s="145">
        <f>CG121-CB121</f>
        <v>246.93535992793295</v>
      </c>
      <c r="CH264" s="1134">
        <f>CH121-CG121</f>
        <v>327.6419110392726</v>
      </c>
      <c r="CI264" s="145">
        <f>CI121-CH121</f>
        <v>-367.61472475625078</v>
      </c>
      <c r="CJ264" s="145">
        <f>CJ121-CI121</f>
        <v>819.29050317365818</v>
      </c>
      <c r="CK264" s="1135">
        <f>CK121-CJ121</f>
        <v>-436.26354024251077</v>
      </c>
      <c r="CL264" s="145">
        <f>CL121-CG121</f>
        <v>343.05414921416923</v>
      </c>
      <c r="CM264" s="1134">
        <f>CM121-CL121</f>
        <v>676.59684401976892</v>
      </c>
      <c r="CN264" s="145">
        <f>CN121-CM121</f>
        <v>-730.82662631996891</v>
      </c>
      <c r="CO264" s="145">
        <f>CO121-CN121</f>
        <v>1024.6121527647729</v>
      </c>
      <c r="CP264" s="1135">
        <f>CP121-CO121</f>
        <v>-636.33747856673517</v>
      </c>
      <c r="CQ264" s="1135">
        <f>CQ121-CL121</f>
        <v>334.04489189783772</v>
      </c>
      <c r="CR264" s="75"/>
    </row>
    <row r="265" spans="1:96" ht="13.5" customHeight="1">
      <c r="A265" s="263"/>
      <c r="B265" s="263"/>
      <c r="C265" s="263" t="s">
        <v>817</v>
      </c>
      <c r="D265" s="269"/>
      <c r="E265" s="269"/>
      <c r="F265" s="252">
        <f t="shared" ref="F265:AK265" si="347">ROUND(F261-F264,6)</f>
        <v>0</v>
      </c>
      <c r="G265" s="252">
        <f t="shared" si="347"/>
        <v>0</v>
      </c>
      <c r="H265" s="252">
        <f t="shared" si="347"/>
        <v>0</v>
      </c>
      <c r="I265" s="252">
        <f t="shared" si="347"/>
        <v>0</v>
      </c>
      <c r="J265" s="252">
        <f t="shared" si="347"/>
        <v>0</v>
      </c>
      <c r="K265" s="252">
        <f t="shared" si="347"/>
        <v>0</v>
      </c>
      <c r="L265" s="252">
        <f t="shared" si="347"/>
        <v>0</v>
      </c>
      <c r="M265" s="252">
        <f t="shared" si="347"/>
        <v>0</v>
      </c>
      <c r="N265" s="252">
        <f t="shared" si="347"/>
        <v>0</v>
      </c>
      <c r="O265" s="252">
        <f t="shared" si="347"/>
        <v>0</v>
      </c>
      <c r="P265" s="252">
        <f t="shared" si="347"/>
        <v>0</v>
      </c>
      <c r="Q265" s="252">
        <f t="shared" si="347"/>
        <v>0</v>
      </c>
      <c r="R265" s="252">
        <f t="shared" si="347"/>
        <v>0</v>
      </c>
      <c r="S265" s="252">
        <f t="shared" si="347"/>
        <v>0</v>
      </c>
      <c r="T265" s="252">
        <f t="shared" si="347"/>
        <v>0</v>
      </c>
      <c r="U265" s="252">
        <f t="shared" si="347"/>
        <v>0</v>
      </c>
      <c r="V265" s="252">
        <f t="shared" si="347"/>
        <v>0</v>
      </c>
      <c r="W265" s="252">
        <f t="shared" si="347"/>
        <v>0</v>
      </c>
      <c r="X265" s="252">
        <f t="shared" si="347"/>
        <v>0</v>
      </c>
      <c r="Y265" s="252">
        <f t="shared" si="347"/>
        <v>0</v>
      </c>
      <c r="Z265" s="252">
        <f t="shared" si="347"/>
        <v>0</v>
      </c>
      <c r="AA265" s="252">
        <f t="shared" si="347"/>
        <v>0</v>
      </c>
      <c r="AB265" s="252">
        <f t="shared" si="347"/>
        <v>0</v>
      </c>
      <c r="AC265" s="252">
        <f t="shared" si="347"/>
        <v>0</v>
      </c>
      <c r="AD265" s="252">
        <f t="shared" si="347"/>
        <v>0</v>
      </c>
      <c r="AE265" s="252">
        <f t="shared" si="347"/>
        <v>0</v>
      </c>
      <c r="AF265" s="252">
        <f t="shared" si="347"/>
        <v>0</v>
      </c>
      <c r="AG265" s="252">
        <f t="shared" si="347"/>
        <v>0</v>
      </c>
      <c r="AH265" s="252">
        <f t="shared" si="347"/>
        <v>0</v>
      </c>
      <c r="AI265" s="252">
        <f t="shared" si="347"/>
        <v>0</v>
      </c>
      <c r="AJ265" s="1228">
        <f t="shared" si="347"/>
        <v>0</v>
      </c>
      <c r="AK265" s="1229">
        <f t="shared" si="347"/>
        <v>0</v>
      </c>
      <c r="AL265" s="1229">
        <f t="shared" ref="AL265:BQ265" si="348">ROUND(AL261-AL264,6)</f>
        <v>0</v>
      </c>
      <c r="AM265" s="1230">
        <f t="shared" si="348"/>
        <v>0</v>
      </c>
      <c r="AN265" s="252">
        <f t="shared" si="348"/>
        <v>0</v>
      </c>
      <c r="AO265" s="1228">
        <f t="shared" si="348"/>
        <v>0</v>
      </c>
      <c r="AP265" s="1229">
        <f t="shared" si="348"/>
        <v>0</v>
      </c>
      <c r="AQ265" s="1229">
        <f t="shared" si="348"/>
        <v>0</v>
      </c>
      <c r="AR265" s="1230">
        <f t="shared" si="348"/>
        <v>0</v>
      </c>
      <c r="AS265" s="252">
        <f t="shared" si="348"/>
        <v>0</v>
      </c>
      <c r="AT265" s="1228">
        <f t="shared" si="348"/>
        <v>0</v>
      </c>
      <c r="AU265" s="1229">
        <f t="shared" si="348"/>
        <v>0</v>
      </c>
      <c r="AV265" s="1229">
        <f t="shared" si="348"/>
        <v>0</v>
      </c>
      <c r="AW265" s="1230">
        <f t="shared" si="348"/>
        <v>0</v>
      </c>
      <c r="AX265" s="252">
        <f t="shared" si="348"/>
        <v>0</v>
      </c>
      <c r="AY265" s="1228">
        <f t="shared" si="348"/>
        <v>0</v>
      </c>
      <c r="AZ265" s="1229">
        <f t="shared" si="348"/>
        <v>0</v>
      </c>
      <c r="BA265" s="1229">
        <f t="shared" si="348"/>
        <v>0</v>
      </c>
      <c r="BB265" s="1230">
        <f t="shared" si="348"/>
        <v>0</v>
      </c>
      <c r="BC265" s="252">
        <f t="shared" si="348"/>
        <v>0</v>
      </c>
      <c r="BD265" s="1228">
        <f t="shared" si="348"/>
        <v>0</v>
      </c>
      <c r="BE265" s="1229">
        <f t="shared" si="348"/>
        <v>0</v>
      </c>
      <c r="BF265" s="1229">
        <f t="shared" si="348"/>
        <v>0</v>
      </c>
      <c r="BG265" s="1230">
        <f t="shared" si="348"/>
        <v>0</v>
      </c>
      <c r="BH265" s="252">
        <f t="shared" si="348"/>
        <v>0</v>
      </c>
      <c r="BI265" s="1228">
        <f t="shared" si="348"/>
        <v>0</v>
      </c>
      <c r="BJ265" s="1229">
        <f t="shared" si="348"/>
        <v>0</v>
      </c>
      <c r="BK265" s="1229">
        <f t="shared" si="348"/>
        <v>0</v>
      </c>
      <c r="BL265" s="1230">
        <f t="shared" si="348"/>
        <v>0</v>
      </c>
      <c r="BM265" s="252">
        <f t="shared" si="348"/>
        <v>0</v>
      </c>
      <c r="BN265" s="1228">
        <f t="shared" si="348"/>
        <v>0</v>
      </c>
      <c r="BO265" s="1229">
        <f t="shared" si="348"/>
        <v>0</v>
      </c>
      <c r="BP265" s="1229">
        <f t="shared" si="348"/>
        <v>0</v>
      </c>
      <c r="BQ265" s="1230">
        <f t="shared" si="348"/>
        <v>0</v>
      </c>
      <c r="BR265" s="252">
        <f t="shared" ref="BR265:CQ265" si="349">ROUND(BR261-BR264,6)</f>
        <v>0</v>
      </c>
      <c r="BS265" s="1228">
        <f t="shared" si="349"/>
        <v>0</v>
      </c>
      <c r="BT265" s="1229">
        <f t="shared" si="349"/>
        <v>0</v>
      </c>
      <c r="BU265" s="1229">
        <f t="shared" si="349"/>
        <v>0</v>
      </c>
      <c r="BV265" s="1230">
        <f t="shared" si="349"/>
        <v>0</v>
      </c>
      <c r="BW265" s="252">
        <f t="shared" si="349"/>
        <v>0</v>
      </c>
      <c r="BX265" s="1228">
        <f t="shared" si="349"/>
        <v>0</v>
      </c>
      <c r="BY265" s="1229">
        <f t="shared" si="349"/>
        <v>0</v>
      </c>
      <c r="BZ265" s="1229">
        <f t="shared" si="349"/>
        <v>0</v>
      </c>
      <c r="CA265" s="1230">
        <f t="shared" si="349"/>
        <v>0</v>
      </c>
      <c r="CB265" s="252">
        <f t="shared" si="349"/>
        <v>0</v>
      </c>
      <c r="CC265" s="1228">
        <f t="shared" si="349"/>
        <v>0</v>
      </c>
      <c r="CD265" s="1229">
        <f t="shared" si="349"/>
        <v>0</v>
      </c>
      <c r="CE265" s="1229">
        <f t="shared" si="349"/>
        <v>0</v>
      </c>
      <c r="CF265" s="1230">
        <f t="shared" si="349"/>
        <v>0</v>
      </c>
      <c r="CG265" s="252">
        <f t="shared" si="349"/>
        <v>0</v>
      </c>
      <c r="CH265" s="1228">
        <f t="shared" si="349"/>
        <v>0</v>
      </c>
      <c r="CI265" s="1229">
        <f t="shared" si="349"/>
        <v>0</v>
      </c>
      <c r="CJ265" s="1229">
        <f t="shared" si="349"/>
        <v>0</v>
      </c>
      <c r="CK265" s="1230">
        <f t="shared" si="349"/>
        <v>0</v>
      </c>
      <c r="CL265" s="252">
        <f t="shared" si="349"/>
        <v>0</v>
      </c>
      <c r="CM265" s="1228">
        <f t="shared" si="349"/>
        <v>0</v>
      </c>
      <c r="CN265" s="1229">
        <f t="shared" si="349"/>
        <v>0</v>
      </c>
      <c r="CO265" s="1229">
        <f t="shared" si="349"/>
        <v>0</v>
      </c>
      <c r="CP265" s="1230">
        <f t="shared" si="349"/>
        <v>0</v>
      </c>
      <c r="CQ265" s="1230">
        <f t="shared" si="349"/>
        <v>0</v>
      </c>
      <c r="CR265" s="269"/>
    </row>
    <row r="266" spans="1:96" ht="6.2" customHeight="1">
      <c r="A266" s="75"/>
      <c r="B266" s="115"/>
      <c r="C266" s="81"/>
      <c r="D266" s="75"/>
      <c r="E266" s="75"/>
      <c r="F266" s="238"/>
      <c r="G266" s="238"/>
      <c r="H266" s="238"/>
      <c r="I266" s="238"/>
      <c r="J266" s="238"/>
      <c r="K266" s="238"/>
      <c r="L266" s="238"/>
      <c r="M266" s="238"/>
      <c r="N266" s="238"/>
      <c r="O266" s="238"/>
      <c r="P266" s="142"/>
      <c r="Q266" s="142"/>
      <c r="R266" s="194"/>
      <c r="S266" s="270"/>
      <c r="T266" s="238"/>
      <c r="U266" s="270"/>
      <c r="V266" s="142"/>
      <c r="W266" s="251"/>
      <c r="X266" s="238"/>
      <c r="Y266" s="238"/>
      <c r="Z266" s="270"/>
      <c r="AA266" s="142"/>
      <c r="AB266" s="142"/>
      <c r="AC266" s="142"/>
      <c r="AD266" s="238"/>
      <c r="AE266" s="270"/>
      <c r="AF266" s="142"/>
      <c r="AG266" s="142"/>
      <c r="AH266" s="142"/>
      <c r="AI266" s="238"/>
      <c r="AJ266" s="1242"/>
      <c r="AK266" s="85"/>
      <c r="AL266" s="85"/>
      <c r="AM266" s="1133"/>
      <c r="AN266" s="238"/>
      <c r="AO266" s="1242"/>
      <c r="AP266" s="85"/>
      <c r="AQ266" s="85"/>
      <c r="AR266" s="1133"/>
      <c r="AS266" s="238"/>
      <c r="AT266" s="1242"/>
      <c r="AU266" s="85"/>
      <c r="AV266" s="85"/>
      <c r="AW266" s="1133"/>
      <c r="AX266" s="238"/>
      <c r="AY266" s="1242"/>
      <c r="AZ266" s="85"/>
      <c r="BA266" s="85"/>
      <c r="BB266" s="1133"/>
      <c r="BC266" s="238"/>
      <c r="BD266" s="1242"/>
      <c r="BE266" s="85"/>
      <c r="BF266" s="85"/>
      <c r="BG266" s="1133"/>
      <c r="BH266" s="238"/>
      <c r="BI266" s="1242"/>
      <c r="BJ266" s="85"/>
      <c r="BK266" s="85"/>
      <c r="BL266" s="1133"/>
      <c r="BM266" s="238"/>
      <c r="BN266" s="1242"/>
      <c r="BO266" s="85"/>
      <c r="BP266" s="85"/>
      <c r="BQ266" s="1133"/>
      <c r="BR266" s="238"/>
      <c r="BS266" s="1242"/>
      <c r="BT266" s="85"/>
      <c r="BU266" s="85"/>
      <c r="BV266" s="1133"/>
      <c r="BW266" s="238"/>
      <c r="BX266" s="1242"/>
      <c r="BY266" s="85"/>
      <c r="BZ266" s="85"/>
      <c r="CA266" s="1133"/>
      <c r="CB266" s="238"/>
      <c r="CC266" s="1242"/>
      <c r="CD266" s="85"/>
      <c r="CE266" s="85"/>
      <c r="CF266" s="1133"/>
      <c r="CG266" s="238"/>
      <c r="CH266" s="1242"/>
      <c r="CI266" s="85"/>
      <c r="CJ266" s="85"/>
      <c r="CK266" s="1133"/>
      <c r="CL266" s="238"/>
      <c r="CM266" s="1242"/>
      <c r="CN266" s="85"/>
      <c r="CO266" s="85"/>
      <c r="CP266" s="1133"/>
      <c r="CQ266" s="1213"/>
      <c r="CR266" s="75"/>
    </row>
    <row r="267" spans="1:96" ht="13.5" customHeight="1">
      <c r="A267" s="75"/>
      <c r="B267" s="93" t="s">
        <v>880</v>
      </c>
      <c r="C267" s="81"/>
      <c r="D267" s="75"/>
      <c r="E267" s="75"/>
      <c r="F267" s="149">
        <f t="shared" ref="F267:AK267" si="350">F233+F236</f>
        <v>-107</v>
      </c>
      <c r="G267" s="149">
        <f t="shared" si="350"/>
        <v>143</v>
      </c>
      <c r="H267" s="149">
        <f t="shared" si="350"/>
        <v>91</v>
      </c>
      <c r="I267" s="149">
        <f t="shared" si="350"/>
        <v>134</v>
      </c>
      <c r="J267" s="149">
        <f t="shared" si="350"/>
        <v>261</v>
      </c>
      <c r="K267" s="149">
        <f t="shared" si="350"/>
        <v>27</v>
      </c>
      <c r="L267" s="149">
        <f t="shared" si="350"/>
        <v>122</v>
      </c>
      <c r="M267" s="149">
        <f t="shared" si="350"/>
        <v>499</v>
      </c>
      <c r="N267" s="149">
        <f t="shared" si="350"/>
        <v>173</v>
      </c>
      <c r="O267" s="149">
        <f t="shared" si="350"/>
        <v>821</v>
      </c>
      <c r="P267" s="149">
        <f t="shared" si="350"/>
        <v>174</v>
      </c>
      <c r="Q267" s="149">
        <f t="shared" si="350"/>
        <v>50</v>
      </c>
      <c r="R267" s="149">
        <f t="shared" si="350"/>
        <v>187</v>
      </c>
      <c r="S267" s="149">
        <f t="shared" si="350"/>
        <v>66</v>
      </c>
      <c r="T267" s="149">
        <f t="shared" si="350"/>
        <v>477</v>
      </c>
      <c r="U267" s="149">
        <f t="shared" si="350"/>
        <v>101</v>
      </c>
      <c r="V267" s="149">
        <f t="shared" si="350"/>
        <v>216</v>
      </c>
      <c r="W267" s="149">
        <f t="shared" si="350"/>
        <v>321</v>
      </c>
      <c r="X267" s="149">
        <f t="shared" si="350"/>
        <v>436</v>
      </c>
      <c r="Y267" s="149">
        <f t="shared" si="350"/>
        <v>1074</v>
      </c>
      <c r="Z267" s="149">
        <f t="shared" si="350"/>
        <v>211</v>
      </c>
      <c r="AA267" s="149">
        <f t="shared" si="350"/>
        <v>329</v>
      </c>
      <c r="AB267" s="149">
        <f t="shared" si="350"/>
        <v>354</v>
      </c>
      <c r="AC267" s="149">
        <f t="shared" si="350"/>
        <v>137</v>
      </c>
      <c r="AD267" s="149">
        <f t="shared" si="350"/>
        <v>1031</v>
      </c>
      <c r="AE267" s="149">
        <f t="shared" si="350"/>
        <v>110</v>
      </c>
      <c r="AF267" s="149">
        <f t="shared" si="350"/>
        <v>13</v>
      </c>
      <c r="AG267" s="149">
        <f t="shared" si="350"/>
        <v>575</v>
      </c>
      <c r="AH267" s="149">
        <f t="shared" si="350"/>
        <v>64</v>
      </c>
      <c r="AI267" s="149">
        <f t="shared" si="350"/>
        <v>762</v>
      </c>
      <c r="AJ267" s="1137">
        <f t="shared" si="350"/>
        <v>191</v>
      </c>
      <c r="AK267" s="149">
        <f t="shared" si="350"/>
        <v>-36</v>
      </c>
      <c r="AL267" s="149">
        <f t="shared" ref="AL267:BQ267" si="351">AL233+AL236</f>
        <v>-360</v>
      </c>
      <c r="AM267" s="1142">
        <f t="shared" si="351"/>
        <v>-328</v>
      </c>
      <c r="AN267" s="149">
        <f t="shared" si="351"/>
        <v>-533</v>
      </c>
      <c r="AO267" s="1137">
        <f t="shared" si="351"/>
        <v>-184</v>
      </c>
      <c r="AP267" s="149">
        <f t="shared" si="351"/>
        <v>-406</v>
      </c>
      <c r="AQ267" s="149">
        <f t="shared" si="351"/>
        <v>-314</v>
      </c>
      <c r="AR267" s="1142">
        <f t="shared" si="351"/>
        <v>-151</v>
      </c>
      <c r="AS267" s="149">
        <f t="shared" si="351"/>
        <v>-1055</v>
      </c>
      <c r="AT267" s="1137">
        <f t="shared" si="351"/>
        <v>-163</v>
      </c>
      <c r="AU267" s="149">
        <f t="shared" si="351"/>
        <v>-200</v>
      </c>
      <c r="AV267" s="149">
        <f t="shared" si="351"/>
        <v>-155</v>
      </c>
      <c r="AW267" s="1142">
        <f t="shared" si="351"/>
        <v>-162</v>
      </c>
      <c r="AX267" s="149">
        <f t="shared" si="351"/>
        <v>-680</v>
      </c>
      <c r="AY267" s="1137">
        <f t="shared" si="351"/>
        <v>237</v>
      </c>
      <c r="AZ267" s="149">
        <f t="shared" si="351"/>
        <v>227</v>
      </c>
      <c r="BA267" s="149">
        <f t="shared" si="351"/>
        <v>-42</v>
      </c>
      <c r="BB267" s="1142">
        <f t="shared" si="351"/>
        <v>-10</v>
      </c>
      <c r="BC267" s="149">
        <f t="shared" si="351"/>
        <v>412</v>
      </c>
      <c r="BD267" s="1137">
        <f t="shared" si="351"/>
        <v>117</v>
      </c>
      <c r="BE267" s="149">
        <f t="shared" si="351"/>
        <v>46</v>
      </c>
      <c r="BF267" s="149">
        <f t="shared" si="351"/>
        <v>-70</v>
      </c>
      <c r="BG267" s="1142">
        <f t="shared" si="351"/>
        <v>-156</v>
      </c>
      <c r="BH267" s="149">
        <f t="shared" si="351"/>
        <v>-63</v>
      </c>
      <c r="BI267" s="1137">
        <f t="shared" si="351"/>
        <v>480</v>
      </c>
      <c r="BJ267" s="149">
        <f t="shared" si="351"/>
        <v>687</v>
      </c>
      <c r="BK267" s="149">
        <f t="shared" si="351"/>
        <v>-202</v>
      </c>
      <c r="BL267" s="1142">
        <f t="shared" si="351"/>
        <v>108</v>
      </c>
      <c r="BM267" s="149">
        <f t="shared" si="351"/>
        <v>1073</v>
      </c>
      <c r="BN267" s="1137">
        <f t="shared" si="351"/>
        <v>-36</v>
      </c>
      <c r="BO267" s="149">
        <f t="shared" si="351"/>
        <v>-25</v>
      </c>
      <c r="BP267" s="149">
        <f t="shared" si="351"/>
        <v>-40</v>
      </c>
      <c r="BQ267" s="1142">
        <f t="shared" si="351"/>
        <v>-40</v>
      </c>
      <c r="BR267" s="149">
        <f t="shared" ref="BR267:CQ267" si="352">BR233+BR236</f>
        <v>-141</v>
      </c>
      <c r="BS267" s="1137">
        <f t="shared" si="352"/>
        <v>-35</v>
      </c>
      <c r="BT267" s="149">
        <f t="shared" si="352"/>
        <v>131</v>
      </c>
      <c r="BU267" s="149">
        <f t="shared" si="352"/>
        <v>213</v>
      </c>
      <c r="BV267" s="1142">
        <f t="shared" si="352"/>
        <v>112</v>
      </c>
      <c r="BW267" s="149">
        <f t="shared" si="352"/>
        <v>421</v>
      </c>
      <c r="BX267" s="1137">
        <f t="shared" si="352"/>
        <v>-182</v>
      </c>
      <c r="BY267" s="149">
        <f t="shared" si="352"/>
        <v>304</v>
      </c>
      <c r="BZ267" s="149">
        <f t="shared" si="352"/>
        <v>128</v>
      </c>
      <c r="CA267" s="1142">
        <f t="shared" si="352"/>
        <v>47</v>
      </c>
      <c r="CB267" s="149">
        <f t="shared" si="352"/>
        <v>297</v>
      </c>
      <c r="CC267" s="1137">
        <f t="shared" si="352"/>
        <v>-260.13122238196371</v>
      </c>
      <c r="CD267" s="149">
        <f t="shared" si="352"/>
        <v>163.20803198811751</v>
      </c>
      <c r="CE267" s="149">
        <f t="shared" si="352"/>
        <v>150.63338646256341</v>
      </c>
      <c r="CF267" s="1142">
        <f t="shared" si="352"/>
        <v>228.22405665921582</v>
      </c>
      <c r="CG267" s="149">
        <f t="shared" si="352"/>
        <v>281.93425272793297</v>
      </c>
      <c r="CH267" s="1137">
        <f t="shared" si="352"/>
        <v>336.39163423927243</v>
      </c>
      <c r="CI267" s="149">
        <f t="shared" si="352"/>
        <v>-358.86500155625072</v>
      </c>
      <c r="CJ267" s="149">
        <f t="shared" si="352"/>
        <v>828.04022637365824</v>
      </c>
      <c r="CK267" s="1142">
        <f t="shared" si="352"/>
        <v>-427.5138170425106</v>
      </c>
      <c r="CL267" s="149">
        <f>CL233+CL236</f>
        <v>378.05304201416948</v>
      </c>
      <c r="CM267" s="1137">
        <f t="shared" si="352"/>
        <v>685.34656721976876</v>
      </c>
      <c r="CN267" s="149">
        <f t="shared" si="352"/>
        <v>-722.07690311996919</v>
      </c>
      <c r="CO267" s="149">
        <f t="shared" si="352"/>
        <v>1033.3618759647732</v>
      </c>
      <c r="CP267" s="1142">
        <f t="shared" si="352"/>
        <v>-627.58775536673534</v>
      </c>
      <c r="CQ267" s="1142">
        <f t="shared" si="352"/>
        <v>369.04378469783728</v>
      </c>
      <c r="CR267" s="75"/>
    </row>
    <row r="268" spans="1:96" ht="13.5" customHeight="1">
      <c r="A268" s="75"/>
      <c r="B268" s="75" t="s">
        <v>881</v>
      </c>
      <c r="C268" s="81"/>
      <c r="D268" s="75"/>
      <c r="E268" s="75"/>
      <c r="F268" s="271">
        <f t="shared" ref="F268:AK268" si="353">F267/F77</f>
        <v>-1.0415551294156584</v>
      </c>
      <c r="G268" s="271">
        <f t="shared" si="353"/>
        <v>1.3852830627349169</v>
      </c>
      <c r="H268" s="271">
        <f t="shared" si="353"/>
        <v>0.88075028309830528</v>
      </c>
      <c r="I268" s="271">
        <f t="shared" si="353"/>
        <v>1.2956499037931601</v>
      </c>
      <c r="J268" s="271">
        <f t="shared" si="353"/>
        <v>2.5295845084755619</v>
      </c>
      <c r="K268" s="271">
        <f t="shared" si="353"/>
        <v>0.25315743579646138</v>
      </c>
      <c r="L268" s="271">
        <f t="shared" si="353"/>
        <v>1.0764832527441499</v>
      </c>
      <c r="M268" s="271">
        <f t="shared" si="353"/>
        <v>4.3955850356315462</v>
      </c>
      <c r="N268" s="271">
        <f t="shared" si="353"/>
        <v>1.5195032190631781</v>
      </c>
      <c r="O268" s="271">
        <f t="shared" si="353"/>
        <v>7.3409753393301029</v>
      </c>
      <c r="P268" s="271">
        <f t="shared" si="353"/>
        <v>1.5240564426420482</v>
      </c>
      <c r="Q268" s="271">
        <f t="shared" si="353"/>
        <v>0.43774404230358427</v>
      </c>
      <c r="R268" s="271">
        <f t="shared" si="353"/>
        <v>1.6406387085453589</v>
      </c>
      <c r="S268" s="271">
        <f t="shared" si="353"/>
        <v>0.58034732908331499</v>
      </c>
      <c r="T268" s="271">
        <f t="shared" si="353"/>
        <v>4.2037542962897678</v>
      </c>
      <c r="U268" s="271">
        <f t="shared" si="353"/>
        <v>0.92823203962907486</v>
      </c>
      <c r="V268" s="271">
        <f t="shared" si="353"/>
        <v>1.9436870663823123</v>
      </c>
      <c r="W268" s="271">
        <f t="shared" si="353"/>
        <v>2.6469860641543663</v>
      </c>
      <c r="X268" s="271">
        <f t="shared" si="353"/>
        <v>3.6842060789400302</v>
      </c>
      <c r="Y268" s="271">
        <f t="shared" si="353"/>
        <v>9.3457943925233646</v>
      </c>
      <c r="Z268" s="271">
        <f t="shared" si="353"/>
        <v>1.7844457224045194</v>
      </c>
      <c r="AA268" s="271">
        <f t="shared" si="353"/>
        <v>2.7829235076678422</v>
      </c>
      <c r="AB268" s="271">
        <f t="shared" si="353"/>
        <v>2.9978151516691227</v>
      </c>
      <c r="AC268" s="271">
        <f t="shared" si="353"/>
        <v>1.162859786271464</v>
      </c>
      <c r="AD268" s="271">
        <f t="shared" si="353"/>
        <v>8.730555249765013</v>
      </c>
      <c r="AE268" s="271">
        <f t="shared" si="353"/>
        <v>0.93541392065989204</v>
      </c>
      <c r="AF268" s="271">
        <f t="shared" si="353"/>
        <v>0.11063170704723974</v>
      </c>
      <c r="AG268" s="271">
        <f t="shared" si="353"/>
        <v>4.907441388080465</v>
      </c>
      <c r="AH268" s="271">
        <f t="shared" si="353"/>
        <v>0.55102585516629787</v>
      </c>
      <c r="AI268" s="271">
        <f t="shared" si="353"/>
        <v>6.5070086973600505</v>
      </c>
      <c r="AJ268" s="1243">
        <f t="shared" si="353"/>
        <v>1.6450909967873355</v>
      </c>
      <c r="AK268" s="271">
        <f t="shared" si="353"/>
        <v>-0.26739159499086412</v>
      </c>
      <c r="AL268" s="271">
        <f t="shared" ref="AL268:BQ268" si="354">AL267/AL77</f>
        <v>-2.5111081659842496</v>
      </c>
      <c r="AM268" s="1244">
        <f t="shared" si="354"/>
        <v>-2.2881425550761492</v>
      </c>
      <c r="AN268" s="271">
        <f t="shared" si="354"/>
        <v>-3.9668975276984719</v>
      </c>
      <c r="AO268" s="1243">
        <f t="shared" si="354"/>
        <v>-1.2832136132226795</v>
      </c>
      <c r="AP268" s="271">
        <f t="shared" si="354"/>
        <v>-2.8291894302597838</v>
      </c>
      <c r="AQ268" s="271">
        <f t="shared" si="354"/>
        <v>-2.1857162745371017</v>
      </c>
      <c r="AR268" s="1244">
        <f t="shared" si="354"/>
        <v>-1.0507125361834782</v>
      </c>
      <c r="AS268" s="271">
        <f t="shared" si="354"/>
        <v>-7.3485109687845007</v>
      </c>
      <c r="AT268" s="1243">
        <f t="shared" si="354"/>
        <v>-1.1335108935264706</v>
      </c>
      <c r="AU268" s="271">
        <f t="shared" si="354"/>
        <v>-1.3896416114284127</v>
      </c>
      <c r="AV268" s="271">
        <f t="shared" si="354"/>
        <v>-1.0758883019706109</v>
      </c>
      <c r="AW268" s="1244">
        <f t="shared" si="354"/>
        <v>-1.1244455858569733</v>
      </c>
      <c r="AX268" s="271">
        <f t="shared" si="354"/>
        <v>-4.7233620613307723</v>
      </c>
      <c r="AY268" s="1243">
        <f t="shared" si="354"/>
        <v>1.6449765747006768</v>
      </c>
      <c r="AZ268" s="271">
        <f t="shared" si="354"/>
        <v>1.574464543335923</v>
      </c>
      <c r="BA268" s="271">
        <f t="shared" si="354"/>
        <v>-0.2909594735019051</v>
      </c>
      <c r="BB268" s="1244">
        <f t="shared" si="354"/>
        <v>-6.9275585205506029E-2</v>
      </c>
      <c r="BC268" s="271">
        <f t="shared" si="354"/>
        <v>2.856390132974667</v>
      </c>
      <c r="BD268" s="1243">
        <f t="shared" si="354"/>
        <v>0.81051311715031893</v>
      </c>
      <c r="BE268" s="271">
        <f t="shared" si="354"/>
        <v>0.31837214935806479</v>
      </c>
      <c r="BF268" s="271">
        <f t="shared" si="354"/>
        <v>-0.48366925314557752</v>
      </c>
      <c r="BG268" s="1244">
        <f t="shared" si="354"/>
        <v>-1.0777946662981899</v>
      </c>
      <c r="BH268" s="271">
        <f t="shared" si="354"/>
        <v>-0.43575621860436964</v>
      </c>
      <c r="BI268" s="1243">
        <f t="shared" si="354"/>
        <v>3.3159018216735632</v>
      </c>
      <c r="BJ268" s="271">
        <f t="shared" si="354"/>
        <v>4.7417244140139703</v>
      </c>
      <c r="BK268" s="271">
        <f t="shared" si="354"/>
        <v>-1.3897680050637091</v>
      </c>
      <c r="BL268" s="1244">
        <f t="shared" si="354"/>
        <v>0.74148324110563391</v>
      </c>
      <c r="BM268" s="271">
        <f t="shared" si="354"/>
        <v>7.391805291719697</v>
      </c>
      <c r="BN268" s="1243">
        <f t="shared" si="354"/>
        <v>-0.247027097500223</v>
      </c>
      <c r="BO268" s="271">
        <f t="shared" si="354"/>
        <v>-0.17127745577616094</v>
      </c>
      <c r="BP268" s="271">
        <f t="shared" si="354"/>
        <v>-0.27336595500396377</v>
      </c>
      <c r="BQ268" s="1244">
        <f t="shared" si="354"/>
        <v>-0.27332299261344611</v>
      </c>
      <c r="BR268" s="271">
        <f t="shared" ref="BR268:CQ268" si="355">BR267/BR77</f>
        <v>-0.965132038276726</v>
      </c>
      <c r="BS268" s="1243">
        <f t="shared" si="355"/>
        <v>-0.23906777229819268</v>
      </c>
      <c r="BT268" s="271">
        <f t="shared" si="355"/>
        <v>0.89369772550517801</v>
      </c>
      <c r="BU268" s="271">
        <f t="shared" si="355"/>
        <v>1.3269953212512382</v>
      </c>
      <c r="BV268" s="1244">
        <f t="shared" si="355"/>
        <v>0.64749241219829456</v>
      </c>
      <c r="BW268" s="271">
        <f t="shared" si="355"/>
        <v>2.6880690597504757</v>
      </c>
      <c r="BX268" s="1243">
        <f t="shared" si="355"/>
        <v>-1.0445242823199918</v>
      </c>
      <c r="BY268" s="271">
        <f t="shared" si="355"/>
        <v>1.7391602830712198</v>
      </c>
      <c r="BZ268" s="271">
        <f t="shared" si="355"/>
        <v>0.73141603286800805</v>
      </c>
      <c r="CA268" s="1244">
        <f t="shared" si="355"/>
        <v>0.26839198935568792</v>
      </c>
      <c r="CB268" s="271">
        <f t="shared" si="355"/>
        <v>1.6991843057158675</v>
      </c>
      <c r="CC268" s="1243">
        <f t="shared" si="355"/>
        <v>-1.4865111526154549</v>
      </c>
      <c r="CD268" s="271">
        <f t="shared" si="355"/>
        <v>0.93264682926265319</v>
      </c>
      <c r="CE268" s="271">
        <f t="shared" si="355"/>
        <v>0.86078943881655257</v>
      </c>
      <c r="CF268" s="1244">
        <f t="shared" si="355"/>
        <v>1.3041787233864486</v>
      </c>
      <c r="CG268" s="271">
        <f t="shared" si="355"/>
        <v>1.6111038388501993</v>
      </c>
      <c r="CH268" s="1243">
        <f t="shared" si="355"/>
        <v>1.9222987204856516</v>
      </c>
      <c r="CI268" s="271">
        <f t="shared" si="355"/>
        <v>-2.0507220248764595</v>
      </c>
      <c r="CJ268" s="271">
        <f t="shared" si="355"/>
        <v>4.7318081237910379</v>
      </c>
      <c r="CK268" s="1244">
        <f t="shared" si="355"/>
        <v>-2.4430133803690532</v>
      </c>
      <c r="CL268" s="271">
        <f t="shared" si="355"/>
        <v>2.1603714390311768</v>
      </c>
      <c r="CM268" s="1243">
        <f t="shared" si="355"/>
        <v>3.9163899905986099</v>
      </c>
      <c r="CN268" s="271">
        <f t="shared" si="355"/>
        <v>-4.1262842641694606</v>
      </c>
      <c r="CO268" s="271">
        <f t="shared" si="355"/>
        <v>5.9051118095071464</v>
      </c>
      <c r="CP268" s="1244">
        <f t="shared" si="355"/>
        <v>-3.5863291959152224</v>
      </c>
      <c r="CQ268" s="1244">
        <f t="shared" si="355"/>
        <v>2.1088883400210725</v>
      </c>
      <c r="CR268" s="75"/>
    </row>
    <row r="269" spans="1:96" ht="6.2" customHeight="1">
      <c r="A269" s="75"/>
      <c r="B269" s="115"/>
      <c r="C269" s="81"/>
      <c r="D269" s="75"/>
      <c r="E269" s="75"/>
      <c r="F269" s="142"/>
      <c r="G269" s="142"/>
      <c r="H269" s="142"/>
      <c r="I269" s="142"/>
      <c r="J269" s="142"/>
      <c r="K269" s="142"/>
      <c r="L269" s="142"/>
      <c r="M269" s="142"/>
      <c r="N269" s="142"/>
      <c r="O269" s="142"/>
      <c r="P269" s="142"/>
      <c r="Q269" s="142"/>
      <c r="R269" s="142"/>
      <c r="S269" s="142"/>
      <c r="T269" s="142"/>
      <c r="U269" s="142"/>
      <c r="V269" s="142"/>
      <c r="W269" s="142"/>
      <c r="X269" s="142"/>
      <c r="Y269" s="142"/>
      <c r="Z269" s="142"/>
      <c r="AA269" s="142"/>
      <c r="AB269" s="142"/>
      <c r="AC269" s="142"/>
      <c r="AD269" s="142"/>
      <c r="AE269" s="142"/>
      <c r="AF269" s="142"/>
      <c r="AG269" s="142"/>
      <c r="AH269" s="142"/>
      <c r="AI269" s="142"/>
      <c r="AJ269" s="1132"/>
      <c r="AK269" s="85"/>
      <c r="AL269" s="85"/>
      <c r="AM269" s="1133"/>
      <c r="AN269" s="142"/>
      <c r="AO269" s="1132"/>
      <c r="AP269" s="85"/>
      <c r="AQ269" s="85"/>
      <c r="AR269" s="1133"/>
      <c r="AS269" s="142"/>
      <c r="AT269" s="1132"/>
      <c r="AU269" s="85"/>
      <c r="AV269" s="85"/>
      <c r="AW269" s="1133"/>
      <c r="AX269" s="142"/>
      <c r="AY269" s="1231"/>
      <c r="AZ269" s="85"/>
      <c r="BA269" s="272"/>
      <c r="BB269" s="1133"/>
      <c r="BC269" s="142"/>
      <c r="BD269" s="1132"/>
      <c r="BE269" s="85"/>
      <c r="BF269" s="85"/>
      <c r="BG269" s="1133"/>
      <c r="BH269" s="142"/>
      <c r="BI269" s="1132"/>
      <c r="BJ269" s="85"/>
      <c r="BK269" s="85"/>
      <c r="BL269" s="1133"/>
      <c r="BM269" s="142"/>
      <c r="BN269" s="1132"/>
      <c r="BO269" s="85"/>
      <c r="BP269" s="85"/>
      <c r="BQ269" s="1133"/>
      <c r="BR269" s="142"/>
      <c r="BS269" s="1132"/>
      <c r="BT269" s="85"/>
      <c r="BU269" s="85"/>
      <c r="BV269" s="1133"/>
      <c r="BW269" s="142"/>
      <c r="BX269" s="1132"/>
      <c r="BY269" s="85"/>
      <c r="BZ269" s="85"/>
      <c r="CA269" s="1133"/>
      <c r="CB269" s="142"/>
      <c r="CC269" s="1132"/>
      <c r="CD269" s="85"/>
      <c r="CE269" s="85"/>
      <c r="CF269" s="1133"/>
      <c r="CG269" s="142"/>
      <c r="CH269" s="1132"/>
      <c r="CI269" s="85"/>
      <c r="CJ269" s="85"/>
      <c r="CK269" s="1133"/>
      <c r="CL269" s="142"/>
      <c r="CM269" s="1132"/>
      <c r="CN269" s="85"/>
      <c r="CO269" s="85"/>
      <c r="CP269" s="1133"/>
      <c r="CQ269" s="1133"/>
      <c r="CR269" s="75"/>
    </row>
    <row r="270" spans="1:96" ht="13.5" customHeight="1">
      <c r="A270" s="93" t="s">
        <v>882</v>
      </c>
      <c r="B270" s="81"/>
      <c r="C270" s="81"/>
      <c r="D270" s="75"/>
      <c r="E270" s="75"/>
      <c r="F270" s="146"/>
      <c r="G270" s="146"/>
      <c r="H270" s="146"/>
      <c r="I270" s="146"/>
      <c r="J270" s="146"/>
      <c r="K270" s="146"/>
      <c r="L270" s="146"/>
      <c r="M270" s="146"/>
      <c r="N270" s="146"/>
      <c r="O270" s="146"/>
      <c r="P270" s="146"/>
      <c r="Q270" s="146"/>
      <c r="R270" s="146"/>
      <c r="S270" s="142"/>
      <c r="T270" s="142"/>
      <c r="U270" s="142"/>
      <c r="V270" s="142"/>
      <c r="W270" s="142"/>
      <c r="X270" s="142"/>
      <c r="Y270" s="142"/>
      <c r="Z270" s="142"/>
      <c r="AA270" s="142"/>
      <c r="AB270" s="142"/>
      <c r="AC270" s="142"/>
      <c r="AD270" s="142"/>
      <c r="AE270" s="142"/>
      <c r="AF270" s="142"/>
      <c r="AG270" s="142"/>
      <c r="AH270" s="142"/>
      <c r="AI270" s="142"/>
      <c r="AJ270" s="1132"/>
      <c r="AK270" s="85"/>
      <c r="AL270" s="85"/>
      <c r="AM270" s="1133"/>
      <c r="AN270" s="142"/>
      <c r="AO270" s="1132"/>
      <c r="AP270" s="85"/>
      <c r="AQ270" s="85"/>
      <c r="AR270" s="1133"/>
      <c r="AS270" s="142"/>
      <c r="AT270" s="1132"/>
      <c r="AU270" s="85"/>
      <c r="AV270" s="85"/>
      <c r="AW270" s="1133"/>
      <c r="AX270" s="142"/>
      <c r="AY270" s="1132"/>
      <c r="AZ270" s="85"/>
      <c r="BA270" s="85"/>
      <c r="BB270" s="1133"/>
      <c r="BC270" s="142"/>
      <c r="BD270" s="1132"/>
      <c r="BE270" s="85"/>
      <c r="BF270" s="85"/>
      <c r="BG270" s="1133"/>
      <c r="BH270" s="142"/>
      <c r="BI270" s="1132"/>
      <c r="BJ270" s="85"/>
      <c r="BK270" s="85"/>
      <c r="BL270" s="1133"/>
      <c r="BM270" s="142"/>
      <c r="BN270" s="1132"/>
      <c r="BO270" s="85"/>
      <c r="BP270" s="85"/>
      <c r="BQ270" s="1133"/>
      <c r="BR270" s="142"/>
      <c r="BS270" s="1132"/>
      <c r="BT270" s="85"/>
      <c r="BU270" s="85"/>
      <c r="BV270" s="1133"/>
      <c r="BW270" s="142"/>
      <c r="BX270" s="1132"/>
      <c r="BY270" s="85"/>
      <c r="BZ270" s="85"/>
      <c r="CA270" s="1133"/>
      <c r="CB270" s="142"/>
      <c r="CC270" s="1132"/>
      <c r="CD270" s="85"/>
      <c r="CE270" s="85"/>
      <c r="CF270" s="1133"/>
      <c r="CG270" s="142"/>
      <c r="CH270" s="1132"/>
      <c r="CI270" s="85"/>
      <c r="CJ270" s="85"/>
      <c r="CK270" s="1133"/>
      <c r="CL270" s="142"/>
      <c r="CM270" s="1132"/>
      <c r="CN270" s="85"/>
      <c r="CO270" s="85"/>
      <c r="CP270" s="1133"/>
      <c r="CQ270" s="1133"/>
      <c r="CR270" s="75"/>
    </row>
    <row r="271" spans="1:96" ht="13.5" customHeight="1">
      <c r="A271" s="75"/>
      <c r="B271" s="75" t="s">
        <v>883</v>
      </c>
      <c r="C271" s="81"/>
      <c r="D271" s="75"/>
      <c r="E271" s="75"/>
      <c r="F271" s="272"/>
      <c r="G271" s="272">
        <f>365/((G14)/AVERAGE((G122+G123),(F122+F123)))/4</f>
        <v>48.467925140631763</v>
      </c>
      <c r="H271" s="272">
        <f>365/((H14)/AVERAGE((H122+H123),(G122+G123)))/4</f>
        <v>47.791550279329606</v>
      </c>
      <c r="I271" s="272">
        <f>365/((I14)/AVERAGE((I122+I123),(H122+H123)))/4</f>
        <v>43.529707233065437</v>
      </c>
      <c r="J271" s="272">
        <f>365/((J14)/AVERAGE((J122+J123),(C122+C123)))</f>
        <v>23.849431818181817</v>
      </c>
      <c r="K271" s="272">
        <f>365/((K14)/AVERAGE((K122+K123),(I122+I123)))/4</f>
        <v>41.18182209222298</v>
      </c>
      <c r="L271" s="272">
        <f>365/((L14)/AVERAGE((L122+L123),(K122+K123)))/4</f>
        <v>39.471976508120648</v>
      </c>
      <c r="M271" s="272">
        <f>365/((M14)/AVERAGE((M122+M123),(L122+L123)))/4</f>
        <v>40.000337199892094</v>
      </c>
      <c r="N271" s="272">
        <f>365/((N14)/AVERAGE((N122+N123),(M122+M123)))/4</f>
        <v>40.172882548618219</v>
      </c>
      <c r="O271" s="272">
        <f>365/((O14)/AVERAGE((O122+O123),(J122+J123)))</f>
        <v>39.050218340611359</v>
      </c>
      <c r="P271" s="272">
        <f>365/((P14)/AVERAGE((P122+P123),(N122+N123)))/4</f>
        <v>44.65451342727998</v>
      </c>
      <c r="Q271" s="272">
        <f>365/((Q14)/AVERAGE((Q122+Q123),(P122+P123)))/4</f>
        <v>46.058068118369626</v>
      </c>
      <c r="R271" s="272">
        <f>365/((R14)/AVERAGE((R122+R123),(Q122+Q123)))/4</f>
        <v>47.3359375</v>
      </c>
      <c r="S271" s="272">
        <f>365/((S14)/AVERAGE((S122+S123),(R122+R123)))/4</f>
        <v>41.931671910755149</v>
      </c>
      <c r="T271" s="272">
        <f>365/((T14)/AVERAGE((T122+T123),(O122+O123)))</f>
        <v>43.78232067811097</v>
      </c>
      <c r="U271" s="272">
        <f>365/((U14)/AVERAGE((U122+U123),(S122+S123)))/4</f>
        <v>41.963734567901234</v>
      </c>
      <c r="V271" s="272">
        <f>365/((V14)/AVERAGE((V122+V123),(U122+U123)))/4</f>
        <v>42.714420501582666</v>
      </c>
      <c r="W271" s="272">
        <f>365/((W14)/AVERAGE((W122+W123),(V122+V123)))/4</f>
        <v>44.824951290793962</v>
      </c>
      <c r="X271" s="272">
        <f>365/((X14)/AVERAGE((X122+X123),(W122+W123)))/4</f>
        <v>46.120398569915253</v>
      </c>
      <c r="Y271" s="272">
        <f>365/((Y14)/AVERAGE((Y122+Y123),(T122+T123)))</f>
        <v>39.449729557747375</v>
      </c>
      <c r="Z271" s="272">
        <f>365/((Z14)/AVERAGE((Z122+Z123),(X122+X123)))/4</f>
        <v>45.58855830670926</v>
      </c>
      <c r="AA271" s="272">
        <f>365/((AA14)/AVERAGE((AA122+AA123),(Z122+Z123)))/4</f>
        <v>45.473923841059609</v>
      </c>
      <c r="AB271" s="272">
        <f>365/((AB14)/AVERAGE((AB122+AB123),(AA122+AA123)))/4</f>
        <v>47.877957050987597</v>
      </c>
      <c r="AC271" s="272">
        <f>365/((AC14)/AVERAGE((AC122+AC123),(AB122+AB123)))/4</f>
        <v>44.125964718853361</v>
      </c>
      <c r="AD271" s="272">
        <f>365/((AD14)/AVERAGE((AD122+AD123),(Y122+Y123)))</f>
        <v>41.92319089669887</v>
      </c>
      <c r="AE271" s="272">
        <f>365/((AE14)/AVERAGE((AE122+AE123),(AC122+AC123)))/4</f>
        <v>39.294048306389534</v>
      </c>
      <c r="AF271" s="272">
        <f>365/((AF14)/AVERAGE((AF122+AF123),(AE122+AE123)))/4</f>
        <v>37.756987692763936</v>
      </c>
      <c r="AG271" s="272">
        <f>365/((AG14)/AVERAGE((AG122+AG123),(AF122+AF123)))/4</f>
        <v>40.371136487964989</v>
      </c>
      <c r="AH271" s="272">
        <f>365/((AH14)/AVERAGE((AH122+AH123),(AG122+AG123)))/4</f>
        <v>55.719468784227821</v>
      </c>
      <c r="AI271" s="272">
        <f>365/((AI14)/AVERAGE((AI122+AI123),(AD122+AD123)))</f>
        <v>33.447222572112359</v>
      </c>
      <c r="AJ271" s="1231">
        <f>365/((AJ14)/AVERAGE((AJ122+AJ123),(AH122+AH123)))/4</f>
        <v>63.294318181818177</v>
      </c>
      <c r="AK271" s="272">
        <f>365/((AK14)/AVERAGE((AK122+AK123),(AJ122+AJ123)))/4</f>
        <v>59.717912552891399</v>
      </c>
      <c r="AL271" s="272">
        <f>365/((AL14)/AVERAGE((AL122+AL123),(AK122+AK123)))/4</f>
        <v>46.888312034078808</v>
      </c>
      <c r="AM271" s="1241">
        <f>365/((AM14)/AVERAGE((AM122+AM123),(AL122+AL123)))/4</f>
        <v>43.598129099582593</v>
      </c>
      <c r="AN271" s="272">
        <f>365/((AN14)/AVERAGE((AN122+AN123),(AI122+AI123)))</f>
        <v>63.680077842143376</v>
      </c>
      <c r="AO271" s="1231">
        <f>365/((AO14)/AVERAGE((AO122+AO123),(AM122+AM123)))/4</f>
        <v>41.327162474332653</v>
      </c>
      <c r="AP271" s="272">
        <f>365/((AP14)/AVERAGE((AP122+AP123),(AO122+AO123)))/4</f>
        <v>42.145374919888916</v>
      </c>
      <c r="AQ271" s="272">
        <f>365/((AQ14)/AVERAGE((AQ122+AQ123),(AP122+AP123)))/4</f>
        <v>47.522237046920168</v>
      </c>
      <c r="AR271" s="1241">
        <f>365/((AR14)/AVERAGE((AR122+AR123),(AQ122+AQ123)))/4</f>
        <v>46.102470930232556</v>
      </c>
      <c r="AS271" s="272">
        <f>365/((AS14)/AVERAGE((AS122+AS123),(AN122+AN123)))</f>
        <v>37.710084033613448</v>
      </c>
      <c r="AT271" s="1231">
        <f>365/((AT14)/AVERAGE((AT122+AT123),(AR122+AR123)))/4</f>
        <v>43.32686574835526</v>
      </c>
      <c r="AU271" s="272">
        <f>365/((AU14)/AVERAGE((AU122+AU123),(AT122+AT123)))/4</f>
        <v>47.1488037109375</v>
      </c>
      <c r="AV271" s="272">
        <f>365/((AV14)/AVERAGE((AV122+AV123),(AU122+AU123)))/4</f>
        <v>46.891113953946075</v>
      </c>
      <c r="AW271" s="1241">
        <f>365/((AW14)/AVERAGE((AW122+AW123),(AV122+AV123)))/4</f>
        <v>46.893676073874246</v>
      </c>
      <c r="AX271" s="272">
        <f>365/((AX14)/AVERAGE((AX122+AX123),(AS122+AS123)))</f>
        <v>40.833961979480989</v>
      </c>
      <c r="AY271" s="1231">
        <f>365/((AY14)/AVERAGE((AY122+AY123),(AW122+AW123)))/4</f>
        <v>43.613689095127604</v>
      </c>
      <c r="AZ271" s="272">
        <f>365/((AZ14)/AVERAGE((AZ122+AZ123),(AY122+AY123)))/4</f>
        <v>45.352177596173014</v>
      </c>
      <c r="BA271" s="272">
        <f>365/((BA14)/AVERAGE((BA122+BA123),(AZ122+AZ123)))/4</f>
        <v>47.870942605331038</v>
      </c>
      <c r="BB271" s="1241">
        <f>365/((BB14)/AVERAGE((BB122+BB123),(BA122+BA123)))/4</f>
        <v>45.777523958101185</v>
      </c>
      <c r="BC271" s="272">
        <f>365/((BC14)/AVERAGE((BC122+BC123),(AX122+AX123)))</f>
        <v>42.64124586092715</v>
      </c>
      <c r="BD271" s="1231">
        <f>365/((BD14)/AVERAGE((BD122+BD123),(BB122+BB123)))/4</f>
        <v>43.331338411316644</v>
      </c>
      <c r="BE271" s="272">
        <f>365/((BE14)/AVERAGE((BE122+BE123),(BD122+BD123)))/4</f>
        <v>45.491081508241137</v>
      </c>
      <c r="BF271" s="272">
        <f>365/((BF14)/AVERAGE((BF122+BF123),(BE122+BE123)))/4</f>
        <v>45.271574679254421</v>
      </c>
      <c r="BG271" s="1241">
        <f>365/((BG14)/AVERAGE((BG122+BG123),(BF122+BF123)))/4</f>
        <v>42.023307566174743</v>
      </c>
      <c r="BH271" s="272">
        <f>365/((BH14)/AVERAGE((BH122+BH123),(BC122+BC123)))</f>
        <v>42.577048898071631</v>
      </c>
      <c r="BI271" s="1231">
        <f>365/((BI14)/AVERAGE((BI122+BI123),(BG122+BG123)))/4</f>
        <v>42.824724595323737</v>
      </c>
      <c r="BJ271" s="272">
        <f>365/((BJ14)/AVERAGE((BJ122+BJ123),(BI122+BI123)))/4</f>
        <v>44.287357954545449</v>
      </c>
      <c r="BK271" s="272">
        <f>365/((BK14)/AVERAGE((BK122+BK123),(BJ122+BJ123)))/4</f>
        <v>41.069462611728795</v>
      </c>
      <c r="BL271" s="1241">
        <f>365/((BL14)/AVERAGE((BL122+BL123),(BK122+BK123)))/4</f>
        <v>44.65020260314342</v>
      </c>
      <c r="BM271" s="272">
        <f>365/((BM14)/AVERAGE((BM122+BM123),(BH122+BH123)))</f>
        <v>40.676015308162448</v>
      </c>
      <c r="BN271" s="1231">
        <f>365/((BN14)/AVERAGE((BN122+BN123),(BL122+BL123)))/4</f>
        <v>49.850053484107583</v>
      </c>
      <c r="BO271" s="272">
        <f>365/((BO14)/AVERAGE((BO122+BO123),(BN122+BN123)))/4</f>
        <v>49.479525862068968</v>
      </c>
      <c r="BP271" s="272">
        <f>365/((BP14)/AVERAGE((BP122+BP123),(BO122+BO123)))/4</f>
        <v>45.657243816254422</v>
      </c>
      <c r="BQ271" s="1241">
        <f>365/((BQ14)/AVERAGE((BQ122+BQ123),(BP122+BP123)))/4</f>
        <v>42.538394245723168</v>
      </c>
      <c r="BR271" s="272">
        <f>365/((BR14)/AVERAGE((BR122+BR123),(BM122+BM123)))</f>
        <v>47.146621738379125</v>
      </c>
      <c r="BS271" s="1231">
        <f>365/((BS14)/AVERAGE((BS122+BS123),(BQ122+BQ123)))/4</f>
        <v>42.915954720205036</v>
      </c>
      <c r="BT271" s="272">
        <f>365/((BT14)/AVERAGE((BT122+BT123),(BS122+BS123)))/4</f>
        <v>42.181936919504643</v>
      </c>
      <c r="BU271" s="272">
        <f>365/((BU14)/AVERAGE((BU122+BU123),(BT122+BT123)))/4</f>
        <v>41.54830603127327</v>
      </c>
      <c r="BV271" s="1241">
        <f>365/((BV14)/AVERAGE((BV122+BV123),(BU122+BU123)))/4</f>
        <v>42.078301886792453</v>
      </c>
      <c r="BW271" s="272">
        <f>365/((BW14)/AVERAGE((BW122+BW123),(BR122+BR123)))</f>
        <v>41.102962674203297</v>
      </c>
      <c r="BX271" s="1231">
        <f>365/((BX14)/AVERAGE((BX122+BX123),(BV122+BV123)))/4</f>
        <v>44.319036697247704</v>
      </c>
      <c r="BY271" s="272">
        <f>365/((BY14)/AVERAGE((BY122+BY123),(BX122+BX123)))/4</f>
        <v>41.256957697201017</v>
      </c>
      <c r="BZ271" s="272">
        <f>365/((BZ14)/AVERAGE((BZ122+BZ123),(BY122+BY123)))/4</f>
        <v>41.733951662561573</v>
      </c>
      <c r="CA271" s="1241">
        <f>365/((CA14)/AVERAGE((CA122+CA123),(BZ122+BZ123)))/4</f>
        <v>42.319262687519952</v>
      </c>
      <c r="CB271" s="272">
        <f>365/((CB14)/AVERAGE((CB122+CB123),(BW122+BW123)))</f>
        <v>39.136938775510203</v>
      </c>
      <c r="CC271" s="1373">
        <f>+CB271</f>
        <v>39.136938775510203</v>
      </c>
      <c r="CD271" s="869">
        <f t="shared" ref="CD271:CF273" si="356">+CC271</f>
        <v>39.136938775510203</v>
      </c>
      <c r="CE271" s="869">
        <f t="shared" si="356"/>
        <v>39.136938775510203</v>
      </c>
      <c r="CF271" s="1366">
        <f t="shared" si="356"/>
        <v>39.136938775510203</v>
      </c>
      <c r="CG271" s="272">
        <f>365/((CG14)/AVERAGE((CG122+CG123),(CB122+CB123)))</f>
        <v>39.83224044933889</v>
      </c>
      <c r="CH271" s="1373">
        <v>40</v>
      </c>
      <c r="CI271" s="869">
        <f t="shared" ref="CI271:CK271" si="357">+CH271</f>
        <v>40</v>
      </c>
      <c r="CJ271" s="869">
        <f t="shared" si="357"/>
        <v>40</v>
      </c>
      <c r="CK271" s="1366">
        <f t="shared" si="357"/>
        <v>40</v>
      </c>
      <c r="CL271" s="272">
        <f>365/((CL14)/AVERAGE((CL122+CL123),(CG122+CG123)))</f>
        <v>43.35315054123194</v>
      </c>
      <c r="CM271" s="1373">
        <v>40</v>
      </c>
      <c r="CN271" s="869">
        <f t="shared" ref="CN271:CN273" si="358">+CM271</f>
        <v>40</v>
      </c>
      <c r="CO271" s="869">
        <f t="shared" ref="CO271:CO273" si="359">+CN271</f>
        <v>40</v>
      </c>
      <c r="CP271" s="1366">
        <f t="shared" ref="CP271:CP273" si="360">+CO271</f>
        <v>40</v>
      </c>
      <c r="CQ271" s="1241">
        <f>365/((CQ14)/AVERAGE((CQ122+CQ123),(CL122+CL123)))</f>
        <v>49.915401626751667</v>
      </c>
      <c r="CR271" s="75"/>
    </row>
    <row r="272" spans="1:96" ht="13.5" customHeight="1">
      <c r="A272" s="75"/>
      <c r="B272" s="75" t="s">
        <v>888</v>
      </c>
      <c r="C272" s="81"/>
      <c r="D272" s="75"/>
      <c r="E272" s="75"/>
      <c r="F272" s="273"/>
      <c r="G272" s="273">
        <f>(G18)/AVERAGE(G124,F124)*4</f>
        <v>6.6860510805500981</v>
      </c>
      <c r="H272" s="273">
        <f>(H18)/AVERAGE(H124,G124)*4</f>
        <v>5.8113207547169807</v>
      </c>
      <c r="I272" s="273">
        <f>(I18)/AVERAGE(I124,H124)*4</f>
        <v>7.6115054165110196</v>
      </c>
      <c r="J272" s="273">
        <f>(J18)/AVERAGE(J124,C124)</f>
        <v>6.5939204988308653</v>
      </c>
      <c r="K272" s="273">
        <f>(K18)/AVERAGE(K124,I124)*4</f>
        <v>8.0599605522682438</v>
      </c>
      <c r="L272" s="273">
        <f>(L18)/AVERAGE(L124,K124)*4</f>
        <v>8.2577777777777772</v>
      </c>
      <c r="M272" s="273">
        <f>(M18)/AVERAGE(M124,L124)*4</f>
        <v>8.3941864587025883</v>
      </c>
      <c r="N272" s="273">
        <f>(N18)/AVERAGE(N124,M124)*4</f>
        <v>9.2218073188946974</v>
      </c>
      <c r="O272" s="273">
        <f>(O18)/AVERAGE(O124,J124)</f>
        <v>8.800618238021638</v>
      </c>
      <c r="P272" s="273">
        <f>(P18)/AVERAGE(P124,N124)*4</f>
        <v>8.613352898019075</v>
      </c>
      <c r="Q272" s="273">
        <f>(Q18)/AVERAGE(Q124,P124)*4</f>
        <v>7.8543001686340643</v>
      </c>
      <c r="R272" s="273">
        <f>(R18)/AVERAGE(R124,Q124)*4</f>
        <v>7.5445411922304082</v>
      </c>
      <c r="S272" s="273">
        <f>(S18)/AVERAGE(S124,R124)*4</f>
        <v>8.1678129298486937</v>
      </c>
      <c r="T272" s="273">
        <f>(T18)/AVERAGE(T124,O124)</f>
        <v>8.3948033201010457</v>
      </c>
      <c r="U272" s="273">
        <f>(U18)/AVERAGE(U124,S124)*4</f>
        <v>8.3852153272295702</v>
      </c>
      <c r="V272" s="273">
        <f>(V18)/AVERAGE(V124,U124)*4</f>
        <v>8.9039999999999999</v>
      </c>
      <c r="W272" s="273">
        <f>(W18)/AVERAGE(W124,V124)*4</f>
        <v>8.2432601880877741</v>
      </c>
      <c r="X272" s="273">
        <f>(X18)/AVERAGE(X124,W124)*4</f>
        <v>7.8852609093683244</v>
      </c>
      <c r="Y272" s="273">
        <f>(Y18)/AVERAGE(Y124,T124)</f>
        <v>8.4345276872964163</v>
      </c>
      <c r="Z272" s="273">
        <f>(Z18)/AVERAGE(Z124,X124)*4</f>
        <v>7.8932340161390444</v>
      </c>
      <c r="AA272" s="273">
        <f>(AA18)/AVERAGE(AA124,Z124)*4</f>
        <v>7.8301116253743537</v>
      </c>
      <c r="AB272" s="273">
        <f>(AB18)/AVERAGE(AB124,AA124)*4</f>
        <v>7.6392682298376711</v>
      </c>
      <c r="AC272" s="273">
        <f>(AC18)/AVERAGE(AC124,AB124)*4</f>
        <v>7.7641900121802676</v>
      </c>
      <c r="AD272" s="273">
        <f>(AD18)/AVERAGE(AD124,Y124)</f>
        <v>7.4499098635075969</v>
      </c>
      <c r="AE272" s="273">
        <f>(AE18)/AVERAGE(AE124,AC124)*4</f>
        <v>7.9359029883066263</v>
      </c>
      <c r="AF272" s="273">
        <f>(AF18)/AVERAGE(AF124,AE124)*4</f>
        <v>8.9067315490673149</v>
      </c>
      <c r="AG272" s="273">
        <f>(AG18)/AVERAGE(AG124,AF124)*4</f>
        <v>8.5503610794374758</v>
      </c>
      <c r="AH272" s="273">
        <f>(AH18)/AVERAGE(AH124,AG124)*4</f>
        <v>6.1677969385777951</v>
      </c>
      <c r="AI272" s="273">
        <f>(AI18)/AVERAGE(AI124,AD124)</f>
        <v>8.2477468036051143</v>
      </c>
      <c r="AJ272" s="1245">
        <f>(AJ18)/AVERAGE(AJ124,AH124)*4</f>
        <v>5.1111111111111107</v>
      </c>
      <c r="AK272" s="273">
        <f>(AK18)/AVERAGE(AK124,AJ124)*4</f>
        <v>5.0121730121730126</v>
      </c>
      <c r="AL272" s="273">
        <f>(AL18)/AVERAGE(AL124,AK124)*4</f>
        <v>6.7137073452862923</v>
      </c>
      <c r="AM272" s="1246">
        <f>(AM18)/AVERAGE(AM124,AL124)*4</f>
        <v>7.8641239570917758</v>
      </c>
      <c r="AN272" s="273">
        <f>(AN18)/AVERAGE(AN124,AI124)</f>
        <v>5.5339247182929752</v>
      </c>
      <c r="AO272" s="1245">
        <f>(AO18)/AVERAGE(AO124,AM124)*4</f>
        <v>8.7528562838244142</v>
      </c>
      <c r="AP272" s="273">
        <f>(AP18)/AVERAGE(AP124,AO124)*4</f>
        <v>9.0822629133643069</v>
      </c>
      <c r="AQ272" s="273">
        <f>(AQ18)/AVERAGE(AQ124,AP124)*4</f>
        <v>7.8796444039206746</v>
      </c>
      <c r="AR272" s="1246">
        <f>(AR18)/AVERAGE(AR124,AQ124)*4</f>
        <v>6.9642479373810025</v>
      </c>
      <c r="AS272" s="273">
        <f>(AS18)/AVERAGE(AS124,AN124)</f>
        <v>8.0520962540312571</v>
      </c>
      <c r="AT272" s="1245">
        <f>(AT18)/AVERAGE(AT124,AR124)*4</f>
        <v>8.0243108313436071</v>
      </c>
      <c r="AU272" s="273">
        <f>(AU18)/AVERAGE(AU124,AT124)*4</f>
        <v>7.2650918635170605</v>
      </c>
      <c r="AV272" s="273">
        <f>(AV18)/AVERAGE(AV124,AU124)*4</f>
        <v>6.5836491608012997</v>
      </c>
      <c r="AW272" s="1246">
        <f>(AW18)/AVERAGE(AW124,AV124)*4</f>
        <v>6.5916696333214668</v>
      </c>
      <c r="AX272" s="273">
        <f>(AX18)/AVERAGE(AX124,AS124)</f>
        <v>7.1417983226058119</v>
      </c>
      <c r="AY272" s="1245">
        <f>(AY18)/AVERAGE(AY124,AW124)*4</f>
        <v>7.0483499616270144</v>
      </c>
      <c r="AZ272" s="273">
        <f>(AZ18)/AVERAGE(AZ124,AY124)*4</f>
        <v>7.2212827387090126</v>
      </c>
      <c r="BA272" s="273">
        <f>(BA18)/AVERAGE(BA124,AZ124)*4</f>
        <v>6.7668624670852742</v>
      </c>
      <c r="BB272" s="1246">
        <f>(BB18)/AVERAGE(BB124,BA124)*4</f>
        <v>6.5823389021479715</v>
      </c>
      <c r="BC272" s="273">
        <f>(BC18)/AVERAGE(BC124,AX124)</f>
        <v>6.5486926866237214</v>
      </c>
      <c r="BD272" s="1245">
        <f>(BD18)/AVERAGE(BD124,BB124)*4</f>
        <v>7.0388047312720481</v>
      </c>
      <c r="BE272" s="273">
        <f>(BE18)/AVERAGE(BE124,BD124)*4</f>
        <v>7.1781897491821152</v>
      </c>
      <c r="BF272" s="273">
        <f>(BF18)/AVERAGE(BF124,BE124)*4</f>
        <v>6.3541798273320698</v>
      </c>
      <c r="BG272" s="1246">
        <f>(BG18)/AVERAGE(BG124,BF124)*4</f>
        <v>5.9798761609907123</v>
      </c>
      <c r="BH272" s="273">
        <f>(BH18)/AVERAGE(BH124,BC124)</f>
        <v>6.160277403197842</v>
      </c>
      <c r="BI272" s="1245">
        <f>(BI18)/AVERAGE(BI124,BG124)*4</f>
        <v>6.3353598744851931</v>
      </c>
      <c r="BJ272" s="273">
        <f>(BJ18)/AVERAGE(BJ124,BI124)*4</f>
        <v>6.8239258635214828</v>
      </c>
      <c r="BK272" s="273">
        <f>(BK18)/AVERAGE(BK124,BJ124)*4</f>
        <v>6.8800705467372136</v>
      </c>
      <c r="BL272" s="1246">
        <f>(BL18)/AVERAGE(BL124,BK124)*4</f>
        <v>5.916080937167199</v>
      </c>
      <c r="BM272" s="273">
        <f>(BM18)/AVERAGE(BM124,BH124)</f>
        <v>5.9648919753086416</v>
      </c>
      <c r="BN272" s="1245">
        <f>(BN18)/AVERAGE(BN124,BL124)*4</f>
        <v>4.971916971916972</v>
      </c>
      <c r="BO272" s="273">
        <f>(BO18)/AVERAGE(BO124,BN124)*4</f>
        <v>4.6402695871946085</v>
      </c>
      <c r="BP272" s="273">
        <f>(BP18)/AVERAGE(BP124,BO124)*4</f>
        <v>4.4289611752360969</v>
      </c>
      <c r="BQ272" s="1246">
        <f>(BQ18)/AVERAGE(BQ124,BP124)*4</f>
        <v>4.3823464182745617</v>
      </c>
      <c r="BR272" s="273">
        <f>(BR18)/AVERAGE(BR124,BM124)</f>
        <v>4.7772428884026255</v>
      </c>
      <c r="BS272" s="1245">
        <f>(BS18)/AVERAGE(BS124,BQ124)*4</f>
        <v>4.8185806451612905</v>
      </c>
      <c r="BT272" s="273">
        <f>(BT18)/AVERAGE(BT124,BS124)*4</f>
        <v>5.42692750287687</v>
      </c>
      <c r="BU272" s="273">
        <f>(BU18)/AVERAGE(BU124,BT124)*4</f>
        <v>5.4386889083991807</v>
      </c>
      <c r="BV272" s="1246">
        <f>(BV18)/AVERAGE(BV124,BU124)*4</f>
        <v>5.7508295625942685</v>
      </c>
      <c r="BW272" s="273">
        <f>(BW18)/AVERAGE(BW124,BR124)</f>
        <v>5.1538250616945431</v>
      </c>
      <c r="BX272" s="1245">
        <f>(BX18)/AVERAGE(BX124,BV124)*4</f>
        <v>6.1987237921604379</v>
      </c>
      <c r="BY272" s="273">
        <f>(BY18)/AVERAGE(BY124,BX124)*4</f>
        <v>6.2397677793904212</v>
      </c>
      <c r="BZ272" s="273">
        <f>(BZ18)/AVERAGE(BZ124,BY124)*4</f>
        <v>6.4849884526558892</v>
      </c>
      <c r="CA272" s="1246">
        <f>(CA18)/AVERAGE(CA124,BZ124)*4</f>
        <v>6.2135251798561155</v>
      </c>
      <c r="CB272" s="273">
        <f>(CB18)/AVERAGE(CB124,BW124)</f>
        <v>6.4898822108124437</v>
      </c>
      <c r="CC272" s="1374">
        <f>+CB272</f>
        <v>6.4898822108124437</v>
      </c>
      <c r="CD272" s="870">
        <f t="shared" si="356"/>
        <v>6.4898822108124437</v>
      </c>
      <c r="CE272" s="870">
        <f t="shared" si="356"/>
        <v>6.4898822108124437</v>
      </c>
      <c r="CF272" s="1367">
        <v>6.3</v>
      </c>
      <c r="CG272" s="273">
        <f>(CG18)/AVERAGE(CG124,CB124)</f>
        <v>6.1463975877257777</v>
      </c>
      <c r="CH272" s="1374">
        <f>+CG272</f>
        <v>6.1463975877257777</v>
      </c>
      <c r="CI272" s="870">
        <f t="shared" ref="CI272:CK272" si="361">+CH272</f>
        <v>6.1463975877257777</v>
      </c>
      <c r="CJ272" s="870">
        <f t="shared" si="361"/>
        <v>6.1463975877257777</v>
      </c>
      <c r="CK272" s="1367">
        <f t="shared" si="361"/>
        <v>6.1463975877257777</v>
      </c>
      <c r="CL272" s="273">
        <f>(CL18)/AVERAGE(CL124,CG124)</f>
        <v>5.9395473251162301</v>
      </c>
      <c r="CM272" s="1374">
        <f t="shared" ref="CM272:CM273" si="362">+CL272</f>
        <v>5.9395473251162301</v>
      </c>
      <c r="CN272" s="870">
        <f t="shared" si="358"/>
        <v>5.9395473251162301</v>
      </c>
      <c r="CO272" s="870">
        <f t="shared" si="359"/>
        <v>5.9395473251162301</v>
      </c>
      <c r="CP272" s="1367">
        <v>6.3</v>
      </c>
      <c r="CQ272" s="1246">
        <f>(CQ18)/AVERAGE(CQ124,CL124)</f>
        <v>5.9615610723043115</v>
      </c>
      <c r="CR272" s="75"/>
    </row>
    <row r="273" spans="1:96" ht="13.5" customHeight="1">
      <c r="A273" s="75"/>
      <c r="B273" s="75" t="s">
        <v>889</v>
      </c>
      <c r="C273" s="81"/>
      <c r="D273" s="75"/>
      <c r="E273" s="75"/>
      <c r="F273" s="272"/>
      <c r="G273" s="272">
        <f>365/((G18)/AVERAGE((G142+G143),(F142+F143)))/4</f>
        <v>41.420721673718859</v>
      </c>
      <c r="H273" s="272">
        <f>365/((H18)/AVERAGE((H142+H143),(G142+G143)))/4</f>
        <v>45.010521885521889</v>
      </c>
      <c r="I273" s="272">
        <f>365/((I18)/AVERAGE((I142+I143),(H142+H143)))/4</f>
        <v>36.525078523753436</v>
      </c>
      <c r="J273" s="272">
        <f>365/((J18)/AVERAGE((J142+J143),(C142+C143)))</f>
        <v>22.154550827423169</v>
      </c>
      <c r="K273" s="272">
        <f>365/((K18)/AVERAGE((K142+K143),(I142+I143)))/4</f>
        <v>38.122063429913858</v>
      </c>
      <c r="L273" s="272">
        <f>365/((L18)/AVERAGE((L142+L143),(K142+K143)))/4</f>
        <v>37.963536060279871</v>
      </c>
      <c r="M273" s="272">
        <f>365/((M18)/AVERAGE((M142+M143),(L142+L143)))/4</f>
        <v>39.197423986486491</v>
      </c>
      <c r="N273" s="272">
        <f>365/((N18)/AVERAGE((N142+N143),(M142+M143)))/4</f>
        <v>38.663751214771629</v>
      </c>
      <c r="O273" s="272">
        <f>365/((O18)/AVERAGE((O142+O143),(J142+J143)))</f>
        <v>37.051282051282051</v>
      </c>
      <c r="P273" s="272">
        <f>365/((P18)/AVERAGE((P142+P143),(N142+N143)))/4</f>
        <v>39.873296422487222</v>
      </c>
      <c r="Q273" s="272">
        <f>365/((Q18)/AVERAGE((Q142+Q143),(P142+P143)))/4</f>
        <v>38.822784266575063</v>
      </c>
      <c r="R273" s="272">
        <f>365/((R18)/AVERAGE((R142+R143),(Q142+Q143)))/4</f>
        <v>38.690518465909086</v>
      </c>
      <c r="S273" s="272">
        <f>365/((S18)/AVERAGE((S142+S143),(R142+R143)))/4</f>
        <v>37.603359717076458</v>
      </c>
      <c r="T273" s="272">
        <f>365/((T18)/AVERAGE((T142+T143),(O142+O143)))</f>
        <v>39.870389476399275</v>
      </c>
      <c r="U273" s="272">
        <f>365/((U18)/AVERAGE((U142+U143),(S142+S143)))/4</f>
        <v>37.240981882885798</v>
      </c>
      <c r="V273" s="272">
        <f>365/((V18)/AVERAGE((V142+V143),(U142+U143)))/4</f>
        <v>35.048854447439354</v>
      </c>
      <c r="W273" s="272">
        <f>365/((W18)/AVERAGE((W142+W143),(V142+V143)))/4</f>
        <v>36.824802251292972</v>
      </c>
      <c r="X273" s="272">
        <f>365/((X18)/AVERAGE((X142+X143),(W142+W143)))/4</f>
        <v>37.686532507739933</v>
      </c>
      <c r="Y273" s="272">
        <f>365/((Y18)/AVERAGE((Y142+Y143),(T142+T143)))</f>
        <v>36.212443036996987</v>
      </c>
      <c r="Z273" s="272">
        <f>365/((Z18)/AVERAGE((Z142+Z143),(X142+X143)))/4</f>
        <v>39.41058508965083</v>
      </c>
      <c r="AA273" s="272">
        <f>365/((AA18)/AVERAGE((AA142+AA143),(Z142+Z143)))/4</f>
        <v>38.822496522948541</v>
      </c>
      <c r="AB273" s="272">
        <f>365/((AB18)/AVERAGE((AB142+AB143),(AA142+AA143)))/4</f>
        <v>40.40508634646519</v>
      </c>
      <c r="AC273" s="272">
        <f>365/((AC18)/AVERAGE((AC142+AC143),(AB142+AB143)))/4</f>
        <v>38.776669176706825</v>
      </c>
      <c r="AD273" s="272">
        <f>365/((AD18)/AVERAGE((AD142+AD143),(Y142+Y143)))</f>
        <v>38.395153484513273</v>
      </c>
      <c r="AE273" s="272">
        <f>365/((AE18)/AVERAGE((AE142+AE143),(AC142+AC143)))/4</f>
        <v>36.880457323728443</v>
      </c>
      <c r="AF273" s="272">
        <f>365/((AF18)/AVERAGE((AF142+AF143),(AE142+AE143)))/4</f>
        <v>35.978191586232015</v>
      </c>
      <c r="AG273" s="272">
        <f>365/((AG18)/AVERAGE((AG142+AG143),(AF142+AF143)))/4</f>
        <v>37.342083036984356</v>
      </c>
      <c r="AH273" s="272">
        <f>365/((AH18)/AVERAGE((AH142+AH143),(AG142+AG143)))/4</f>
        <v>42.758387785875847</v>
      </c>
      <c r="AI273" s="272">
        <f>365/((AI18)/AVERAGE((AI142+AI143),(AD142+AD143)))</f>
        <v>29.802922490470138</v>
      </c>
      <c r="AJ273" s="1231">
        <f>365/((AJ18)/AVERAGE((AJ142+AJ143),(AH142+AH143)))/4</f>
        <v>42.547928791509761</v>
      </c>
      <c r="AK273" s="272">
        <f>365/((AK18)/AVERAGE((AK142+AK143),(AJ142+AJ143)))/4</f>
        <v>43.644584539065733</v>
      </c>
      <c r="AL273" s="272">
        <f>365/((AL18)/AVERAGE((AL142+AL143),(AK142+AK143)))/4</f>
        <v>40.295270503101314</v>
      </c>
      <c r="AM273" s="1241">
        <f>365/((AM18)/AVERAGE((AM142+AM143),(AL142+AL143)))/4</f>
        <v>40.756858138829948</v>
      </c>
      <c r="AN273" s="272">
        <f>365/((AN18)/AVERAGE((AN142+AN143),(AI142+AI143)))</f>
        <v>46.490772030153366</v>
      </c>
      <c r="AO273" s="1231">
        <f>365/((AO18)/AVERAGE((AO142+AO143),(AM142+AM143)))/4</f>
        <v>38.992511679032695</v>
      </c>
      <c r="AP273" s="272">
        <f>365/((AP18)/AVERAGE((AP142+AP143),(AO142+AO143)))/4</f>
        <v>39.034966297544536</v>
      </c>
      <c r="AQ273" s="272">
        <f>365/((AQ18)/AVERAGE((AQ142+AQ143),(AP142+AP143)))/4</f>
        <v>41.739325387641749</v>
      </c>
      <c r="AR273" s="1241">
        <f>365/((AR18)/AVERAGE((AR142+AR143),(AQ142+AQ143)))/4</f>
        <v>42.753341433778857</v>
      </c>
      <c r="AS273" s="272">
        <f>365/((AS18)/AVERAGE((AS142+AS143),(AN142+AN143)))</f>
        <v>36.670928584632449</v>
      </c>
      <c r="AT273" s="1231">
        <f>365/((AT18)/AVERAGE((AT142+AT143),(AR142+AR143)))/4</f>
        <v>38.812351222679077</v>
      </c>
      <c r="AU273" s="272">
        <f>365/((AU18)/AVERAGE((AU142+AU143),(AT142+AT143)))/4</f>
        <v>43.413739439750998</v>
      </c>
      <c r="AV273" s="272">
        <f>365/((AV18)/AVERAGE((AV142+AV143),(AU142+AU143)))/4</f>
        <v>43.163651315789473</v>
      </c>
      <c r="AW273" s="1241">
        <f>365/((AW18)/AVERAGE((AW142+AW143),(AV142+AV143)))/4</f>
        <v>41.633182112767336</v>
      </c>
      <c r="AX273" s="272">
        <f>365/((AX18)/AVERAGE((AX142+AX143),(AS142+AS143)))</f>
        <v>38.547492899279</v>
      </c>
      <c r="AY273" s="1231">
        <f>365/((AY18)/AVERAGE((AY142+AY143),(AW142+AW143)))/4</f>
        <v>40.498148954703836</v>
      </c>
      <c r="AZ273" s="272">
        <f>365/((AZ18)/AVERAGE((AZ142+AZ143),(AY142+AY143)))/4</f>
        <v>42.143448709161525</v>
      </c>
      <c r="BA273" s="272">
        <f>365/((BA18)/AVERAGE((BA142+BA143),(AZ142+AZ143)))/4</f>
        <v>43.461745689655167</v>
      </c>
      <c r="BB273" s="1241">
        <f>365/((BB18)/AVERAGE((BB142+BB143),(BA142+BA143)))/4</f>
        <v>41.334904520183713</v>
      </c>
      <c r="BC273" s="272">
        <f>365/((BC18)/AVERAGE((BC142+BC143),(AX142+AX143)))</f>
        <v>40.79374493692859</v>
      </c>
      <c r="BD273" s="1231">
        <f>365/((BD18)/AVERAGE((BD142+BD143),(BB142+BB143)))/4</f>
        <v>39.588295990566039</v>
      </c>
      <c r="BE273" s="272">
        <f>365/((BE18)/AVERAGE((BE142+BE143),(BD142+BD143)))/4</f>
        <v>40.168631502187651</v>
      </c>
      <c r="BF273" s="272">
        <f>365/((BF18)/AVERAGE((BF142+BF143),(BE142+BE143)))/4</f>
        <v>41.923714209968189</v>
      </c>
      <c r="BG273" s="1241">
        <f>365/((BG18)/AVERAGE((BG142+BG143),(BF142+BF143)))/4</f>
        <v>41.066043230649754</v>
      </c>
      <c r="BH273" s="272">
        <f>365/((BH18)/AVERAGE((BH142+BH143),(BC142+BC143)))</f>
        <v>40.565701419726061</v>
      </c>
      <c r="BI273" s="1231">
        <f>365/((BI18)/AVERAGE((BI142+BI143),(BG142+BG143)))/4</f>
        <v>42.416109460128773</v>
      </c>
      <c r="BJ273" s="272">
        <f>365/((BJ18)/AVERAGE((BJ142+BJ143),(BI142+BI143)))/4</f>
        <v>48.373765432098764</v>
      </c>
      <c r="BK273" s="272">
        <f>365/((BK18)/AVERAGE((BK142+BK143),(BJ142+BJ143)))/4</f>
        <v>51.063509356575238</v>
      </c>
      <c r="BL273" s="1241">
        <f>365/((BL18)/AVERAGE((BL142+BL143),(BK142+BK143)))/4</f>
        <v>53.535786290322584</v>
      </c>
      <c r="BM273" s="272">
        <f>365/((BM18)/AVERAGE((BM142+BM143),(BH142+BH143)))</f>
        <v>44.335424616777701</v>
      </c>
      <c r="BN273" s="1231">
        <f>365/((BN18)/AVERAGE((BN142+BN143),(BL142+BL143)))/4</f>
        <v>57.352447609692206</v>
      </c>
      <c r="BO273" s="272">
        <f>365/((BO18)/AVERAGE((BO142+BO143),(BN142+BN143)))/4</f>
        <v>60.435729847494549</v>
      </c>
      <c r="BP273" s="272">
        <f>365/((BP18)/AVERAGE((BP142+BP143),(BO142+BO143)))/4</f>
        <v>63.854245640636847</v>
      </c>
      <c r="BQ273" s="1241">
        <f>365/((BQ18)/AVERAGE((BQ142+BQ143),(BP142+BP143)))/4</f>
        <v>62.323380566801625</v>
      </c>
      <c r="BR273" s="272">
        <f>365/((BR18)/AVERAGE((BR142+BR143),(BM142+BM143)))</f>
        <v>58.431430927079518</v>
      </c>
      <c r="BS273" s="1231">
        <f>365/((BS18)/AVERAGE((BS142+BS143),(BQ142+BQ143)))/4</f>
        <v>57.783847472150818</v>
      </c>
      <c r="BT273" s="272">
        <f>365/((BT18)/AVERAGE((BT142+BT143),(BS142+BS143)))/4</f>
        <v>59.865882103477524</v>
      </c>
      <c r="BU273" s="272">
        <f>365/((BU18)/AVERAGE((BU142+BU143),(BT142+BT143)))/4</f>
        <v>64.538850624192847</v>
      </c>
      <c r="BV273" s="1241">
        <f>365/((BV18)/AVERAGE((BV142+BV143),(BU142+BU143)))/4</f>
        <v>63.622272345782633</v>
      </c>
      <c r="BW273" s="272">
        <f>365/((BW18)/AVERAGE((BW142+BW143),(BR142+BR143)))</f>
        <v>61.383539050861884</v>
      </c>
      <c r="BX273" s="1231">
        <f>365/((BX18)/AVERAGE((BX142+BX143),(BV142+BV143)))/4</f>
        <v>64.036029411764702</v>
      </c>
      <c r="BY273" s="272">
        <f>365/((BY18)/AVERAGE((BY142+BY143),(BX142+BX143)))/4</f>
        <v>66.832899144026797</v>
      </c>
      <c r="BZ273" s="272">
        <f>365/((BZ18)/AVERAGE((BZ142+BZ143),(BY142+BY143)))/4</f>
        <v>66.975160256410248</v>
      </c>
      <c r="CA273" s="1241">
        <f>365/((CA18)/AVERAGE((CA142+CA143),(BZ142+BZ143)))/4</f>
        <v>72.131113375324205</v>
      </c>
      <c r="CB273" s="272">
        <f>365/((CB18)/AVERAGE((CB142+CB143),(BW142+BW143)))</f>
        <v>65.193131049888308</v>
      </c>
      <c r="CC273" s="1373">
        <f>+CB273</f>
        <v>65.193131049888308</v>
      </c>
      <c r="CD273" s="869">
        <f t="shared" si="356"/>
        <v>65.193131049888308</v>
      </c>
      <c r="CE273" s="869">
        <f t="shared" si="356"/>
        <v>65.193131049888308</v>
      </c>
      <c r="CF273" s="1366">
        <f t="shared" si="356"/>
        <v>65.193131049888308</v>
      </c>
      <c r="CG273" s="272">
        <f>365/((CG18)/AVERAGE((CG142+CG143),(CB142+CB143)))</f>
        <v>71.535977387759715</v>
      </c>
      <c r="CH273" s="1373">
        <f>+CG273</f>
        <v>71.535977387759715</v>
      </c>
      <c r="CI273" s="869">
        <f t="shared" ref="CI273:CK273" si="363">+CH273</f>
        <v>71.535977387759715</v>
      </c>
      <c r="CJ273" s="869">
        <f t="shared" si="363"/>
        <v>71.535977387759715</v>
      </c>
      <c r="CK273" s="1366">
        <f t="shared" si="363"/>
        <v>71.535977387759715</v>
      </c>
      <c r="CL273" s="272">
        <f>365/((CL18)/AVERAGE((CL142+CL143),(CG142+CG143)))</f>
        <v>71.819357985749136</v>
      </c>
      <c r="CM273" s="1373">
        <f t="shared" si="362"/>
        <v>71.819357985749136</v>
      </c>
      <c r="CN273" s="869">
        <f t="shared" si="358"/>
        <v>71.819357985749136</v>
      </c>
      <c r="CO273" s="869">
        <f t="shared" si="359"/>
        <v>71.819357985749136</v>
      </c>
      <c r="CP273" s="1366">
        <f t="shared" si="360"/>
        <v>71.819357985749136</v>
      </c>
      <c r="CQ273" s="1241">
        <f>365/((CQ18)/AVERAGE((CQ142+CQ143),(CL142+CL143)))</f>
        <v>75.605601880172316</v>
      </c>
      <c r="CR273" s="75"/>
    </row>
    <row r="274" spans="1:96" ht="6.2" customHeight="1">
      <c r="A274" s="75"/>
      <c r="B274" s="75"/>
      <c r="C274" s="81"/>
      <c r="D274" s="75"/>
      <c r="E274" s="75"/>
      <c r="F274" s="146"/>
      <c r="G274" s="146"/>
      <c r="H274" s="146"/>
      <c r="I274" s="146"/>
      <c r="J274" s="146"/>
      <c r="K274" s="146"/>
      <c r="L274" s="146"/>
      <c r="M274" s="146"/>
      <c r="N274" s="146"/>
      <c r="O274" s="146"/>
      <c r="P274" s="146"/>
      <c r="Q274" s="146"/>
      <c r="R274" s="146"/>
      <c r="S274" s="146"/>
      <c r="T274" s="146"/>
      <c r="U274" s="146"/>
      <c r="V274" s="146"/>
      <c r="W274" s="146"/>
      <c r="X274" s="146"/>
      <c r="Y274" s="146"/>
      <c r="Z274" s="146"/>
      <c r="AA274" s="145"/>
      <c r="AB274" s="146"/>
      <c r="AC274" s="142"/>
      <c r="AD274" s="146"/>
      <c r="AE274" s="145"/>
      <c r="AF274" s="146"/>
      <c r="AG274" s="146"/>
      <c r="AH274" s="142"/>
      <c r="AI274" s="146"/>
      <c r="AJ274" s="1134"/>
      <c r="AK274" s="146"/>
      <c r="AL274" s="146"/>
      <c r="AM274" s="1247"/>
      <c r="AN274" s="146"/>
      <c r="AO274" s="1134"/>
      <c r="AP274" s="146"/>
      <c r="AQ274" s="146"/>
      <c r="AR274" s="1247"/>
      <c r="AS274" s="146"/>
      <c r="AT274" s="1134"/>
      <c r="AU274" s="146"/>
      <c r="AV274" s="146"/>
      <c r="AW274" s="1247"/>
      <c r="AX274" s="146"/>
      <c r="AY274" s="1134"/>
      <c r="AZ274" s="146"/>
      <c r="BA274" s="146"/>
      <c r="BB274" s="1247"/>
      <c r="BC274" s="146"/>
      <c r="BD274" s="1134"/>
      <c r="BE274" s="146"/>
      <c r="BF274" s="146"/>
      <c r="BG274" s="1133"/>
      <c r="BH274" s="146"/>
      <c r="BI274" s="1134"/>
      <c r="BJ274" s="85"/>
      <c r="BK274" s="146"/>
      <c r="BL274" s="1247"/>
      <c r="BM274" s="146"/>
      <c r="BN274" s="1134"/>
      <c r="BO274" s="146"/>
      <c r="BP274" s="146"/>
      <c r="BQ274" s="1133"/>
      <c r="BR274" s="146"/>
      <c r="BS274" s="1134"/>
      <c r="BT274" s="85"/>
      <c r="BU274" s="85"/>
      <c r="BV274" s="1133"/>
      <c r="BW274" s="146"/>
      <c r="BX274" s="1134"/>
      <c r="BY274" s="85"/>
      <c r="BZ274" s="85"/>
      <c r="CA274" s="1133"/>
      <c r="CB274" s="146"/>
      <c r="CC274" s="1375"/>
      <c r="CD274" s="146"/>
      <c r="CE274" s="146"/>
      <c r="CF274" s="1133"/>
      <c r="CG274" s="146"/>
      <c r="CH274" s="1375"/>
      <c r="CI274" s="146"/>
      <c r="CJ274" s="146"/>
      <c r="CK274" s="1133"/>
      <c r="CL274" s="146"/>
      <c r="CM274" s="1375"/>
      <c r="CN274" s="146"/>
      <c r="CO274" s="146"/>
      <c r="CP274" s="1133"/>
      <c r="CQ274" s="1247"/>
      <c r="CR274" s="75"/>
    </row>
    <row r="275" spans="1:96" ht="13.5" customHeight="1">
      <c r="A275" s="75"/>
      <c r="B275" s="75" t="s">
        <v>890</v>
      </c>
      <c r="C275" s="81"/>
      <c r="D275" s="75"/>
      <c r="E275" s="75"/>
      <c r="F275" s="272"/>
      <c r="G275" s="272">
        <f t="shared" ref="G275:AL275" si="364">G271+(365/G272)-G273</f>
        <v>61.638470509696177</v>
      </c>
      <c r="H275" s="272">
        <f t="shared" si="364"/>
        <v>65.589469952249289</v>
      </c>
      <c r="I275" s="272">
        <f t="shared" si="364"/>
        <v>54.958348772131004</v>
      </c>
      <c r="J275" s="272">
        <f t="shared" si="364"/>
        <v>57.048899903288202</v>
      </c>
      <c r="K275" s="272">
        <f t="shared" si="364"/>
        <v>48.345340103186182</v>
      </c>
      <c r="L275" s="272">
        <f t="shared" si="364"/>
        <v>45.709193946226144</v>
      </c>
      <c r="M275" s="272">
        <f t="shared" si="364"/>
        <v>44.285387875567771</v>
      </c>
      <c r="N275" s="272">
        <f t="shared" si="364"/>
        <v>41.089225276185424</v>
      </c>
      <c r="O275" s="272">
        <f t="shared" si="364"/>
        <v>43.473295263688293</v>
      </c>
      <c r="P275" s="272">
        <f t="shared" si="364"/>
        <v>47.157281740738249</v>
      </c>
      <c r="Q275" s="272">
        <f t="shared" si="364"/>
        <v>53.7066424914373</v>
      </c>
      <c r="R275" s="272">
        <f t="shared" si="364"/>
        <v>57.024769176136381</v>
      </c>
      <c r="S275" s="272">
        <f t="shared" si="364"/>
        <v>49.015917447973067</v>
      </c>
      <c r="T275" s="272">
        <f t="shared" si="364"/>
        <v>47.391210713361609</v>
      </c>
      <c r="U275" s="272">
        <f t="shared" si="364"/>
        <v>48.251748155736884</v>
      </c>
      <c r="V275" s="272">
        <f t="shared" si="364"/>
        <v>48.658378273370616</v>
      </c>
      <c r="W275" s="272">
        <f t="shared" si="364"/>
        <v>52.27874654482499</v>
      </c>
      <c r="X275" s="272">
        <f t="shared" si="364"/>
        <v>54.722759251029807</v>
      </c>
      <c r="Y275" s="272">
        <f t="shared" si="364"/>
        <v>46.511790266791948</v>
      </c>
      <c r="Z275" s="272">
        <f t="shared" si="364"/>
        <v>52.420109108848301</v>
      </c>
      <c r="AA275" s="272">
        <f t="shared" si="364"/>
        <v>53.266343868876021</v>
      </c>
      <c r="AB275" s="272">
        <f t="shared" si="364"/>
        <v>55.252316198316244</v>
      </c>
      <c r="AC275" s="272">
        <f t="shared" si="364"/>
        <v>52.359994588331269</v>
      </c>
      <c r="AD275" s="272">
        <f t="shared" si="364"/>
        <v>52.521918772805066</v>
      </c>
      <c r="AE275" s="272">
        <f t="shared" si="364"/>
        <v>48.407096767424243</v>
      </c>
      <c r="AF275" s="272">
        <f t="shared" si="364"/>
        <v>42.759036499902891</v>
      </c>
      <c r="AG275" s="272">
        <f t="shared" si="364"/>
        <v>45.717309140881063</v>
      </c>
      <c r="AH275" s="272">
        <f t="shared" si="364"/>
        <v>72.139423546730967</v>
      </c>
      <c r="AI275" s="272">
        <f t="shared" si="364"/>
        <v>47.898810882150485</v>
      </c>
      <c r="AJ275" s="1231">
        <f t="shared" si="364"/>
        <v>92.159432868569283</v>
      </c>
      <c r="AK275" s="272">
        <f t="shared" si="364"/>
        <v>88.896033677322976</v>
      </c>
      <c r="AL275" s="272">
        <f t="shared" si="364"/>
        <v>60.959426782528162</v>
      </c>
      <c r="AM275" s="1241">
        <f t="shared" ref="AM275:BR275" si="365">AM271+(365/AM272)-AM273</f>
        <v>49.254578023498929</v>
      </c>
      <c r="AN275" s="272">
        <f t="shared" si="365"/>
        <v>83.146111981299427</v>
      </c>
      <c r="AO275" s="1231">
        <f t="shared" si="365"/>
        <v>44.035324057185086</v>
      </c>
      <c r="AP275" s="272">
        <f t="shared" si="365"/>
        <v>43.298630817818626</v>
      </c>
      <c r="AQ275" s="272">
        <f t="shared" si="365"/>
        <v>52.104798953886153</v>
      </c>
      <c r="AR275" s="1241">
        <f t="shared" si="365"/>
        <v>55.759670201192463</v>
      </c>
      <c r="AS275" s="272">
        <f t="shared" si="365"/>
        <v>46.368966281441416</v>
      </c>
      <c r="AT275" s="1231">
        <f t="shared" si="365"/>
        <v>50.001286869324751</v>
      </c>
      <c r="AU275" s="272">
        <f t="shared" si="365"/>
        <v>53.97530993592639</v>
      </c>
      <c r="AV275" s="272">
        <f t="shared" si="365"/>
        <v>59.167840927630287</v>
      </c>
      <c r="AW275" s="1241">
        <f t="shared" si="365"/>
        <v>60.633414678324449</v>
      </c>
      <c r="AX275" s="272">
        <f t="shared" si="365"/>
        <v>53.394045003295723</v>
      </c>
      <c r="AY275" s="1231">
        <f t="shared" si="365"/>
        <v>54.900710001050939</v>
      </c>
      <c r="AZ275" s="272">
        <f t="shared" si="365"/>
        <v>53.753765441729321</v>
      </c>
      <c r="BA275" s="272">
        <f t="shared" si="365"/>
        <v>58.348522825637566</v>
      </c>
      <c r="BB275" s="1241">
        <f t="shared" si="365"/>
        <v>59.894033506082806</v>
      </c>
      <c r="BC275" s="272">
        <f t="shared" si="365"/>
        <v>57.583816165290074</v>
      </c>
      <c r="BD275" s="1231">
        <f t="shared" si="365"/>
        <v>55.598437467920419</v>
      </c>
      <c r="BE275" s="272">
        <f t="shared" si="365"/>
        <v>56.170924726520184</v>
      </c>
      <c r="BF275" s="272">
        <f t="shared" si="365"/>
        <v>60.790364445956435</v>
      </c>
      <c r="BG275" s="1241">
        <f t="shared" si="365"/>
        <v>61.995317661955212</v>
      </c>
      <c r="BH275" s="272">
        <f t="shared" si="365"/>
        <v>61.261926001079949</v>
      </c>
      <c r="BI275" s="1231">
        <f t="shared" si="365"/>
        <v>58.02175901830541</v>
      </c>
      <c r="BJ275" s="272">
        <f t="shared" si="365"/>
        <v>49.401864127384954</v>
      </c>
      <c r="BK275" s="272">
        <f t="shared" si="365"/>
        <v>43.057734849616523</v>
      </c>
      <c r="BL275" s="1241">
        <f t="shared" si="365"/>
        <v>52.810664872728672</v>
      </c>
      <c r="BM275" s="272">
        <f t="shared" si="365"/>
        <v>57.531975465978888</v>
      </c>
      <c r="BN275" s="1231">
        <f t="shared" si="365"/>
        <v>65.909933968717922</v>
      </c>
      <c r="BO275" s="272">
        <f t="shared" si="365"/>
        <v>67.703018963013051</v>
      </c>
      <c r="BP275" s="272">
        <f t="shared" si="365"/>
        <v>64.21510014680787</v>
      </c>
      <c r="BQ275" s="1241">
        <f t="shared" si="365"/>
        <v>63.503728253820334</v>
      </c>
      <c r="BR275" s="272">
        <f t="shared" si="365"/>
        <v>65.119093339698296</v>
      </c>
      <c r="BS275" s="1231">
        <f t="shared" ref="BS275" si="366">BS271+(365/BS272)-BS273</f>
        <v>60.880554120376409</v>
      </c>
      <c r="BT275" s="272">
        <f t="shared" ref="BT275:CQ275" si="367">BT271+(365/BT272)-BT273</f>
        <v>49.573264315603019</v>
      </c>
      <c r="BU275" s="272">
        <f t="shared" si="367"/>
        <v>44.121218213795871</v>
      </c>
      <c r="BV275" s="1241">
        <f t="shared" si="367"/>
        <v>41.925133611509196</v>
      </c>
      <c r="BW275" s="272">
        <f t="shared" si="367"/>
        <v>50.540608981928358</v>
      </c>
      <c r="BX275" s="1231">
        <f t="shared" si="367"/>
        <v>39.16609552077712</v>
      </c>
      <c r="BY275" s="272">
        <f t="shared" si="367"/>
        <v>32.919825207435466</v>
      </c>
      <c r="BZ275" s="272">
        <f t="shared" si="367"/>
        <v>31.042623314983231</v>
      </c>
      <c r="CA275" s="1241">
        <f t="shared" ref="CA275:CB275" si="368">CA271+(365/CA272)-CA273</f>
        <v>28.930970727534756</v>
      </c>
      <c r="CB275" s="272">
        <f t="shared" si="368"/>
        <v>30.185198269181086</v>
      </c>
      <c r="CC275" s="1231">
        <f t="shared" si="367"/>
        <v>30.185198269181086</v>
      </c>
      <c r="CD275" s="272">
        <f t="shared" si="367"/>
        <v>30.185198269181086</v>
      </c>
      <c r="CE275" s="272">
        <f t="shared" si="367"/>
        <v>30.185198269181086</v>
      </c>
      <c r="CF275" s="1241">
        <f t="shared" si="367"/>
        <v>31.880315662129831</v>
      </c>
      <c r="CG275" s="272">
        <f t="shared" si="367"/>
        <v>27.680641437767704</v>
      </c>
      <c r="CH275" s="1231">
        <f t="shared" si="367"/>
        <v>27.848400988428807</v>
      </c>
      <c r="CI275" s="272">
        <f t="shared" si="367"/>
        <v>27.848400988428807</v>
      </c>
      <c r="CJ275" s="272">
        <f t="shared" si="367"/>
        <v>27.848400988428807</v>
      </c>
      <c r="CK275" s="1241">
        <f t="shared" si="367"/>
        <v>27.848400988428807</v>
      </c>
      <c r="CL275" s="272">
        <f t="shared" si="367"/>
        <v>32.986287168421583</v>
      </c>
      <c r="CM275" s="1231">
        <f t="shared" si="367"/>
        <v>29.633136627189643</v>
      </c>
      <c r="CN275" s="272">
        <f t="shared" si="367"/>
        <v>29.633136627189643</v>
      </c>
      <c r="CO275" s="272">
        <f t="shared" si="367"/>
        <v>29.633136627189643</v>
      </c>
      <c r="CP275" s="1241">
        <f t="shared" si="367"/>
        <v>26.117149950758801</v>
      </c>
      <c r="CQ275" s="1241">
        <f t="shared" si="367"/>
        <v>35.535373983449034</v>
      </c>
      <c r="CR275" s="75"/>
    </row>
    <row r="276" spans="1:96" ht="6.2" customHeight="1">
      <c r="A276" s="75"/>
      <c r="B276" s="75"/>
      <c r="C276" s="81"/>
      <c r="D276" s="75"/>
      <c r="E276" s="75"/>
      <c r="F276" s="272"/>
      <c r="G276" s="272"/>
      <c r="H276" s="272"/>
      <c r="I276" s="272"/>
      <c r="J276" s="272"/>
      <c r="K276" s="272"/>
      <c r="L276" s="272"/>
      <c r="M276" s="272"/>
      <c r="N276" s="272"/>
      <c r="O276" s="272"/>
      <c r="P276" s="272"/>
      <c r="Q276" s="272"/>
      <c r="R276" s="272"/>
      <c r="S276" s="142"/>
      <c r="T276" s="142"/>
      <c r="U276" s="142"/>
      <c r="V276" s="142"/>
      <c r="W276" s="142"/>
      <c r="X276" s="142"/>
      <c r="Y276" s="142"/>
      <c r="Z276" s="142"/>
      <c r="AA276" s="142"/>
      <c r="AB276" s="142"/>
      <c r="AC276" s="142"/>
      <c r="AD276" s="142"/>
      <c r="AE276" s="142"/>
      <c r="AF276" s="142"/>
      <c r="AG276" s="142"/>
      <c r="AH276" s="142"/>
      <c r="AI276" s="142"/>
      <c r="AJ276" s="1132"/>
      <c r="AK276" s="85"/>
      <c r="AL276" s="85"/>
      <c r="AM276" s="1133"/>
      <c r="AN276" s="142"/>
      <c r="AO276" s="1132"/>
      <c r="AP276" s="85"/>
      <c r="AQ276" s="85"/>
      <c r="AR276" s="1133"/>
      <c r="AS276" s="142"/>
      <c r="AT276" s="1132"/>
      <c r="AU276" s="85"/>
      <c r="AV276" s="85"/>
      <c r="AW276" s="1133"/>
      <c r="AX276" s="142"/>
      <c r="AY276" s="1132"/>
      <c r="AZ276" s="85"/>
      <c r="BA276" s="85"/>
      <c r="BB276" s="1133"/>
      <c r="BC276" s="142"/>
      <c r="BD276" s="1132"/>
      <c r="BE276" s="85"/>
      <c r="BF276" s="85"/>
      <c r="BG276" s="1133"/>
      <c r="BH276" s="142"/>
      <c r="BI276" s="1132"/>
      <c r="BJ276" s="85"/>
      <c r="BK276" s="85"/>
      <c r="BL276" s="1133"/>
      <c r="BM276" s="142"/>
      <c r="BN276" s="1132"/>
      <c r="BO276" s="85"/>
      <c r="BP276" s="85"/>
      <c r="BQ276" s="1133"/>
      <c r="BR276" s="142"/>
      <c r="BS276" s="1132"/>
      <c r="BT276" s="85"/>
      <c r="BU276" s="85"/>
      <c r="BV276" s="1133"/>
      <c r="BW276" s="142"/>
      <c r="BX276" s="1132"/>
      <c r="BY276" s="85"/>
      <c r="BZ276" s="85"/>
      <c r="CA276" s="1133"/>
      <c r="CB276" s="142"/>
      <c r="CC276" s="1132"/>
      <c r="CD276" s="85"/>
      <c r="CE276" s="85"/>
      <c r="CF276" s="1133"/>
      <c r="CG276" s="142"/>
      <c r="CH276" s="1132"/>
      <c r="CI276" s="85"/>
      <c r="CJ276" s="85"/>
      <c r="CK276" s="1133"/>
      <c r="CL276" s="142"/>
      <c r="CM276" s="1132"/>
      <c r="CN276" s="85"/>
      <c r="CO276" s="85"/>
      <c r="CP276" s="1133"/>
      <c r="CQ276" s="1133"/>
      <c r="CR276" s="75"/>
    </row>
    <row r="277" spans="1:96" ht="13.5" customHeight="1">
      <c r="A277" s="75"/>
      <c r="B277" s="75" t="s">
        <v>891</v>
      </c>
      <c r="C277" s="81"/>
      <c r="D277" s="75"/>
      <c r="E277" s="75"/>
      <c r="F277" s="678">
        <f>F137/(F14*4)</f>
        <v>2.0811380400421495E-2</v>
      </c>
      <c r="G277" s="678">
        <f>G137/(G14*4)</f>
        <v>1.9363911726525313E-2</v>
      </c>
      <c r="H277" s="678">
        <f>H137/(H14*4)</f>
        <v>2.0151636073423781E-2</v>
      </c>
      <c r="I277" s="678">
        <f>I137/(I14*4)</f>
        <v>1.6360505166475317E-2</v>
      </c>
      <c r="J277" s="678">
        <f>J137/(J14)</f>
        <v>1.8331903945111493E-2</v>
      </c>
      <c r="K277" s="678">
        <f>K137/(K14*4)</f>
        <v>1.6087405368203717E-2</v>
      </c>
      <c r="L277" s="678">
        <f>L137/(L14*4)</f>
        <v>1.334106728538283E-2</v>
      </c>
      <c r="M277" s="678">
        <f>M137/(M14*4)</f>
        <v>1.0520636633396278E-2</v>
      </c>
      <c r="N277" s="678">
        <f>N137/(N14*4)</f>
        <v>1.0747185261003071E-2</v>
      </c>
      <c r="O277" s="678">
        <f>O137/(O14)</f>
        <v>1.2026630395876583E-2</v>
      </c>
      <c r="P277" s="678">
        <f>P137/(P14*4)</f>
        <v>1.1034299388460516E-2</v>
      </c>
      <c r="Q277" s="678">
        <f>Q137/(Q14*4)</f>
        <v>1.2283640424343942E-2</v>
      </c>
      <c r="R277" s="678">
        <f>R137/(R14*4)</f>
        <v>1.34375E-2</v>
      </c>
      <c r="S277" s="678">
        <f>S137/(S14*4)</f>
        <v>1.301487414187643E-2</v>
      </c>
      <c r="T277" s="678">
        <f>T137/(T14)</f>
        <v>1.2963886316689223E-2</v>
      </c>
      <c r="U277" s="213">
        <f>U137/(U14*4)</f>
        <v>1.2077294685990338E-2</v>
      </c>
      <c r="V277" s="213">
        <f>V137/(V14*4)</f>
        <v>1.1200389578767957E-2</v>
      </c>
      <c r="W277" s="213">
        <f>W137/(W14*4)</f>
        <v>1.0655138821237213E-2</v>
      </c>
      <c r="X277" s="213">
        <f>X137/(X14*4)</f>
        <v>1.2711864406779662E-2</v>
      </c>
      <c r="Y277" s="213">
        <f>Y137/(Y14)</f>
        <v>1.2217626471524022E-2</v>
      </c>
      <c r="Z277" s="213">
        <f>Z137/(Z14*4)</f>
        <v>1.2247071352502662E-2</v>
      </c>
      <c r="AA277" s="213">
        <f>AA137/(AA14*4)</f>
        <v>1.14120151371807E-2</v>
      </c>
      <c r="AB277" s="213">
        <f>AB137/(AB14*4)</f>
        <v>2.1646761598530087E-2</v>
      </c>
      <c r="AC277" s="213">
        <f>AC137/(AC14*4)</f>
        <v>2.2601984564498346E-2</v>
      </c>
      <c r="AD277" s="678">
        <f>AD137/(AD14)</f>
        <v>2.4299176198660583E-2</v>
      </c>
      <c r="AE277" s="213">
        <f>AE137/(AE14*4)</f>
        <v>1.871632024634334E-2</v>
      </c>
      <c r="AF277" s="213">
        <f>AF137/(AF14*4)</f>
        <v>1.4976275207591934E-2</v>
      </c>
      <c r="AG277" s="213">
        <f>AG137/(AG14*4)</f>
        <v>1.4086433260393874E-2</v>
      </c>
      <c r="AH277" s="213">
        <f>AH137/(AH14*4)</f>
        <v>2.2508214676889376E-2</v>
      </c>
      <c r="AI277" s="678">
        <f>AI137/(AI14)</f>
        <v>1.7256581433429903E-2</v>
      </c>
      <c r="AJ277" s="1248">
        <f>AJ137/(AJ14*4)</f>
        <v>2.181818181818182E-2</v>
      </c>
      <c r="AK277" s="213">
        <f>AK137/(AK14*4)</f>
        <v>3.7259050305594732E-2</v>
      </c>
      <c r="AL277" s="213">
        <f>AL137/(AL14*4)</f>
        <v>2.8487752928647497E-2</v>
      </c>
      <c r="AM277" s="1249">
        <f>AM137/(AM14*4)</f>
        <v>2.616279069767442E-2</v>
      </c>
      <c r="AN277" s="678">
        <f>AN137/(AN14)</f>
        <v>3.1770456191165822E-2</v>
      </c>
      <c r="AO277" s="1248">
        <f>AO137/(AO14*4)</f>
        <v>2.2009753593429156E-2</v>
      </c>
      <c r="AP277" s="213">
        <f>AP137/(AP14*4)</f>
        <v>1.751762443922239E-2</v>
      </c>
      <c r="AQ277" s="213">
        <f>AQ137/(AQ14*4)</f>
        <v>1.7400489215032244E-2</v>
      </c>
      <c r="AR277" s="1249">
        <f>AR137/(AR14*4)</f>
        <v>1.8197674418604651E-2</v>
      </c>
      <c r="AS277" s="678">
        <f>AS137/(AS14)</f>
        <v>1.8015425348221481E-2</v>
      </c>
      <c r="AT277" s="1248">
        <f>AT137/(AT14*4)</f>
        <v>1.7269736842105265E-2</v>
      </c>
      <c r="AU277" s="213">
        <f>AU137/(AU14*4)</f>
        <v>1.083984375E-2</v>
      </c>
      <c r="AV277" s="213">
        <f>AV137/(AV14*4)</f>
        <v>1.5302105884668373E-2</v>
      </c>
      <c r="AW277" s="1249">
        <f>AW137/(AW14*4)</f>
        <v>1.7794148163519402E-2</v>
      </c>
      <c r="AX277" s="678">
        <f>AX137/(AX14)</f>
        <v>1.7250050291691812E-2</v>
      </c>
      <c r="AY277" s="1248">
        <f>AY137/(AY14*4)</f>
        <v>1.5081206496519721E-2</v>
      </c>
      <c r="AZ277" s="213">
        <f>AZ137/(AZ14*4)</f>
        <v>1.5447478572852303E-2</v>
      </c>
      <c r="BA277" s="213">
        <f>BA137/(BA14*4)</f>
        <v>2.0475064488392088E-2</v>
      </c>
      <c r="BB277" s="1249">
        <f>BB137/(BB14*4)</f>
        <v>1.8219300200579453E-2</v>
      </c>
      <c r="BC277" s="678">
        <f>BC137/(BC14)</f>
        <v>1.6918460264900664E-2</v>
      </c>
      <c r="BD277" s="1248">
        <f>BD137/(BD14*4)</f>
        <v>1.6539717083786723E-2</v>
      </c>
      <c r="BE277" s="213">
        <f>BE137/(BE14*4)</f>
        <v>1.6820952811018287E-2</v>
      </c>
      <c r="BF277" s="213">
        <f>BF137/(BF14*4)</f>
        <v>1.7368675865407891E-2</v>
      </c>
      <c r="BG277" s="1249">
        <f>BG137/(BG14*4)</f>
        <v>1.3527758257203091E-2</v>
      </c>
      <c r="BH277" s="678">
        <f>BH137/(BH14)</f>
        <v>1.3257575757575758E-2</v>
      </c>
      <c r="BI277" s="1248">
        <f>BI137/(BI14*4)</f>
        <v>1.2927158273381294E-2</v>
      </c>
      <c r="BJ277" s="213">
        <f>BJ137/(BJ14*4)</f>
        <v>1.3465909090909091E-2</v>
      </c>
      <c r="BK277" s="213">
        <f>BK137/(BK14*4)</f>
        <v>7.2487464573795513E-3</v>
      </c>
      <c r="BL277" s="1249">
        <f>BL137/(BL14*4)</f>
        <v>7.3673870333988214E-3</v>
      </c>
      <c r="BM277" s="678">
        <f>BM137/(BM14)</f>
        <v>6.8544010967041755E-3</v>
      </c>
      <c r="BN277" s="1248">
        <f>BN137/(BN14*4)</f>
        <v>8.8630806845965762E-3</v>
      </c>
      <c r="BO277" s="213">
        <f>BO137/(BO14*4)</f>
        <v>9.3965517241379314E-3</v>
      </c>
      <c r="BP277" s="213">
        <f>BP137/(BP14*4)</f>
        <v>1.0159010600706713E-2</v>
      </c>
      <c r="BQ277" s="1249">
        <f>BQ137/(BQ14*4)</f>
        <v>1.0789269051321928E-2</v>
      </c>
      <c r="BR277" s="678">
        <f>BR137/(BR14)</f>
        <v>9.5904613789528255E-3</v>
      </c>
      <c r="BS277" s="1248">
        <f>BS137/(BS14*4)</f>
        <v>1.2387868432293891E-2</v>
      </c>
      <c r="BT277" s="213">
        <f>BT137/(BT14*4)</f>
        <v>1.1319659442724459E-2</v>
      </c>
      <c r="BU277" s="213">
        <f>BU137/(BU14*4)</f>
        <v>1.0889798957557706E-2</v>
      </c>
      <c r="BV277" s="1249">
        <f>BV137/(BV14*4)</f>
        <v>1.0943396226415094E-2</v>
      </c>
      <c r="BW277" s="678">
        <f>BW137/(BW14)</f>
        <v>1.1304941038885099E-2</v>
      </c>
      <c r="BX277" s="1248">
        <f>BX137/(BX14*4)</f>
        <v>1.0825688073394495E-2</v>
      </c>
      <c r="BY277" s="213">
        <f>BY137/(BY14*4)</f>
        <v>9.8600508905852414E-3</v>
      </c>
      <c r="BZ277" s="213">
        <f>BZ137/(BZ14*4)</f>
        <v>9.7752463054187194E-3</v>
      </c>
      <c r="CA277" s="1249">
        <f>CA137/(CA14*4)</f>
        <v>1.4363230130864985E-2</v>
      </c>
      <c r="CB277" s="678">
        <f>CB137/(CB14)</f>
        <v>1.4693877551020407E-2</v>
      </c>
      <c r="CC277" s="1248">
        <f>CA277</f>
        <v>1.4363230130864985E-2</v>
      </c>
      <c r="CD277" s="213">
        <f>CC277</f>
        <v>1.4363230130864985E-2</v>
      </c>
      <c r="CE277" s="213">
        <f>CD277</f>
        <v>1.4363230130864985E-2</v>
      </c>
      <c r="CF277" s="1249">
        <f>CE277</f>
        <v>1.4363230130864985E-2</v>
      </c>
      <c r="CG277" s="678">
        <f>CG137/(CG14)</f>
        <v>1.2769216819715282E-2</v>
      </c>
      <c r="CH277" s="1248">
        <f>CF277</f>
        <v>1.4363230130864985E-2</v>
      </c>
      <c r="CI277" s="213">
        <f>CH277</f>
        <v>1.4363230130864985E-2</v>
      </c>
      <c r="CJ277" s="213">
        <f>CI277</f>
        <v>1.4363230130864985E-2</v>
      </c>
      <c r="CK277" s="1249">
        <f>CJ277</f>
        <v>1.4363230130864985E-2</v>
      </c>
      <c r="CL277" s="678">
        <f>CL137/(CL14)</f>
        <v>1.1964105107199493E-2</v>
      </c>
      <c r="CM277" s="1248">
        <f>CK277</f>
        <v>1.4363230130864985E-2</v>
      </c>
      <c r="CN277" s="213">
        <f>CM277</f>
        <v>1.4363230130864985E-2</v>
      </c>
      <c r="CO277" s="213">
        <f>CN277</f>
        <v>1.4363230130864985E-2</v>
      </c>
      <c r="CP277" s="1249">
        <f>CO277</f>
        <v>1.4363230130864985E-2</v>
      </c>
      <c r="CQ277" s="1387">
        <f>CQ137/(CQ14)</f>
        <v>1.2585328598677054E-2</v>
      </c>
      <c r="CR277" s="75"/>
    </row>
    <row r="278" spans="1:96" ht="13.5" customHeight="1">
      <c r="A278" s="75"/>
      <c r="B278" s="75" t="s">
        <v>892</v>
      </c>
      <c r="C278" s="81"/>
      <c r="D278" s="75"/>
      <c r="E278" s="75"/>
      <c r="F278" s="678">
        <f>F150/(F14*4)</f>
        <v>0</v>
      </c>
      <c r="G278" s="678">
        <f>G150/(G14*4)</f>
        <v>0</v>
      </c>
      <c r="H278" s="678">
        <f>H150/(H14*4)</f>
        <v>0</v>
      </c>
      <c r="I278" s="678">
        <f>I150/(I14*4)</f>
        <v>0</v>
      </c>
      <c r="J278" s="678">
        <f>J150/(J14)</f>
        <v>0</v>
      </c>
      <c r="K278" s="678">
        <f>K150/(K14*4)</f>
        <v>0</v>
      </c>
      <c r="L278" s="678">
        <f>L150/(L14*4)</f>
        <v>0</v>
      </c>
      <c r="M278" s="678">
        <f>M150/(M14*4)</f>
        <v>0</v>
      </c>
      <c r="N278" s="678">
        <f>N150/(N14*4)</f>
        <v>0</v>
      </c>
      <c r="O278" s="678">
        <f>O150/(O14)</f>
        <v>0</v>
      </c>
      <c r="P278" s="213">
        <f>P150/(P14*4)</f>
        <v>0</v>
      </c>
      <c r="Q278" s="213">
        <f>Q150/(Q14*4)</f>
        <v>0</v>
      </c>
      <c r="R278" s="213">
        <f>R150/(R14*4)</f>
        <v>0</v>
      </c>
      <c r="S278" s="213">
        <f>S150/(S14*4)</f>
        <v>0</v>
      </c>
      <c r="T278" s="213">
        <f>T150/(T14)</f>
        <v>0</v>
      </c>
      <c r="U278" s="213">
        <f>U150/(U14*4)</f>
        <v>0</v>
      </c>
      <c r="V278" s="213">
        <f>V150/(V14*4)</f>
        <v>0</v>
      </c>
      <c r="W278" s="213">
        <f>W150/(W14*4)</f>
        <v>0</v>
      </c>
      <c r="X278" s="213">
        <f>X150/(X14*4)</f>
        <v>0</v>
      </c>
      <c r="Y278" s="213">
        <f>Y150/(Y14)</f>
        <v>0</v>
      </c>
      <c r="Z278" s="213">
        <f>Z150/(Z14*4)</f>
        <v>0</v>
      </c>
      <c r="AA278" s="213">
        <f>AA150/(AA14*4)</f>
        <v>0</v>
      </c>
      <c r="AB278" s="213">
        <f>AB150/(AB14*4)</f>
        <v>0</v>
      </c>
      <c r="AC278" s="213">
        <f>AC150/(AC14*4)</f>
        <v>0</v>
      </c>
      <c r="AD278" s="213">
        <f>AD150/(AD14)</f>
        <v>0</v>
      </c>
      <c r="AE278" s="213">
        <f>AE150/(AE14*4)</f>
        <v>0</v>
      </c>
      <c r="AF278" s="213">
        <f>AF150/(AF14*4)</f>
        <v>0</v>
      </c>
      <c r="AG278" s="213">
        <f>AG150/(AG14*4)</f>
        <v>0</v>
      </c>
      <c r="AH278" s="213">
        <f>AH150/(AH14*4)</f>
        <v>0</v>
      </c>
      <c r="AI278" s="213">
        <f>AI150/(AI14)</f>
        <v>0</v>
      </c>
      <c r="AJ278" s="1248">
        <f>AJ150/(AJ14*4)</f>
        <v>0</v>
      </c>
      <c r="AK278" s="213">
        <f>AK150/(AK14*4)</f>
        <v>0</v>
      </c>
      <c r="AL278" s="213">
        <f>AL150/(AL14*4)</f>
        <v>0</v>
      </c>
      <c r="AM278" s="1249">
        <f>AM150/(AM14*4)</f>
        <v>0</v>
      </c>
      <c r="AN278" s="213">
        <f>AN150/(AN14)</f>
        <v>0</v>
      </c>
      <c r="AO278" s="1248">
        <f>AO150/(AO14*4)</f>
        <v>0</v>
      </c>
      <c r="AP278" s="213">
        <f>AP150/(AP14*4)</f>
        <v>0</v>
      </c>
      <c r="AQ278" s="213">
        <f>AQ150/(AQ14*4)</f>
        <v>0</v>
      </c>
      <c r="AR278" s="1249">
        <f>AR150/(AR14*4)</f>
        <v>0</v>
      </c>
      <c r="AS278" s="213">
        <f>AS150/(AS14)</f>
        <v>0</v>
      </c>
      <c r="AT278" s="1248">
        <f>AT150/(AT14*4)</f>
        <v>0</v>
      </c>
      <c r="AU278" s="213">
        <f>AU150/(AU14*4)</f>
        <v>0</v>
      </c>
      <c r="AV278" s="213">
        <f>AV150/(AV14*4)</f>
        <v>3.6902184609328872E-3</v>
      </c>
      <c r="AW278" s="1249">
        <f>AW150/(AW14*4)</f>
        <v>1.9713633533928202E-2</v>
      </c>
      <c r="AX278" s="213">
        <f>AX150/(AX14)</f>
        <v>1.9110842888754778E-2</v>
      </c>
      <c r="AY278" s="1248">
        <f>AY150/(AY14*4)</f>
        <v>0</v>
      </c>
      <c r="AZ278" s="213">
        <f>AZ150/(AZ14*4)</f>
        <v>0</v>
      </c>
      <c r="BA278" s="213">
        <f>BA150/(BA14*4)</f>
        <v>0</v>
      </c>
      <c r="BB278" s="1249">
        <f>BB150/(BB14*4)</f>
        <v>0</v>
      </c>
      <c r="BC278" s="213">
        <f>BC150/(BC14)</f>
        <v>0</v>
      </c>
      <c r="BD278" s="1248">
        <f>BD150/(BD14*4)</f>
        <v>0</v>
      </c>
      <c r="BE278" s="213">
        <f>BE150/(BE14*4)</f>
        <v>0</v>
      </c>
      <c r="BF278" s="213">
        <f>BF150/(BF14*4)</f>
        <v>0</v>
      </c>
      <c r="BG278" s="1249">
        <f>BG150/(BG14*4)</f>
        <v>0</v>
      </c>
      <c r="BH278" s="213">
        <f>BH150/(BH14)</f>
        <v>0</v>
      </c>
      <c r="BI278" s="1248">
        <f>BI150/(BI14*4)</f>
        <v>0</v>
      </c>
      <c r="BJ278" s="213">
        <f>BJ150/(BJ14*4)</f>
        <v>0</v>
      </c>
      <c r="BK278" s="213">
        <f>BK150/(BK14*4)</f>
        <v>0</v>
      </c>
      <c r="BL278" s="1249">
        <f>BL150/(BL14*4)</f>
        <v>0</v>
      </c>
      <c r="BM278" s="213">
        <f>BM150/(BM14)</f>
        <v>0</v>
      </c>
      <c r="BN278" s="1248">
        <f>BN150/(BN14*4)</f>
        <v>0</v>
      </c>
      <c r="BO278" s="213">
        <f>BO150/(BO14*4)</f>
        <v>0</v>
      </c>
      <c r="BP278" s="213">
        <f>BP150/(BP14*4)</f>
        <v>0</v>
      </c>
      <c r="BQ278" s="1249">
        <f>BQ150/(BQ14*4)</f>
        <v>0</v>
      </c>
      <c r="BR278" s="213">
        <f>BR150/(BR14)</f>
        <v>0</v>
      </c>
      <c r="BS278" s="1248">
        <f>BS150/(BS14*4)</f>
        <v>0</v>
      </c>
      <c r="BT278" s="213">
        <f>BT150/(BT14*4)</f>
        <v>0</v>
      </c>
      <c r="BU278" s="213">
        <f>BU150/(BU14*4)</f>
        <v>0</v>
      </c>
      <c r="BV278" s="1249">
        <f>BV150/(BV14*4)</f>
        <v>0</v>
      </c>
      <c r="BW278" s="213">
        <f>BW150/(BW14)</f>
        <v>0</v>
      </c>
      <c r="BX278" s="1248">
        <f>BX150/(BX14*4)</f>
        <v>0</v>
      </c>
      <c r="BY278" s="213">
        <f>BY150/(BY14*4)</f>
        <v>0</v>
      </c>
      <c r="BZ278" s="213">
        <f>BZ150/(BZ14*4)</f>
        <v>0</v>
      </c>
      <c r="CA278" s="1249">
        <f>CA150/(CA14*4)</f>
        <v>0</v>
      </c>
      <c r="CB278" s="213">
        <f>CB150/(CB14)</f>
        <v>0</v>
      </c>
      <c r="CC278" s="1370">
        <v>0</v>
      </c>
      <c r="CD278" s="871">
        <v>0</v>
      </c>
      <c r="CE278" s="871">
        <v>0</v>
      </c>
      <c r="CF278" s="1358">
        <v>0</v>
      </c>
      <c r="CG278" s="213">
        <f>CG150/(CG14)</f>
        <v>0</v>
      </c>
      <c r="CH278" s="1370">
        <v>0</v>
      </c>
      <c r="CI278" s="871">
        <v>0</v>
      </c>
      <c r="CJ278" s="871">
        <v>0</v>
      </c>
      <c r="CK278" s="1358">
        <v>0</v>
      </c>
      <c r="CL278" s="213">
        <f>CL150/(CL14)</f>
        <v>0</v>
      </c>
      <c r="CM278" s="1370">
        <v>0</v>
      </c>
      <c r="CN278" s="871">
        <v>0</v>
      </c>
      <c r="CO278" s="871">
        <v>0</v>
      </c>
      <c r="CP278" s="1358">
        <v>0</v>
      </c>
      <c r="CQ278" s="1249">
        <f>CQ150/(CQ14)</f>
        <v>0</v>
      </c>
      <c r="CR278" s="75"/>
    </row>
    <row r="279" spans="1:96" ht="13.5" customHeight="1">
      <c r="A279" s="75"/>
      <c r="B279" s="115"/>
      <c r="C279" s="75"/>
      <c r="D279" s="75"/>
      <c r="E279" s="75"/>
      <c r="F279" s="146"/>
      <c r="G279" s="146"/>
      <c r="H279" s="146"/>
      <c r="I279" s="146"/>
      <c r="J279" s="146"/>
      <c r="K279" s="146"/>
      <c r="L279" s="146"/>
      <c r="M279" s="146"/>
      <c r="N279" s="146"/>
      <c r="O279" s="146"/>
      <c r="P279" s="142"/>
      <c r="Q279" s="142"/>
      <c r="R279" s="142"/>
      <c r="S279" s="142"/>
      <c r="T279" s="142"/>
      <c r="U279" s="142"/>
      <c r="V279" s="142"/>
      <c r="W279" s="142"/>
      <c r="X279" s="142"/>
      <c r="Y279" s="142"/>
      <c r="Z279" s="142"/>
      <c r="AA279" s="142"/>
      <c r="AB279" s="142"/>
      <c r="AC279" s="142"/>
      <c r="AD279" s="142"/>
      <c r="AE279" s="142"/>
      <c r="AF279" s="142"/>
      <c r="AG279" s="142"/>
      <c r="AH279" s="142"/>
      <c r="AI279" s="142"/>
      <c r="AJ279" s="1132"/>
      <c r="AK279" s="85"/>
      <c r="AL279" s="85"/>
      <c r="AM279" s="1133"/>
      <c r="AN279" s="142"/>
      <c r="AO279" s="1132"/>
      <c r="AP279" s="85"/>
      <c r="AQ279" s="85"/>
      <c r="AR279" s="1133"/>
      <c r="AS279" s="142"/>
      <c r="AT279" s="1132"/>
      <c r="AU279" s="85"/>
      <c r="AV279" s="85"/>
      <c r="AW279" s="1133"/>
      <c r="AX279" s="142"/>
      <c r="AY279" s="1132"/>
      <c r="AZ279" s="85"/>
      <c r="BA279" s="85"/>
      <c r="BB279" s="1133"/>
      <c r="BC279" s="142"/>
      <c r="BD279" s="1132"/>
      <c r="BE279" s="85"/>
      <c r="BF279" s="85"/>
      <c r="BG279" s="1133"/>
      <c r="BH279" s="142"/>
      <c r="BI279" s="1132"/>
      <c r="BJ279" s="85"/>
      <c r="BK279" s="85"/>
      <c r="BL279" s="1133"/>
      <c r="BM279" s="142"/>
      <c r="BN279" s="1132"/>
      <c r="BO279" s="85"/>
      <c r="BP279" s="85"/>
      <c r="BQ279" s="1133"/>
      <c r="BR279" s="142"/>
      <c r="BS279" s="1132"/>
      <c r="BT279" s="85"/>
      <c r="BU279" s="85"/>
      <c r="BV279" s="1133"/>
      <c r="BW279" s="142"/>
      <c r="BX279" s="1132"/>
      <c r="BY279" s="85"/>
      <c r="BZ279" s="85"/>
      <c r="CA279" s="1133"/>
      <c r="CB279" s="142"/>
      <c r="CC279" s="1132"/>
      <c r="CD279" s="85"/>
      <c r="CE279" s="85"/>
      <c r="CF279" s="1133"/>
      <c r="CG279" s="142"/>
      <c r="CH279" s="1132"/>
      <c r="CI279" s="85"/>
      <c r="CJ279" s="85"/>
      <c r="CK279" s="1133"/>
      <c r="CL279" s="142"/>
      <c r="CM279" s="1132"/>
      <c r="CN279" s="85"/>
      <c r="CO279" s="85"/>
      <c r="CP279" s="1133"/>
      <c r="CQ279" s="1133"/>
      <c r="CR279" s="75"/>
    </row>
    <row r="280" spans="1:96" ht="13.5" customHeight="1">
      <c r="A280" s="75"/>
      <c r="B280" s="81"/>
      <c r="C280" s="81"/>
      <c r="D280" s="75"/>
      <c r="E280" s="75"/>
      <c r="F280" s="146"/>
      <c r="G280" s="146"/>
      <c r="H280" s="146"/>
      <c r="I280" s="146"/>
      <c r="J280" s="146"/>
      <c r="K280" s="146"/>
      <c r="L280" s="146"/>
      <c r="M280" s="146"/>
      <c r="N280" s="146"/>
      <c r="O280" s="146"/>
      <c r="P280" s="142"/>
      <c r="Q280" s="142"/>
      <c r="R280" s="142"/>
      <c r="S280" s="142"/>
      <c r="T280" s="142"/>
      <c r="U280" s="142"/>
      <c r="V280" s="142"/>
      <c r="W280" s="142"/>
      <c r="X280" s="142"/>
      <c r="Y280" s="142"/>
      <c r="Z280" s="142"/>
      <c r="AA280" s="142"/>
      <c r="AB280" s="142"/>
      <c r="AC280" s="142"/>
      <c r="AD280" s="142"/>
      <c r="AE280" s="142"/>
      <c r="AF280" s="142"/>
      <c r="AG280" s="142"/>
      <c r="AH280" s="142"/>
      <c r="AI280" s="142"/>
      <c r="AJ280" s="1132"/>
      <c r="AK280" s="85"/>
      <c r="AL280" s="85"/>
      <c r="AM280" s="1133"/>
      <c r="AN280" s="142"/>
      <c r="AO280" s="1132"/>
      <c r="AP280" s="85"/>
      <c r="AQ280" s="85"/>
      <c r="AR280" s="1133"/>
      <c r="AS280" s="142"/>
      <c r="AT280" s="1132"/>
      <c r="AU280" s="85"/>
      <c r="AV280" s="85"/>
      <c r="AW280" s="1133"/>
      <c r="AX280" s="142"/>
      <c r="AY280" s="1132"/>
      <c r="AZ280" s="85"/>
      <c r="BA280" s="85"/>
      <c r="BB280" s="1133"/>
      <c r="BC280" s="142"/>
      <c r="BD280" s="1132"/>
      <c r="BE280" s="85"/>
      <c r="BF280" s="85"/>
      <c r="BG280" s="1133"/>
      <c r="BH280" s="142"/>
      <c r="BI280" s="1132"/>
      <c r="BJ280" s="85"/>
      <c r="BK280" s="85"/>
      <c r="BL280" s="1133"/>
      <c r="BM280" s="142"/>
      <c r="BN280" s="1132"/>
      <c r="BO280" s="85"/>
      <c r="BP280" s="85"/>
      <c r="BQ280" s="1133"/>
      <c r="BR280" s="142"/>
      <c r="BS280" s="1132"/>
      <c r="BT280" s="85"/>
      <c r="BU280" s="85"/>
      <c r="BV280" s="1133"/>
      <c r="BW280" s="142"/>
      <c r="BX280" s="1132"/>
      <c r="BY280" s="85"/>
      <c r="BZ280" s="85"/>
      <c r="CA280" s="1133"/>
      <c r="CB280" s="142"/>
      <c r="CC280" s="1132"/>
      <c r="CD280" s="85"/>
      <c r="CE280" s="85"/>
      <c r="CF280" s="1133"/>
      <c r="CG280" s="142"/>
      <c r="CH280" s="1132"/>
      <c r="CI280" s="85"/>
      <c r="CJ280" s="85"/>
      <c r="CK280" s="1133"/>
      <c r="CL280" s="142"/>
      <c r="CM280" s="1132"/>
      <c r="CN280" s="85"/>
      <c r="CO280" s="85"/>
      <c r="CP280" s="1133"/>
      <c r="CQ280" s="1133"/>
      <c r="CR280" s="75"/>
    </row>
    <row r="281" spans="1:96" ht="13.5" customHeight="1">
      <c r="A281" s="75"/>
      <c r="B281" s="81"/>
      <c r="C281" s="81"/>
      <c r="D281" s="75"/>
      <c r="E281" s="75"/>
      <c r="F281" s="146"/>
      <c r="G281" s="146"/>
      <c r="H281" s="146"/>
      <c r="I281" s="146"/>
      <c r="J281" s="146"/>
      <c r="K281" s="146"/>
      <c r="L281" s="146"/>
      <c r="M281" s="146"/>
      <c r="N281" s="146"/>
      <c r="O281" s="146"/>
      <c r="P281" s="142"/>
      <c r="Q281" s="142"/>
      <c r="R281" s="142"/>
      <c r="S281" s="142"/>
      <c r="T281" s="142"/>
      <c r="U281" s="142"/>
      <c r="V281" s="142"/>
      <c r="W281" s="142"/>
      <c r="X281" s="142"/>
      <c r="Y281" s="142"/>
      <c r="Z281" s="142"/>
      <c r="AA281" s="142"/>
      <c r="AB281" s="142"/>
      <c r="AC281" s="142"/>
      <c r="AD281" s="142"/>
      <c r="AE281" s="142"/>
      <c r="AF281" s="142"/>
      <c r="AG281" s="142"/>
      <c r="AH281" s="142"/>
      <c r="AI281" s="142"/>
      <c r="AJ281" s="1132"/>
      <c r="AK281" s="85"/>
      <c r="AL281" s="85"/>
      <c r="AM281" s="1133"/>
      <c r="AN281" s="142"/>
      <c r="AO281" s="1132"/>
      <c r="AP281" s="85"/>
      <c r="AQ281" s="85"/>
      <c r="AR281" s="1133"/>
      <c r="AS281" s="142"/>
      <c r="AT281" s="1132"/>
      <c r="AU281" s="85"/>
      <c r="AV281" s="85"/>
      <c r="AW281" s="1133"/>
      <c r="AX281" s="142"/>
      <c r="AY281" s="1132"/>
      <c r="AZ281" s="85"/>
      <c r="BA281" s="85"/>
      <c r="BB281" s="1133"/>
      <c r="BC281" s="142"/>
      <c r="BD281" s="1132"/>
      <c r="BE281" s="85"/>
      <c r="BF281" s="85"/>
      <c r="BG281" s="1133"/>
      <c r="BH281" s="142"/>
      <c r="BI281" s="1132"/>
      <c r="BJ281" s="85"/>
      <c r="BK281" s="85"/>
      <c r="BL281" s="1133"/>
      <c r="BM281" s="142"/>
      <c r="BN281" s="1132"/>
      <c r="BO281" s="85"/>
      <c r="BP281" s="85"/>
      <c r="BQ281" s="1133"/>
      <c r="BR281" s="142"/>
      <c r="BS281" s="1132"/>
      <c r="BT281" s="85"/>
      <c r="BU281" s="85"/>
      <c r="BV281" s="1133"/>
      <c r="BW281" s="142"/>
      <c r="BX281" s="1132"/>
      <c r="BY281" s="85"/>
      <c r="BZ281" s="85"/>
      <c r="CA281" s="1133"/>
      <c r="CB281" s="142"/>
      <c r="CC281" s="1132"/>
      <c r="CD281" s="85"/>
      <c r="CE281" s="85"/>
      <c r="CF281" s="1133"/>
      <c r="CG281" s="142"/>
      <c r="CH281" s="1132"/>
      <c r="CI281" s="85"/>
      <c r="CJ281" s="85"/>
      <c r="CK281" s="1133"/>
      <c r="CL281" s="142"/>
      <c r="CM281" s="1132"/>
      <c r="CN281" s="85"/>
      <c r="CO281" s="85"/>
      <c r="CP281" s="1133"/>
      <c r="CQ281" s="1133"/>
      <c r="CR281" s="75"/>
    </row>
    <row r="282" spans="1:96" ht="13.5" customHeight="1">
      <c r="A282" s="75"/>
      <c r="B282" s="75"/>
      <c r="C282" s="75"/>
      <c r="D282" s="75"/>
      <c r="E282" s="75"/>
      <c r="F282" s="274"/>
      <c r="G282" s="274"/>
      <c r="H282" s="274"/>
      <c r="I282" s="274"/>
      <c r="J282" s="142"/>
      <c r="K282" s="274"/>
      <c r="L282" s="274"/>
      <c r="M282" s="274"/>
      <c r="N282" s="274"/>
      <c r="O282" s="142"/>
      <c r="P282" s="142"/>
      <c r="Q282" s="142"/>
      <c r="R282" s="142"/>
      <c r="S282" s="142"/>
      <c r="T282" s="142"/>
      <c r="U282" s="142"/>
      <c r="V282" s="142"/>
      <c r="W282" s="142"/>
      <c r="X282" s="142"/>
      <c r="Y282" s="142"/>
      <c r="Z282" s="142"/>
      <c r="AA282" s="142"/>
      <c r="AB282" s="142"/>
      <c r="AC282" s="142"/>
      <c r="AD282" s="142"/>
      <c r="AE282" s="142"/>
      <c r="AF282" s="142"/>
      <c r="AG282" s="142"/>
      <c r="AH282" s="142"/>
      <c r="AI282" s="142"/>
      <c r="AJ282" s="1132"/>
      <c r="AK282" s="85"/>
      <c r="AL282" s="85"/>
      <c r="AM282" s="1133"/>
      <c r="AN282" s="142"/>
      <c r="AO282" s="1132"/>
      <c r="AP282" s="85"/>
      <c r="AQ282" s="85"/>
      <c r="AR282" s="1133"/>
      <c r="AS282" s="142"/>
      <c r="AT282" s="1132"/>
      <c r="AU282" s="85"/>
      <c r="AV282" s="85"/>
      <c r="AW282" s="1133"/>
      <c r="AX282" s="142"/>
      <c r="AY282" s="1132"/>
      <c r="AZ282" s="85"/>
      <c r="BA282" s="85"/>
      <c r="BB282" s="1133"/>
      <c r="BC282" s="142"/>
      <c r="BD282" s="1132"/>
      <c r="BE282" s="85"/>
      <c r="BF282" s="85"/>
      <c r="BG282" s="1133"/>
      <c r="BH282" s="142"/>
      <c r="BI282" s="1132"/>
      <c r="BJ282" s="85"/>
      <c r="BK282" s="85"/>
      <c r="BL282" s="1133"/>
      <c r="BM282" s="142"/>
      <c r="BN282" s="1132"/>
      <c r="BO282" s="85"/>
      <c r="BP282" s="85"/>
      <c r="BQ282" s="1133"/>
      <c r="BR282" s="142"/>
      <c r="BS282" s="1132"/>
      <c r="BT282" s="85"/>
      <c r="BU282" s="85"/>
      <c r="BV282" s="1133"/>
      <c r="BW282" s="142"/>
      <c r="BX282" s="1132"/>
      <c r="BY282" s="85"/>
      <c r="BZ282" s="85"/>
      <c r="CA282" s="1133"/>
      <c r="CB282" s="142"/>
      <c r="CC282" s="1132"/>
      <c r="CD282" s="85"/>
      <c r="CE282" s="85"/>
      <c r="CF282" s="1133"/>
      <c r="CG282" s="142"/>
      <c r="CH282" s="1132"/>
      <c r="CI282" s="85"/>
      <c r="CJ282" s="85"/>
      <c r="CK282" s="1133"/>
      <c r="CL282" s="142"/>
      <c r="CM282" s="1132"/>
      <c r="CN282" s="85"/>
      <c r="CO282" s="85"/>
      <c r="CP282" s="1133"/>
      <c r="CQ282" s="1133"/>
      <c r="CR282" s="75"/>
    </row>
    <row r="283" spans="1:96" ht="13.5" customHeight="1">
      <c r="A283" s="75"/>
      <c r="B283" s="75"/>
      <c r="C283" s="75"/>
      <c r="D283" s="75"/>
      <c r="E283" s="75"/>
      <c r="F283" s="274"/>
      <c r="G283" s="274"/>
      <c r="H283" s="274"/>
      <c r="I283" s="274"/>
      <c r="J283" s="142"/>
      <c r="K283" s="274"/>
      <c r="L283" s="274"/>
      <c r="M283" s="274"/>
      <c r="N283" s="274"/>
      <c r="O283" s="142"/>
      <c r="P283" s="142"/>
      <c r="Q283" s="142"/>
      <c r="R283" s="142"/>
      <c r="S283" s="142"/>
      <c r="T283" s="142"/>
      <c r="U283" s="142"/>
      <c r="V283" s="142"/>
      <c r="W283" s="142"/>
      <c r="X283" s="142"/>
      <c r="Y283" s="142"/>
      <c r="Z283" s="142"/>
      <c r="AA283" s="142"/>
      <c r="AB283" s="142"/>
      <c r="AC283" s="142"/>
      <c r="AD283" s="142"/>
      <c r="AE283" s="142"/>
      <c r="AF283" s="142"/>
      <c r="AG283" s="142"/>
      <c r="AH283" s="142"/>
      <c r="AI283" s="142"/>
      <c r="AJ283" s="1132"/>
      <c r="AK283" s="85"/>
      <c r="AL283" s="85"/>
      <c r="AM283" s="1133"/>
      <c r="AN283" s="142"/>
      <c r="AO283" s="1132"/>
      <c r="AP283" s="85"/>
      <c r="AQ283" s="85"/>
      <c r="AR283" s="1133"/>
      <c r="AS283" s="142"/>
      <c r="AT283" s="1132"/>
      <c r="AU283" s="85"/>
      <c r="AV283" s="85"/>
      <c r="AW283" s="1133"/>
      <c r="AX283" s="142"/>
      <c r="AY283" s="1132"/>
      <c r="AZ283" s="85"/>
      <c r="BA283" s="85"/>
      <c r="BB283" s="1133"/>
      <c r="BC283" s="142"/>
      <c r="BD283" s="1132"/>
      <c r="BE283" s="85"/>
      <c r="BF283" s="85"/>
      <c r="BG283" s="1133"/>
      <c r="BH283" s="142"/>
      <c r="BI283" s="1132"/>
      <c r="BJ283" s="85"/>
      <c r="BK283" s="85"/>
      <c r="BL283" s="1133"/>
      <c r="BM283" s="142"/>
      <c r="BN283" s="1132"/>
      <c r="BO283" s="85"/>
      <c r="BP283" s="85"/>
      <c r="BQ283" s="1133"/>
      <c r="BR283" s="142"/>
      <c r="BS283" s="1132"/>
      <c r="BT283" s="85"/>
      <c r="BU283" s="85"/>
      <c r="BV283" s="1133"/>
      <c r="BW283" s="142"/>
      <c r="BX283" s="1132"/>
      <c r="BY283" s="85"/>
      <c r="BZ283" s="85"/>
      <c r="CA283" s="1133"/>
      <c r="CB283" s="142"/>
      <c r="CC283" s="1132"/>
      <c r="CD283" s="85"/>
      <c r="CE283" s="85"/>
      <c r="CF283" s="1133"/>
      <c r="CG283" s="142"/>
      <c r="CH283" s="1132"/>
      <c r="CI283" s="85"/>
      <c r="CJ283" s="85"/>
      <c r="CK283" s="1133"/>
      <c r="CL283" s="142"/>
      <c r="CM283" s="1132"/>
      <c r="CN283" s="85"/>
      <c r="CO283" s="85"/>
      <c r="CP283" s="1133"/>
      <c r="CQ283" s="1133"/>
      <c r="CR283" s="75"/>
    </row>
    <row r="284" spans="1:96" ht="13.5" customHeight="1">
      <c r="A284" s="75"/>
      <c r="B284" s="75"/>
      <c r="C284" s="75"/>
      <c r="D284" s="75"/>
      <c r="E284" s="75"/>
      <c r="F284" s="274"/>
      <c r="G284" s="274"/>
      <c r="H284" s="274"/>
      <c r="I284" s="274"/>
      <c r="J284" s="142"/>
      <c r="K284" s="274"/>
      <c r="L284" s="274"/>
      <c r="M284" s="274"/>
      <c r="N284" s="274"/>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132"/>
      <c r="AK284" s="85"/>
      <c r="AL284" s="85"/>
      <c r="AM284" s="1133"/>
      <c r="AN284" s="142"/>
      <c r="AO284" s="1132"/>
      <c r="AP284" s="85"/>
      <c r="AQ284" s="85"/>
      <c r="AR284" s="1133"/>
      <c r="AS284" s="142"/>
      <c r="AT284" s="1132"/>
      <c r="AU284" s="85"/>
      <c r="AV284" s="85"/>
      <c r="AW284" s="1133"/>
      <c r="AX284" s="142"/>
      <c r="AY284" s="1132"/>
      <c r="AZ284" s="85"/>
      <c r="BA284" s="85"/>
      <c r="BB284" s="1133"/>
      <c r="BC284" s="142"/>
      <c r="BD284" s="1132"/>
      <c r="BE284" s="85"/>
      <c r="BF284" s="85"/>
      <c r="BG284" s="1133"/>
      <c r="BH284" s="142"/>
      <c r="BI284" s="1132"/>
      <c r="BJ284" s="85"/>
      <c r="BK284" s="85"/>
      <c r="BL284" s="1133"/>
      <c r="BM284" s="142"/>
      <c r="BN284" s="1132"/>
      <c r="BO284" s="85"/>
      <c r="BP284" s="85"/>
      <c r="BQ284" s="1133"/>
      <c r="BR284" s="142"/>
      <c r="BS284" s="1132"/>
      <c r="BT284" s="85"/>
      <c r="BU284" s="85"/>
      <c r="BV284" s="1133"/>
      <c r="BW284" s="142"/>
      <c r="BX284" s="1132"/>
      <c r="BY284" s="85"/>
      <c r="BZ284" s="85"/>
      <c r="CA284" s="1133"/>
      <c r="CB284" s="142"/>
      <c r="CC284" s="1132"/>
      <c r="CD284" s="85"/>
      <c r="CE284" s="85"/>
      <c r="CF284" s="1133"/>
      <c r="CG284" s="142"/>
      <c r="CH284" s="1132"/>
      <c r="CI284" s="85"/>
      <c r="CJ284" s="85"/>
      <c r="CK284" s="1133"/>
      <c r="CL284" s="142"/>
      <c r="CM284" s="1132"/>
      <c r="CN284" s="85"/>
      <c r="CO284" s="85"/>
      <c r="CP284" s="1133"/>
      <c r="CQ284" s="1133"/>
      <c r="CR284" s="75"/>
    </row>
    <row r="285" spans="1:96" ht="13.5" customHeight="1">
      <c r="A285" s="75"/>
      <c r="B285" s="75"/>
      <c r="C285" s="75"/>
      <c r="D285" s="75"/>
      <c r="E285" s="75"/>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c r="AB285" s="142"/>
      <c r="AC285" s="142"/>
      <c r="AD285" s="142"/>
      <c r="AE285" s="142"/>
      <c r="AF285" s="142"/>
      <c r="AG285" s="142"/>
      <c r="AH285" s="142"/>
      <c r="AI285" s="142"/>
      <c r="AJ285" s="1132"/>
      <c r="AK285" s="85"/>
      <c r="AL285" s="85"/>
      <c r="AM285" s="1133"/>
      <c r="AN285" s="142"/>
      <c r="AO285" s="1132"/>
      <c r="AP285" s="85"/>
      <c r="AQ285" s="85"/>
      <c r="AR285" s="1133"/>
      <c r="AS285" s="142"/>
      <c r="AT285" s="1132"/>
      <c r="AU285" s="85"/>
      <c r="AV285" s="85"/>
      <c r="AW285" s="1133"/>
      <c r="AX285" s="142"/>
      <c r="AY285" s="1132"/>
      <c r="AZ285" s="85"/>
      <c r="BA285" s="85"/>
      <c r="BB285" s="1133"/>
      <c r="BC285" s="142"/>
      <c r="BD285" s="1132"/>
      <c r="BE285" s="85"/>
      <c r="BF285" s="85"/>
      <c r="BG285" s="1133"/>
      <c r="BH285" s="142"/>
      <c r="BI285" s="1132"/>
      <c r="BJ285" s="85"/>
      <c r="BK285" s="85"/>
      <c r="BL285" s="1133"/>
      <c r="BM285" s="142"/>
      <c r="BN285" s="1132"/>
      <c r="BO285" s="85"/>
      <c r="BP285" s="85"/>
      <c r="BQ285" s="1133"/>
      <c r="BR285" s="142"/>
      <c r="BS285" s="1132"/>
      <c r="BT285" s="85"/>
      <c r="BU285" s="85"/>
      <c r="BV285" s="1133"/>
      <c r="BW285" s="142"/>
      <c r="BX285" s="1132"/>
      <c r="BY285" s="85"/>
      <c r="BZ285" s="85"/>
      <c r="CA285" s="1133"/>
      <c r="CB285" s="142"/>
      <c r="CC285" s="1132"/>
      <c r="CD285" s="85"/>
      <c r="CE285" s="85"/>
      <c r="CF285" s="1133"/>
      <c r="CG285" s="142"/>
      <c r="CH285" s="1132"/>
      <c r="CI285" s="85"/>
      <c r="CJ285" s="85"/>
      <c r="CK285" s="1133"/>
      <c r="CL285" s="142"/>
      <c r="CM285" s="1132"/>
      <c r="CN285" s="85"/>
      <c r="CO285" s="85"/>
      <c r="CP285" s="1133"/>
      <c r="CQ285" s="1133"/>
      <c r="CR285" s="75"/>
    </row>
    <row r="286" spans="1:96" ht="13.5" customHeight="1">
      <c r="A286" s="75"/>
      <c r="B286" s="75"/>
      <c r="C286" s="75"/>
      <c r="D286" s="75"/>
      <c r="E286" s="75"/>
      <c r="F286" s="142"/>
      <c r="G286" s="142"/>
      <c r="H286" s="142"/>
      <c r="I286" s="142"/>
      <c r="J286" s="142"/>
      <c r="K286" s="142"/>
      <c r="L286" s="142"/>
      <c r="M286" s="142"/>
      <c r="N286" s="142"/>
      <c r="O286" s="142"/>
      <c r="P286" s="142"/>
      <c r="Q286" s="142"/>
      <c r="R286" s="142"/>
      <c r="S286" s="142"/>
      <c r="T286" s="142"/>
      <c r="U286" s="142"/>
      <c r="V286" s="142"/>
      <c r="W286" s="142"/>
      <c r="X286" s="142"/>
      <c r="Y286" s="142"/>
      <c r="Z286" s="142"/>
      <c r="AA286" s="142"/>
      <c r="AB286" s="142"/>
      <c r="AC286" s="142"/>
      <c r="AD286" s="142"/>
      <c r="AE286" s="142"/>
      <c r="AF286" s="142"/>
      <c r="AG286" s="142"/>
      <c r="AH286" s="142"/>
      <c r="AI286" s="142"/>
      <c r="AJ286" s="1132"/>
      <c r="AK286" s="85"/>
      <c r="AL286" s="85"/>
      <c r="AM286" s="1133"/>
      <c r="AN286" s="142"/>
      <c r="AO286" s="1132"/>
      <c r="AP286" s="85"/>
      <c r="AQ286" s="85"/>
      <c r="AR286" s="1133"/>
      <c r="AS286" s="142"/>
      <c r="AT286" s="1132"/>
      <c r="AU286" s="85"/>
      <c r="AV286" s="85"/>
      <c r="AW286" s="1133"/>
      <c r="AX286" s="142"/>
      <c r="AY286" s="1132"/>
      <c r="AZ286" s="85"/>
      <c r="BA286" s="85"/>
      <c r="BB286" s="1133"/>
      <c r="BC286" s="142"/>
      <c r="BD286" s="1132"/>
      <c r="BE286" s="85"/>
      <c r="BF286" s="85"/>
      <c r="BG286" s="1133"/>
      <c r="BH286" s="142"/>
      <c r="BI286" s="1132"/>
      <c r="BJ286" s="85"/>
      <c r="BK286" s="85"/>
      <c r="BL286" s="1133"/>
      <c r="BM286" s="142"/>
      <c r="BN286" s="1132"/>
      <c r="BO286" s="85"/>
      <c r="BP286" s="85"/>
      <c r="BQ286" s="1133"/>
      <c r="BR286" s="142"/>
      <c r="BS286" s="1132"/>
      <c r="BT286" s="85"/>
      <c r="BU286" s="85"/>
      <c r="BV286" s="1133"/>
      <c r="BW286" s="142"/>
      <c r="BX286" s="1132"/>
      <c r="BY286" s="85"/>
      <c r="BZ286" s="85"/>
      <c r="CA286" s="1133"/>
      <c r="CB286" s="142"/>
      <c r="CC286" s="1132"/>
      <c r="CD286" s="85"/>
      <c r="CE286" s="85"/>
      <c r="CF286" s="1133"/>
      <c r="CG286" s="142"/>
      <c r="CH286" s="1132"/>
      <c r="CI286" s="85"/>
      <c r="CJ286" s="85"/>
      <c r="CK286" s="1133"/>
      <c r="CL286" s="142"/>
      <c r="CM286" s="1132"/>
      <c r="CN286" s="85"/>
      <c r="CO286" s="85"/>
      <c r="CP286" s="1133"/>
      <c r="CQ286" s="1133"/>
      <c r="CR286" s="75"/>
    </row>
    <row r="287" spans="1:96" ht="13.5" customHeight="1">
      <c r="A287" s="75"/>
      <c r="B287" s="75"/>
      <c r="C287" s="75"/>
      <c r="D287" s="75"/>
      <c r="E287" s="75"/>
      <c r="F287" s="142"/>
      <c r="G287" s="142"/>
      <c r="H287" s="142"/>
      <c r="I287" s="142"/>
      <c r="J287" s="142"/>
      <c r="K287" s="142"/>
      <c r="L287" s="142"/>
      <c r="M287" s="142"/>
      <c r="N287" s="142"/>
      <c r="O287" s="142"/>
      <c r="P287" s="142"/>
      <c r="Q287" s="142"/>
      <c r="R287" s="142"/>
      <c r="S287" s="142"/>
      <c r="T287" s="142"/>
      <c r="U287" s="142"/>
      <c r="V287" s="142"/>
      <c r="W287" s="142"/>
      <c r="X287" s="142"/>
      <c r="Y287" s="142"/>
      <c r="Z287" s="142"/>
      <c r="AA287" s="142"/>
      <c r="AB287" s="142"/>
      <c r="AC287" s="142"/>
      <c r="AD287" s="142"/>
      <c r="AE287" s="142"/>
      <c r="AF287" s="142"/>
      <c r="AG287" s="142"/>
      <c r="AH287" s="142"/>
      <c r="AI287" s="142"/>
      <c r="AJ287" s="1132"/>
      <c r="AK287" s="85"/>
      <c r="AL287" s="85"/>
      <c r="AM287" s="1133"/>
      <c r="AN287" s="142"/>
      <c r="AO287" s="1132"/>
      <c r="AP287" s="85"/>
      <c r="AQ287" s="85"/>
      <c r="AR287" s="1133"/>
      <c r="AS287" s="142"/>
      <c r="AT287" s="1132"/>
      <c r="AU287" s="85"/>
      <c r="AV287" s="85"/>
      <c r="AW287" s="1133"/>
      <c r="AX287" s="142"/>
      <c r="AY287" s="1132"/>
      <c r="AZ287" s="85"/>
      <c r="BA287" s="85"/>
      <c r="BB287" s="1133"/>
      <c r="BC287" s="142"/>
      <c r="BD287" s="1132"/>
      <c r="BE287" s="85"/>
      <c r="BF287" s="85"/>
      <c r="BG287" s="1133"/>
      <c r="BH287" s="142"/>
      <c r="BI287" s="1132"/>
      <c r="BJ287" s="85"/>
      <c r="BK287" s="85"/>
      <c r="BL287" s="1133"/>
      <c r="BM287" s="142"/>
      <c r="BN287" s="1132"/>
      <c r="BO287" s="85"/>
      <c r="BP287" s="85"/>
      <c r="BQ287" s="1133"/>
      <c r="BR287" s="142"/>
      <c r="BS287" s="1132"/>
      <c r="BT287" s="85"/>
      <c r="BU287" s="85"/>
      <c r="BV287" s="1133"/>
      <c r="BW287" s="142"/>
      <c r="BX287" s="1132"/>
      <c r="BY287" s="85"/>
      <c r="BZ287" s="85"/>
      <c r="CA287" s="1133"/>
      <c r="CB287" s="142"/>
      <c r="CC287" s="1132"/>
      <c r="CD287" s="85"/>
      <c r="CE287" s="85"/>
      <c r="CF287" s="1133"/>
      <c r="CG287" s="142"/>
      <c r="CH287" s="1132"/>
      <c r="CI287" s="85"/>
      <c r="CJ287" s="85"/>
      <c r="CK287" s="1133"/>
      <c r="CL287" s="142"/>
      <c r="CM287" s="1132"/>
      <c r="CN287" s="85"/>
      <c r="CO287" s="85"/>
      <c r="CP287" s="1133"/>
      <c r="CQ287" s="1133"/>
      <c r="CR287" s="75"/>
    </row>
    <row r="288" spans="1:96" ht="13.5" customHeight="1">
      <c r="A288" s="75"/>
      <c r="B288" s="75"/>
      <c r="C288" s="75"/>
      <c r="D288" s="75"/>
      <c r="E288" s="75"/>
      <c r="F288" s="142"/>
      <c r="G288" s="142"/>
      <c r="H288" s="142"/>
      <c r="I288" s="142"/>
      <c r="J288" s="142"/>
      <c r="K288" s="142"/>
      <c r="L288" s="142"/>
      <c r="M288" s="142"/>
      <c r="N288" s="142"/>
      <c r="O288" s="142"/>
      <c r="P288" s="142"/>
      <c r="Q288" s="142"/>
      <c r="R288" s="142"/>
      <c r="S288" s="142"/>
      <c r="T288" s="142"/>
      <c r="U288" s="142"/>
      <c r="V288" s="142"/>
      <c r="W288" s="142"/>
      <c r="X288" s="142"/>
      <c r="Y288" s="142"/>
      <c r="Z288" s="142"/>
      <c r="AA288" s="142"/>
      <c r="AB288" s="142"/>
      <c r="AC288" s="142"/>
      <c r="AD288" s="142"/>
      <c r="AE288" s="142"/>
      <c r="AF288" s="142"/>
      <c r="AG288" s="142"/>
      <c r="AH288" s="142"/>
      <c r="AI288" s="142"/>
      <c r="AJ288" s="1132"/>
      <c r="AK288" s="85"/>
      <c r="AL288" s="85"/>
      <c r="AM288" s="1133"/>
      <c r="AN288" s="142"/>
      <c r="AO288" s="1132"/>
      <c r="AP288" s="85"/>
      <c r="AQ288" s="85"/>
      <c r="AR288" s="1133"/>
      <c r="AS288" s="142"/>
      <c r="AT288" s="1132"/>
      <c r="AU288" s="85"/>
      <c r="AV288" s="85"/>
      <c r="AW288" s="1133"/>
      <c r="AX288" s="142"/>
      <c r="AY288" s="1132"/>
      <c r="AZ288" s="85"/>
      <c r="BA288" s="85"/>
      <c r="BB288" s="1133"/>
      <c r="BC288" s="142"/>
      <c r="BD288" s="1132"/>
      <c r="BE288" s="85"/>
      <c r="BF288" s="85"/>
      <c r="BG288" s="1133"/>
      <c r="BH288" s="142"/>
      <c r="BI288" s="1132"/>
      <c r="BJ288" s="85"/>
      <c r="BK288" s="85"/>
      <c r="BL288" s="1133"/>
      <c r="BM288" s="142"/>
      <c r="BN288" s="1132"/>
      <c r="BO288" s="85"/>
      <c r="BP288" s="85"/>
      <c r="BQ288" s="1133"/>
      <c r="BR288" s="142"/>
      <c r="BS288" s="1132"/>
      <c r="BT288" s="85"/>
      <c r="BU288" s="85"/>
      <c r="BV288" s="1133"/>
      <c r="BW288" s="142"/>
      <c r="BX288" s="1132"/>
      <c r="BY288" s="85"/>
      <c r="BZ288" s="85"/>
      <c r="CA288" s="1133"/>
      <c r="CB288" s="142"/>
      <c r="CC288" s="1132"/>
      <c r="CD288" s="85"/>
      <c r="CE288" s="85"/>
      <c r="CF288" s="1133"/>
      <c r="CG288" s="142"/>
      <c r="CH288" s="1132"/>
      <c r="CI288" s="85"/>
      <c r="CJ288" s="85"/>
      <c r="CK288" s="1133"/>
      <c r="CL288" s="142"/>
      <c r="CM288" s="1132"/>
      <c r="CN288" s="85"/>
      <c r="CO288" s="85"/>
      <c r="CP288" s="1133"/>
      <c r="CQ288" s="1133"/>
      <c r="CR288" s="75"/>
    </row>
    <row r="289" spans="1:96" ht="13.5" customHeight="1">
      <c r="A289" s="75"/>
      <c r="B289" s="75"/>
      <c r="C289" s="75"/>
      <c r="D289" s="75"/>
      <c r="E289" s="75"/>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c r="AB289" s="142"/>
      <c r="AC289" s="142"/>
      <c r="AD289" s="142"/>
      <c r="AE289" s="142"/>
      <c r="AF289" s="142"/>
      <c r="AG289" s="142"/>
      <c r="AH289" s="142"/>
      <c r="AI289" s="142"/>
      <c r="AJ289" s="1132"/>
      <c r="AK289" s="85"/>
      <c r="AL289" s="85"/>
      <c r="AM289" s="1133"/>
      <c r="AN289" s="142"/>
      <c r="AO289" s="1132"/>
      <c r="AP289" s="85"/>
      <c r="AQ289" s="85"/>
      <c r="AR289" s="1133"/>
      <c r="AS289" s="142"/>
      <c r="AT289" s="1132"/>
      <c r="AU289" s="85"/>
      <c r="AV289" s="85"/>
      <c r="AW289" s="1133"/>
      <c r="AX289" s="142"/>
      <c r="AY289" s="1132"/>
      <c r="AZ289" s="85"/>
      <c r="BA289" s="85"/>
      <c r="BB289" s="1133"/>
      <c r="BC289" s="142"/>
      <c r="BD289" s="1132"/>
      <c r="BE289" s="85"/>
      <c r="BF289" s="85"/>
      <c r="BG289" s="1133"/>
      <c r="BH289" s="142"/>
      <c r="BI289" s="1132"/>
      <c r="BJ289" s="85"/>
      <c r="BK289" s="85"/>
      <c r="BL289" s="1133"/>
      <c r="BM289" s="142"/>
      <c r="BN289" s="1132"/>
      <c r="BO289" s="85"/>
      <c r="BP289" s="85"/>
      <c r="BQ289" s="1133"/>
      <c r="BR289" s="142"/>
      <c r="BS289" s="1132"/>
      <c r="BT289" s="85"/>
      <c r="BU289" s="85"/>
      <c r="BV289" s="1133"/>
      <c r="BW289" s="142"/>
      <c r="BX289" s="1132"/>
      <c r="BY289" s="85"/>
      <c r="BZ289" s="85"/>
      <c r="CA289" s="1133"/>
      <c r="CB289" s="142"/>
      <c r="CC289" s="1132"/>
      <c r="CD289" s="85"/>
      <c r="CE289" s="85"/>
      <c r="CF289" s="1133"/>
      <c r="CG289" s="142"/>
      <c r="CH289" s="1132"/>
      <c r="CI289" s="85"/>
      <c r="CJ289" s="85"/>
      <c r="CK289" s="1133"/>
      <c r="CL289" s="142"/>
      <c r="CM289" s="1132"/>
      <c r="CN289" s="85"/>
      <c r="CO289" s="85"/>
      <c r="CP289" s="1133"/>
      <c r="CQ289" s="1133"/>
      <c r="CR289" s="75"/>
    </row>
    <row r="290" spans="1:96" ht="13.5" customHeight="1">
      <c r="A290" s="75"/>
      <c r="B290" s="75"/>
      <c r="C290" s="75"/>
      <c r="D290" s="75"/>
      <c r="E290" s="75"/>
      <c r="F290" s="142"/>
      <c r="G290" s="142"/>
      <c r="H290" s="142"/>
      <c r="I290" s="142"/>
      <c r="J290" s="142"/>
      <c r="K290" s="142"/>
      <c r="L290" s="142"/>
      <c r="M290" s="142"/>
      <c r="N290" s="142"/>
      <c r="O290" s="142"/>
      <c r="P290" s="142"/>
      <c r="Q290" s="142"/>
      <c r="R290" s="142"/>
      <c r="S290" s="142"/>
      <c r="T290" s="142"/>
      <c r="U290" s="142"/>
      <c r="V290" s="142"/>
      <c r="W290" s="142"/>
      <c r="X290" s="142"/>
      <c r="Y290" s="142"/>
      <c r="Z290" s="142"/>
      <c r="AA290" s="142"/>
      <c r="AB290" s="142"/>
      <c r="AC290" s="142"/>
      <c r="AD290" s="142"/>
      <c r="AE290" s="142"/>
      <c r="AF290" s="142"/>
      <c r="AG290" s="142"/>
      <c r="AH290" s="142"/>
      <c r="AI290" s="142"/>
      <c r="AJ290" s="1132"/>
      <c r="AK290" s="85"/>
      <c r="AL290" s="85"/>
      <c r="AM290" s="1133"/>
      <c r="AN290" s="142"/>
      <c r="AO290" s="1132"/>
      <c r="AP290" s="85"/>
      <c r="AQ290" s="85"/>
      <c r="AR290" s="1133"/>
      <c r="AS290" s="142"/>
      <c r="AT290" s="1132"/>
      <c r="AU290" s="85"/>
      <c r="AV290" s="85"/>
      <c r="AW290" s="1133"/>
      <c r="AX290" s="142"/>
      <c r="AY290" s="1132"/>
      <c r="AZ290" s="85"/>
      <c r="BA290" s="85"/>
      <c r="BB290" s="1133"/>
      <c r="BC290" s="142"/>
      <c r="BD290" s="1132"/>
      <c r="BE290" s="85"/>
      <c r="BF290" s="85"/>
      <c r="BG290" s="1133"/>
      <c r="BH290" s="142"/>
      <c r="BI290" s="1132"/>
      <c r="BJ290" s="85"/>
      <c r="BK290" s="85"/>
      <c r="BL290" s="1133"/>
      <c r="BM290" s="142"/>
      <c r="BN290" s="1132"/>
      <c r="BO290" s="85"/>
      <c r="BP290" s="85"/>
      <c r="BQ290" s="1133"/>
      <c r="BR290" s="142"/>
      <c r="BS290" s="1132"/>
      <c r="BT290" s="85"/>
      <c r="BU290" s="85"/>
      <c r="BV290" s="1133"/>
      <c r="BW290" s="142"/>
      <c r="BX290" s="1132"/>
      <c r="BY290" s="85"/>
      <c r="BZ290" s="85"/>
      <c r="CA290" s="1133"/>
      <c r="CB290" s="142"/>
      <c r="CC290" s="1132"/>
      <c r="CD290" s="85"/>
      <c r="CE290" s="85"/>
      <c r="CF290" s="1133"/>
      <c r="CG290" s="142"/>
      <c r="CH290" s="1132"/>
      <c r="CI290" s="85"/>
      <c r="CJ290" s="85"/>
      <c r="CK290" s="1133"/>
      <c r="CL290" s="142"/>
      <c r="CM290" s="1132"/>
      <c r="CN290" s="85"/>
      <c r="CO290" s="85"/>
      <c r="CP290" s="1133"/>
      <c r="CQ290" s="1133"/>
      <c r="CR290" s="75"/>
    </row>
    <row r="291" spans="1:96" ht="13.5" customHeight="1">
      <c r="A291" s="75"/>
      <c r="B291" s="75"/>
      <c r="C291" s="75"/>
      <c r="D291" s="75"/>
      <c r="E291" s="75"/>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c r="AB291" s="142"/>
      <c r="AC291" s="142"/>
      <c r="AD291" s="142"/>
      <c r="AE291" s="142"/>
      <c r="AF291" s="142"/>
      <c r="AG291" s="142"/>
      <c r="AH291" s="142"/>
      <c r="AI291" s="142"/>
      <c r="AJ291" s="1132"/>
      <c r="AK291" s="85"/>
      <c r="AL291" s="85"/>
      <c r="AM291" s="1133"/>
      <c r="AN291" s="142"/>
      <c r="AO291" s="1132"/>
      <c r="AP291" s="85"/>
      <c r="AQ291" s="85"/>
      <c r="AR291" s="1133"/>
      <c r="AS291" s="142"/>
      <c r="AT291" s="1132"/>
      <c r="AU291" s="85"/>
      <c r="AV291" s="85"/>
      <c r="AW291" s="1133"/>
      <c r="AX291" s="142"/>
      <c r="AY291" s="1132"/>
      <c r="AZ291" s="85"/>
      <c r="BA291" s="85"/>
      <c r="BB291" s="1133"/>
      <c r="BC291" s="142"/>
      <c r="BD291" s="1132"/>
      <c r="BE291" s="85"/>
      <c r="BF291" s="85"/>
      <c r="BG291" s="1133"/>
      <c r="BH291" s="142"/>
      <c r="BI291" s="1132"/>
      <c r="BJ291" s="85"/>
      <c r="BK291" s="85"/>
      <c r="BL291" s="1133"/>
      <c r="BM291" s="142"/>
      <c r="BN291" s="1132"/>
      <c r="BO291" s="85"/>
      <c r="BP291" s="85"/>
      <c r="BQ291" s="1133"/>
      <c r="BR291" s="142"/>
      <c r="BS291" s="1132"/>
      <c r="BT291" s="85"/>
      <c r="BU291" s="85"/>
      <c r="BV291" s="1133"/>
      <c r="BW291" s="142"/>
      <c r="BX291" s="1132"/>
      <c r="BY291" s="85"/>
      <c r="BZ291" s="85"/>
      <c r="CA291" s="1133"/>
      <c r="CB291" s="142"/>
      <c r="CC291" s="1132"/>
      <c r="CD291" s="85"/>
      <c r="CE291" s="85"/>
      <c r="CF291" s="1133"/>
      <c r="CG291" s="142"/>
      <c r="CH291" s="1132"/>
      <c r="CI291" s="85"/>
      <c r="CJ291" s="85"/>
      <c r="CK291" s="1133"/>
      <c r="CL291" s="142"/>
      <c r="CM291" s="1132"/>
      <c r="CN291" s="85"/>
      <c r="CO291" s="85"/>
      <c r="CP291" s="1133"/>
      <c r="CQ291" s="1133"/>
      <c r="CR291" s="75"/>
    </row>
    <row r="292" spans="1:96" ht="13.5" customHeight="1">
      <c r="A292" s="75"/>
      <c r="B292" s="75"/>
      <c r="C292" s="75"/>
      <c r="D292" s="75"/>
      <c r="E292" s="75"/>
      <c r="F292" s="142"/>
      <c r="G292" s="142"/>
      <c r="H292" s="142"/>
      <c r="I292" s="142"/>
      <c r="J292" s="142"/>
      <c r="K292" s="142"/>
      <c r="L292" s="142"/>
      <c r="M292" s="142"/>
      <c r="N292" s="142"/>
      <c r="O292" s="142"/>
      <c r="P292" s="142"/>
      <c r="Q292" s="142"/>
      <c r="R292" s="142"/>
      <c r="S292" s="142"/>
      <c r="T292" s="142"/>
      <c r="U292" s="142"/>
      <c r="V292" s="142"/>
      <c r="W292" s="142"/>
      <c r="X292" s="142"/>
      <c r="Y292" s="142"/>
      <c r="Z292" s="142"/>
      <c r="AA292" s="142"/>
      <c r="AB292" s="142"/>
      <c r="AC292" s="142"/>
      <c r="AD292" s="142"/>
      <c r="AE292" s="142"/>
      <c r="AF292" s="142"/>
      <c r="AG292" s="142"/>
      <c r="AH292" s="142"/>
      <c r="AI292" s="142"/>
      <c r="AJ292" s="1132"/>
      <c r="AK292" s="85"/>
      <c r="AL292" s="85"/>
      <c r="AM292" s="1133"/>
      <c r="AN292" s="142"/>
      <c r="AO292" s="1132"/>
      <c r="AP292" s="85"/>
      <c r="AQ292" s="85"/>
      <c r="AR292" s="1133"/>
      <c r="AS292" s="142"/>
      <c r="AT292" s="1132"/>
      <c r="AU292" s="85"/>
      <c r="AV292" s="85"/>
      <c r="AW292" s="1133"/>
      <c r="AX292" s="142"/>
      <c r="AY292" s="1132"/>
      <c r="AZ292" s="85"/>
      <c r="BA292" s="85"/>
      <c r="BB292" s="1133"/>
      <c r="BC292" s="142"/>
      <c r="BD292" s="1132"/>
      <c r="BE292" s="85"/>
      <c r="BF292" s="85"/>
      <c r="BG292" s="1133"/>
      <c r="BH292" s="142"/>
      <c r="BI292" s="1132"/>
      <c r="BJ292" s="85"/>
      <c r="BK292" s="85"/>
      <c r="BL292" s="1133"/>
      <c r="BM292" s="142"/>
      <c r="BN292" s="1132"/>
      <c r="BO292" s="85"/>
      <c r="BP292" s="85"/>
      <c r="BQ292" s="1133"/>
      <c r="BR292" s="142"/>
      <c r="BS292" s="1132"/>
      <c r="BT292" s="85"/>
      <c r="BU292" s="85"/>
      <c r="BV292" s="1133"/>
      <c r="BW292" s="142"/>
      <c r="BX292" s="1132"/>
      <c r="BY292" s="85"/>
      <c r="BZ292" s="85"/>
      <c r="CA292" s="1133"/>
      <c r="CB292" s="142"/>
      <c r="CC292" s="1132"/>
      <c r="CD292" s="85"/>
      <c r="CE292" s="85"/>
      <c r="CF292" s="1133"/>
      <c r="CG292" s="142"/>
      <c r="CH292" s="1132"/>
      <c r="CI292" s="85"/>
      <c r="CJ292" s="85"/>
      <c r="CK292" s="1133"/>
      <c r="CL292" s="142"/>
      <c r="CM292" s="1132"/>
      <c r="CN292" s="85"/>
      <c r="CO292" s="85"/>
      <c r="CP292" s="1133"/>
      <c r="CQ292" s="1133"/>
      <c r="CR292" s="75"/>
    </row>
    <row r="293" spans="1:96" ht="13.5" customHeight="1">
      <c r="A293" s="75"/>
      <c r="B293" s="75"/>
      <c r="C293" s="75"/>
      <c r="D293" s="75"/>
      <c r="E293" s="75"/>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42"/>
      <c r="AJ293" s="1132"/>
      <c r="AK293" s="85"/>
      <c r="AL293" s="85"/>
      <c r="AM293" s="1133"/>
      <c r="AN293" s="142"/>
      <c r="AO293" s="1132"/>
      <c r="AP293" s="85"/>
      <c r="AQ293" s="85"/>
      <c r="AR293" s="1133"/>
      <c r="AS293" s="142"/>
      <c r="AT293" s="1132"/>
      <c r="AU293" s="85"/>
      <c r="AV293" s="85"/>
      <c r="AW293" s="1133"/>
      <c r="AX293" s="142"/>
      <c r="AY293" s="1132"/>
      <c r="AZ293" s="85"/>
      <c r="BA293" s="85"/>
      <c r="BB293" s="1133"/>
      <c r="BC293" s="142"/>
      <c r="BD293" s="1132"/>
      <c r="BE293" s="85"/>
      <c r="BF293" s="85"/>
      <c r="BG293" s="1133"/>
      <c r="BH293" s="142"/>
      <c r="BI293" s="1132"/>
      <c r="BJ293" s="85"/>
      <c r="BK293" s="85"/>
      <c r="BL293" s="1133"/>
      <c r="BM293" s="142"/>
      <c r="BN293" s="1132"/>
      <c r="BO293" s="85"/>
      <c r="BP293" s="85"/>
      <c r="BQ293" s="1133"/>
      <c r="BR293" s="142"/>
      <c r="BS293" s="1132"/>
      <c r="BT293" s="85"/>
      <c r="BU293" s="85"/>
      <c r="BV293" s="1133"/>
      <c r="BW293" s="142"/>
      <c r="BX293" s="1132"/>
      <c r="BY293" s="85"/>
      <c r="BZ293" s="85"/>
      <c r="CA293" s="1133"/>
      <c r="CB293" s="142"/>
      <c r="CC293" s="1132"/>
      <c r="CD293" s="85"/>
      <c r="CE293" s="85"/>
      <c r="CF293" s="1133"/>
      <c r="CG293" s="142"/>
      <c r="CH293" s="1132"/>
      <c r="CI293" s="85"/>
      <c r="CJ293" s="85"/>
      <c r="CK293" s="1133"/>
      <c r="CL293" s="142"/>
      <c r="CM293" s="1132"/>
      <c r="CN293" s="85"/>
      <c r="CO293" s="85"/>
      <c r="CP293" s="1133"/>
      <c r="CQ293" s="1133"/>
      <c r="CR293" s="75"/>
    </row>
    <row r="294" spans="1:96" ht="13.5" customHeight="1">
      <c r="A294" s="75"/>
      <c r="B294" s="75" t="s">
        <v>998</v>
      </c>
      <c r="C294" s="75"/>
      <c r="D294" s="75"/>
      <c r="E294" s="75"/>
      <c r="F294" s="142">
        <v>0</v>
      </c>
      <c r="G294" s="142">
        <v>0</v>
      </c>
      <c r="H294" s="142">
        <v>0</v>
      </c>
      <c r="I294" s="142">
        <v>0</v>
      </c>
      <c r="J294" s="142">
        <v>0</v>
      </c>
      <c r="K294" s="142">
        <v>0</v>
      </c>
      <c r="L294" s="142">
        <v>0</v>
      </c>
      <c r="M294" s="142">
        <v>0</v>
      </c>
      <c r="N294" s="142">
        <v>0</v>
      </c>
      <c r="O294" s="142">
        <v>0</v>
      </c>
      <c r="P294" s="142">
        <v>0</v>
      </c>
      <c r="Q294" s="142">
        <v>0</v>
      </c>
      <c r="R294" s="142">
        <v>0</v>
      </c>
      <c r="S294" s="142">
        <v>0</v>
      </c>
      <c r="T294" s="142">
        <v>0</v>
      </c>
      <c r="U294" s="142">
        <v>0</v>
      </c>
      <c r="V294" s="142">
        <v>0</v>
      </c>
      <c r="W294" s="142">
        <v>0</v>
      </c>
      <c r="X294" s="142">
        <v>0</v>
      </c>
      <c r="Y294" s="142">
        <v>0</v>
      </c>
      <c r="Z294" s="142">
        <v>0</v>
      </c>
      <c r="AA294" s="142">
        <v>0</v>
      </c>
      <c r="AB294" s="142">
        <v>0</v>
      </c>
      <c r="AC294" s="142">
        <v>0</v>
      </c>
      <c r="AD294" s="142">
        <v>0</v>
      </c>
      <c r="AE294" s="142">
        <v>0</v>
      </c>
      <c r="AF294" s="142">
        <v>0</v>
      </c>
      <c r="AG294" s="142">
        <v>0</v>
      </c>
      <c r="AH294" s="142">
        <v>0</v>
      </c>
      <c r="AI294" s="142">
        <v>0</v>
      </c>
      <c r="AJ294" s="1132">
        <v>0</v>
      </c>
      <c r="AK294" s="85">
        <v>0</v>
      </c>
      <c r="AL294" s="85">
        <v>0</v>
      </c>
      <c r="AM294" s="1133">
        <v>0</v>
      </c>
      <c r="AN294" s="142">
        <v>0</v>
      </c>
      <c r="AO294" s="1132">
        <v>0</v>
      </c>
      <c r="AP294" s="85">
        <v>0</v>
      </c>
      <c r="AQ294" s="85">
        <v>0</v>
      </c>
      <c r="AR294" s="1133">
        <v>0</v>
      </c>
      <c r="AS294" s="142">
        <v>0</v>
      </c>
      <c r="AT294" s="1132">
        <v>0</v>
      </c>
      <c r="AU294" s="85">
        <v>0</v>
      </c>
      <c r="AV294" s="85">
        <v>0</v>
      </c>
      <c r="AW294" s="1133">
        <v>0</v>
      </c>
      <c r="AX294" s="142">
        <v>0</v>
      </c>
      <c r="AY294" s="1132">
        <v>0</v>
      </c>
      <c r="AZ294" s="85">
        <v>0</v>
      </c>
      <c r="BA294" s="85">
        <v>0</v>
      </c>
      <c r="BB294" s="1133">
        <v>0</v>
      </c>
      <c r="BC294" s="142">
        <v>0</v>
      </c>
      <c r="BD294" s="1132">
        <v>0</v>
      </c>
      <c r="BE294" s="85">
        <v>0</v>
      </c>
      <c r="BF294" s="85">
        <v>0</v>
      </c>
      <c r="BG294" s="1133">
        <v>0</v>
      </c>
      <c r="BH294" s="142">
        <v>0</v>
      </c>
      <c r="BI294" s="1132">
        <v>0</v>
      </c>
      <c r="BJ294" s="85">
        <v>0</v>
      </c>
      <c r="BK294" s="85">
        <v>0</v>
      </c>
      <c r="BL294" s="1133">
        <v>0</v>
      </c>
      <c r="BM294" s="142">
        <v>0</v>
      </c>
      <c r="BN294" s="1132">
        <v>0</v>
      </c>
      <c r="BO294" s="85">
        <v>0</v>
      </c>
      <c r="BP294" s="85">
        <v>0</v>
      </c>
      <c r="BQ294" s="1133">
        <v>0</v>
      </c>
      <c r="BR294" s="142">
        <v>0</v>
      </c>
      <c r="BS294" s="1132">
        <v>0</v>
      </c>
      <c r="BT294" s="85">
        <v>0</v>
      </c>
      <c r="BU294" s="85">
        <v>0</v>
      </c>
      <c r="BV294" s="1133">
        <v>0</v>
      </c>
      <c r="BW294" s="142">
        <v>0</v>
      </c>
      <c r="BX294" s="1132">
        <v>0</v>
      </c>
      <c r="BY294" s="85">
        <v>0</v>
      </c>
      <c r="BZ294" s="85">
        <v>0</v>
      </c>
      <c r="CA294" s="1133">
        <v>0</v>
      </c>
      <c r="CB294" s="142">
        <v>0</v>
      </c>
      <c r="CC294" s="1132">
        <v>0</v>
      </c>
      <c r="CD294" s="85">
        <v>0</v>
      </c>
      <c r="CE294" s="85">
        <v>0</v>
      </c>
      <c r="CF294" s="1133">
        <v>0</v>
      </c>
      <c r="CG294" s="142">
        <v>0</v>
      </c>
      <c r="CH294" s="1132">
        <v>0</v>
      </c>
      <c r="CI294" s="85">
        <v>0</v>
      </c>
      <c r="CJ294" s="85">
        <v>0</v>
      </c>
      <c r="CK294" s="1133">
        <v>0</v>
      </c>
      <c r="CL294" s="142">
        <v>0</v>
      </c>
      <c r="CM294" s="1132">
        <v>0</v>
      </c>
      <c r="CN294" s="85">
        <v>0</v>
      </c>
      <c r="CO294" s="85">
        <v>0</v>
      </c>
      <c r="CP294" s="1133">
        <v>0</v>
      </c>
      <c r="CQ294" s="1133">
        <v>0</v>
      </c>
      <c r="CR294" s="75"/>
    </row>
    <row r="295" spans="1:96" ht="13.5" customHeight="1">
      <c r="A295" s="75"/>
      <c r="B295" s="75" t="s">
        <v>999</v>
      </c>
      <c r="C295" s="75"/>
      <c r="D295" s="75"/>
      <c r="E295" s="75"/>
      <c r="F295" s="142">
        <v>0</v>
      </c>
      <c r="G295" s="142">
        <v>0</v>
      </c>
      <c r="H295" s="142">
        <v>0</v>
      </c>
      <c r="I295" s="142">
        <v>0</v>
      </c>
      <c r="J295" s="142">
        <v>0</v>
      </c>
      <c r="K295" s="142">
        <v>0</v>
      </c>
      <c r="L295" s="142">
        <v>0</v>
      </c>
      <c r="M295" s="142">
        <v>0</v>
      </c>
      <c r="N295" s="142">
        <v>0</v>
      </c>
      <c r="O295" s="142">
        <v>0</v>
      </c>
      <c r="P295" s="142">
        <v>0</v>
      </c>
      <c r="Q295" s="142">
        <v>0</v>
      </c>
      <c r="R295" s="142">
        <v>0</v>
      </c>
      <c r="S295" s="142">
        <v>0</v>
      </c>
      <c r="T295" s="142">
        <v>0</v>
      </c>
      <c r="U295" s="142">
        <v>0</v>
      </c>
      <c r="V295" s="142">
        <v>0</v>
      </c>
      <c r="W295" s="142">
        <v>0</v>
      </c>
      <c r="X295" s="142">
        <v>0</v>
      </c>
      <c r="Y295" s="142">
        <v>0</v>
      </c>
      <c r="Z295" s="142">
        <v>0</v>
      </c>
      <c r="AA295" s="142">
        <v>0</v>
      </c>
      <c r="AB295" s="142">
        <v>0</v>
      </c>
      <c r="AC295" s="142">
        <v>0</v>
      </c>
      <c r="AD295" s="142">
        <v>0</v>
      </c>
      <c r="AE295" s="142">
        <v>0</v>
      </c>
      <c r="AF295" s="142">
        <v>0</v>
      </c>
      <c r="AG295" s="142">
        <v>0</v>
      </c>
      <c r="AH295" s="142">
        <v>0</v>
      </c>
      <c r="AI295" s="142">
        <v>0</v>
      </c>
      <c r="AJ295" s="1132">
        <v>0</v>
      </c>
      <c r="AK295" s="85">
        <v>0</v>
      </c>
      <c r="AL295" s="85">
        <v>0</v>
      </c>
      <c r="AM295" s="1133">
        <v>0</v>
      </c>
      <c r="AN295" s="142">
        <v>0</v>
      </c>
      <c r="AO295" s="1132">
        <v>0</v>
      </c>
      <c r="AP295" s="85">
        <v>0</v>
      </c>
      <c r="AQ295" s="85">
        <v>0</v>
      </c>
      <c r="AR295" s="1133">
        <v>0</v>
      </c>
      <c r="AS295" s="142">
        <v>0</v>
      </c>
      <c r="AT295" s="1132">
        <v>0</v>
      </c>
      <c r="AU295" s="85">
        <v>0</v>
      </c>
      <c r="AV295" s="85">
        <v>0</v>
      </c>
      <c r="AW295" s="1133">
        <v>0</v>
      </c>
      <c r="AX295" s="142">
        <v>0</v>
      </c>
      <c r="AY295" s="1132">
        <v>0</v>
      </c>
      <c r="AZ295" s="85">
        <v>0</v>
      </c>
      <c r="BA295" s="85">
        <v>0</v>
      </c>
      <c r="BB295" s="1133">
        <v>0</v>
      </c>
      <c r="BC295" s="142">
        <v>0</v>
      </c>
      <c r="BD295" s="1132">
        <v>0</v>
      </c>
      <c r="BE295" s="85">
        <v>0</v>
      </c>
      <c r="BF295" s="85">
        <v>0</v>
      </c>
      <c r="BG295" s="1133">
        <v>0</v>
      </c>
      <c r="BH295" s="142">
        <v>0</v>
      </c>
      <c r="BI295" s="1132">
        <v>0</v>
      </c>
      <c r="BJ295" s="85">
        <v>0</v>
      </c>
      <c r="BK295" s="85">
        <v>0</v>
      </c>
      <c r="BL295" s="1133">
        <v>0</v>
      </c>
      <c r="BM295" s="142">
        <v>0</v>
      </c>
      <c r="BN295" s="1132">
        <v>0</v>
      </c>
      <c r="BO295" s="85">
        <v>0</v>
      </c>
      <c r="BP295" s="85">
        <v>0</v>
      </c>
      <c r="BQ295" s="1133">
        <v>0</v>
      </c>
      <c r="BR295" s="142">
        <v>0</v>
      </c>
      <c r="BS295" s="1132">
        <v>0</v>
      </c>
      <c r="BT295" s="85">
        <v>0</v>
      </c>
      <c r="BU295" s="85">
        <v>0</v>
      </c>
      <c r="BV295" s="1133">
        <v>0</v>
      </c>
      <c r="BW295" s="142">
        <v>0</v>
      </c>
      <c r="BX295" s="1132">
        <v>0</v>
      </c>
      <c r="BY295" s="85">
        <v>0</v>
      </c>
      <c r="BZ295" s="85">
        <v>0</v>
      </c>
      <c r="CA295" s="1133">
        <v>0</v>
      </c>
      <c r="CB295" s="142">
        <v>0</v>
      </c>
      <c r="CC295" s="1132">
        <v>0</v>
      </c>
      <c r="CD295" s="85">
        <v>0</v>
      </c>
      <c r="CE295" s="85">
        <v>0</v>
      </c>
      <c r="CF295" s="1133">
        <v>0</v>
      </c>
      <c r="CG295" s="142">
        <v>0</v>
      </c>
      <c r="CH295" s="1132">
        <v>0</v>
      </c>
      <c r="CI295" s="85">
        <v>0</v>
      </c>
      <c r="CJ295" s="85">
        <v>0</v>
      </c>
      <c r="CK295" s="1133">
        <v>0</v>
      </c>
      <c r="CL295" s="142">
        <v>0</v>
      </c>
      <c r="CM295" s="1132">
        <v>0</v>
      </c>
      <c r="CN295" s="85">
        <v>0</v>
      </c>
      <c r="CO295" s="85">
        <v>0</v>
      </c>
      <c r="CP295" s="1133">
        <v>0</v>
      </c>
      <c r="CQ295" s="1133">
        <v>0</v>
      </c>
      <c r="CR295" s="75"/>
    </row>
    <row r="296" spans="1:96" ht="13.5" customHeight="1"/>
    <row r="297" spans="1:96" ht="13.5" customHeight="1">
      <c r="AJ297" s="1000"/>
      <c r="AK297" s="1001"/>
      <c r="AL297" s="1001"/>
      <c r="AM297" s="1002"/>
      <c r="AO297" s="1000"/>
      <c r="AP297" s="1001"/>
      <c r="AQ297" s="1001"/>
      <c r="AR297" s="1002"/>
      <c r="AT297" s="1000"/>
      <c r="AU297" s="1001"/>
      <c r="AV297" s="1001"/>
      <c r="AW297" s="1002"/>
      <c r="AY297" s="1000"/>
      <c r="AZ297" s="1001"/>
      <c r="BA297" s="1001"/>
      <c r="BB297" s="1002"/>
      <c r="BD297" s="1000"/>
      <c r="BE297" s="1001"/>
      <c r="BF297" s="1001"/>
      <c r="BG297" s="1002"/>
      <c r="BI297" s="1000"/>
      <c r="BJ297" s="1001"/>
      <c r="BK297" s="1001"/>
      <c r="BL297" s="1002"/>
      <c r="BN297" s="1000"/>
      <c r="BO297" s="1001"/>
      <c r="BP297" s="1001"/>
      <c r="BQ297" s="1002"/>
      <c r="BS297" s="1000"/>
      <c r="BT297" s="1001"/>
      <c r="BU297" s="1001"/>
      <c r="BV297" s="1002"/>
      <c r="BX297" s="1000"/>
      <c r="BY297" s="1001"/>
      <c r="BZ297" s="1001"/>
      <c r="CA297" s="1002"/>
      <c r="CC297" s="1000"/>
      <c r="CD297" s="1001"/>
      <c r="CE297" s="1001"/>
      <c r="CF297" s="1002"/>
      <c r="CH297" s="1000"/>
      <c r="CI297" s="1001"/>
      <c r="CJ297" s="1001"/>
      <c r="CK297" s="1002"/>
      <c r="CM297" s="1000"/>
      <c r="CN297" s="1001"/>
      <c r="CO297" s="1001"/>
      <c r="CP297" s="1002"/>
      <c r="CQ297" s="1002"/>
    </row>
    <row r="298" spans="1:96" ht="13.5" customHeight="1">
      <c r="AJ298" s="1000"/>
      <c r="AK298" s="1001"/>
      <c r="AL298" s="1001"/>
      <c r="AM298" s="1002"/>
      <c r="AO298" s="1000"/>
      <c r="AP298" s="1001"/>
      <c r="AQ298" s="1001"/>
      <c r="AR298" s="1002"/>
      <c r="AT298" s="1000"/>
      <c r="AU298" s="1001"/>
      <c r="AV298" s="1001"/>
      <c r="AW298" s="1002"/>
      <c r="AY298" s="1000"/>
      <c r="AZ298" s="1001"/>
      <c r="BA298" s="1001"/>
      <c r="BB298" s="1002"/>
      <c r="BD298" s="1000"/>
      <c r="BE298" s="1001"/>
      <c r="BF298" s="1001"/>
      <c r="BG298" s="1002"/>
      <c r="BI298" s="1000"/>
      <c r="BJ298" s="1001"/>
      <c r="BK298" s="1001"/>
      <c r="BL298" s="1002"/>
      <c r="BN298" s="1000"/>
      <c r="BO298" s="1001"/>
      <c r="BP298" s="1001"/>
      <c r="BQ298" s="1002"/>
      <c r="BS298" s="1000"/>
      <c r="BT298" s="1001"/>
      <c r="BU298" s="1001"/>
      <c r="BV298" s="1002"/>
      <c r="BX298" s="1000"/>
      <c r="BY298" s="1001"/>
      <c r="BZ298" s="1001"/>
      <c r="CA298" s="1002"/>
      <c r="CC298" s="1000"/>
      <c r="CD298" s="1001"/>
      <c r="CE298" s="1001"/>
      <c r="CF298" s="1002"/>
      <c r="CH298" s="1000"/>
      <c r="CI298" s="1001"/>
      <c r="CJ298" s="1001"/>
      <c r="CK298" s="1002"/>
      <c r="CM298" s="1000"/>
      <c r="CN298" s="1001"/>
      <c r="CO298" s="1001"/>
      <c r="CP298" s="1002"/>
      <c r="CQ298" s="1002"/>
    </row>
    <row r="299" spans="1:96" ht="13.5" customHeight="1">
      <c r="A299" s="93" t="s">
        <v>895</v>
      </c>
      <c r="B299" s="75"/>
      <c r="C299" s="75"/>
      <c r="AJ299" s="1000"/>
      <c r="AK299" s="1001"/>
      <c r="AL299" s="1001"/>
      <c r="AM299" s="1002"/>
      <c r="AO299" s="1000"/>
      <c r="AP299" s="1001"/>
      <c r="AQ299" s="1001"/>
      <c r="AR299" s="1002"/>
      <c r="AT299" s="1000"/>
      <c r="AU299" s="1001"/>
      <c r="AV299" s="1001"/>
      <c r="AW299" s="1002"/>
      <c r="AY299" s="1000"/>
      <c r="AZ299" s="1001"/>
      <c r="BA299" s="1001"/>
      <c r="BB299" s="1002"/>
      <c r="BD299" s="1000"/>
      <c r="BE299" s="1001"/>
      <c r="BF299" s="1001"/>
      <c r="BG299" s="1002"/>
      <c r="BI299" s="1000"/>
      <c r="BJ299" s="1001"/>
      <c r="BK299" s="1001"/>
      <c r="BL299" s="1002"/>
      <c r="BN299" s="1000"/>
      <c r="BO299" s="1001"/>
      <c r="BP299" s="1001"/>
      <c r="BQ299" s="1002"/>
      <c r="BS299" s="1000"/>
      <c r="BT299" s="1001"/>
      <c r="BU299" s="1001"/>
      <c r="BV299" s="1002"/>
      <c r="BX299" s="1000"/>
      <c r="BY299" s="1001"/>
      <c r="BZ299" s="1001"/>
      <c r="CA299" s="1002"/>
      <c r="CC299" s="1000"/>
      <c r="CD299" s="1001"/>
      <c r="CE299" s="1001"/>
      <c r="CF299" s="1002"/>
      <c r="CH299" s="1000"/>
      <c r="CI299" s="1001"/>
      <c r="CJ299" s="1001"/>
      <c r="CK299" s="1002"/>
      <c r="CM299" s="1000"/>
      <c r="CN299" s="1001"/>
      <c r="CO299" s="1001"/>
      <c r="CP299" s="1002"/>
      <c r="CQ299" s="1002"/>
    </row>
    <row r="300" spans="1:96" ht="13.5" customHeight="1">
      <c r="A300" s="115"/>
      <c r="B300" s="75" t="s">
        <v>896</v>
      </c>
      <c r="C300" s="75"/>
      <c r="O300" s="272">
        <f>J303-O236</f>
        <v>10951</v>
      </c>
      <c r="T300" s="272">
        <f>O303-T236</f>
        <v>11605</v>
      </c>
      <c r="Y300" s="272">
        <f>T303-Y236</f>
        <v>11928</v>
      </c>
      <c r="AD300" s="272">
        <f>Y303-AD236</f>
        <v>12872</v>
      </c>
      <c r="AI300" s="272">
        <f>AD303-AI236</f>
        <v>15684</v>
      </c>
      <c r="AJ300" s="1000"/>
      <c r="AK300" s="1001"/>
      <c r="AL300" s="1001"/>
      <c r="AM300" s="1002"/>
      <c r="AN300" s="272">
        <f>AI303-AN236</f>
        <v>15817</v>
      </c>
      <c r="AO300" s="1000"/>
      <c r="AP300" s="1001"/>
      <c r="AQ300" s="1001"/>
      <c r="AR300" s="1002"/>
      <c r="AS300" s="272">
        <f>AN303-AS236</f>
        <v>16706</v>
      </c>
      <c r="AT300" s="1000"/>
      <c r="AU300" s="1001"/>
      <c r="AV300" s="1001"/>
      <c r="AW300" s="1002"/>
      <c r="AX300" s="272">
        <f>AS303-AX236</f>
        <v>16738</v>
      </c>
      <c r="AY300" s="1000"/>
      <c r="AZ300" s="1001"/>
      <c r="BA300" s="1001"/>
      <c r="BB300" s="1002"/>
      <c r="BC300" s="272">
        <f>AX303-BC236</f>
        <v>17295</v>
      </c>
      <c r="BD300" s="1000"/>
      <c r="BE300" s="1001"/>
      <c r="BF300" s="1001"/>
      <c r="BG300" s="1002"/>
      <c r="BH300" s="272">
        <f>BC303-BH236</f>
        <v>17383</v>
      </c>
      <c r="BI300" s="1000"/>
      <c r="BJ300" s="1001"/>
      <c r="BK300" s="1001"/>
      <c r="BL300" s="1002"/>
      <c r="BM300" s="272">
        <f>BH303-BM236</f>
        <v>17218</v>
      </c>
      <c r="BN300" s="1000"/>
      <c r="BO300" s="1001"/>
      <c r="BP300" s="1001"/>
      <c r="BQ300" s="1002"/>
      <c r="BR300" s="272">
        <f>BM303-BR236</f>
        <v>15639</v>
      </c>
      <c r="BS300" s="1000"/>
      <c r="BT300" s="1001"/>
      <c r="BU300" s="1001"/>
      <c r="BV300" s="1002"/>
      <c r="BW300" s="272">
        <f>BR303-BW236</f>
        <v>14559</v>
      </c>
      <c r="BX300" s="1000"/>
      <c r="BY300" s="1001"/>
      <c r="BZ300" s="1001"/>
      <c r="CA300" s="1002"/>
      <c r="CB300" s="272">
        <f>BW303-CB236</f>
        <v>14701</v>
      </c>
      <c r="CC300" s="1000"/>
      <c r="CD300" s="1001"/>
      <c r="CE300" s="1001"/>
      <c r="CF300" s="1002"/>
      <c r="CG300" s="272">
        <f>CB303-CG236</f>
        <v>15256.98</v>
      </c>
      <c r="CH300" s="1000"/>
      <c r="CI300" s="1001"/>
      <c r="CJ300" s="1001"/>
      <c r="CK300" s="1002"/>
      <c r="CL300" s="272">
        <f>CG303-CL236</f>
        <v>16101.840399999999</v>
      </c>
      <c r="CM300" s="1000"/>
      <c r="CN300" s="1001"/>
      <c r="CO300" s="1001"/>
      <c r="CP300" s="1002"/>
      <c r="CQ300" s="1241">
        <f>CL303-CQ236</f>
        <v>16929.803591999997</v>
      </c>
    </row>
    <row r="301" spans="1:96" ht="13.5" customHeight="1">
      <c r="A301" s="115"/>
      <c r="B301" s="75" t="s">
        <v>897</v>
      </c>
      <c r="C301" s="75"/>
      <c r="O301" s="272">
        <f>O303-O300</f>
        <v>-87</v>
      </c>
      <c r="T301" s="272">
        <f>T303-T300</f>
        <v>-289</v>
      </c>
      <c r="Y301" s="272">
        <f>Y303-Y300</f>
        <v>269</v>
      </c>
      <c r="AD301" s="272">
        <f>AD303-AD300</f>
        <v>1916</v>
      </c>
      <c r="AI301" s="272">
        <f>AI303-AI300</f>
        <v>-339</v>
      </c>
      <c r="AJ301" s="1000"/>
      <c r="AK301" s="1001"/>
      <c r="AL301" s="1001"/>
      <c r="AM301" s="1002"/>
      <c r="AN301" s="272">
        <f>AN303-AN300</f>
        <v>213</v>
      </c>
      <c r="AO301" s="1000"/>
      <c r="AP301" s="1001"/>
      <c r="AQ301" s="1001"/>
      <c r="AR301" s="1002"/>
      <c r="AS301" s="272">
        <f>AS303-AS300</f>
        <v>-816</v>
      </c>
      <c r="AT301" s="1000"/>
      <c r="AU301" s="1001"/>
      <c r="AV301" s="1001"/>
      <c r="AW301" s="1002"/>
      <c r="AX301" s="272">
        <f>AX303-AX300</f>
        <v>-166</v>
      </c>
      <c r="AY301" s="1000"/>
      <c r="AZ301" s="1001"/>
      <c r="BA301" s="1001"/>
      <c r="BB301" s="1002"/>
      <c r="BC301" s="272">
        <f>BC303-BC300</f>
        <v>-389</v>
      </c>
      <c r="BD301" s="1000"/>
      <c r="BE301" s="1001"/>
      <c r="BF301" s="1001"/>
      <c r="BG301" s="1002"/>
      <c r="BH301" s="272">
        <f>BH303-BH300</f>
        <v>-584</v>
      </c>
      <c r="BI301" s="1000"/>
      <c r="BJ301" s="1001"/>
      <c r="BK301" s="1001"/>
      <c r="BL301" s="1002"/>
      <c r="BM301" s="272">
        <f>BM303-BM300</f>
        <v>-2079</v>
      </c>
      <c r="BN301" s="1000"/>
      <c r="BO301" s="1001"/>
      <c r="BP301" s="1001"/>
      <c r="BQ301" s="1002"/>
      <c r="BR301" s="272">
        <f>BR303-BR300</f>
        <v>-1386</v>
      </c>
      <c r="BS301" s="1000"/>
      <c r="BT301" s="1001"/>
      <c r="BU301" s="1001"/>
      <c r="BV301" s="1002"/>
      <c r="BW301" s="272">
        <f>BW303-BW300</f>
        <v>-363</v>
      </c>
      <c r="BX301" s="1000"/>
      <c r="BY301" s="1001"/>
      <c r="BZ301" s="1001"/>
      <c r="CA301" s="1002"/>
      <c r="CB301" s="1524">
        <f>CB300*CB302</f>
        <v>-294.02</v>
      </c>
      <c r="CC301" s="1000"/>
      <c r="CD301" s="1001"/>
      <c r="CE301" s="1001"/>
      <c r="CF301" s="1002"/>
      <c r="CG301" s="272">
        <f>CG300*CG302</f>
        <v>-305.13959999999997</v>
      </c>
      <c r="CH301" s="1000"/>
      <c r="CI301" s="1001"/>
      <c r="CJ301" s="1001"/>
      <c r="CK301" s="1002"/>
      <c r="CL301" s="272">
        <f>CL300*CL302</f>
        <v>-322.03680800000001</v>
      </c>
      <c r="CM301" s="1000"/>
      <c r="CN301" s="1001"/>
      <c r="CO301" s="1001"/>
      <c r="CP301" s="1002"/>
      <c r="CQ301" s="1241">
        <f>CQ300*CQ302</f>
        <v>-338.59607183999992</v>
      </c>
    </row>
    <row r="302" spans="1:96" ht="13.5" customHeight="1">
      <c r="A302" s="115"/>
      <c r="B302" s="75"/>
      <c r="C302" s="75" t="s">
        <v>898</v>
      </c>
      <c r="O302" s="678">
        <f>O301/O300</f>
        <v>-7.9444799561683866E-3</v>
      </c>
      <c r="T302" s="678">
        <f>T301/T300</f>
        <v>-2.4903059026281774E-2</v>
      </c>
      <c r="Y302" s="678">
        <f>Y301/Y300</f>
        <v>2.2551978537894032E-2</v>
      </c>
      <c r="AD302" s="678">
        <f>AD301/AD300</f>
        <v>0.14885021752641392</v>
      </c>
      <c r="AI302" s="678">
        <f>AI301/AI300</f>
        <v>-2.1614384085692426E-2</v>
      </c>
      <c r="AJ302" s="1000"/>
      <c r="AK302" s="1001"/>
      <c r="AL302" s="1001"/>
      <c r="AM302" s="1002"/>
      <c r="AN302" s="678">
        <f>AN301/AN300</f>
        <v>1.3466523360940759E-2</v>
      </c>
      <c r="AO302" s="1000"/>
      <c r="AP302" s="1001"/>
      <c r="AQ302" s="1001"/>
      <c r="AR302" s="1002"/>
      <c r="AS302" s="678">
        <f>AS301/AS300</f>
        <v>-4.8844726445588411E-2</v>
      </c>
      <c r="AT302" s="1000"/>
      <c r="AU302" s="1001"/>
      <c r="AV302" s="1001"/>
      <c r="AW302" s="1002"/>
      <c r="AX302" s="678">
        <f>AX301/AX300</f>
        <v>-9.9175528737005612E-3</v>
      </c>
      <c r="AY302" s="1000"/>
      <c r="AZ302" s="1001"/>
      <c r="BA302" s="1001"/>
      <c r="BB302" s="1002"/>
      <c r="BC302" s="678">
        <f>BC301/BC300</f>
        <v>-2.2492049725354148E-2</v>
      </c>
      <c r="BD302" s="1000"/>
      <c r="BE302" s="1001"/>
      <c r="BF302" s="1001"/>
      <c r="BG302" s="1002"/>
      <c r="BH302" s="678">
        <f>BH301/BH300</f>
        <v>-3.3596042110107575E-2</v>
      </c>
      <c r="BI302" s="1000"/>
      <c r="BJ302" s="1001"/>
      <c r="BK302" s="1001"/>
      <c r="BL302" s="1002"/>
      <c r="BM302" s="678">
        <f>BM301/BM300</f>
        <v>-0.12074573121152282</v>
      </c>
      <c r="BN302" s="1000"/>
      <c r="BO302" s="1001"/>
      <c r="BP302" s="1001"/>
      <c r="BQ302" s="1002"/>
      <c r="BR302" s="678">
        <f>BR301/BR300</f>
        <v>-8.8624592365240742E-2</v>
      </c>
      <c r="BS302" s="1000"/>
      <c r="BT302" s="1001"/>
      <c r="BU302" s="1001"/>
      <c r="BV302" s="1002"/>
      <c r="BW302" s="678">
        <f>BW301/BW300</f>
        <v>-2.4933031114774365E-2</v>
      </c>
      <c r="BX302" s="1000"/>
      <c r="BY302" s="1001"/>
      <c r="BZ302" s="1001"/>
      <c r="CA302" s="1002"/>
      <c r="CB302" s="875">
        <v>-0.02</v>
      </c>
      <c r="CC302" s="1000"/>
      <c r="CD302" s="1001"/>
      <c r="CE302" s="1001"/>
      <c r="CF302" s="1002"/>
      <c r="CG302" s="875">
        <v>-0.02</v>
      </c>
      <c r="CH302" s="1000"/>
      <c r="CI302" s="1001"/>
      <c r="CJ302" s="1001"/>
      <c r="CK302" s="1002"/>
      <c r="CL302" s="875">
        <v>-0.02</v>
      </c>
      <c r="CM302" s="1000"/>
      <c r="CN302" s="1001"/>
      <c r="CO302" s="1001"/>
      <c r="CP302" s="1002"/>
      <c r="CQ302" s="1388">
        <v>-0.02</v>
      </c>
    </row>
    <row r="303" spans="1:96" ht="13.5" customHeight="1">
      <c r="A303" s="115"/>
      <c r="B303" s="75"/>
      <c r="C303" s="75" t="s">
        <v>595</v>
      </c>
      <c r="J303" s="650">
        <v>10372</v>
      </c>
      <c r="K303" s="650"/>
      <c r="L303" s="650"/>
      <c r="M303" s="650"/>
      <c r="N303" s="650"/>
      <c r="O303" s="650">
        <v>10864</v>
      </c>
      <c r="P303" s="650"/>
      <c r="Q303" s="650"/>
      <c r="R303" s="650"/>
      <c r="S303" s="650"/>
      <c r="T303" s="650">
        <v>11316</v>
      </c>
      <c r="U303" s="650"/>
      <c r="V303" s="650"/>
      <c r="W303" s="650"/>
      <c r="X303" s="650"/>
      <c r="Y303" s="650">
        <v>12197</v>
      </c>
      <c r="Z303" s="650"/>
      <c r="AA303" s="650"/>
      <c r="AB303" s="650"/>
      <c r="AC303" s="650"/>
      <c r="AD303" s="650">
        <v>14788</v>
      </c>
      <c r="AE303" s="650"/>
      <c r="AF303" s="650"/>
      <c r="AG303" s="650"/>
      <c r="AH303" s="650"/>
      <c r="AI303" s="650">
        <v>15345</v>
      </c>
      <c r="AJ303" s="1187"/>
      <c r="AK303" s="646"/>
      <c r="AL303" s="646"/>
      <c r="AM303" s="1188"/>
      <c r="AN303" s="650">
        <v>16030</v>
      </c>
      <c r="AO303" s="1187"/>
      <c r="AP303" s="646"/>
      <c r="AQ303" s="646"/>
      <c r="AR303" s="1188"/>
      <c r="AS303" s="650">
        <v>15890</v>
      </c>
      <c r="AT303" s="1187"/>
      <c r="AU303" s="646"/>
      <c r="AV303" s="646"/>
      <c r="AW303" s="1188"/>
      <c r="AX303" s="650">
        <v>16572</v>
      </c>
      <c r="AY303" s="1187"/>
      <c r="AZ303" s="646"/>
      <c r="BA303" s="646"/>
      <c r="BB303" s="1188"/>
      <c r="BC303" s="650">
        <v>16906</v>
      </c>
      <c r="BD303" s="1187"/>
      <c r="BE303" s="646"/>
      <c r="BF303" s="646"/>
      <c r="BG303" s="1188"/>
      <c r="BH303" s="650">
        <v>16799</v>
      </c>
      <c r="BI303" s="1187"/>
      <c r="BJ303" s="646"/>
      <c r="BK303" s="646"/>
      <c r="BL303" s="1188"/>
      <c r="BM303" s="650">
        <v>15139</v>
      </c>
      <c r="BN303" s="1187"/>
      <c r="BO303" s="646"/>
      <c r="BP303" s="646"/>
      <c r="BQ303" s="1188"/>
      <c r="BR303" s="650">
        <v>14253</v>
      </c>
      <c r="BS303" s="1187"/>
      <c r="BT303" s="646"/>
      <c r="BU303" s="646"/>
      <c r="BV303" s="1188"/>
      <c r="BW303" s="650">
        <v>14196</v>
      </c>
      <c r="BX303" s="1000"/>
      <c r="BY303" s="1001"/>
      <c r="BZ303" s="1001"/>
      <c r="CA303" s="1002"/>
      <c r="CB303" s="1524">
        <f>CB300+CB301</f>
        <v>14406.98</v>
      </c>
      <c r="CC303" s="1000"/>
      <c r="CD303" s="1001"/>
      <c r="CE303" s="1001"/>
      <c r="CF303" s="1002"/>
      <c r="CG303" s="272">
        <f>CG300+CG301</f>
        <v>14951.840399999999</v>
      </c>
      <c r="CH303" s="1000"/>
      <c r="CI303" s="1001"/>
      <c r="CJ303" s="1001"/>
      <c r="CK303" s="1002"/>
      <c r="CL303" s="272">
        <f>CL300+CL301</f>
        <v>15779.803591999998</v>
      </c>
      <c r="CM303" s="1000"/>
      <c r="CN303" s="1001"/>
      <c r="CO303" s="1001"/>
      <c r="CP303" s="1002"/>
      <c r="CQ303" s="1241">
        <f>CQ300+CQ301</f>
        <v>16591.207520159998</v>
      </c>
    </row>
    <row r="304" spans="1:96" ht="13.5" customHeight="1">
      <c r="A304" s="115"/>
      <c r="B304" s="75" t="s">
        <v>899</v>
      </c>
      <c r="C304" s="75"/>
      <c r="J304" s="650"/>
      <c r="K304" s="650"/>
      <c r="L304" s="650"/>
      <c r="M304" s="650"/>
      <c r="N304" s="650"/>
      <c r="O304" s="272">
        <f>O303-J303</f>
        <v>492</v>
      </c>
      <c r="P304" s="650"/>
      <c r="Q304" s="650"/>
      <c r="R304" s="650"/>
      <c r="S304" s="650"/>
      <c r="T304" s="272">
        <f>T303-O303</f>
        <v>452</v>
      </c>
      <c r="U304" s="650"/>
      <c r="V304" s="650"/>
      <c r="W304" s="650"/>
      <c r="X304" s="650"/>
      <c r="Y304" s="272">
        <f>Y303-T303</f>
        <v>881</v>
      </c>
      <c r="Z304" s="650"/>
      <c r="AA304" s="650"/>
      <c r="AB304" s="650"/>
      <c r="AC304" s="650"/>
      <c r="AD304" s="272">
        <f>AD303-Y303</f>
        <v>2591</v>
      </c>
      <c r="AE304" s="650"/>
      <c r="AF304" s="650"/>
      <c r="AG304" s="650"/>
      <c r="AH304" s="650"/>
      <c r="AI304" s="272">
        <f>AI303-AD303</f>
        <v>557</v>
      </c>
      <c r="AJ304" s="1187"/>
      <c r="AK304" s="646"/>
      <c r="AL304" s="646"/>
      <c r="AM304" s="1188"/>
      <c r="AN304" s="272">
        <f>AN303-AI303</f>
        <v>685</v>
      </c>
      <c r="AO304" s="1187"/>
      <c r="AP304" s="646"/>
      <c r="AQ304" s="646"/>
      <c r="AR304" s="1188"/>
      <c r="AS304" s="272">
        <f>AS303-AN303</f>
        <v>-140</v>
      </c>
      <c r="AT304" s="1187"/>
      <c r="AU304" s="646"/>
      <c r="AV304" s="646"/>
      <c r="AW304" s="1188"/>
      <c r="AX304" s="272">
        <f>AX303-AS303</f>
        <v>682</v>
      </c>
      <c r="AY304" s="1187"/>
      <c r="AZ304" s="646"/>
      <c r="BA304" s="646"/>
      <c r="BB304" s="1188"/>
      <c r="BC304" s="272">
        <f>BC303-AX303</f>
        <v>334</v>
      </c>
      <c r="BD304" s="1187"/>
      <c r="BE304" s="646"/>
      <c r="BF304" s="646"/>
      <c r="BG304" s="1188"/>
      <c r="BH304" s="272">
        <f>BH303-BC303</f>
        <v>-107</v>
      </c>
      <c r="BI304" s="1187"/>
      <c r="BJ304" s="646"/>
      <c r="BK304" s="646"/>
      <c r="BL304" s="1188"/>
      <c r="BM304" s="272">
        <f>BM303-BH303</f>
        <v>-1660</v>
      </c>
      <c r="BN304" s="1187"/>
      <c r="BO304" s="646"/>
      <c r="BP304" s="646"/>
      <c r="BQ304" s="1188"/>
      <c r="BR304" s="272">
        <f>BR303-BM303</f>
        <v>-886</v>
      </c>
      <c r="BS304" s="1187"/>
      <c r="BT304" s="646"/>
      <c r="BU304" s="646"/>
      <c r="BV304" s="1188"/>
      <c r="BW304" s="272">
        <f>BW303-BR303</f>
        <v>-57</v>
      </c>
      <c r="BX304" s="1000"/>
      <c r="BY304" s="1001"/>
      <c r="BZ304" s="1001"/>
      <c r="CA304" s="1002"/>
      <c r="CB304" s="272">
        <f>CB303-BW303</f>
        <v>210.97999999999956</v>
      </c>
      <c r="CC304" s="1000"/>
      <c r="CD304" s="1001"/>
      <c r="CE304" s="1001"/>
      <c r="CF304" s="1002"/>
      <c r="CG304" s="272">
        <f>CG303-CB303</f>
        <v>544.86039999999957</v>
      </c>
      <c r="CH304" s="1000"/>
      <c r="CI304" s="1001"/>
      <c r="CJ304" s="1001"/>
      <c r="CK304" s="1002"/>
      <c r="CL304" s="272">
        <f>CL303-CG303</f>
        <v>827.96319199999925</v>
      </c>
      <c r="CM304" s="1000"/>
      <c r="CN304" s="1001"/>
      <c r="CO304" s="1001"/>
      <c r="CP304" s="1002"/>
      <c r="CQ304" s="1241">
        <f>CQ303-CL303</f>
        <v>811.40392815999985</v>
      </c>
    </row>
    <row r="305" spans="1:95" ht="6.2" customHeight="1">
      <c r="A305" s="115"/>
      <c r="B305" s="75"/>
      <c r="C305" s="75"/>
      <c r="AJ305" s="1000"/>
      <c r="AK305" s="1001"/>
      <c r="AL305" s="1001"/>
      <c r="AM305" s="1002"/>
      <c r="AO305" s="1000"/>
      <c r="AP305" s="1001"/>
      <c r="AQ305" s="1001"/>
      <c r="AR305" s="1002"/>
      <c r="AT305" s="1000"/>
      <c r="AU305" s="1001"/>
      <c r="AV305" s="1001"/>
      <c r="AW305" s="1002"/>
      <c r="AY305" s="1000"/>
      <c r="AZ305" s="1001"/>
      <c r="BA305" s="1001"/>
      <c r="BB305" s="1002"/>
      <c r="BD305" s="1000"/>
      <c r="BE305" s="1001"/>
      <c r="BF305" s="1001"/>
      <c r="BG305" s="1002"/>
      <c r="BI305" s="1000"/>
      <c r="BJ305" s="1001"/>
      <c r="BK305" s="1001"/>
      <c r="BL305" s="1002"/>
      <c r="BN305" s="1000"/>
      <c r="BO305" s="1001"/>
      <c r="BP305" s="1001"/>
      <c r="BQ305" s="1002"/>
      <c r="BS305" s="1000"/>
      <c r="BT305" s="1001"/>
      <c r="BU305" s="1001"/>
      <c r="BV305" s="1002"/>
      <c r="BX305" s="1000"/>
      <c r="BY305" s="1001"/>
      <c r="BZ305" s="1001"/>
      <c r="CA305" s="1002"/>
      <c r="CC305" s="1000"/>
      <c r="CD305" s="1001"/>
      <c r="CE305" s="1001"/>
      <c r="CF305" s="1002"/>
      <c r="CH305" s="1000"/>
      <c r="CI305" s="1001"/>
      <c r="CJ305" s="1001"/>
      <c r="CK305" s="1002"/>
      <c r="CM305" s="1000"/>
      <c r="CN305" s="1001"/>
      <c r="CO305" s="1001"/>
      <c r="CP305" s="1002"/>
      <c r="CQ305" s="1002"/>
    </row>
    <row r="306" spans="1:95" ht="13.5" customHeight="1">
      <c r="A306" s="115"/>
      <c r="B306" s="75" t="s">
        <v>900</v>
      </c>
      <c r="C306" s="75"/>
      <c r="O306" s="272">
        <f>J308+O218</f>
        <v>7339</v>
      </c>
      <c r="T306" s="272">
        <f>O308+T218</f>
        <v>7603</v>
      </c>
      <c r="Y306" s="272">
        <f>T308+Y218</f>
        <v>7742</v>
      </c>
      <c r="AD306" s="272">
        <f>Y308+AD218</f>
        <v>8274</v>
      </c>
      <c r="AI306" s="272">
        <f>AD308+AI218</f>
        <v>8705</v>
      </c>
      <c r="AJ306" s="1000"/>
      <c r="AK306" s="1001"/>
      <c r="AL306" s="1001"/>
      <c r="AM306" s="1002"/>
      <c r="AN306" s="272">
        <f>AI308+AN218</f>
        <v>9330</v>
      </c>
      <c r="AO306" s="1000"/>
      <c r="AP306" s="1001"/>
      <c r="AQ306" s="1001"/>
      <c r="AR306" s="1002"/>
      <c r="AS306" s="272">
        <f>AN308+AS218</f>
        <v>9868</v>
      </c>
      <c r="AT306" s="1000"/>
      <c r="AU306" s="1001"/>
      <c r="AV306" s="1001"/>
      <c r="AW306" s="1002"/>
      <c r="AX306" s="272">
        <f>AS308+AX218</f>
        <v>10085</v>
      </c>
      <c r="AY306" s="1000"/>
      <c r="AZ306" s="1001"/>
      <c r="BA306" s="1001"/>
      <c r="BB306" s="1002"/>
      <c r="BC306" s="272">
        <f>AX308+BC218</f>
        <v>10654</v>
      </c>
      <c r="BD306" s="1000"/>
      <c r="BE306" s="1001"/>
      <c r="BF306" s="1001"/>
      <c r="BG306" s="1002"/>
      <c r="BH306" s="272">
        <f>BC308+BH218</f>
        <v>11182</v>
      </c>
      <c r="BI306" s="1000"/>
      <c r="BJ306" s="1001"/>
      <c r="BK306" s="1001"/>
      <c r="BL306" s="1002"/>
      <c r="BM306" s="272">
        <f>BH308+BM218</f>
        <v>11504</v>
      </c>
      <c r="BN306" s="1000"/>
      <c r="BO306" s="1001"/>
      <c r="BP306" s="1001"/>
      <c r="BQ306" s="1002"/>
      <c r="BR306" s="272">
        <f>BM308+BR218</f>
        <v>11112</v>
      </c>
      <c r="BS306" s="1000"/>
      <c r="BT306" s="1001"/>
      <c r="BU306" s="1001"/>
      <c r="BV306" s="1002"/>
      <c r="BW306" s="272">
        <f>BR308+BW218</f>
        <v>10349</v>
      </c>
      <c r="BX306" s="1000"/>
      <c r="BY306" s="1001"/>
      <c r="BZ306" s="1001"/>
      <c r="CA306" s="1002"/>
      <c r="CB306" s="272">
        <f>BW308+CB218</f>
        <v>10718</v>
      </c>
      <c r="CC306" s="1000"/>
      <c r="CD306" s="1001"/>
      <c r="CE306" s="1001"/>
      <c r="CF306" s="1002"/>
      <c r="CG306" s="272">
        <f>CB308+CG218</f>
        <v>10918.98</v>
      </c>
      <c r="CH306" s="1000"/>
      <c r="CI306" s="1001"/>
      <c r="CJ306" s="1001"/>
      <c r="CK306" s="1002"/>
      <c r="CL306" s="272">
        <f>CG308+CL218</f>
        <v>11108.840399999999</v>
      </c>
      <c r="CM306" s="1000"/>
      <c r="CN306" s="1001"/>
      <c r="CO306" s="1001"/>
      <c r="CP306" s="1002"/>
      <c r="CQ306" s="1241">
        <f>CL308+CQ218</f>
        <v>11281.803591999998</v>
      </c>
    </row>
    <row r="307" spans="1:95" ht="13.5" customHeight="1">
      <c r="A307" s="115"/>
      <c r="B307" s="75" t="s">
        <v>897</v>
      </c>
      <c r="C307" s="75"/>
      <c r="O307" s="272">
        <f>O308-O306</f>
        <v>-102</v>
      </c>
      <c r="T307" s="272">
        <f>T308-T306</f>
        <v>-302</v>
      </c>
      <c r="Y307" s="272">
        <f>Y308-Y306</f>
        <v>26</v>
      </c>
      <c r="AD307" s="272">
        <f>AD308-AD306</f>
        <v>-174</v>
      </c>
      <c r="AI307" s="272">
        <f>AI308-AI306</f>
        <v>-36</v>
      </c>
      <c r="AJ307" s="1000"/>
      <c r="AK307" s="1001"/>
      <c r="AL307" s="1001"/>
      <c r="AM307" s="1002"/>
      <c r="AN307" s="272">
        <f>AN308-AN306</f>
        <v>-120</v>
      </c>
      <c r="AO307" s="1000"/>
      <c r="AP307" s="1001"/>
      <c r="AQ307" s="1001"/>
      <c r="AR307" s="1002"/>
      <c r="AS307" s="272">
        <f>AS308-AS306</f>
        <v>-464</v>
      </c>
      <c r="AT307" s="1000"/>
      <c r="AU307" s="1001"/>
      <c r="AV307" s="1001"/>
      <c r="AW307" s="1002"/>
      <c r="AX307" s="272">
        <f>AX308-AX306</f>
        <v>-92</v>
      </c>
      <c r="AY307" s="1000"/>
      <c r="AZ307" s="1001"/>
      <c r="BA307" s="1001"/>
      <c r="BB307" s="1002"/>
      <c r="BC307" s="272">
        <f>BC308-BC306</f>
        <v>-156</v>
      </c>
      <c r="BD307" s="1000"/>
      <c r="BE307" s="1001"/>
      <c r="BF307" s="1001"/>
      <c r="BG307" s="1002"/>
      <c r="BH307" s="272">
        <f>BH308-BH306</f>
        <v>-305</v>
      </c>
      <c r="BI307" s="1000"/>
      <c r="BJ307" s="1001"/>
      <c r="BK307" s="1001"/>
      <c r="BL307" s="1002"/>
      <c r="BM307" s="272">
        <f>BM308-BM306</f>
        <v>-939</v>
      </c>
      <c r="BN307" s="1000"/>
      <c r="BO307" s="1001"/>
      <c r="BP307" s="1001"/>
      <c r="BQ307" s="1002"/>
      <c r="BR307" s="272">
        <f>BR308-BR306</f>
        <v>-1270</v>
      </c>
      <c r="BS307" s="1000"/>
      <c r="BT307" s="1001"/>
      <c r="BU307" s="1001"/>
      <c r="BV307" s="1002"/>
      <c r="BW307" s="272">
        <f>BW308-BW306</f>
        <v>-132</v>
      </c>
      <c r="BX307" s="1000"/>
      <c r="BY307" s="1001"/>
      <c r="BZ307" s="1001"/>
      <c r="CA307" s="1002"/>
      <c r="CB307" s="1524">
        <f>CB301</f>
        <v>-294.02</v>
      </c>
      <c r="CC307" s="1000"/>
      <c r="CD307" s="1001"/>
      <c r="CE307" s="1001"/>
      <c r="CF307" s="1002"/>
      <c r="CG307" s="272">
        <f>CG301</f>
        <v>-305.13959999999997</v>
      </c>
      <c r="CH307" s="1000"/>
      <c r="CI307" s="1001"/>
      <c r="CJ307" s="1001"/>
      <c r="CK307" s="1002"/>
      <c r="CL307" s="272">
        <f>CL301</f>
        <v>-322.03680800000001</v>
      </c>
      <c r="CM307" s="1000"/>
      <c r="CN307" s="1001"/>
      <c r="CO307" s="1001"/>
      <c r="CP307" s="1002"/>
      <c r="CQ307" s="1241">
        <f>CQ301</f>
        <v>-338.59607183999992</v>
      </c>
    </row>
    <row r="308" spans="1:95" ht="13.5" customHeight="1">
      <c r="A308" s="115"/>
      <c r="B308" s="75"/>
      <c r="C308" s="75" t="s">
        <v>595</v>
      </c>
      <c r="J308" s="650">
        <v>6957</v>
      </c>
      <c r="O308" s="650">
        <v>7237</v>
      </c>
      <c r="T308" s="650">
        <v>7301</v>
      </c>
      <c r="Y308" s="650">
        <v>7768</v>
      </c>
      <c r="AD308" s="650">
        <v>8100</v>
      </c>
      <c r="AI308" s="650">
        <v>8669</v>
      </c>
      <c r="AJ308" s="1000"/>
      <c r="AK308" s="1001"/>
      <c r="AL308" s="1001"/>
      <c r="AM308" s="1002"/>
      <c r="AN308" s="650">
        <v>9210</v>
      </c>
      <c r="AO308" s="1000"/>
      <c r="AP308" s="1001"/>
      <c r="AQ308" s="1001"/>
      <c r="AR308" s="1002"/>
      <c r="AS308" s="650">
        <v>9404</v>
      </c>
      <c r="AT308" s="1000"/>
      <c r="AU308" s="1001"/>
      <c r="AV308" s="1001"/>
      <c r="AW308" s="1002"/>
      <c r="AX308" s="650">
        <v>9993</v>
      </c>
      <c r="AY308" s="1000"/>
      <c r="AZ308" s="1001"/>
      <c r="BA308" s="1001"/>
      <c r="BB308" s="1002"/>
      <c r="BC308" s="650">
        <v>10498</v>
      </c>
      <c r="BD308" s="1000"/>
      <c r="BE308" s="1001"/>
      <c r="BF308" s="1001"/>
      <c r="BG308" s="1002"/>
      <c r="BH308" s="650">
        <v>10877</v>
      </c>
      <c r="BI308" s="1000"/>
      <c r="BJ308" s="1001"/>
      <c r="BK308" s="1001"/>
      <c r="BL308" s="1002"/>
      <c r="BM308" s="650">
        <v>10565</v>
      </c>
      <c r="BN308" s="1000"/>
      <c r="BO308" s="1001"/>
      <c r="BP308" s="1001"/>
      <c r="BQ308" s="1002"/>
      <c r="BR308" s="650">
        <v>9842</v>
      </c>
      <c r="BS308" s="1000"/>
      <c r="BT308" s="1001"/>
      <c r="BU308" s="1001"/>
      <c r="BV308" s="1002"/>
      <c r="BW308" s="650">
        <v>10217</v>
      </c>
      <c r="BX308" s="1000"/>
      <c r="BY308" s="1001"/>
      <c r="BZ308" s="1001"/>
      <c r="CA308" s="1002"/>
      <c r="CB308" s="1524">
        <f>SUM(CB306:CB307)</f>
        <v>10423.98</v>
      </c>
      <c r="CC308" s="1000"/>
      <c r="CD308" s="1001"/>
      <c r="CE308" s="1001"/>
      <c r="CF308" s="1002"/>
      <c r="CG308" s="272">
        <f>SUM(CG306:CG307)</f>
        <v>10613.840399999999</v>
      </c>
      <c r="CH308" s="1000"/>
      <c r="CI308" s="1001"/>
      <c r="CJ308" s="1001"/>
      <c r="CK308" s="1002"/>
      <c r="CL308" s="272">
        <f>SUM(CL306:CL307)</f>
        <v>10786.803591999998</v>
      </c>
      <c r="CM308" s="1000"/>
      <c r="CN308" s="1001"/>
      <c r="CO308" s="1001"/>
      <c r="CP308" s="1002"/>
      <c r="CQ308" s="1241">
        <f>SUM(CQ306:CQ307)</f>
        <v>10943.207520159998</v>
      </c>
    </row>
    <row r="309" spans="1:95" ht="13.5" customHeight="1">
      <c r="A309" s="115"/>
      <c r="B309" s="75" t="s">
        <v>899</v>
      </c>
      <c r="C309" s="75"/>
      <c r="O309" s="272">
        <f>O308-J308</f>
        <v>280</v>
      </c>
      <c r="P309" s="650"/>
      <c r="Q309" s="650"/>
      <c r="R309" s="650"/>
      <c r="S309" s="650"/>
      <c r="T309" s="272">
        <f>T308-O308</f>
        <v>64</v>
      </c>
      <c r="U309" s="650"/>
      <c r="V309" s="650"/>
      <c r="W309" s="650"/>
      <c r="X309" s="650"/>
      <c r="Y309" s="272">
        <f>Y308-T308</f>
        <v>467</v>
      </c>
      <c r="Z309" s="650"/>
      <c r="AA309" s="650"/>
      <c r="AB309" s="650"/>
      <c r="AC309" s="650"/>
      <c r="AD309" s="272">
        <f>AD308-Y308</f>
        <v>332</v>
      </c>
      <c r="AE309" s="650"/>
      <c r="AF309" s="650"/>
      <c r="AG309" s="650"/>
      <c r="AH309" s="650"/>
      <c r="AI309" s="272">
        <f>AI308-AD308</f>
        <v>569</v>
      </c>
      <c r="AJ309" s="1187"/>
      <c r="AK309" s="646"/>
      <c r="AL309" s="646"/>
      <c r="AM309" s="1188"/>
      <c r="AN309" s="272">
        <f>AN308-AI308</f>
        <v>541</v>
      </c>
      <c r="AO309" s="1187"/>
      <c r="AP309" s="646"/>
      <c r="AQ309" s="646"/>
      <c r="AR309" s="1188"/>
      <c r="AS309" s="272">
        <f>AS308-AN308</f>
        <v>194</v>
      </c>
      <c r="AT309" s="1187"/>
      <c r="AU309" s="646"/>
      <c r="AV309" s="646"/>
      <c r="AW309" s="1188"/>
      <c r="AX309" s="272">
        <f>AX308-AS308</f>
        <v>589</v>
      </c>
      <c r="AY309" s="1187"/>
      <c r="AZ309" s="646"/>
      <c r="BA309" s="646"/>
      <c r="BB309" s="1188"/>
      <c r="BC309" s="272">
        <f>BC308-AX308</f>
        <v>505</v>
      </c>
      <c r="BD309" s="1187"/>
      <c r="BE309" s="646"/>
      <c r="BF309" s="646"/>
      <c r="BG309" s="1188"/>
      <c r="BH309" s="272">
        <f>BH308-BC308</f>
        <v>379</v>
      </c>
      <c r="BI309" s="1187"/>
      <c r="BJ309" s="646"/>
      <c r="BK309" s="646"/>
      <c r="BL309" s="1188"/>
      <c r="BM309" s="272">
        <f>BM308-BH308</f>
        <v>-312</v>
      </c>
      <c r="BN309" s="1187"/>
      <c r="BO309" s="646"/>
      <c r="BP309" s="646"/>
      <c r="BQ309" s="1188"/>
      <c r="BR309" s="272">
        <f>BR308-BM308</f>
        <v>-723</v>
      </c>
      <c r="BS309" s="1187"/>
      <c r="BT309" s="646"/>
      <c r="BU309" s="646"/>
      <c r="BV309" s="1188"/>
      <c r="BW309" s="272">
        <f>BW308-BR308</f>
        <v>375</v>
      </c>
      <c r="BX309" s="1000"/>
      <c r="BY309" s="1001"/>
      <c r="BZ309" s="1001"/>
      <c r="CA309" s="1002"/>
      <c r="CB309" s="272">
        <f>CB308-BW308</f>
        <v>206.97999999999956</v>
      </c>
      <c r="CC309" s="1000"/>
      <c r="CD309" s="1001"/>
      <c r="CE309" s="1001"/>
      <c r="CF309" s="1002"/>
      <c r="CG309" s="272">
        <f>CG308-CB308</f>
        <v>189.86039999999957</v>
      </c>
      <c r="CH309" s="1000"/>
      <c r="CI309" s="1001"/>
      <c r="CJ309" s="1001"/>
      <c r="CK309" s="1002"/>
      <c r="CL309" s="272">
        <f>CL308-CG308</f>
        <v>172.96319199999925</v>
      </c>
      <c r="CM309" s="1000"/>
      <c r="CN309" s="1001"/>
      <c r="CO309" s="1001"/>
      <c r="CP309" s="1002"/>
      <c r="CQ309" s="1241">
        <f>CQ308-CL308</f>
        <v>156.40392815999985</v>
      </c>
    </row>
    <row r="310" spans="1:95" ht="6.2" customHeight="1">
      <c r="A310" s="115"/>
      <c r="B310" s="75"/>
      <c r="C310" s="75"/>
      <c r="AJ310" s="1000"/>
      <c r="AK310" s="1001"/>
      <c r="AL310" s="1001"/>
      <c r="AM310" s="1002"/>
      <c r="AO310" s="1000"/>
      <c r="AP310" s="1001"/>
      <c r="AQ310" s="1001"/>
      <c r="AR310" s="1002"/>
      <c r="AT310" s="1000"/>
      <c r="AU310" s="1001"/>
      <c r="AV310" s="1001"/>
      <c r="AW310" s="1002"/>
      <c r="AY310" s="1000"/>
      <c r="AZ310" s="1001"/>
      <c r="BA310" s="1001"/>
      <c r="BB310" s="1002"/>
      <c r="BD310" s="1000"/>
      <c r="BE310" s="1001"/>
      <c r="BF310" s="1001"/>
      <c r="BG310" s="1002"/>
      <c r="BI310" s="1000"/>
      <c r="BJ310" s="1001"/>
      <c r="BK310" s="1001"/>
      <c r="BL310" s="1002"/>
      <c r="BN310" s="1000"/>
      <c r="BO310" s="1001"/>
      <c r="BP310" s="1001"/>
      <c r="BQ310" s="1002"/>
      <c r="BS310" s="1000"/>
      <c r="BT310" s="1001"/>
      <c r="BU310" s="1001"/>
      <c r="BV310" s="1002"/>
      <c r="BX310" s="1000"/>
      <c r="BY310" s="1001"/>
      <c r="BZ310" s="1001"/>
      <c r="CA310" s="1002"/>
      <c r="CC310" s="1000"/>
      <c r="CD310" s="1001"/>
      <c r="CE310" s="1001"/>
      <c r="CF310" s="1002"/>
      <c r="CH310" s="1000"/>
      <c r="CI310" s="1001"/>
      <c r="CJ310" s="1001"/>
      <c r="CK310" s="1002"/>
      <c r="CM310" s="1000"/>
      <c r="CN310" s="1001"/>
      <c r="CO310" s="1001"/>
      <c r="CP310" s="1002"/>
      <c r="CQ310" s="1002"/>
    </row>
    <row r="311" spans="1:95" ht="13.5" customHeight="1">
      <c r="A311" s="115"/>
      <c r="B311" s="75" t="s">
        <v>901</v>
      </c>
      <c r="C311" s="75"/>
      <c r="O311" s="272">
        <f>O218</f>
        <v>382</v>
      </c>
      <c r="T311" s="272">
        <f>T218</f>
        <v>366</v>
      </c>
      <c r="Y311" s="272">
        <f>Y218</f>
        <v>441</v>
      </c>
      <c r="AD311" s="272">
        <f>AD218</f>
        <v>506</v>
      </c>
      <c r="AI311" s="272">
        <f>AI218</f>
        <v>605</v>
      </c>
      <c r="AJ311" s="1000"/>
      <c r="AK311" s="1001"/>
      <c r="AL311" s="1001"/>
      <c r="AM311" s="1002"/>
      <c r="AN311" s="272">
        <f>AN218</f>
        <v>661</v>
      </c>
      <c r="AO311" s="1000"/>
      <c r="AP311" s="1001"/>
      <c r="AQ311" s="1001"/>
      <c r="AR311" s="1002"/>
      <c r="AS311" s="272">
        <f>AS218</f>
        <v>658</v>
      </c>
      <c r="AT311" s="1000"/>
      <c r="AU311" s="1001"/>
      <c r="AV311" s="1001"/>
      <c r="AW311" s="1002"/>
      <c r="AX311" s="272">
        <f>AX218</f>
        <v>681</v>
      </c>
      <c r="AY311" s="1000"/>
      <c r="AZ311" s="1001"/>
      <c r="BA311" s="1001"/>
      <c r="BB311" s="1002"/>
      <c r="BC311" s="272">
        <f>BC218</f>
        <v>661</v>
      </c>
      <c r="BD311" s="1000"/>
      <c r="BE311" s="1001"/>
      <c r="BF311" s="1001"/>
      <c r="BG311" s="1002"/>
      <c r="BH311" s="272">
        <f>BH218</f>
        <v>684</v>
      </c>
      <c r="BI311" s="1000"/>
      <c r="BJ311" s="1001"/>
      <c r="BK311" s="1001"/>
      <c r="BL311" s="1002"/>
      <c r="BM311" s="272">
        <f>BM218</f>
        <v>627</v>
      </c>
      <c r="BN311" s="1000"/>
      <c r="BO311" s="1001"/>
      <c r="BP311" s="1001"/>
      <c r="BQ311" s="1002"/>
      <c r="BR311" s="272">
        <f>BR218</f>
        <v>547</v>
      </c>
      <c r="BS311" s="1000"/>
      <c r="BT311" s="1001"/>
      <c r="BU311" s="1001"/>
      <c r="BV311" s="1002"/>
      <c r="BW311" s="272">
        <f>BW218</f>
        <v>507</v>
      </c>
      <c r="BX311" s="1000"/>
      <c r="BY311" s="1001"/>
      <c r="BZ311" s="1001"/>
      <c r="CA311" s="1002"/>
      <c r="CB311" s="272">
        <f>CB218</f>
        <v>501</v>
      </c>
      <c r="CC311" s="1376"/>
      <c r="CD311" s="1377"/>
      <c r="CE311" s="1377"/>
      <c r="CF311" s="1378"/>
      <c r="CG311" s="272">
        <f>CG218</f>
        <v>495</v>
      </c>
      <c r="CH311" s="1376"/>
      <c r="CI311" s="1377"/>
      <c r="CJ311" s="1377"/>
      <c r="CK311" s="1378"/>
      <c r="CL311" s="272">
        <f>CL218</f>
        <v>495</v>
      </c>
      <c r="CM311" s="1376"/>
      <c r="CN311" s="1377"/>
      <c r="CO311" s="1377"/>
      <c r="CP311" s="1378"/>
      <c r="CQ311" s="1241">
        <f>CQ218</f>
        <v>495</v>
      </c>
    </row>
    <row r="312" spans="1:95" ht="13.5" customHeight="1">
      <c r="A312" s="115"/>
      <c r="B312" s="75"/>
      <c r="C312" s="75" t="s">
        <v>908</v>
      </c>
      <c r="O312" s="273">
        <f>AVERAGE(J303:O303)/O311</f>
        <v>27.795811518324609</v>
      </c>
      <c r="T312" s="273">
        <f>AVERAGE(O303:T303)/T311</f>
        <v>30.300546448087431</v>
      </c>
      <c r="Y312" s="273">
        <f>AVERAGE(T303:Y303)/Y311</f>
        <v>26.658730158730158</v>
      </c>
      <c r="AD312" s="273">
        <f>AVERAGE(Y303:AD303)/AD311</f>
        <v>26.665019762845851</v>
      </c>
      <c r="AI312" s="273">
        <f>AVERAGE(AD303:AI303)/AI311</f>
        <v>24.903305785123965</v>
      </c>
      <c r="AJ312" s="1000"/>
      <c r="AK312" s="1001"/>
      <c r="AL312" s="1001"/>
      <c r="AM312" s="1002"/>
      <c r="AN312" s="273">
        <f>AVERAGE(AI303:AN303)/AN311</f>
        <v>23.732980332829047</v>
      </c>
      <c r="AO312" s="1000"/>
      <c r="AP312" s="1001"/>
      <c r="AQ312" s="1001"/>
      <c r="AR312" s="1002"/>
      <c r="AS312" s="273">
        <f>AVERAGE(AN303:AS303)/AS311</f>
        <v>24.25531914893617</v>
      </c>
      <c r="AT312" s="1000"/>
      <c r="AU312" s="1001"/>
      <c r="AV312" s="1001"/>
      <c r="AW312" s="1002"/>
      <c r="AX312" s="273">
        <f>AVERAGE(AS303:AX303)/AX311</f>
        <v>23.834067547723937</v>
      </c>
      <c r="AY312" s="1000"/>
      <c r="AZ312" s="1001"/>
      <c r="BA312" s="1001"/>
      <c r="BB312" s="1002"/>
      <c r="BC312" s="273">
        <f>AVERAGE(AX303:BC303)/BC311</f>
        <v>25.323751891074131</v>
      </c>
      <c r="BD312" s="1000"/>
      <c r="BE312" s="1001"/>
      <c r="BF312" s="1001"/>
      <c r="BG312" s="1002"/>
      <c r="BH312" s="273">
        <f>AVERAGE(BC303:BH303)/BH311</f>
        <v>24.638157894736842</v>
      </c>
      <c r="BI312" s="1000"/>
      <c r="BJ312" s="1001"/>
      <c r="BK312" s="1001"/>
      <c r="BL312" s="1002"/>
      <c r="BM312" s="273">
        <f>AVERAGE(BH303:BM303)/BM311</f>
        <v>25.4688995215311</v>
      </c>
      <c r="BN312" s="1000"/>
      <c r="BO312" s="1001"/>
      <c r="BP312" s="1001"/>
      <c r="BQ312" s="1002"/>
      <c r="BR312" s="273">
        <f>AVERAGE(BM303:BR303)/BR311</f>
        <v>26.86654478976234</v>
      </c>
      <c r="BS312" s="1000"/>
      <c r="BT312" s="1001"/>
      <c r="BU312" s="1001"/>
      <c r="BV312" s="1002"/>
      <c r="BW312" s="273">
        <f>AVERAGE(BR303:BW303)/BW311</f>
        <v>28.056213017751478</v>
      </c>
      <c r="BX312" s="1000"/>
      <c r="BY312" s="1001"/>
      <c r="BZ312" s="1001"/>
      <c r="CA312" s="1002"/>
      <c r="CB312" s="273">
        <f>AVERAGE(BW303:CB303)/CB311</f>
        <v>28.545888223552893</v>
      </c>
      <c r="CC312" s="1000"/>
      <c r="CD312" s="1001"/>
      <c r="CE312" s="1001"/>
      <c r="CF312" s="1002"/>
      <c r="CG312" s="273">
        <f>AVERAGE(CB303:CG303)/CG311</f>
        <v>29.655374141414139</v>
      </c>
      <c r="CH312" s="1000"/>
      <c r="CI312" s="1001"/>
      <c r="CJ312" s="1001"/>
      <c r="CK312" s="1002"/>
      <c r="CL312" s="273">
        <f>AVERAGE(CG303:CL303)/CL311</f>
        <v>31.042064638383835</v>
      </c>
      <c r="CM312" s="1000"/>
      <c r="CN312" s="1001"/>
      <c r="CO312" s="1001"/>
      <c r="CP312" s="1002"/>
      <c r="CQ312" s="1246">
        <f>AVERAGE(CL303:CQ303)/CQ311</f>
        <v>32.697991022383839</v>
      </c>
    </row>
    <row r="313" spans="1:95" ht="13.5" customHeight="1">
      <c r="A313" s="1126"/>
      <c r="B313" s="1126"/>
      <c r="C313" s="1126"/>
      <c r="D313" s="1126"/>
      <c r="E313" s="1126"/>
      <c r="F313" s="1126"/>
      <c r="G313" s="1126"/>
      <c r="H313" s="1126"/>
      <c r="I313" s="1126"/>
      <c r="J313" s="1126"/>
      <c r="K313" s="1126"/>
      <c r="L313" s="1126"/>
      <c r="M313" s="1126"/>
      <c r="N313" s="1126"/>
      <c r="O313" s="1126"/>
      <c r="P313" s="1126"/>
      <c r="Q313" s="1126"/>
      <c r="R313" s="1126"/>
      <c r="S313" s="1126"/>
      <c r="T313" s="1126"/>
      <c r="U313" s="1126"/>
      <c r="V313" s="1126"/>
      <c r="W313" s="1126"/>
      <c r="X313" s="1126"/>
      <c r="Y313" s="1126"/>
      <c r="Z313" s="1126"/>
      <c r="AA313" s="1126"/>
      <c r="AB313" s="1126"/>
      <c r="AC313" s="1126"/>
      <c r="AD313" s="1126"/>
      <c r="AE313" s="1126"/>
      <c r="AF313" s="1126"/>
      <c r="AG313" s="1126"/>
      <c r="AH313" s="1126"/>
      <c r="AI313" s="1126"/>
      <c r="AJ313" s="1127"/>
      <c r="AK313" s="1126"/>
      <c r="AL313" s="1126"/>
      <c r="AM313" s="1128"/>
      <c r="AN313" s="1126"/>
      <c r="AO313" s="1127"/>
      <c r="AP313" s="1126"/>
      <c r="AQ313" s="1126"/>
      <c r="AR313" s="1128"/>
      <c r="AS313" s="1126"/>
      <c r="AT313" s="1127"/>
      <c r="AU313" s="1126"/>
      <c r="AV313" s="1126"/>
      <c r="AW313" s="1128"/>
      <c r="AX313" s="1126"/>
      <c r="AY313" s="1127"/>
      <c r="AZ313" s="1126"/>
      <c r="BA313" s="1126"/>
      <c r="BB313" s="1128"/>
      <c r="BC313" s="1126"/>
      <c r="BD313" s="1127"/>
      <c r="BE313" s="1126"/>
      <c r="BF313" s="1126"/>
      <c r="BG313" s="1128"/>
      <c r="BH313" s="1126"/>
      <c r="BI313" s="1127"/>
      <c r="BJ313" s="1126"/>
      <c r="BK313" s="1126"/>
      <c r="BL313" s="1128"/>
      <c r="BM313" s="1126"/>
      <c r="BN313" s="1127"/>
      <c r="BO313" s="1126"/>
      <c r="BP313" s="1126"/>
      <c r="BQ313" s="1128"/>
      <c r="BR313" s="1126"/>
      <c r="BS313" s="1127"/>
      <c r="BT313" s="1126"/>
      <c r="BU313" s="1126"/>
      <c r="BV313" s="1128"/>
      <c r="BW313" s="1126"/>
      <c r="BX313" s="1127"/>
      <c r="BY313" s="1126"/>
      <c r="BZ313" s="1126"/>
      <c r="CA313" s="1128"/>
      <c r="CB313" s="1126"/>
      <c r="CC313" s="1127"/>
      <c r="CD313" s="1126"/>
      <c r="CE313" s="1126"/>
      <c r="CF313" s="1128"/>
      <c r="CG313" s="1126"/>
      <c r="CH313" s="1127"/>
      <c r="CI313" s="1126"/>
      <c r="CJ313" s="1126"/>
      <c r="CK313" s="1128"/>
      <c r="CL313" s="1126"/>
      <c r="CM313" s="1127"/>
      <c r="CN313" s="1126"/>
      <c r="CO313" s="1126"/>
      <c r="CP313" s="1128"/>
      <c r="CQ313" s="1128"/>
    </row>
  </sheetData>
  <phoneticPr fontId="27" type="noConversion"/>
  <pageMargins left="0.5" right="0.25" top="0.5" bottom="0.5" header="0.5" footer="0.5"/>
  <pageSetup scale="13" orientation="landscape" horizontalDpi="300" verticalDpi="300" r:id="rId1"/>
  <headerFooter alignWithMargins="0"/>
  <rowBreaks count="2" manualBreakCount="2">
    <brk id="151" max="16383" man="1"/>
    <brk id="250"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AF127"/>
  <sheetViews>
    <sheetView showGridLines="0" zoomScaleNormal="100" workbookViewId="0">
      <pane xSplit="1" ySplit="4" topLeftCell="B65" activePane="bottomRight" state="frozen"/>
      <selection pane="topRight"/>
      <selection pane="bottomLeft"/>
      <selection pane="bottomRight"/>
    </sheetView>
  </sheetViews>
  <sheetFormatPr defaultRowHeight="12.75" outlineLevelCol="1"/>
  <cols>
    <col min="1" max="1" width="10.7109375" customWidth="1"/>
    <col min="2" max="2" width="10.7109375" hidden="1" customWidth="1" outlineLevel="1"/>
    <col min="3" max="3" width="7.7109375" customWidth="1" collapsed="1"/>
    <col min="4" max="8" width="7.7109375" customWidth="1"/>
    <col min="9" max="9" width="1.7109375" customWidth="1"/>
    <col min="10" max="15" width="7.7109375" customWidth="1"/>
    <col min="16" max="23" width="2.7109375" customWidth="1"/>
    <col min="24" max="24" width="13.7109375" customWidth="1"/>
    <col min="25" max="25" width="10.42578125" bestFit="1" customWidth="1"/>
  </cols>
  <sheetData>
    <row r="1" spans="1:31">
      <c r="A1" s="81"/>
      <c r="B1" s="81"/>
      <c r="C1" s="81"/>
      <c r="D1" s="81"/>
      <c r="E1" s="126"/>
      <c r="F1" s="126"/>
      <c r="G1" s="126"/>
      <c r="H1" s="126"/>
      <c r="I1" s="126"/>
      <c r="J1" s="126"/>
      <c r="K1" s="126"/>
      <c r="L1" s="126"/>
      <c r="M1" s="126"/>
      <c r="N1" s="126"/>
      <c r="O1" s="126"/>
      <c r="P1" s="75"/>
      <c r="Q1" s="75"/>
      <c r="R1" s="75"/>
      <c r="S1" s="75"/>
      <c r="T1" s="75"/>
      <c r="U1" s="75"/>
      <c r="V1" s="75"/>
      <c r="W1" s="75"/>
      <c r="X1" s="75"/>
      <c r="Y1" s="75"/>
      <c r="Z1" s="75"/>
      <c r="AA1" s="75"/>
      <c r="AB1" s="75"/>
      <c r="AC1" s="75"/>
      <c r="AD1" s="75"/>
      <c r="AE1" s="75"/>
    </row>
    <row r="2" spans="1:31">
      <c r="A2" s="81"/>
      <c r="B2" s="81"/>
      <c r="C2" s="81"/>
      <c r="D2" s="81"/>
      <c r="E2" s="126">
        <f>0.53*L67+0.35*L66+0.06*L63</f>
        <v>1301.3239333333333</v>
      </c>
      <c r="F2" s="126"/>
      <c r="G2" s="126"/>
      <c r="H2" s="126"/>
      <c r="I2" s="126"/>
      <c r="J2" s="126"/>
      <c r="K2" s="126"/>
      <c r="L2" s="126"/>
      <c r="M2" s="126"/>
      <c r="N2" s="126"/>
      <c r="O2" s="126"/>
      <c r="P2" s="75"/>
      <c r="Q2" s="75"/>
      <c r="R2" s="75"/>
      <c r="S2" s="75"/>
      <c r="T2" s="75"/>
      <c r="U2" s="75"/>
      <c r="V2" s="75"/>
      <c r="W2" s="75"/>
      <c r="X2" s="75"/>
      <c r="Y2" s="75"/>
      <c r="Z2" s="75"/>
      <c r="AA2" s="75"/>
      <c r="AB2" s="75"/>
      <c r="AC2" s="75"/>
      <c r="AD2" s="75"/>
      <c r="AE2" s="75"/>
    </row>
    <row r="3" spans="1:31">
      <c r="A3" s="809"/>
      <c r="B3" s="809"/>
      <c r="C3" s="808" t="s">
        <v>23</v>
      </c>
      <c r="D3" s="808"/>
      <c r="E3" s="808"/>
      <c r="F3" s="808"/>
      <c r="G3" s="808"/>
      <c r="H3" s="808"/>
      <c r="I3" s="816"/>
      <c r="J3" s="808" t="s">
        <v>24</v>
      </c>
      <c r="K3" s="808"/>
      <c r="L3" s="808"/>
      <c r="M3" s="808"/>
      <c r="N3" s="808"/>
      <c r="O3" s="808"/>
      <c r="P3" s="75"/>
      <c r="Q3" s="75"/>
      <c r="R3" s="75"/>
      <c r="S3" s="75"/>
      <c r="T3" s="75"/>
      <c r="U3" s="75"/>
      <c r="V3" s="75"/>
      <c r="W3" s="75"/>
      <c r="X3" s="75"/>
      <c r="Y3" s="75"/>
      <c r="Z3" s="75"/>
      <c r="AA3" s="75"/>
      <c r="AB3" s="75"/>
      <c r="AC3" s="75"/>
      <c r="AD3" s="75"/>
      <c r="AE3" s="75"/>
    </row>
    <row r="4" spans="1:31">
      <c r="A4" s="809"/>
      <c r="B4" s="809"/>
      <c r="C4" s="817" t="s">
        <v>25</v>
      </c>
      <c r="D4" s="817"/>
      <c r="E4" s="817" t="s">
        <v>583</v>
      </c>
      <c r="F4" s="817"/>
      <c r="G4" s="817" t="s">
        <v>585</v>
      </c>
      <c r="H4" s="817"/>
      <c r="I4" s="816"/>
      <c r="J4" s="817" t="s">
        <v>25</v>
      </c>
      <c r="K4" s="817"/>
      <c r="L4" s="817" t="s">
        <v>583</v>
      </c>
      <c r="M4" s="817"/>
      <c r="N4" s="817" t="s">
        <v>585</v>
      </c>
      <c r="O4" s="817"/>
      <c r="P4" s="75"/>
      <c r="Q4" s="75"/>
      <c r="R4" s="75"/>
      <c r="S4" s="75"/>
      <c r="T4" s="75"/>
      <c r="U4" s="75"/>
      <c r="V4" s="75"/>
      <c r="W4" s="75"/>
      <c r="X4" s="75"/>
      <c r="Y4" s="75"/>
      <c r="Z4" s="75"/>
      <c r="AA4" s="75"/>
      <c r="AB4" s="75"/>
      <c r="AC4" s="75"/>
      <c r="AD4" s="75"/>
      <c r="AE4" s="75"/>
    </row>
    <row r="5" spans="1:31">
      <c r="A5" s="310"/>
      <c r="B5" s="310"/>
      <c r="C5" s="126"/>
      <c r="D5" s="126"/>
      <c r="E5" s="126"/>
      <c r="F5" s="126"/>
      <c r="G5" s="126"/>
      <c r="H5" s="126"/>
      <c r="I5" s="126"/>
      <c r="J5" s="126"/>
      <c r="K5" s="278"/>
      <c r="L5" s="126"/>
      <c r="M5" s="278"/>
      <c r="N5" s="126"/>
      <c r="O5" s="278"/>
      <c r="P5" s="75"/>
      <c r="Q5" s="75"/>
      <c r="R5" s="75"/>
      <c r="S5" s="75"/>
      <c r="T5" s="75"/>
      <c r="U5" s="75"/>
      <c r="V5" s="75"/>
      <c r="W5" s="75"/>
      <c r="X5" s="75"/>
      <c r="Y5" s="75"/>
      <c r="Z5" s="75"/>
      <c r="AA5" s="75"/>
      <c r="AB5" s="75"/>
      <c r="AC5" s="75"/>
      <c r="AD5" s="75"/>
      <c r="AE5" s="75"/>
    </row>
    <row r="6" spans="1:31">
      <c r="A6" s="310" t="s">
        <v>26</v>
      </c>
      <c r="B6" s="310"/>
      <c r="C6" s="126"/>
      <c r="D6" s="126"/>
      <c r="E6" s="126"/>
      <c r="F6" s="126"/>
      <c r="G6" s="126"/>
      <c r="H6" s="126"/>
      <c r="I6" s="126"/>
      <c r="J6" s="126"/>
      <c r="K6" s="278"/>
      <c r="L6" s="126">
        <v>927.33333333333337</v>
      </c>
      <c r="M6" s="278"/>
      <c r="N6" s="126">
        <v>228.00554240680898</v>
      </c>
      <c r="O6" s="278"/>
      <c r="P6" s="75"/>
      <c r="Q6" s="75"/>
      <c r="R6" s="75"/>
      <c r="S6" s="75"/>
      <c r="T6" s="75"/>
      <c r="U6" s="75"/>
      <c r="V6" s="75"/>
      <c r="W6" s="75"/>
      <c r="X6" s="75"/>
      <c r="Y6" s="75"/>
      <c r="Z6" s="75"/>
      <c r="AA6" s="75"/>
      <c r="AB6" s="75"/>
      <c r="AC6" s="75"/>
      <c r="AD6" s="75"/>
      <c r="AE6" s="75"/>
    </row>
    <row r="7" spans="1:31">
      <c r="A7" s="310" t="s">
        <v>27</v>
      </c>
      <c r="B7" s="310"/>
      <c r="C7" s="126"/>
      <c r="D7" s="126"/>
      <c r="E7" s="126"/>
      <c r="F7" s="126"/>
      <c r="G7" s="126"/>
      <c r="H7" s="126"/>
      <c r="I7" s="126"/>
      <c r="J7" s="126"/>
      <c r="K7" s="278"/>
      <c r="L7" s="126">
        <v>911.33333333333337</v>
      </c>
      <c r="M7" s="278">
        <f t="shared" ref="M7:M38" si="0">L7/L6-1</f>
        <v>-1.7253774263120025E-2</v>
      </c>
      <c r="N7" s="126">
        <v>250.24045488355682</v>
      </c>
      <c r="O7" s="278">
        <f t="shared" ref="O7:O38" si="1">N7/N6-1</f>
        <v>9.7519175376343137E-2</v>
      </c>
      <c r="P7" s="75"/>
      <c r="Q7" s="75"/>
      <c r="R7" s="75"/>
      <c r="S7" s="75"/>
      <c r="T7" s="75"/>
      <c r="U7" s="75"/>
      <c r="V7" s="75"/>
      <c r="W7" s="75"/>
      <c r="X7" s="75"/>
      <c r="Y7" s="75"/>
      <c r="Z7" s="75"/>
      <c r="AA7" s="75"/>
      <c r="AB7" s="75"/>
      <c r="AC7" s="75"/>
      <c r="AD7" s="75"/>
      <c r="AE7" s="75"/>
    </row>
    <row r="8" spans="1:31">
      <c r="A8" s="310" t="s">
        <v>28</v>
      </c>
      <c r="B8" s="310"/>
      <c r="C8" s="126"/>
      <c r="D8" s="126"/>
      <c r="E8" s="126"/>
      <c r="F8" s="126"/>
      <c r="G8" s="126"/>
      <c r="H8" s="126"/>
      <c r="I8" s="126"/>
      <c r="J8" s="126"/>
      <c r="K8" s="278"/>
      <c r="L8" s="126">
        <v>887.66666666666663</v>
      </c>
      <c r="M8" s="278">
        <f t="shared" si="0"/>
        <v>-2.5969275786393631E-2</v>
      </c>
      <c r="N8" s="126">
        <v>284.31720144825783</v>
      </c>
      <c r="O8" s="278">
        <f t="shared" si="1"/>
        <v>0.13617600951276154</v>
      </c>
      <c r="P8" s="75"/>
      <c r="Q8" s="75"/>
      <c r="R8" s="75"/>
      <c r="S8" s="75"/>
      <c r="T8" s="75"/>
      <c r="U8" s="75"/>
      <c r="V8" s="75"/>
      <c r="W8" s="75"/>
      <c r="X8" s="75"/>
      <c r="Y8" s="75"/>
      <c r="Z8" s="75"/>
      <c r="AA8" s="75"/>
      <c r="AB8" s="75"/>
      <c r="AC8" s="75"/>
      <c r="AD8" s="75"/>
      <c r="AE8" s="75"/>
    </row>
    <row r="9" spans="1:31">
      <c r="A9" s="310" t="s">
        <v>29</v>
      </c>
      <c r="B9" s="310"/>
      <c r="C9" s="126">
        <v>421</v>
      </c>
      <c r="D9" s="126"/>
      <c r="E9" s="126">
        <v>638</v>
      </c>
      <c r="F9" s="126"/>
      <c r="G9" s="126">
        <v>341</v>
      </c>
      <c r="H9" s="126"/>
      <c r="I9" s="126"/>
      <c r="J9" s="126"/>
      <c r="K9" s="278"/>
      <c r="L9" s="126">
        <v>877.33333333333337</v>
      </c>
      <c r="M9" s="278">
        <f t="shared" si="0"/>
        <v>-1.164100638377763E-2</v>
      </c>
      <c r="N9" s="126">
        <v>313.0032492431688</v>
      </c>
      <c r="O9" s="278">
        <f t="shared" si="1"/>
        <v>0.10089452079856476</v>
      </c>
      <c r="P9" s="75"/>
      <c r="Q9" s="75"/>
      <c r="R9" s="75"/>
      <c r="S9" s="75"/>
      <c r="T9" s="75"/>
      <c r="U9" s="75"/>
      <c r="V9" s="75"/>
      <c r="W9" s="75"/>
      <c r="X9" s="75"/>
      <c r="Y9" s="75"/>
      <c r="Z9" s="75"/>
      <c r="AA9" s="75"/>
      <c r="AB9" s="75"/>
      <c r="AC9" s="75"/>
      <c r="AD9" s="75"/>
      <c r="AE9" s="75"/>
    </row>
    <row r="10" spans="1:31">
      <c r="A10" s="310" t="s">
        <v>30</v>
      </c>
      <c r="B10" s="310"/>
      <c r="C10" s="126">
        <v>420</v>
      </c>
      <c r="D10" s="127">
        <f t="shared" ref="D10:D61" si="2">C10/C9-1</f>
        <v>-2.3752969121140222E-3</v>
      </c>
      <c r="E10" s="126">
        <v>644</v>
      </c>
      <c r="F10" s="127">
        <f t="shared" ref="F10:F61" si="3">E10/E9-1</f>
        <v>9.4043887147334804E-3</v>
      </c>
      <c r="G10" s="126">
        <v>369</v>
      </c>
      <c r="H10" s="127">
        <f t="shared" ref="H10:H61" si="4">G10/G9-1</f>
        <v>8.2111436950146555E-2</v>
      </c>
      <c r="I10" s="126"/>
      <c r="J10" s="126"/>
      <c r="K10" s="278"/>
      <c r="L10" s="126">
        <v>882.66666666666663</v>
      </c>
      <c r="M10" s="278">
        <f t="shared" si="0"/>
        <v>6.0790273556230456E-3</v>
      </c>
      <c r="N10" s="126">
        <v>321.82662234945769</v>
      </c>
      <c r="O10" s="278">
        <f t="shared" si="1"/>
        <v>2.8189397802174554E-2</v>
      </c>
      <c r="P10" s="75"/>
      <c r="Q10" s="75"/>
      <c r="R10" s="75"/>
      <c r="S10" s="75"/>
      <c r="T10" s="75"/>
      <c r="U10" s="75"/>
      <c r="V10" s="75"/>
      <c r="W10" s="75"/>
      <c r="X10" s="75"/>
      <c r="Y10" s="75"/>
      <c r="Z10" s="75"/>
      <c r="AA10" s="75"/>
      <c r="AB10" s="75"/>
      <c r="AC10" s="75"/>
      <c r="AD10" s="75"/>
      <c r="AE10" s="75"/>
    </row>
    <row r="11" spans="1:31">
      <c r="A11" s="310" t="s">
        <v>31</v>
      </c>
      <c r="B11" s="310"/>
      <c r="C11" s="126">
        <v>424</v>
      </c>
      <c r="D11" s="127">
        <f t="shared" si="2"/>
        <v>9.52380952380949E-3</v>
      </c>
      <c r="E11" s="126">
        <v>625</v>
      </c>
      <c r="F11" s="127">
        <f t="shared" si="3"/>
        <v>-2.9503105590062084E-2</v>
      </c>
      <c r="G11" s="126">
        <v>359</v>
      </c>
      <c r="H11" s="127">
        <f t="shared" si="4"/>
        <v>-2.7100271002710064E-2</v>
      </c>
      <c r="I11" s="126"/>
      <c r="J11" s="126"/>
      <c r="K11" s="278"/>
      <c r="L11" s="126">
        <v>882.66666666666663</v>
      </c>
      <c r="M11" s="278">
        <f t="shared" si="0"/>
        <v>0</v>
      </c>
      <c r="N11" s="126">
        <v>306.40956710094605</v>
      </c>
      <c r="O11" s="278">
        <f t="shared" si="1"/>
        <v>-4.7904847448484E-2</v>
      </c>
      <c r="P11" s="75"/>
      <c r="Q11" s="75"/>
      <c r="R11" s="75"/>
      <c r="S11" s="75"/>
      <c r="T11" s="75"/>
      <c r="U11" s="75"/>
      <c r="V11" s="75"/>
      <c r="W11" s="75"/>
      <c r="X11" s="75"/>
      <c r="Y11" s="75"/>
      <c r="Z11" s="75"/>
      <c r="AA11" s="75"/>
      <c r="AB11" s="75"/>
      <c r="AC11" s="75"/>
      <c r="AD11" s="75"/>
      <c r="AE11" s="75"/>
    </row>
    <row r="12" spans="1:31">
      <c r="A12" s="310" t="s">
        <v>32</v>
      </c>
      <c r="B12" s="310"/>
      <c r="C12" s="126">
        <v>423</v>
      </c>
      <c r="D12" s="127">
        <f t="shared" si="2"/>
        <v>-2.3584905660377631E-3</v>
      </c>
      <c r="E12" s="126">
        <v>615.26923076923072</v>
      </c>
      <c r="F12" s="127">
        <f t="shared" si="3"/>
        <v>-1.5569230769230891E-2</v>
      </c>
      <c r="G12" s="126">
        <v>362.17624223602485</v>
      </c>
      <c r="H12" s="127">
        <f t="shared" si="4"/>
        <v>8.8474714095398976E-3</v>
      </c>
      <c r="I12" s="126"/>
      <c r="J12" s="126"/>
      <c r="K12" s="278"/>
      <c r="L12" s="126">
        <v>888</v>
      </c>
      <c r="M12" s="278">
        <f t="shared" si="0"/>
        <v>6.0422960725075026E-3</v>
      </c>
      <c r="N12" s="126">
        <v>327.6319740673643</v>
      </c>
      <c r="O12" s="278">
        <f t="shared" si="1"/>
        <v>6.9261567669741009E-2</v>
      </c>
      <c r="P12" s="75"/>
      <c r="Q12" s="75"/>
      <c r="R12" s="75"/>
      <c r="S12" s="75"/>
      <c r="T12" s="75"/>
      <c r="U12" s="75"/>
      <c r="V12" s="75"/>
      <c r="W12" s="75"/>
      <c r="X12" s="75"/>
      <c r="Y12" s="75"/>
      <c r="Z12" s="75"/>
      <c r="AA12" s="75"/>
      <c r="AB12" s="75"/>
      <c r="AC12" s="75"/>
      <c r="AD12" s="75"/>
      <c r="AE12" s="75"/>
    </row>
    <row r="13" spans="1:31">
      <c r="A13" s="310" t="s">
        <v>33</v>
      </c>
      <c r="B13" s="310"/>
      <c r="C13" s="126">
        <v>475</v>
      </c>
      <c r="D13" s="127">
        <f t="shared" si="2"/>
        <v>0.12293144208037821</v>
      </c>
      <c r="E13" s="126">
        <v>672</v>
      </c>
      <c r="F13" s="127">
        <f t="shared" si="3"/>
        <v>9.2204788397824755E-2</v>
      </c>
      <c r="G13" s="126">
        <v>420</v>
      </c>
      <c r="H13" s="127">
        <f t="shared" si="4"/>
        <v>0.15965640762900257</v>
      </c>
      <c r="I13" s="126"/>
      <c r="J13" s="126">
        <f>Operations!$K$44</f>
        <v>525.8085983499293</v>
      </c>
      <c r="K13" s="278"/>
      <c r="L13" s="126">
        <v>929.33333333333337</v>
      </c>
      <c r="M13" s="278">
        <f t="shared" si="0"/>
        <v>4.6546546546546663E-2</v>
      </c>
      <c r="N13" s="126">
        <v>389.69870137293191</v>
      </c>
      <c r="O13" s="278">
        <f t="shared" si="1"/>
        <v>0.18944038499980498</v>
      </c>
      <c r="P13" s="75"/>
      <c r="Q13" s="75"/>
      <c r="R13" s="75"/>
      <c r="S13" s="75"/>
      <c r="T13" s="75"/>
      <c r="U13" s="75"/>
      <c r="V13" s="75"/>
      <c r="W13" s="75"/>
      <c r="X13" s="75"/>
      <c r="Y13" s="75"/>
      <c r="Z13" s="75"/>
      <c r="AA13" s="75"/>
      <c r="AB13" s="75"/>
      <c r="AC13" s="75"/>
      <c r="AD13" s="75"/>
      <c r="AE13" s="75"/>
    </row>
    <row r="14" spans="1:31">
      <c r="A14" s="310" t="s">
        <v>34</v>
      </c>
      <c r="B14" s="310"/>
      <c r="C14" s="126">
        <v>583</v>
      </c>
      <c r="D14" s="127">
        <f t="shared" si="2"/>
        <v>0.22736842105263166</v>
      </c>
      <c r="E14" s="126">
        <v>779</v>
      </c>
      <c r="F14" s="127">
        <f t="shared" si="3"/>
        <v>0.15922619047619047</v>
      </c>
      <c r="G14" s="126">
        <v>491</v>
      </c>
      <c r="H14" s="127">
        <f t="shared" si="4"/>
        <v>0.16904761904761911</v>
      </c>
      <c r="I14" s="126"/>
      <c r="J14" s="126">
        <f>Operations!$L$44</f>
        <v>686.86747968505688</v>
      </c>
      <c r="K14" s="278">
        <f t="shared" ref="K14:K41" si="5">J14/J13-1</f>
        <v>0.30630705135016023</v>
      </c>
      <c r="L14" s="126">
        <v>1297.3333333333333</v>
      </c>
      <c r="M14" s="278">
        <f t="shared" si="0"/>
        <v>0.39598278335724513</v>
      </c>
      <c r="N14" s="126">
        <v>474.88933466493035</v>
      </c>
      <c r="O14" s="278">
        <f t="shared" si="1"/>
        <v>0.2186064079553427</v>
      </c>
      <c r="P14" s="75"/>
      <c r="Q14" s="75"/>
      <c r="R14" s="75"/>
      <c r="S14" s="75"/>
      <c r="T14" s="75"/>
      <c r="U14" s="75"/>
      <c r="V14" s="75"/>
      <c r="W14" s="75"/>
      <c r="X14" s="75"/>
      <c r="Y14" s="75"/>
      <c r="Z14" s="75"/>
      <c r="AA14" s="75"/>
      <c r="AB14" s="75"/>
      <c r="AC14" s="75"/>
      <c r="AD14" s="75"/>
      <c r="AE14" s="75"/>
    </row>
    <row r="15" spans="1:31">
      <c r="A15" s="310" t="s">
        <v>35</v>
      </c>
      <c r="B15" s="310"/>
      <c r="C15" s="126">
        <v>627</v>
      </c>
      <c r="D15" s="127">
        <f t="shared" si="2"/>
        <v>7.547169811320753E-2</v>
      </c>
      <c r="E15" s="126">
        <v>907</v>
      </c>
      <c r="F15" s="127">
        <f t="shared" si="3"/>
        <v>0.16431322207958932</v>
      </c>
      <c r="G15" s="126">
        <v>573</v>
      </c>
      <c r="H15" s="127">
        <f t="shared" si="4"/>
        <v>0.16700610997963339</v>
      </c>
      <c r="I15" s="126"/>
      <c r="J15" s="126">
        <f>Operations!$M$44</f>
        <v>795.83360987714116</v>
      </c>
      <c r="K15" s="278">
        <f t="shared" si="5"/>
        <v>0.15864214483126715</v>
      </c>
      <c r="L15" s="126">
        <v>1454.6666666666667</v>
      </c>
      <c r="M15" s="278">
        <f t="shared" si="0"/>
        <v>0.12127440904419329</v>
      </c>
      <c r="N15" s="126">
        <v>531.44783969156367</v>
      </c>
      <c r="O15" s="278">
        <f t="shared" si="1"/>
        <v>0.1190982843751156</v>
      </c>
      <c r="P15" s="75"/>
      <c r="Q15" s="75"/>
      <c r="R15" s="75"/>
      <c r="S15" s="75"/>
      <c r="T15" s="75"/>
      <c r="U15" s="75"/>
      <c r="V15" s="75"/>
      <c r="W15" s="75"/>
      <c r="X15" s="75"/>
      <c r="Y15" s="75"/>
      <c r="Z15" s="75"/>
      <c r="AA15" s="75"/>
      <c r="AB15" s="75"/>
      <c r="AC15" s="75"/>
      <c r="AD15" s="75"/>
      <c r="AE15" s="75"/>
    </row>
    <row r="16" spans="1:31">
      <c r="A16" s="310" t="s">
        <v>36</v>
      </c>
      <c r="B16" s="310"/>
      <c r="C16" s="126">
        <v>621.40218841740057</v>
      </c>
      <c r="D16" s="127">
        <f t="shared" si="2"/>
        <v>-8.927929158850767E-3</v>
      </c>
      <c r="E16" s="126">
        <v>1083.5052631578947</v>
      </c>
      <c r="F16" s="127">
        <f t="shared" si="3"/>
        <v>0.19460337724133914</v>
      </c>
      <c r="G16" s="126">
        <v>618.48997772828511</v>
      </c>
      <c r="H16" s="127">
        <f t="shared" si="4"/>
        <v>7.9389140887059506E-2</v>
      </c>
      <c r="I16" s="126"/>
      <c r="J16" s="126">
        <f>Operations!$N$44</f>
        <v>747.08844860756369</v>
      </c>
      <c r="K16" s="278">
        <f t="shared" si="5"/>
        <v>-6.1250443138613608E-2</v>
      </c>
      <c r="L16" s="126">
        <v>1480.3333333333333</v>
      </c>
      <c r="M16" s="278">
        <f t="shared" si="0"/>
        <v>1.764436296975247E-2</v>
      </c>
      <c r="N16" s="126">
        <v>603.82081586391769</v>
      </c>
      <c r="O16" s="278">
        <f t="shared" si="1"/>
        <v>0.13618077027908715</v>
      </c>
      <c r="P16" s="75"/>
      <c r="Q16" s="75"/>
      <c r="R16" s="75"/>
      <c r="S16" s="75"/>
      <c r="T16" s="75"/>
      <c r="U16" s="75"/>
      <c r="V16" s="75"/>
      <c r="W16" s="75"/>
      <c r="X16" s="75"/>
      <c r="Y16" s="75"/>
      <c r="Z16" s="75"/>
      <c r="AA16" s="75"/>
      <c r="AB16" s="75"/>
      <c r="AC16" s="75"/>
      <c r="AD16" s="75"/>
      <c r="AE16" s="75"/>
    </row>
    <row r="17" spans="1:31">
      <c r="A17" s="310" t="s">
        <v>37</v>
      </c>
      <c r="B17" s="310"/>
      <c r="C17" s="126">
        <v>650</v>
      </c>
      <c r="D17" s="127">
        <f t="shared" si="2"/>
        <v>4.6021420773288302E-2</v>
      </c>
      <c r="E17" s="126">
        <v>1165</v>
      </c>
      <c r="F17" s="127">
        <f t="shared" si="3"/>
        <v>7.5213974138517381E-2</v>
      </c>
      <c r="G17" s="126">
        <v>684</v>
      </c>
      <c r="H17" s="127">
        <f t="shared" si="4"/>
        <v>0.10591929478361695</v>
      </c>
      <c r="I17" s="126"/>
      <c r="J17" s="126">
        <f>Operations!$O$44</f>
        <v>688.8995341299227</v>
      </c>
      <c r="K17" s="278">
        <f t="shared" si="5"/>
        <v>-7.7887584242661623E-2</v>
      </c>
      <c r="L17" s="126">
        <v>1527</v>
      </c>
      <c r="M17" s="278">
        <f t="shared" si="0"/>
        <v>3.1524431434361677E-2</v>
      </c>
      <c r="N17" s="126">
        <v>617.4398309626223</v>
      </c>
      <c r="O17" s="278">
        <f t="shared" si="1"/>
        <v>2.2554729384774763E-2</v>
      </c>
      <c r="P17" s="75"/>
      <c r="Q17" s="75"/>
      <c r="R17" s="75"/>
      <c r="S17" s="75"/>
      <c r="T17" s="75"/>
      <c r="U17" s="75"/>
      <c r="V17" s="75"/>
      <c r="W17" s="75"/>
      <c r="X17" s="75"/>
      <c r="Y17" s="75"/>
      <c r="Z17" s="75"/>
      <c r="AA17" s="75"/>
      <c r="AB17" s="75"/>
      <c r="AC17" s="75"/>
      <c r="AD17" s="75"/>
      <c r="AE17" s="75"/>
    </row>
    <row r="18" spans="1:31">
      <c r="A18" s="310" t="s">
        <v>38</v>
      </c>
      <c r="B18" s="310"/>
      <c r="C18" s="126">
        <v>633</v>
      </c>
      <c r="D18" s="127">
        <f t="shared" si="2"/>
        <v>-2.6153846153846194E-2</v>
      </c>
      <c r="E18" s="126">
        <v>1302</v>
      </c>
      <c r="F18" s="127">
        <f t="shared" si="3"/>
        <v>0.11759656652360517</v>
      </c>
      <c r="G18" s="126">
        <v>643</v>
      </c>
      <c r="H18" s="127">
        <f t="shared" si="4"/>
        <v>-5.9941520467836296E-2</v>
      </c>
      <c r="I18" s="126"/>
      <c r="J18" s="126">
        <f>Operations!$P$44</f>
        <v>713.70938713447094</v>
      </c>
      <c r="K18" s="278">
        <f t="shared" si="5"/>
        <v>3.6013746236427613E-2</v>
      </c>
      <c r="L18" s="126">
        <v>1569.6666666666667</v>
      </c>
      <c r="M18" s="278">
        <f t="shared" si="0"/>
        <v>2.794149748963104E-2</v>
      </c>
      <c r="N18" s="126">
        <v>543.1176374010148</v>
      </c>
      <c r="O18" s="278">
        <f t="shared" si="1"/>
        <v>-0.12037155660290844</v>
      </c>
      <c r="P18" s="75"/>
      <c r="Q18" s="75"/>
      <c r="R18" s="75"/>
      <c r="S18" s="75"/>
      <c r="T18" s="75"/>
      <c r="U18" s="75"/>
      <c r="V18" s="75"/>
      <c r="W18" s="75"/>
      <c r="X18" s="75"/>
      <c r="Y18" s="75"/>
      <c r="Z18" s="75"/>
      <c r="AA18" s="75"/>
      <c r="AB18" s="75"/>
      <c r="AC18" s="75"/>
      <c r="AD18" s="75"/>
      <c r="AE18" s="75"/>
    </row>
    <row r="19" spans="1:31">
      <c r="A19" s="310" t="s">
        <v>39</v>
      </c>
      <c r="B19" s="310"/>
      <c r="C19" s="126">
        <v>586</v>
      </c>
      <c r="D19" s="127">
        <f t="shared" si="2"/>
        <v>-7.4249605055292212E-2</v>
      </c>
      <c r="E19" s="126">
        <v>1393</v>
      </c>
      <c r="F19" s="127">
        <f t="shared" si="3"/>
        <v>6.9892473118279508E-2</v>
      </c>
      <c r="G19" s="126">
        <v>562</v>
      </c>
      <c r="H19" s="127">
        <f t="shared" si="4"/>
        <v>-0.12597200622083982</v>
      </c>
      <c r="I19" s="126"/>
      <c r="J19" s="126">
        <f>Operations!$Q$44</f>
        <v>616.89806756250346</v>
      </c>
      <c r="K19" s="278">
        <f t="shared" si="5"/>
        <v>-0.13564529389288693</v>
      </c>
      <c r="L19" s="126">
        <v>1556</v>
      </c>
      <c r="M19" s="278">
        <f t="shared" si="0"/>
        <v>-8.7067317901889929E-3</v>
      </c>
      <c r="N19" s="126">
        <v>438.69405422753294</v>
      </c>
      <c r="O19" s="278">
        <f t="shared" si="1"/>
        <v>-0.19226697124619418</v>
      </c>
      <c r="P19" s="75"/>
      <c r="Q19" s="75"/>
      <c r="R19" s="75"/>
      <c r="S19" s="75"/>
      <c r="T19" s="75"/>
      <c r="U19" s="75"/>
      <c r="V19" s="75"/>
      <c r="W19" s="75"/>
      <c r="X19" s="75"/>
      <c r="Y19" s="75"/>
      <c r="Z19" s="75"/>
      <c r="AA19" s="75"/>
      <c r="AB19" s="75"/>
      <c r="AC19" s="75"/>
      <c r="AD19" s="75"/>
      <c r="AE19" s="75"/>
    </row>
    <row r="20" spans="1:31">
      <c r="A20" s="310" t="s">
        <v>40</v>
      </c>
      <c r="B20" s="310"/>
      <c r="C20" s="126">
        <v>597</v>
      </c>
      <c r="D20" s="127">
        <f t="shared" si="2"/>
        <v>1.8771331058020424E-2</v>
      </c>
      <c r="E20" s="126">
        <v>1456.9006849315069</v>
      </c>
      <c r="F20" s="127">
        <f t="shared" si="3"/>
        <v>4.5872709929294375E-2</v>
      </c>
      <c r="G20" s="126">
        <v>550</v>
      </c>
      <c r="H20" s="127">
        <f t="shared" si="4"/>
        <v>-2.1352313167259829E-2</v>
      </c>
      <c r="I20" s="126"/>
      <c r="J20" s="126">
        <f>Operations!$S$44</f>
        <v>639.02709989540153</v>
      </c>
      <c r="K20" s="278">
        <f t="shared" si="5"/>
        <v>3.5871456722720296E-2</v>
      </c>
      <c r="L20" s="126">
        <v>1553.6666666666667</v>
      </c>
      <c r="M20" s="278">
        <f t="shared" si="0"/>
        <v>-1.4995715509853458E-3</v>
      </c>
      <c r="N20" s="126">
        <v>435.04539142766788</v>
      </c>
      <c r="O20" s="278">
        <f t="shared" si="1"/>
        <v>-8.3171010974602E-3</v>
      </c>
      <c r="P20" s="75"/>
      <c r="Q20" s="75"/>
      <c r="R20" s="75"/>
      <c r="S20" s="75"/>
      <c r="T20" s="75"/>
      <c r="U20" s="75"/>
      <c r="V20" s="75"/>
      <c r="W20" s="75"/>
      <c r="X20" s="75"/>
      <c r="Y20" s="75"/>
      <c r="Z20" s="75"/>
      <c r="AA20" s="75"/>
      <c r="AB20" s="75"/>
      <c r="AC20" s="75"/>
      <c r="AD20" s="75"/>
      <c r="AE20" s="75"/>
    </row>
    <row r="21" spans="1:31">
      <c r="A21" s="310" t="s">
        <v>41</v>
      </c>
      <c r="B21" s="310"/>
      <c r="C21" s="126">
        <v>616</v>
      </c>
      <c r="D21" s="127">
        <f t="shared" si="2"/>
        <v>3.1825795644891075E-2</v>
      </c>
      <c r="E21" s="126">
        <v>1506</v>
      </c>
      <c r="F21" s="127">
        <f t="shared" si="3"/>
        <v>3.3701209407284605E-2</v>
      </c>
      <c r="G21" s="126">
        <v>544</v>
      </c>
      <c r="H21" s="127">
        <f t="shared" si="4"/>
        <v>-1.0909090909090868E-2</v>
      </c>
      <c r="I21" s="126"/>
      <c r="J21" s="126">
        <f>Operations!$U$44</f>
        <v>642.33629930767063</v>
      </c>
      <c r="K21" s="278">
        <f t="shared" si="5"/>
        <v>5.1784962058898376E-3</v>
      </c>
      <c r="L21" s="126">
        <v>1569.3333333333333</v>
      </c>
      <c r="M21" s="278">
        <f t="shared" si="0"/>
        <v>1.0083673031538121E-2</v>
      </c>
      <c r="N21" s="126">
        <v>451.02378842388742</v>
      </c>
      <c r="O21" s="278">
        <f t="shared" si="1"/>
        <v>3.6728114608418183E-2</v>
      </c>
      <c r="P21" s="75"/>
      <c r="Q21" s="75"/>
      <c r="R21" s="75"/>
      <c r="S21" s="75"/>
      <c r="T21" s="75"/>
      <c r="U21" s="75"/>
      <c r="V21" s="75"/>
      <c r="W21" s="75"/>
      <c r="X21" s="75"/>
      <c r="Y21" s="75"/>
      <c r="Z21" s="75"/>
      <c r="AA21" s="75"/>
      <c r="AB21" s="75"/>
      <c r="AC21" s="75"/>
      <c r="AD21" s="75"/>
      <c r="AE21" s="75"/>
    </row>
    <row r="22" spans="1:31">
      <c r="A22" s="310" t="s">
        <v>42</v>
      </c>
      <c r="B22" s="310"/>
      <c r="C22" s="126">
        <v>624</v>
      </c>
      <c r="D22" s="127">
        <f t="shared" si="2"/>
        <v>1.298701298701288E-2</v>
      </c>
      <c r="E22" s="126">
        <v>1479</v>
      </c>
      <c r="F22" s="127">
        <f t="shared" si="3"/>
        <v>-1.7928286852589626E-2</v>
      </c>
      <c r="G22" s="126">
        <v>581</v>
      </c>
      <c r="H22" s="127">
        <f t="shared" si="4"/>
        <v>6.8014705882353033E-2</v>
      </c>
      <c r="I22" s="126"/>
      <c r="J22" s="126">
        <f>Operations!$V$44</f>
        <v>698.39413281312341</v>
      </c>
      <c r="K22" s="278">
        <f t="shared" si="5"/>
        <v>8.7271782033607082E-2</v>
      </c>
      <c r="L22" s="126">
        <v>1565</v>
      </c>
      <c r="M22" s="278">
        <f t="shared" si="0"/>
        <v>-2.7612574341545626E-3</v>
      </c>
      <c r="N22" s="126">
        <v>540.27771554217054</v>
      </c>
      <c r="O22" s="278">
        <f t="shared" si="1"/>
        <v>0.19789183943087107</v>
      </c>
      <c r="P22" s="75"/>
      <c r="Q22" s="75"/>
      <c r="R22" s="75"/>
      <c r="S22" s="75"/>
      <c r="T22" s="75"/>
      <c r="U22" s="75"/>
      <c r="V22" s="75"/>
      <c r="W22" s="75"/>
      <c r="X22" s="75"/>
      <c r="Y22" s="75"/>
      <c r="Z22" s="75"/>
      <c r="AA22" s="75"/>
      <c r="AB22" s="75"/>
      <c r="AC22" s="75"/>
      <c r="AD22" s="75"/>
      <c r="AE22" s="75"/>
    </row>
    <row r="23" spans="1:31">
      <c r="A23" s="310" t="s">
        <v>43</v>
      </c>
      <c r="B23" s="310"/>
      <c r="C23" s="126">
        <v>651</v>
      </c>
      <c r="D23" s="127">
        <f t="shared" si="2"/>
        <v>4.3269230769230838E-2</v>
      </c>
      <c r="E23" s="126">
        <v>1491</v>
      </c>
      <c r="F23" s="127">
        <f t="shared" si="3"/>
        <v>8.113590263691739E-3</v>
      </c>
      <c r="G23" s="126">
        <v>640</v>
      </c>
      <c r="H23" s="127">
        <f t="shared" si="4"/>
        <v>0.10154905335628217</v>
      </c>
      <c r="I23" s="126"/>
      <c r="J23" s="126">
        <f>Operations!$W$44</f>
        <v>733.09777618674059</v>
      </c>
      <c r="K23" s="278">
        <f t="shared" si="5"/>
        <v>4.9690628461942055E-2</v>
      </c>
      <c r="L23" s="126">
        <v>1576</v>
      </c>
      <c r="M23" s="278">
        <f t="shared" si="0"/>
        <v>7.0287539936102483E-3</v>
      </c>
      <c r="N23" s="126">
        <v>561.92697356582073</v>
      </c>
      <c r="O23" s="278">
        <f t="shared" si="1"/>
        <v>4.0070610726420819E-2</v>
      </c>
      <c r="P23" s="75"/>
      <c r="Q23" s="75"/>
      <c r="R23" s="75"/>
      <c r="S23" s="75"/>
      <c r="T23" s="75"/>
      <c r="U23" s="75"/>
      <c r="V23" s="75"/>
      <c r="W23" s="75"/>
      <c r="X23" s="75"/>
      <c r="Y23" s="75"/>
      <c r="Z23" s="75"/>
      <c r="AA23" s="75"/>
      <c r="AB23" s="75"/>
      <c r="AC23" s="75"/>
      <c r="AD23" s="75"/>
      <c r="AE23" s="75"/>
    </row>
    <row r="24" spans="1:31">
      <c r="A24" s="310" t="s">
        <v>44</v>
      </c>
      <c r="B24" s="310"/>
      <c r="C24" s="126">
        <v>648</v>
      </c>
      <c r="D24" s="127">
        <f t="shared" si="2"/>
        <v>-4.6082949308755561E-3</v>
      </c>
      <c r="E24" s="126">
        <v>1523</v>
      </c>
      <c r="F24" s="127">
        <f t="shared" si="3"/>
        <v>2.1462105969148215E-2</v>
      </c>
      <c r="G24" s="126">
        <v>665</v>
      </c>
      <c r="H24" s="127">
        <f t="shared" si="4"/>
        <v>3.90625E-2</v>
      </c>
      <c r="I24" s="126"/>
      <c r="J24" s="126">
        <f>Operations!$X$44</f>
        <v>676.63322312226512</v>
      </c>
      <c r="K24" s="278">
        <f t="shared" si="5"/>
        <v>-7.7021858336796201E-2</v>
      </c>
      <c r="L24" s="126">
        <v>1536</v>
      </c>
      <c r="M24" s="278">
        <f t="shared" si="0"/>
        <v>-2.5380710659898442E-2</v>
      </c>
      <c r="N24" s="126">
        <v>561.66809495925838</v>
      </c>
      <c r="O24" s="278">
        <f t="shared" si="1"/>
        <v>-4.6069795318703921E-4</v>
      </c>
      <c r="P24" s="75"/>
      <c r="Q24" s="75"/>
      <c r="R24" s="75"/>
      <c r="S24" s="75"/>
      <c r="T24" s="75"/>
      <c r="U24" s="75"/>
      <c r="V24" s="75"/>
      <c r="W24" s="75"/>
      <c r="X24" s="75"/>
      <c r="Y24" s="75"/>
      <c r="Z24" s="75"/>
      <c r="AA24" s="75"/>
      <c r="AB24" s="75"/>
      <c r="AC24" s="75"/>
      <c r="AD24" s="75"/>
      <c r="AE24" s="75"/>
    </row>
    <row r="25" spans="1:31">
      <c r="A25" s="310" t="s">
        <v>45</v>
      </c>
      <c r="B25" s="310"/>
      <c r="C25" s="126">
        <v>650</v>
      </c>
      <c r="D25" s="127">
        <f t="shared" si="2"/>
        <v>3.0864197530864335E-3</v>
      </c>
      <c r="E25" s="126">
        <v>1435</v>
      </c>
      <c r="F25" s="127">
        <f t="shared" si="3"/>
        <v>-5.7780695994747222E-2</v>
      </c>
      <c r="G25" s="126">
        <v>669</v>
      </c>
      <c r="H25" s="127">
        <f t="shared" si="4"/>
        <v>6.0150375939849177E-3</v>
      </c>
      <c r="I25" s="126"/>
      <c r="J25" s="126">
        <f>Operations!$Z$44</f>
        <v>622.31759596756274</v>
      </c>
      <c r="K25" s="278">
        <f t="shared" si="5"/>
        <v>-8.0273367163479881E-2</v>
      </c>
      <c r="L25" s="126">
        <v>1517.3333333333333</v>
      </c>
      <c r="M25" s="278">
        <f t="shared" si="0"/>
        <v>-1.215277777777779E-2</v>
      </c>
      <c r="N25" s="126">
        <v>555.71913717260065</v>
      </c>
      <c r="O25" s="278">
        <f t="shared" si="1"/>
        <v>-1.0591589303446614E-2</v>
      </c>
      <c r="P25" s="75"/>
      <c r="Q25" s="75"/>
      <c r="R25" s="75"/>
      <c r="S25" s="75"/>
      <c r="T25" s="75"/>
      <c r="U25" s="75"/>
      <c r="V25" s="75"/>
      <c r="W25" s="75"/>
      <c r="X25" s="75"/>
      <c r="Y25" s="75"/>
      <c r="Z25" s="75"/>
      <c r="AA25" s="75"/>
      <c r="AB25" s="75"/>
      <c r="AC25" s="75"/>
      <c r="AD25" s="75"/>
      <c r="AE25" s="75"/>
    </row>
    <row r="26" spans="1:31">
      <c r="A26" s="310" t="s">
        <v>46</v>
      </c>
      <c r="B26" s="310"/>
      <c r="C26" s="126">
        <f>Operations!$AA$51</f>
        <v>652</v>
      </c>
      <c r="D26" s="127">
        <f t="shared" si="2"/>
        <v>3.0769230769229772E-3</v>
      </c>
      <c r="E26" s="126">
        <f>Operations!$AA$116</f>
        <v>1389</v>
      </c>
      <c r="F26" s="127">
        <f t="shared" si="3"/>
        <v>-3.2055749128919842E-2</v>
      </c>
      <c r="G26" s="126">
        <v>726</v>
      </c>
      <c r="H26" s="127">
        <f t="shared" si="4"/>
        <v>8.5201793721973118E-2</v>
      </c>
      <c r="I26" s="126"/>
      <c r="J26" s="126">
        <f>Operations!$AA$44</f>
        <v>647.64140639121263</v>
      </c>
      <c r="K26" s="278">
        <f t="shared" si="5"/>
        <v>4.0692743685444288E-2</v>
      </c>
      <c r="L26" s="126">
        <f>Operations!$AA$108</f>
        <v>1467.6666666666667</v>
      </c>
      <c r="M26" s="278">
        <f t="shared" si="0"/>
        <v>-3.2732864674868134E-2</v>
      </c>
      <c r="N26" s="126">
        <v>602.22429270949635</v>
      </c>
      <c r="O26" s="278">
        <f t="shared" si="1"/>
        <v>8.3684639282904039E-2</v>
      </c>
      <c r="P26" s="75"/>
      <c r="Q26" s="75"/>
      <c r="R26" s="75"/>
      <c r="S26" s="75"/>
      <c r="T26" s="75"/>
      <c r="U26" s="75"/>
      <c r="V26" s="75"/>
      <c r="W26" s="75"/>
      <c r="X26" s="75"/>
      <c r="Y26" s="75"/>
      <c r="Z26" s="75"/>
      <c r="AA26" s="75"/>
      <c r="AB26" s="75"/>
      <c r="AC26" s="75"/>
      <c r="AD26" s="75"/>
      <c r="AE26" s="75"/>
    </row>
    <row r="27" spans="1:31">
      <c r="A27" s="310" t="s">
        <v>47</v>
      </c>
      <c r="B27" s="310"/>
      <c r="C27" s="126">
        <f>Operations!$AB$51</f>
        <v>643</v>
      </c>
      <c r="D27" s="127">
        <f t="shared" si="2"/>
        <v>-1.3803680981595123E-2</v>
      </c>
      <c r="E27" s="126">
        <f>Operations!$AB$116</f>
        <v>1282</v>
      </c>
      <c r="F27" s="127">
        <f t="shared" si="3"/>
        <v>-7.7033837293016605E-2</v>
      </c>
      <c r="G27" s="126">
        <f>Operations!$AB$155</f>
        <v>738</v>
      </c>
      <c r="H27" s="127">
        <f t="shared" si="4"/>
        <v>1.6528925619834656E-2</v>
      </c>
      <c r="I27" s="126"/>
      <c r="J27" s="126">
        <f>Operations!$AB$44</f>
        <v>622.31321153962972</v>
      </c>
      <c r="K27" s="278">
        <f t="shared" si="5"/>
        <v>-3.9108362438894484E-2</v>
      </c>
      <c r="L27" s="126">
        <f>Operations!$AB$108</f>
        <v>1368.4533333333334</v>
      </c>
      <c r="M27" s="278">
        <f t="shared" si="0"/>
        <v>-6.7599364069952372E-2</v>
      </c>
      <c r="N27" s="126">
        <v>618.37053577719405</v>
      </c>
      <c r="O27" s="278">
        <f t="shared" si="1"/>
        <v>2.681101254659346E-2</v>
      </c>
      <c r="P27" s="75"/>
      <c r="Q27" s="75"/>
      <c r="R27" s="75"/>
      <c r="S27" s="75"/>
      <c r="T27" s="75"/>
      <c r="U27" s="75"/>
      <c r="V27" s="75"/>
      <c r="W27" s="75"/>
      <c r="X27" s="75"/>
      <c r="Y27" s="75"/>
      <c r="Z27" s="75"/>
      <c r="AA27" s="75"/>
      <c r="AB27" s="75"/>
      <c r="AC27" s="75"/>
      <c r="AD27" s="75"/>
      <c r="AE27" s="75"/>
    </row>
    <row r="28" spans="1:31">
      <c r="A28" s="310" t="s">
        <v>48</v>
      </c>
      <c r="B28" s="310"/>
      <c r="C28" s="126">
        <f>Operations!$AC$51</f>
        <v>627</v>
      </c>
      <c r="D28" s="127">
        <f t="shared" si="2"/>
        <v>-2.4883359253499271E-2</v>
      </c>
      <c r="E28" s="126">
        <f>Operations!$AC$116</f>
        <v>1299</v>
      </c>
      <c r="F28" s="127">
        <f t="shared" si="3"/>
        <v>1.3260530421216776E-2</v>
      </c>
      <c r="G28" s="126">
        <f>Operations!$AC$155</f>
        <v>752</v>
      </c>
      <c r="H28" s="127">
        <f t="shared" si="4"/>
        <v>1.8970189701897011E-2</v>
      </c>
      <c r="I28" s="126"/>
      <c r="J28" s="126">
        <f>Operations!$AC$44</f>
        <v>637.50523240531777</v>
      </c>
      <c r="K28" s="278">
        <f t="shared" si="5"/>
        <v>2.44121779579487E-2</v>
      </c>
      <c r="L28" s="126">
        <f>Operations!$AC$108</f>
        <v>1374.07</v>
      </c>
      <c r="M28" s="278">
        <f t="shared" si="0"/>
        <v>4.104390357970944E-3</v>
      </c>
      <c r="N28" s="126">
        <v>649.69490431036741</v>
      </c>
      <c r="O28" s="278">
        <f t="shared" si="1"/>
        <v>5.0656308347233114E-2</v>
      </c>
      <c r="P28" s="75"/>
      <c r="Q28" s="75"/>
      <c r="R28" s="75"/>
      <c r="S28" s="75"/>
      <c r="T28" s="75"/>
      <c r="U28" s="75"/>
      <c r="V28" s="75"/>
      <c r="W28" s="75"/>
      <c r="X28" s="75"/>
      <c r="Y28" s="75"/>
      <c r="Z28" s="75"/>
      <c r="AA28" s="75"/>
      <c r="AB28" s="75"/>
      <c r="AC28" s="75"/>
      <c r="AD28" s="75"/>
      <c r="AE28" s="75"/>
    </row>
    <row r="29" spans="1:31">
      <c r="A29" s="310" t="s">
        <v>49</v>
      </c>
      <c r="B29" s="311">
        <v>39538</v>
      </c>
      <c r="C29" s="126">
        <f>Operations!$AE$51</f>
        <v>646</v>
      </c>
      <c r="D29" s="127">
        <f t="shared" si="2"/>
        <v>3.0303030303030276E-2</v>
      </c>
      <c r="E29" s="126">
        <f>Operations!$AE$116</f>
        <v>1297</v>
      </c>
      <c r="F29" s="127">
        <f t="shared" si="3"/>
        <v>-1.5396458814472824E-3</v>
      </c>
      <c r="G29" s="126">
        <f>Operations!$AE$155</f>
        <v>791</v>
      </c>
      <c r="H29" s="127">
        <f t="shared" si="4"/>
        <v>5.1861702127659504E-2</v>
      </c>
      <c r="I29" s="126"/>
      <c r="J29" s="126">
        <f>Operations!$AE$44</f>
        <v>795.19574760810417</v>
      </c>
      <c r="K29" s="278">
        <f t="shared" si="5"/>
        <v>0.24735564068677118</v>
      </c>
      <c r="L29" s="126">
        <f>Operations!$AE$108</f>
        <v>1404.8366666666666</v>
      </c>
      <c r="M29" s="278">
        <f t="shared" si="0"/>
        <v>2.2390901967633825E-2</v>
      </c>
      <c r="N29" s="126">
        <f>Operations!$AE$156</f>
        <v>805.66781467415342</v>
      </c>
      <c r="O29" s="278">
        <f t="shared" si="1"/>
        <v>0.24007100768220857</v>
      </c>
      <c r="P29" s="75"/>
      <c r="Q29" s="75"/>
      <c r="R29" s="75"/>
      <c r="S29" s="75"/>
      <c r="T29" s="75"/>
      <c r="U29" s="75"/>
      <c r="V29" s="75"/>
      <c r="W29" s="75"/>
      <c r="X29" s="75"/>
      <c r="Y29" s="75"/>
      <c r="Z29" s="75"/>
      <c r="AA29" s="75"/>
      <c r="AB29" s="75"/>
      <c r="AC29" s="75"/>
      <c r="AD29" s="75"/>
      <c r="AE29" s="75"/>
    </row>
    <row r="30" spans="1:31">
      <c r="A30" s="310" t="s">
        <v>50</v>
      </c>
      <c r="B30" s="311">
        <v>39629</v>
      </c>
      <c r="C30" s="126">
        <f>Operations!$AF$51</f>
        <v>777</v>
      </c>
      <c r="D30" s="127">
        <f t="shared" si="2"/>
        <v>0.20278637770897823</v>
      </c>
      <c r="E30" s="126">
        <f>Operations!$AF$116</f>
        <v>1690</v>
      </c>
      <c r="F30" s="127">
        <f t="shared" si="3"/>
        <v>0.30300693909020815</v>
      </c>
      <c r="G30" s="126">
        <f>Operations!$AF$155</f>
        <v>986</v>
      </c>
      <c r="H30" s="127">
        <f t="shared" si="4"/>
        <v>0.24652338811630847</v>
      </c>
      <c r="I30" s="126"/>
      <c r="J30" s="126">
        <f>Operations!$AF$44</f>
        <v>1090.6489778870066</v>
      </c>
      <c r="K30" s="278">
        <f t="shared" si="5"/>
        <v>0.37154779960482198</v>
      </c>
      <c r="L30" s="126">
        <f>Operations!$AF$108</f>
        <v>2008.89</v>
      </c>
      <c r="M30" s="278">
        <f t="shared" si="0"/>
        <v>0.42998118405223873</v>
      </c>
      <c r="N30" s="126">
        <f>Operations!$AF$156</f>
        <v>1023.6369134164039</v>
      </c>
      <c r="O30" s="278">
        <f t="shared" si="1"/>
        <v>0.27054462741620933</v>
      </c>
      <c r="P30" s="75"/>
      <c r="Q30" s="75"/>
      <c r="R30" s="75"/>
      <c r="S30" s="75"/>
      <c r="T30" s="75"/>
      <c r="U30" s="75"/>
      <c r="V30" s="75"/>
      <c r="W30" s="75"/>
      <c r="X30" s="75"/>
      <c r="Y30" s="75"/>
      <c r="Z30" s="75"/>
      <c r="AA30" s="75"/>
      <c r="AB30" s="75"/>
      <c r="AC30" s="75"/>
      <c r="AD30" s="75"/>
      <c r="AE30" s="75"/>
    </row>
    <row r="31" spans="1:31">
      <c r="A31" s="310" t="s">
        <v>51</v>
      </c>
      <c r="B31" s="311">
        <v>39721</v>
      </c>
      <c r="C31" s="126">
        <f>Operations!$AG$51</f>
        <v>907</v>
      </c>
      <c r="D31" s="127">
        <f t="shared" si="2"/>
        <v>0.16731016731016735</v>
      </c>
      <c r="E31" s="126">
        <f>Operations!$AG$116</f>
        <v>2390</v>
      </c>
      <c r="F31" s="127">
        <f t="shared" si="3"/>
        <v>0.41420118343195256</v>
      </c>
      <c r="G31" s="126">
        <f>Operations!$AG$155</f>
        <v>1086</v>
      </c>
      <c r="H31" s="127">
        <f t="shared" si="4"/>
        <v>0.10141987829614596</v>
      </c>
      <c r="I31" s="126"/>
      <c r="J31" s="126">
        <f>Operations!$AG$44</f>
        <v>1161.0204440887355</v>
      </c>
      <c r="K31" s="278">
        <f t="shared" si="5"/>
        <v>6.4522561913609167E-2</v>
      </c>
      <c r="L31" s="126">
        <f>Operations!$AG$108</f>
        <v>3061.2033333333334</v>
      </c>
      <c r="M31" s="278">
        <f t="shared" si="0"/>
        <v>0.52382825009499445</v>
      </c>
      <c r="N31" s="126">
        <f>Operations!$AG$156</f>
        <v>1169.6558412230984</v>
      </c>
      <c r="O31" s="278">
        <f t="shared" si="1"/>
        <v>0.14264718856157121</v>
      </c>
      <c r="P31" s="75"/>
      <c r="Q31" s="75"/>
      <c r="R31" s="75"/>
      <c r="S31" s="75"/>
      <c r="T31" s="75"/>
      <c r="U31" s="75"/>
      <c r="V31" s="75"/>
      <c r="W31" s="75"/>
      <c r="X31" s="75"/>
      <c r="Y31" s="75"/>
      <c r="Z31" s="75"/>
      <c r="AA31" s="75"/>
      <c r="AB31" s="75"/>
      <c r="AC31" s="75"/>
      <c r="AD31" s="75"/>
      <c r="AE31" s="75"/>
    </row>
    <row r="32" spans="1:31">
      <c r="A32" s="310" t="s">
        <v>52</v>
      </c>
      <c r="B32" s="311">
        <v>39813</v>
      </c>
      <c r="C32" s="126">
        <f>Operations!$AH$51</f>
        <v>805</v>
      </c>
      <c r="D32" s="127">
        <f t="shared" si="2"/>
        <v>-0.11245865490628448</v>
      </c>
      <c r="E32" s="126">
        <f>Operations!$AH$116</f>
        <v>2675</v>
      </c>
      <c r="F32" s="127">
        <f t="shared" si="3"/>
        <v>0.11924686192468625</v>
      </c>
      <c r="G32" s="126">
        <f>Operations!$AH$155</f>
        <v>847</v>
      </c>
      <c r="H32" s="127">
        <f t="shared" si="4"/>
        <v>-0.22007366482504609</v>
      </c>
      <c r="I32" s="126"/>
      <c r="J32" s="126">
        <f>Operations!$AH$44</f>
        <v>820.26791027986098</v>
      </c>
      <c r="K32" s="278">
        <f t="shared" si="5"/>
        <v>-0.29349399964815026</v>
      </c>
      <c r="L32" s="126">
        <f>Operations!$AH$108</f>
        <v>2918.3033333333328</v>
      </c>
      <c r="M32" s="278">
        <f t="shared" si="0"/>
        <v>-4.6680989284170527E-2</v>
      </c>
      <c r="N32" s="126">
        <f>Operations!$AH$156</f>
        <v>766.6740415089572</v>
      </c>
      <c r="O32" s="278">
        <f t="shared" si="1"/>
        <v>-0.34453023317760445</v>
      </c>
      <c r="P32" s="75"/>
      <c r="Q32" s="75"/>
      <c r="R32" s="75"/>
      <c r="S32" s="75"/>
      <c r="T32" s="75"/>
      <c r="U32" s="75"/>
      <c r="V32" s="75"/>
      <c r="W32" s="75"/>
      <c r="X32" s="75"/>
      <c r="Y32" s="75"/>
      <c r="Z32" s="75"/>
      <c r="AA32" s="75"/>
      <c r="AB32" s="75"/>
      <c r="AC32" s="75"/>
      <c r="AD32" s="75"/>
      <c r="AE32" s="75"/>
    </row>
    <row r="33" spans="1:31">
      <c r="A33" s="310" t="s">
        <v>53</v>
      </c>
      <c r="B33" s="311">
        <v>39903</v>
      </c>
      <c r="C33" s="126">
        <f>Operations!$AJ$51</f>
        <v>715</v>
      </c>
      <c r="D33" s="127">
        <f t="shared" si="2"/>
        <v>-0.11180124223602483</v>
      </c>
      <c r="E33" s="126">
        <f>Operations!$AJ$116</f>
        <v>2353</v>
      </c>
      <c r="F33" s="127">
        <f t="shared" si="3"/>
        <v>-0.12037383177570093</v>
      </c>
      <c r="G33" s="126">
        <f>Operations!$AJ$155</f>
        <v>672</v>
      </c>
      <c r="H33" s="127">
        <f t="shared" si="4"/>
        <v>-0.20661157024793386</v>
      </c>
      <c r="I33" s="126"/>
      <c r="J33" s="126">
        <f>Operations!$AJ$44</f>
        <v>617.46617811248063</v>
      </c>
      <c r="K33" s="278">
        <f t="shared" si="5"/>
        <v>-0.24723840787357876</v>
      </c>
      <c r="L33" s="126">
        <f>Operations!$AJ$108</f>
        <v>2209.1200000000003</v>
      </c>
      <c r="M33" s="278">
        <f t="shared" si="0"/>
        <v>-0.24301220686449065</v>
      </c>
      <c r="N33" s="126">
        <f>Operations!$AJ$156</f>
        <v>547.75040736374331</v>
      </c>
      <c r="O33" s="278">
        <f t="shared" si="1"/>
        <v>-0.28554981946999458</v>
      </c>
      <c r="P33" s="75"/>
      <c r="Q33" s="75"/>
      <c r="R33" s="75"/>
      <c r="S33" s="75"/>
      <c r="T33" s="75"/>
      <c r="U33" s="75"/>
      <c r="V33" s="75"/>
      <c r="W33" s="75"/>
      <c r="X33" s="75"/>
      <c r="Y33" s="75"/>
      <c r="Z33" s="75"/>
      <c r="AA33" s="75"/>
      <c r="AB33" s="75"/>
      <c r="AC33" s="75"/>
      <c r="AD33" s="75"/>
      <c r="AE33" s="75"/>
    </row>
    <row r="34" spans="1:31">
      <c r="A34" s="310" t="s">
        <v>54</v>
      </c>
      <c r="B34" s="311">
        <v>39994</v>
      </c>
      <c r="C34" s="126">
        <f>Operations!$AK$51</f>
        <v>677</v>
      </c>
      <c r="D34" s="127">
        <f t="shared" si="2"/>
        <v>-5.314685314685319E-2</v>
      </c>
      <c r="E34" s="126">
        <f>Operations!$AK$116</f>
        <v>1526</v>
      </c>
      <c r="F34" s="127">
        <f t="shared" si="3"/>
        <v>-0.35146621334466643</v>
      </c>
      <c r="G34" s="126">
        <f>Operations!$AK$155</f>
        <v>602</v>
      </c>
      <c r="H34" s="127">
        <f t="shared" si="4"/>
        <v>-0.10416666666666663</v>
      </c>
      <c r="I34" s="126"/>
      <c r="J34" s="126">
        <f>Operations!$AK$44</f>
        <v>498.2804885967505</v>
      </c>
      <c r="K34" s="278">
        <f t="shared" si="5"/>
        <v>-0.19302383473061857</v>
      </c>
      <c r="L34" s="126">
        <f>Operations!$AK$108</f>
        <v>1583.67</v>
      </c>
      <c r="M34" s="278">
        <f t="shared" si="0"/>
        <v>-0.28312178605055416</v>
      </c>
      <c r="N34" s="126">
        <f>Operations!$AK$156</f>
        <v>519.76127866617833</v>
      </c>
      <c r="O34" s="278">
        <f t="shared" si="1"/>
        <v>-5.1098325663094024E-2</v>
      </c>
      <c r="P34" s="75"/>
      <c r="Q34" s="75"/>
      <c r="R34" s="75"/>
      <c r="S34" s="75"/>
      <c r="T34" s="75"/>
      <c r="U34" s="75"/>
      <c r="V34" s="75"/>
      <c r="W34" s="75"/>
      <c r="X34" s="75"/>
      <c r="Y34" s="75"/>
      <c r="Z34" s="75"/>
      <c r="AA34" s="75"/>
      <c r="AB34" s="75"/>
      <c r="AC34" s="75"/>
      <c r="AD34" s="75"/>
      <c r="AE34" s="75"/>
    </row>
    <row r="35" spans="1:31">
      <c r="A35" s="310" t="s">
        <v>55</v>
      </c>
      <c r="B35" s="311">
        <v>40086</v>
      </c>
      <c r="C35" s="126">
        <f>Operations!$AL$51</f>
        <v>605</v>
      </c>
      <c r="D35" s="127">
        <f t="shared" si="2"/>
        <v>-0.10635155096011817</v>
      </c>
      <c r="E35" s="126">
        <f>Operations!$AL$116</f>
        <v>1474</v>
      </c>
      <c r="F35" s="127">
        <f t="shared" si="3"/>
        <v>-3.4076015727391828E-2</v>
      </c>
      <c r="G35" s="126">
        <f>Operations!$AL$155</f>
        <v>615</v>
      </c>
      <c r="H35" s="127">
        <f t="shared" si="4"/>
        <v>2.1594684385382035E-2</v>
      </c>
      <c r="I35" s="126"/>
      <c r="J35" s="126">
        <f>Operations!$AL$44</f>
        <v>615.48153362983169</v>
      </c>
      <c r="K35" s="278">
        <f t="shared" si="5"/>
        <v>0.23521098601139467</v>
      </c>
      <c r="L35" s="126">
        <f>Operations!$AL$108</f>
        <v>1452.0900000000001</v>
      </c>
      <c r="M35" s="278">
        <f t="shared" si="0"/>
        <v>-8.3085491295534997E-2</v>
      </c>
      <c r="N35" s="126">
        <f>Operations!$AL$156</f>
        <v>612.20974920801564</v>
      </c>
      <c r="O35" s="278">
        <f t="shared" si="1"/>
        <v>0.17786717544462038</v>
      </c>
      <c r="P35" s="75"/>
      <c r="Q35" s="75"/>
      <c r="R35" s="75"/>
      <c r="S35" s="75"/>
      <c r="T35" s="75"/>
      <c r="U35" s="75"/>
      <c r="V35" s="75"/>
      <c r="W35" s="75"/>
      <c r="X35" s="75"/>
      <c r="Y35" s="75"/>
      <c r="Z35" s="75"/>
      <c r="AA35" s="75"/>
      <c r="AB35" s="75"/>
      <c r="AC35" s="75"/>
      <c r="AD35" s="75"/>
      <c r="AE35" s="75"/>
    </row>
    <row r="36" spans="1:31">
      <c r="A36" s="310" t="s">
        <v>56</v>
      </c>
      <c r="B36" s="311">
        <v>40178</v>
      </c>
      <c r="C36" s="126">
        <f>Operations!$AM$51</f>
        <v>633</v>
      </c>
      <c r="D36" s="127">
        <f t="shared" si="2"/>
        <v>4.6280991735537125E-2</v>
      </c>
      <c r="E36" s="126">
        <f>Operations!$AM$116</f>
        <v>1462</v>
      </c>
      <c r="F36" s="127">
        <f t="shared" si="3"/>
        <v>-8.141112618724522E-3</v>
      </c>
      <c r="G36" s="126">
        <f>Operations!$AM$155</f>
        <v>664</v>
      </c>
      <c r="H36" s="127">
        <f t="shared" si="4"/>
        <v>7.9674796747967402E-2</v>
      </c>
      <c r="I36" s="126"/>
      <c r="J36" s="126">
        <f>Operations!$AM$44</f>
        <v>655.7191369145396</v>
      </c>
      <c r="K36" s="278">
        <f t="shared" si="5"/>
        <v>6.537580916100727E-2</v>
      </c>
      <c r="L36" s="126">
        <f>Operations!$AM$108</f>
        <v>1436.0233333333331</v>
      </c>
      <c r="M36" s="278">
        <f t="shared" si="0"/>
        <v>-1.1064511611998618E-2</v>
      </c>
      <c r="N36" s="126">
        <f>Operations!$AM$156</f>
        <v>632.5462595632838</v>
      </c>
      <c r="O36" s="278">
        <f t="shared" si="1"/>
        <v>3.321820729182523E-2</v>
      </c>
      <c r="P36" s="75"/>
      <c r="Q36" s="75"/>
      <c r="R36" s="75"/>
      <c r="S36" s="75"/>
      <c r="T36" s="75"/>
      <c r="U36" s="75"/>
      <c r="V36" s="75"/>
      <c r="W36" s="75"/>
      <c r="X36" s="75"/>
      <c r="Y36" s="75"/>
      <c r="Z36" s="75"/>
      <c r="AA36" s="75"/>
      <c r="AB36" s="75"/>
      <c r="AC36" s="75"/>
      <c r="AD36" s="75"/>
      <c r="AE36" s="75"/>
    </row>
    <row r="37" spans="1:31">
      <c r="A37" s="310" t="s">
        <v>57</v>
      </c>
      <c r="B37" s="311">
        <v>40268</v>
      </c>
      <c r="C37" s="126">
        <f>Operations!$AO$51</f>
        <v>654</v>
      </c>
      <c r="D37" s="127">
        <f t="shared" si="2"/>
        <v>3.3175355450236976E-2</v>
      </c>
      <c r="E37" s="126">
        <f>Operations!$AO$116</f>
        <v>1389</v>
      </c>
      <c r="F37" s="127">
        <f t="shared" si="3"/>
        <v>-4.9931600547195587E-2</v>
      </c>
      <c r="G37" s="126">
        <f>Operations!$AO$155</f>
        <v>614</v>
      </c>
      <c r="H37" s="127">
        <f t="shared" si="4"/>
        <v>-7.5301204819277157E-2</v>
      </c>
      <c r="I37" s="126"/>
      <c r="J37" s="126">
        <f>Operations!$AO$44</f>
        <v>684.53861501617632</v>
      </c>
      <c r="K37" s="278">
        <f t="shared" si="5"/>
        <v>4.3950948629081665E-2</v>
      </c>
      <c r="L37" s="126">
        <f>Operations!$AO$108</f>
        <v>1576.0333333333335</v>
      </c>
      <c r="M37" s="278">
        <f t="shared" si="0"/>
        <v>9.7498415763903834E-2</v>
      </c>
      <c r="N37" s="126">
        <f>Operations!$AO$156</f>
        <v>590.00116480500014</v>
      </c>
      <c r="O37" s="278">
        <f t="shared" si="1"/>
        <v>-6.726005270769797E-2</v>
      </c>
      <c r="P37" s="75"/>
      <c r="Q37" s="75"/>
      <c r="R37" s="75"/>
      <c r="S37" s="75"/>
      <c r="T37" s="75"/>
      <c r="U37" s="75"/>
      <c r="V37" s="75"/>
      <c r="W37" s="75"/>
      <c r="X37" s="75"/>
      <c r="Y37" s="75"/>
      <c r="Z37" s="75"/>
      <c r="AA37" s="75"/>
      <c r="AB37" s="75"/>
      <c r="AC37" s="75"/>
      <c r="AD37" s="75"/>
      <c r="AE37" s="75"/>
    </row>
    <row r="38" spans="1:31">
      <c r="A38" s="310" t="s">
        <v>58</v>
      </c>
      <c r="B38" s="311">
        <v>40359</v>
      </c>
      <c r="C38" s="126">
        <f>Operations!$AP$51</f>
        <v>700</v>
      </c>
      <c r="D38" s="127">
        <f t="shared" si="2"/>
        <v>7.0336391437308965E-2</v>
      </c>
      <c r="E38" s="126">
        <f>Operations!$AP$116</f>
        <v>1496</v>
      </c>
      <c r="F38" s="127">
        <f t="shared" si="3"/>
        <v>7.7033837293016605E-2</v>
      </c>
      <c r="G38" s="126">
        <f>Operations!$AP$155</f>
        <v>687</v>
      </c>
      <c r="H38" s="127">
        <f t="shared" si="4"/>
        <v>0.11889250814332253</v>
      </c>
      <c r="I38" s="126"/>
      <c r="J38" s="126">
        <f>Operations!$AP$44</f>
        <v>767.28816625176898</v>
      </c>
      <c r="K38" s="278">
        <f t="shared" si="5"/>
        <v>0.12088368635513302</v>
      </c>
      <c r="L38" s="126">
        <f>Operations!$AP$108</f>
        <v>1728.4733333333334</v>
      </c>
      <c r="M38" s="278">
        <f t="shared" si="0"/>
        <v>9.6723842558321449E-2</v>
      </c>
      <c r="N38" s="126">
        <f>Operations!$AP$156</f>
        <v>758.33267986936994</v>
      </c>
      <c r="O38" s="278">
        <f t="shared" si="1"/>
        <v>0.28530708938516192</v>
      </c>
      <c r="P38" s="75"/>
      <c r="Q38" s="75"/>
      <c r="R38" s="75"/>
      <c r="S38" s="75"/>
      <c r="T38" s="75"/>
      <c r="U38" s="75"/>
      <c r="V38" s="75"/>
      <c r="W38" s="75"/>
      <c r="X38" s="75"/>
      <c r="Y38" s="75"/>
      <c r="Z38" s="75"/>
      <c r="AA38" s="75"/>
      <c r="AB38" s="286"/>
      <c r="AC38" s="109"/>
      <c r="AD38" s="284"/>
      <c r="AE38" s="106"/>
    </row>
    <row r="39" spans="1:31">
      <c r="A39" s="310" t="s">
        <v>59</v>
      </c>
      <c r="B39" s="311">
        <v>40451</v>
      </c>
      <c r="C39" s="126">
        <f>Operations!$AQ$51</f>
        <v>688</v>
      </c>
      <c r="D39" s="127">
        <f t="shared" si="2"/>
        <v>-1.7142857142857126E-2</v>
      </c>
      <c r="E39" s="126">
        <f>Operations!$AQ$116</f>
        <v>1559</v>
      </c>
      <c r="F39" s="127">
        <f t="shared" si="3"/>
        <v>4.2112299465240532E-2</v>
      </c>
      <c r="G39" s="126">
        <f>Operations!$AQ$155</f>
        <v>748</v>
      </c>
      <c r="H39" s="127">
        <f t="shared" si="4"/>
        <v>8.879184861717615E-2</v>
      </c>
      <c r="I39" s="126"/>
      <c r="J39" s="126">
        <f>Operations!$AQ$44</f>
        <v>681.6528117235697</v>
      </c>
      <c r="K39" s="278">
        <f t="shared" si="5"/>
        <v>-0.11160781345883541</v>
      </c>
      <c r="L39" s="126">
        <f>Operations!$AQ$108</f>
        <v>1784.1266666666668</v>
      </c>
      <c r="M39" s="278">
        <f t="shared" ref="M39:M60" si="6">L39/L38-1</f>
        <v>3.2197970463337722E-2</v>
      </c>
      <c r="N39" s="126">
        <f>Operations!$AQ$156</f>
        <v>737.81269665481807</v>
      </c>
      <c r="O39" s="278">
        <f t="shared" ref="O39:O60" si="7">N39/N38-1</f>
        <v>-2.7059341842008755E-2</v>
      </c>
      <c r="P39" s="75"/>
      <c r="Q39" s="75"/>
      <c r="R39" s="75"/>
      <c r="S39" s="75"/>
      <c r="T39" s="75"/>
      <c r="U39" s="75"/>
      <c r="V39" s="75"/>
      <c r="W39" s="75"/>
      <c r="X39" s="75"/>
      <c r="Y39" s="75"/>
      <c r="Z39" s="75"/>
      <c r="AA39" s="75"/>
      <c r="AB39" s="286"/>
      <c r="AC39" s="109"/>
      <c r="AD39" s="284"/>
      <c r="AE39" s="106"/>
    </row>
    <row r="40" spans="1:31">
      <c r="A40" s="310" t="s">
        <v>60</v>
      </c>
      <c r="B40" s="311">
        <v>40543</v>
      </c>
      <c r="C40" s="126">
        <f>Operations!$AR$51</f>
        <v>657</v>
      </c>
      <c r="D40" s="127">
        <f t="shared" si="2"/>
        <v>-4.505813953488369E-2</v>
      </c>
      <c r="E40" s="126">
        <f>Operations!$AR$116</f>
        <v>1504</v>
      </c>
      <c r="F40" s="127">
        <f t="shared" si="3"/>
        <v>-3.527902501603597E-2</v>
      </c>
      <c r="G40" s="126">
        <f>Operations!$AR$155</f>
        <v>793</v>
      </c>
      <c r="H40" s="127">
        <f t="shared" si="4"/>
        <v>6.0160427807486538E-2</v>
      </c>
      <c r="I40" s="126"/>
      <c r="J40" s="126">
        <f>Operations!$AR$44</f>
        <v>660.13346026950387</v>
      </c>
      <c r="K40" s="278">
        <f t="shared" si="5"/>
        <v>-3.1569372390108374E-2</v>
      </c>
      <c r="L40" s="126">
        <f>Operations!$AR$108</f>
        <v>1719.4766666666665</v>
      </c>
      <c r="M40" s="278">
        <f t="shared" si="6"/>
        <v>-3.6236216412138367E-2</v>
      </c>
      <c r="N40" s="126">
        <f>Operations!$AR$156</f>
        <v>720.9057813582815</v>
      </c>
      <c r="O40" s="278">
        <f t="shared" si="7"/>
        <v>-2.2914915090498034E-2</v>
      </c>
      <c r="P40" s="75"/>
      <c r="Q40" s="75"/>
      <c r="R40" s="75"/>
      <c r="S40" s="75"/>
      <c r="T40" s="75"/>
      <c r="U40" s="75"/>
      <c r="V40" s="75"/>
      <c r="W40" s="75"/>
      <c r="X40" s="75"/>
      <c r="Y40" s="75"/>
      <c r="Z40" s="75"/>
      <c r="AA40" s="75"/>
      <c r="AB40" s="286"/>
      <c r="AC40" s="109"/>
      <c r="AD40" s="284"/>
      <c r="AE40" s="106"/>
    </row>
    <row r="41" spans="1:31">
      <c r="A41" s="310" t="s">
        <v>61</v>
      </c>
      <c r="B41" s="311">
        <v>40633</v>
      </c>
      <c r="C41" s="126">
        <f>Operations!$AT$51</f>
        <v>720</v>
      </c>
      <c r="D41" s="127">
        <f t="shared" si="2"/>
        <v>9.5890410958904049E-2</v>
      </c>
      <c r="E41" s="126">
        <f>Operations!$AT$116</f>
        <v>1447</v>
      </c>
      <c r="F41" s="127">
        <f t="shared" si="3"/>
        <v>-3.7898936170212782E-2</v>
      </c>
      <c r="G41" s="126">
        <f>Operations!$AT$155</f>
        <v>823</v>
      </c>
      <c r="H41" s="127">
        <f t="shared" si="4"/>
        <v>3.7831021437578771E-2</v>
      </c>
      <c r="I41" s="126"/>
      <c r="J41" s="126">
        <f>Operations!$AT$44</f>
        <v>890.64006036188619</v>
      </c>
      <c r="K41" s="278">
        <f t="shared" si="5"/>
        <v>0.34918181544422322</v>
      </c>
      <c r="L41" s="126">
        <f>Operations!$AT$108</f>
        <v>1722.51</v>
      </c>
      <c r="M41" s="278">
        <f t="shared" si="6"/>
        <v>1.7641026436339136E-3</v>
      </c>
      <c r="N41" s="126">
        <f>Operations!$AT$156</f>
        <v>880.58620768924402</v>
      </c>
      <c r="O41" s="278">
        <f t="shared" si="7"/>
        <v>0.2214997166898891</v>
      </c>
      <c r="P41" s="75"/>
      <c r="Q41" s="75"/>
      <c r="R41" s="75"/>
      <c r="S41" s="75"/>
      <c r="T41" s="75"/>
      <c r="U41" s="75"/>
      <c r="V41" s="75"/>
      <c r="W41" s="75"/>
      <c r="X41" s="75"/>
      <c r="Y41" s="75"/>
      <c r="Z41" s="75"/>
      <c r="AA41" s="75"/>
      <c r="AB41" s="286"/>
      <c r="AC41" s="109"/>
      <c r="AD41" s="284"/>
      <c r="AE41" s="106"/>
    </row>
    <row r="42" spans="1:31">
      <c r="A42" s="310" t="s">
        <v>62</v>
      </c>
      <c r="B42" s="311">
        <v>40724</v>
      </c>
      <c r="C42" s="126">
        <f>Operations!$AU$51</f>
        <v>803</v>
      </c>
      <c r="D42" s="127">
        <f t="shared" si="2"/>
        <v>0.11527777777777781</v>
      </c>
      <c r="E42" s="126">
        <f>Operations!$AU$116</f>
        <v>1565</v>
      </c>
      <c r="F42" s="127">
        <f t="shared" si="3"/>
        <v>8.1548030407740058E-2</v>
      </c>
      <c r="G42" s="126">
        <f>Operations!$AU$155</f>
        <v>930</v>
      </c>
      <c r="H42" s="127">
        <f t="shared" si="4"/>
        <v>0.13001215066828675</v>
      </c>
      <c r="I42" s="126"/>
      <c r="J42" s="126">
        <f>Operations!$AU$44</f>
        <v>908.94189699244396</v>
      </c>
      <c r="K42" s="278">
        <f t="shared" ref="K42:K60" si="8">J42/J41-1</f>
        <v>2.0549083120201539E-2</v>
      </c>
      <c r="L42" s="126">
        <f>Operations!$AU$108</f>
        <v>1832.7</v>
      </c>
      <c r="M42" s="278">
        <f t="shared" si="6"/>
        <v>6.3970601041503317E-2</v>
      </c>
      <c r="N42" s="126">
        <f>Operations!$AU$156</f>
        <v>879.25011734730253</v>
      </c>
      <c r="O42" s="278">
        <f t="shared" si="7"/>
        <v>-1.5172737549995485E-3</v>
      </c>
      <c r="P42" s="75"/>
      <c r="Q42" s="75"/>
      <c r="R42" s="75"/>
      <c r="S42" s="75"/>
      <c r="T42" s="75"/>
      <c r="U42" s="75"/>
      <c r="V42" s="75"/>
      <c r="W42" s="75"/>
      <c r="X42" s="75"/>
      <c r="Y42" s="75"/>
      <c r="Z42" s="75"/>
      <c r="AA42" s="75"/>
      <c r="AB42" s="286"/>
      <c r="AC42" s="109"/>
      <c r="AD42" s="284"/>
      <c r="AE42" s="106"/>
    </row>
    <row r="43" spans="1:31">
      <c r="A43" s="312" t="s">
        <v>910</v>
      </c>
      <c r="B43" s="311">
        <v>40816</v>
      </c>
      <c r="C43" s="126">
        <f>Operations!$AV$51</f>
        <v>773</v>
      </c>
      <c r="D43" s="127">
        <f t="shared" si="2"/>
        <v>-3.7359900373599042E-2</v>
      </c>
      <c r="E43" s="126">
        <f>Operations!$AV$116</f>
        <v>1699</v>
      </c>
      <c r="F43" s="127">
        <f t="shared" si="3"/>
        <v>8.5623003194888136E-2</v>
      </c>
      <c r="G43" s="126">
        <f>Operations!$AV$155</f>
        <v>862</v>
      </c>
      <c r="H43" s="127">
        <f t="shared" si="4"/>
        <v>-7.3118279569892475E-2</v>
      </c>
      <c r="I43" s="126"/>
      <c r="J43" s="126">
        <f>Operations!$AV$44</f>
        <v>794.27229825220252</v>
      </c>
      <c r="K43" s="278">
        <f t="shared" si="8"/>
        <v>-0.12615723746442586</v>
      </c>
      <c r="L43" s="126">
        <f>Operations!$AV$108</f>
        <v>1881.8333333333335</v>
      </c>
      <c r="M43" s="278">
        <f t="shared" si="6"/>
        <v>2.6809261381204541E-2</v>
      </c>
      <c r="N43" s="126">
        <f>Operations!$AV$156</f>
        <v>783.41667003234295</v>
      </c>
      <c r="O43" s="278">
        <f t="shared" si="7"/>
        <v>-0.10899452320130376</v>
      </c>
      <c r="P43" s="75"/>
      <c r="Q43" s="75"/>
      <c r="R43" s="75"/>
      <c r="S43" s="75"/>
      <c r="T43" s="75"/>
      <c r="U43" s="75"/>
      <c r="V43" s="75"/>
      <c r="W43" s="75"/>
      <c r="X43" s="75"/>
      <c r="Y43" s="75"/>
      <c r="Z43" s="75"/>
      <c r="AA43" s="75"/>
      <c r="AB43" s="286"/>
      <c r="AC43" s="109"/>
      <c r="AD43" s="284"/>
      <c r="AE43" s="106"/>
    </row>
    <row r="44" spans="1:31">
      <c r="A44" s="312" t="s">
        <v>914</v>
      </c>
      <c r="B44" s="311">
        <v>40908</v>
      </c>
      <c r="C44" s="126">
        <f>Operations!$AW$51</f>
        <v>741</v>
      </c>
      <c r="D44" s="127">
        <f t="shared" si="2"/>
        <v>-4.1397153945666232E-2</v>
      </c>
      <c r="E44" s="126">
        <f>Operations!$AW$116</f>
        <v>1711</v>
      </c>
      <c r="F44" s="127">
        <f t="shared" si="3"/>
        <v>7.0629782224838067E-3</v>
      </c>
      <c r="G44" s="126">
        <f>Operations!$AW$155</f>
        <v>770</v>
      </c>
      <c r="H44" s="127">
        <f t="shared" si="4"/>
        <v>-0.10672853828306261</v>
      </c>
      <c r="I44" s="126"/>
      <c r="J44" s="126">
        <f>Operations!$AW$44</f>
        <v>762.58206283322784</v>
      </c>
      <c r="K44" s="278">
        <f t="shared" si="8"/>
        <v>-3.9898452317560507E-2</v>
      </c>
      <c r="L44" s="126">
        <f>Operations!$AW$108</f>
        <v>1891.56</v>
      </c>
      <c r="M44" s="278">
        <f t="shared" si="6"/>
        <v>5.1687184483215631E-3</v>
      </c>
      <c r="N44" s="126">
        <f>Operations!$AW$156</f>
        <v>702.44499924875322</v>
      </c>
      <c r="O44" s="278">
        <f t="shared" si="7"/>
        <v>-0.1033570944823613</v>
      </c>
      <c r="P44" s="75"/>
      <c r="Q44" s="75"/>
      <c r="R44" s="75"/>
      <c r="S44" s="75"/>
      <c r="T44" s="75"/>
      <c r="U44" s="75"/>
      <c r="V44" s="75"/>
      <c r="W44" s="75"/>
      <c r="X44" s="75"/>
      <c r="Y44" s="75"/>
      <c r="Z44" s="75"/>
      <c r="AA44" s="75"/>
      <c r="AB44" s="75"/>
      <c r="AC44" s="75"/>
      <c r="AD44" s="75"/>
      <c r="AE44" s="75"/>
    </row>
    <row r="45" spans="1:31">
      <c r="A45" s="312" t="s">
        <v>610</v>
      </c>
      <c r="B45" s="311">
        <v>40999</v>
      </c>
      <c r="C45" s="126">
        <f>Operations!$AY$51</f>
        <v>764</v>
      </c>
      <c r="D45" s="127">
        <f t="shared" si="2"/>
        <v>3.1039136302294157E-2</v>
      </c>
      <c r="E45" s="126">
        <f>Operations!$AY$116</f>
        <v>1727</v>
      </c>
      <c r="F45" s="127">
        <f t="shared" si="3"/>
        <v>9.3512565751023846E-3</v>
      </c>
      <c r="G45" s="126">
        <f>Operations!$AY$155</f>
        <v>749</v>
      </c>
      <c r="H45" s="127">
        <f t="shared" si="4"/>
        <v>-2.7272727272727226E-2</v>
      </c>
      <c r="I45" s="126"/>
      <c r="J45" s="126">
        <f>Operations!$AY$44</f>
        <v>819.5288188281653</v>
      </c>
      <c r="K45" s="278">
        <f t="shared" si="8"/>
        <v>7.4676233248081703E-2</v>
      </c>
      <c r="L45" s="126">
        <f>Operations!$AY$108</f>
        <v>1853.9633333333331</v>
      </c>
      <c r="M45" s="278">
        <f t="shared" si="6"/>
        <v>-1.9876010629674368E-2</v>
      </c>
      <c r="N45" s="126">
        <f>Operations!$AY$156</f>
        <v>766.91024095006935</v>
      </c>
      <c r="O45" s="278">
        <f t="shared" si="7"/>
        <v>9.1772653759739198E-2</v>
      </c>
      <c r="P45" s="75"/>
      <c r="Q45" s="75"/>
      <c r="R45" s="75"/>
      <c r="S45" s="75"/>
      <c r="T45" s="75"/>
      <c r="U45" s="75"/>
      <c r="V45" s="75"/>
      <c r="W45" s="75"/>
      <c r="X45" s="75"/>
      <c r="Y45" s="75"/>
      <c r="Z45" s="75"/>
      <c r="AA45" s="75"/>
      <c r="AB45" s="75"/>
      <c r="AC45" s="75"/>
      <c r="AD45" s="75"/>
      <c r="AE45" s="75"/>
    </row>
    <row r="46" spans="1:31">
      <c r="A46" s="312" t="s">
        <v>611</v>
      </c>
      <c r="B46" s="311">
        <v>41090</v>
      </c>
      <c r="C46" s="126">
        <f>Operations!$AZ$51</f>
        <v>772</v>
      </c>
      <c r="D46" s="127">
        <f t="shared" si="2"/>
        <v>1.0471204188481575E-2</v>
      </c>
      <c r="E46" s="126">
        <f>Operations!$AZ$116</f>
        <v>1706</v>
      </c>
      <c r="F46" s="127">
        <f t="shared" si="3"/>
        <v>-1.2159814707585426E-2</v>
      </c>
      <c r="G46" s="126">
        <f>Operations!$AZ$155</f>
        <v>767</v>
      </c>
      <c r="H46" s="127">
        <f t="shared" si="4"/>
        <v>2.4032042723631575E-2</v>
      </c>
      <c r="I46" s="126"/>
      <c r="J46" s="126">
        <f>Operations!$AZ$44</f>
        <v>755.6215586359441</v>
      </c>
      <c r="K46" s="278">
        <f t="shared" si="8"/>
        <v>-7.7980491623957149E-2</v>
      </c>
      <c r="L46" s="126">
        <f>Operations!$AZ$108</f>
        <v>1800.8766666666666</v>
      </c>
      <c r="M46" s="278">
        <f t="shared" si="6"/>
        <v>-2.8634151340641401E-2</v>
      </c>
      <c r="N46" s="126">
        <f>Operations!$AZ$156</f>
        <v>742.74043367039781</v>
      </c>
      <c r="O46" s="278">
        <f t="shared" si="7"/>
        <v>-3.1515822829187079E-2</v>
      </c>
      <c r="P46" s="75"/>
      <c r="Q46" s="75"/>
      <c r="R46" s="75"/>
      <c r="S46" s="75"/>
      <c r="T46" s="75"/>
      <c r="U46" s="75"/>
      <c r="V46" s="75"/>
      <c r="W46" s="75"/>
      <c r="X46" s="75"/>
      <c r="Y46" s="75"/>
      <c r="Z46" s="75"/>
      <c r="AA46" s="75"/>
      <c r="AB46" s="75"/>
      <c r="AC46" s="75"/>
      <c r="AD46" s="75"/>
      <c r="AE46" s="75"/>
    </row>
    <row r="47" spans="1:31">
      <c r="A47" s="312" t="s">
        <v>612</v>
      </c>
      <c r="B47" s="311">
        <v>41182</v>
      </c>
      <c r="C47" s="126">
        <f>Operations!$BA$51</f>
        <v>741</v>
      </c>
      <c r="D47" s="127">
        <f t="shared" si="2"/>
        <v>-4.0155440414507804E-2</v>
      </c>
      <c r="E47" s="126">
        <f>Operations!$BA$116</f>
        <v>1676</v>
      </c>
      <c r="F47" s="127">
        <f t="shared" si="3"/>
        <v>-1.7584994138335253E-2</v>
      </c>
      <c r="G47" s="126">
        <f>Operations!$BA$155</f>
        <v>731</v>
      </c>
      <c r="H47" s="127">
        <f t="shared" si="4"/>
        <v>-4.6936114732724854E-2</v>
      </c>
      <c r="I47" s="126"/>
      <c r="J47" s="126">
        <f>Operations!$BA$44</f>
        <v>722.51130085257194</v>
      </c>
      <c r="K47" s="278">
        <f t="shared" si="8"/>
        <v>-4.3818572147601431E-2</v>
      </c>
      <c r="L47" s="126">
        <f>Operations!$BA$108</f>
        <v>1745.21</v>
      </c>
      <c r="M47" s="278">
        <f t="shared" si="6"/>
        <v>-3.0910871186810795E-2</v>
      </c>
      <c r="N47" s="126">
        <f>Operations!$BA$156</f>
        <v>676.19116354298069</v>
      </c>
      <c r="O47" s="278">
        <f t="shared" si="7"/>
        <v>-8.9599632806511953E-2</v>
      </c>
      <c r="P47" s="75"/>
      <c r="Q47" s="75"/>
      <c r="R47" s="75"/>
      <c r="S47" s="75"/>
      <c r="T47" s="75"/>
      <c r="U47" s="75"/>
      <c r="V47" s="75"/>
      <c r="W47" s="75"/>
      <c r="X47" s="75"/>
      <c r="Y47" s="75"/>
      <c r="Z47" s="75"/>
      <c r="AA47" s="75"/>
      <c r="AB47" s="75"/>
      <c r="AC47" s="75"/>
      <c r="AD47" s="75"/>
      <c r="AE47" s="75"/>
    </row>
    <row r="48" spans="1:31">
      <c r="A48" s="312" t="s">
        <v>63</v>
      </c>
      <c r="B48" s="311">
        <v>41274</v>
      </c>
      <c r="C48" s="126">
        <f>Operations!$BB$51</f>
        <v>721</v>
      </c>
      <c r="D48" s="127">
        <f t="shared" si="2"/>
        <v>-2.6990553306342813E-2</v>
      </c>
      <c r="E48" s="126">
        <f>Operations!$BB$116</f>
        <v>1624</v>
      </c>
      <c r="F48" s="127">
        <f t="shared" si="3"/>
        <v>-3.1026252983293534E-2</v>
      </c>
      <c r="G48" s="126">
        <f>Operations!$BB$155</f>
        <v>718</v>
      </c>
      <c r="H48" s="127">
        <f t="shared" si="4"/>
        <v>-1.7783857729138153E-2</v>
      </c>
      <c r="I48" s="126"/>
      <c r="J48" s="126">
        <f>Operations!$BB$44</f>
        <v>715.40935036087876</v>
      </c>
      <c r="K48" s="278">
        <f t="shared" si="8"/>
        <v>-9.8295355149640162E-3</v>
      </c>
      <c r="L48" s="126">
        <f>Operations!$BB$108</f>
        <v>1692.5666666666666</v>
      </c>
      <c r="M48" s="278">
        <f t="shared" si="6"/>
        <v>-3.016446922337912E-2</v>
      </c>
      <c r="N48" s="126">
        <f>Operations!$BB$156</f>
        <v>665.58495247276289</v>
      </c>
      <c r="O48" s="278">
        <f t="shared" si="7"/>
        <v>-1.5685225779416223E-2</v>
      </c>
      <c r="P48" s="75"/>
      <c r="Q48" s="75"/>
      <c r="R48" s="75"/>
      <c r="S48" s="75"/>
      <c r="T48" s="75"/>
      <c r="U48" s="75"/>
      <c r="V48" s="75"/>
      <c r="W48" s="75"/>
      <c r="X48" s="75"/>
      <c r="Y48" s="75"/>
      <c r="Z48" s="75"/>
      <c r="AA48" s="75"/>
      <c r="AB48" s="75"/>
      <c r="AC48" s="75"/>
      <c r="AD48" s="75"/>
      <c r="AE48" s="75"/>
    </row>
    <row r="49" spans="1:32">
      <c r="A49" s="312" t="s">
        <v>64</v>
      </c>
      <c r="B49" s="311">
        <v>41364</v>
      </c>
      <c r="C49" s="126">
        <f>Operations!$BD$51</f>
        <v>719</v>
      </c>
      <c r="D49" s="127">
        <f t="shared" si="2"/>
        <v>-2.7739251040221902E-3</v>
      </c>
      <c r="E49" s="126">
        <f>Operations!$BD$116</f>
        <v>1556</v>
      </c>
      <c r="F49" s="127">
        <f t="shared" si="3"/>
        <v>-4.1871921182266014E-2</v>
      </c>
      <c r="G49" s="126">
        <f>Operations!$BD$155</f>
        <v>718</v>
      </c>
      <c r="H49" s="127">
        <f t="shared" si="4"/>
        <v>0</v>
      </c>
      <c r="I49" s="126"/>
      <c r="J49" s="126">
        <f>Operations!$BD$44</f>
        <v>731.23059349032405</v>
      </c>
      <c r="K49" s="278">
        <f t="shared" si="8"/>
        <v>2.2114951560899376E-2</v>
      </c>
      <c r="L49" s="126">
        <f>Operations!$BD$108</f>
        <v>1645.8066666666668</v>
      </c>
      <c r="M49" s="278">
        <f t="shared" si="6"/>
        <v>-2.7626681371486939E-2</v>
      </c>
      <c r="N49" s="126">
        <f>Operations!$BD$156</f>
        <v>699.60183579545298</v>
      </c>
      <c r="O49" s="278">
        <f t="shared" si="7"/>
        <v>5.1108251766076584E-2</v>
      </c>
      <c r="P49" s="75"/>
      <c r="Q49" s="75"/>
      <c r="R49" s="75"/>
      <c r="S49" s="75"/>
      <c r="T49" s="75"/>
      <c r="U49" s="75"/>
      <c r="V49" s="75"/>
      <c r="W49" s="75"/>
      <c r="X49" s="75"/>
      <c r="Y49" s="75"/>
      <c r="Z49" s="75"/>
      <c r="AA49" s="75"/>
      <c r="AB49" s="75"/>
      <c r="AC49" s="75"/>
      <c r="AD49" s="75"/>
      <c r="AE49" s="75"/>
    </row>
    <row r="50" spans="1:32">
      <c r="A50" s="312" t="s">
        <v>65</v>
      </c>
      <c r="B50" s="311">
        <v>41455</v>
      </c>
      <c r="C50" s="126">
        <f>Operations!$BE$51</f>
        <v>725</v>
      </c>
      <c r="D50" s="127">
        <f t="shared" si="2"/>
        <v>8.3449235048678183E-3</v>
      </c>
      <c r="E50" s="126">
        <f>Operations!$BE$116</f>
        <v>1510</v>
      </c>
      <c r="F50" s="127">
        <f t="shared" si="3"/>
        <v>-2.9562982005141403E-2</v>
      </c>
      <c r="G50" s="126">
        <f>Operations!$BE$155</f>
        <v>702</v>
      </c>
      <c r="H50" s="127">
        <f t="shared" si="4"/>
        <v>-2.2284122562674091E-2</v>
      </c>
      <c r="I50" s="126"/>
      <c r="J50" s="126">
        <f>Operations!$BE$44</f>
        <v>702.75760489847903</v>
      </c>
      <c r="K50" s="278">
        <f t="shared" si="8"/>
        <v>-3.8938453677022977E-2</v>
      </c>
      <c r="L50" s="126">
        <f>Operations!$BE$108</f>
        <v>1590.7933333333333</v>
      </c>
      <c r="M50" s="278">
        <f t="shared" si="6"/>
        <v>-3.3426364376536899E-2</v>
      </c>
      <c r="N50" s="126">
        <f>Operations!$BE$156</f>
        <v>637.57242381222954</v>
      </c>
      <c r="O50" s="278">
        <f t="shared" si="7"/>
        <v>-8.8663878236819538E-2</v>
      </c>
      <c r="P50" s="75"/>
      <c r="Q50" s="75"/>
      <c r="R50" s="75"/>
      <c r="S50" s="75"/>
      <c r="T50" s="75"/>
      <c r="U50" s="75"/>
      <c r="V50" s="75"/>
      <c r="W50" s="75"/>
      <c r="X50" s="75"/>
      <c r="Y50" s="75"/>
      <c r="Z50" s="75"/>
      <c r="AA50" s="75"/>
      <c r="AB50" s="75"/>
      <c r="AC50" s="75"/>
      <c r="AD50" s="75"/>
      <c r="AE50" s="75"/>
    </row>
    <row r="51" spans="1:32">
      <c r="A51" s="312" t="s">
        <v>66</v>
      </c>
      <c r="B51" s="311">
        <v>41547</v>
      </c>
      <c r="C51" s="126">
        <f>Operations!$BF$51</f>
        <v>752</v>
      </c>
      <c r="D51" s="127">
        <f t="shared" si="2"/>
        <v>3.7241379310344769E-2</v>
      </c>
      <c r="E51" s="126">
        <f>Operations!$BF$116</f>
        <v>1543</v>
      </c>
      <c r="F51" s="127">
        <f t="shared" si="3"/>
        <v>2.1854304635761546E-2</v>
      </c>
      <c r="G51" s="126">
        <f>Operations!$BF$155</f>
        <v>714</v>
      </c>
      <c r="H51" s="127">
        <f t="shared" si="4"/>
        <v>1.7094017094017033E-2</v>
      </c>
      <c r="I51" s="126"/>
      <c r="J51" s="126">
        <f>Operations!$BF$44</f>
        <v>753.73382520640951</v>
      </c>
      <c r="K51" s="278">
        <f t="shared" si="8"/>
        <v>7.2537415394166471E-2</v>
      </c>
      <c r="L51" s="126">
        <f>Operations!$BF$108</f>
        <v>1551.4933333333331</v>
      </c>
      <c r="M51" s="278">
        <f t="shared" si="6"/>
        <v>-2.4704654700589801E-2</v>
      </c>
      <c r="N51" s="126">
        <f>Operations!$BF$156</f>
        <v>619.74610026334665</v>
      </c>
      <c r="O51" s="278">
        <f t="shared" si="7"/>
        <v>-2.795968408152627E-2</v>
      </c>
      <c r="P51" s="75"/>
      <c r="Q51" s="75"/>
      <c r="R51" s="75"/>
      <c r="S51" s="75"/>
      <c r="T51" s="75"/>
      <c r="U51" s="75"/>
      <c r="V51" s="75"/>
      <c r="W51" s="75"/>
      <c r="X51" s="75"/>
      <c r="Y51" s="75"/>
      <c r="Z51" s="75"/>
      <c r="AA51" s="75"/>
      <c r="AB51" s="75"/>
      <c r="AC51" s="75"/>
      <c r="AD51" s="75"/>
      <c r="AE51" s="75"/>
    </row>
    <row r="52" spans="1:32">
      <c r="A52" s="312" t="s">
        <v>67</v>
      </c>
      <c r="B52" s="311">
        <v>41639</v>
      </c>
      <c r="C52" s="126">
        <f>Operations!$BG$51</f>
        <v>750</v>
      </c>
      <c r="D52" s="127">
        <f t="shared" si="2"/>
        <v>-2.6595744680850686E-3</v>
      </c>
      <c r="E52" s="126">
        <f>Operations!$BG$116</f>
        <v>1509</v>
      </c>
      <c r="F52" s="127">
        <f t="shared" si="3"/>
        <v>-2.2034996759559333E-2</v>
      </c>
      <c r="G52" s="126">
        <f>Operations!$BG$155</f>
        <v>692</v>
      </c>
      <c r="H52" s="127">
        <f t="shared" si="4"/>
        <v>-3.081232492997199E-2</v>
      </c>
      <c r="I52" s="126"/>
      <c r="J52" s="126">
        <f>Operations!$BG$44</f>
        <v>773.597043560006</v>
      </c>
      <c r="K52" s="278">
        <f t="shared" si="8"/>
        <v>2.6353094009224032E-2</v>
      </c>
      <c r="L52" s="126">
        <f>Operations!$BG$108</f>
        <v>1555.1666666666667</v>
      </c>
      <c r="M52" s="278">
        <f t="shared" si="6"/>
        <v>2.3676114195356757E-3</v>
      </c>
      <c r="N52" s="126">
        <f>Operations!$BG$156</f>
        <v>652.22653814022942</v>
      </c>
      <c r="O52" s="278">
        <f t="shared" si="7"/>
        <v>5.2409265444479658E-2</v>
      </c>
      <c r="P52" s="75"/>
      <c r="Q52" s="75"/>
      <c r="R52" s="75"/>
      <c r="S52" s="75"/>
      <c r="T52" s="75"/>
      <c r="U52" s="75"/>
      <c r="V52" s="75"/>
      <c r="W52" s="75"/>
      <c r="X52" s="75"/>
      <c r="Y52" s="75"/>
      <c r="Z52" s="75"/>
      <c r="AA52" s="75"/>
      <c r="AB52" s="75"/>
      <c r="AC52" s="75"/>
      <c r="AD52" s="75"/>
      <c r="AE52" s="75"/>
    </row>
    <row r="53" spans="1:32">
      <c r="A53" s="312" t="s">
        <v>68</v>
      </c>
      <c r="B53" s="311">
        <v>41729</v>
      </c>
      <c r="C53" s="126">
        <f>Operations!$BI$51</f>
        <v>761</v>
      </c>
      <c r="D53" s="127">
        <f t="shared" si="2"/>
        <v>1.4666666666666606E-2</v>
      </c>
      <c r="E53" s="126">
        <f>Operations!$BI$116</f>
        <v>1479</v>
      </c>
      <c r="F53" s="127">
        <f t="shared" si="3"/>
        <v>-1.9880715705765439E-2</v>
      </c>
      <c r="G53" s="126">
        <f>Operations!$BI$155</f>
        <v>710</v>
      </c>
      <c r="H53" s="127">
        <f t="shared" si="4"/>
        <v>2.6011560693641522E-2</v>
      </c>
      <c r="I53" s="126"/>
      <c r="J53" s="126">
        <f>Operations!$BI$44</f>
        <v>775.21966539997106</v>
      </c>
      <c r="K53" s="278">
        <f t="shared" si="8"/>
        <v>2.0975026384510986E-3</v>
      </c>
      <c r="L53" s="126">
        <f>Operations!$BI$108</f>
        <v>1534.7866666666666</v>
      </c>
      <c r="M53" s="278">
        <f t="shared" si="6"/>
        <v>-1.3104704747615492E-2</v>
      </c>
      <c r="N53" s="126">
        <f>Operations!$BI$156</f>
        <v>650.17156045240688</v>
      </c>
      <c r="O53" s="278">
        <f t="shared" si="7"/>
        <v>-3.1507115513609296E-3</v>
      </c>
      <c r="P53" s="75"/>
      <c r="Q53" s="75"/>
      <c r="R53" s="75"/>
      <c r="S53" s="75"/>
      <c r="T53" s="75"/>
      <c r="U53" s="75"/>
      <c r="V53" s="75"/>
      <c r="W53" s="75"/>
      <c r="X53" s="75"/>
      <c r="Y53" s="75"/>
      <c r="Z53" s="75"/>
      <c r="AA53" s="75"/>
      <c r="AB53" s="75"/>
      <c r="AC53" s="75"/>
      <c r="AD53" s="75"/>
      <c r="AE53" s="75"/>
    </row>
    <row r="54" spans="1:32">
      <c r="A54" s="312" t="s">
        <v>69</v>
      </c>
      <c r="B54" s="311">
        <v>41820</v>
      </c>
      <c r="C54" s="126">
        <f>Operations!$BJ$51</f>
        <v>774</v>
      </c>
      <c r="D54" s="127">
        <f t="shared" si="2"/>
        <v>1.7082785808147261E-2</v>
      </c>
      <c r="E54" s="126">
        <f>Operations!$BJ$116</f>
        <v>1479</v>
      </c>
      <c r="F54" s="127">
        <f t="shared" si="3"/>
        <v>0</v>
      </c>
      <c r="G54" s="126">
        <f>Operations!$BJ$155</f>
        <v>691</v>
      </c>
      <c r="H54" s="127">
        <f t="shared" si="4"/>
        <v>-2.6760563380281654E-2</v>
      </c>
      <c r="I54" s="126"/>
      <c r="J54" s="126">
        <f>Operations!$BJ$44</f>
        <v>796.99420683664914</v>
      </c>
      <c r="K54" s="278">
        <f t="shared" si="8"/>
        <v>2.8088221195270657E-2</v>
      </c>
      <c r="L54" s="126">
        <f>Operations!$BJ$108</f>
        <v>1562.7633333333331</v>
      </c>
      <c r="M54" s="278">
        <f t="shared" si="6"/>
        <v>1.8228374844712292E-2</v>
      </c>
      <c r="N54" s="126">
        <f>Operations!$BJ$156</f>
        <v>622.84038199610598</v>
      </c>
      <c r="O54" s="278">
        <f t="shared" si="7"/>
        <v>-4.2036871679350551E-2</v>
      </c>
      <c r="P54" s="75"/>
      <c r="Q54" s="75"/>
      <c r="R54" s="75"/>
      <c r="S54" s="75"/>
      <c r="T54" s="75"/>
      <c r="U54" s="75"/>
      <c r="V54" s="75"/>
      <c r="W54" s="75"/>
      <c r="X54" s="91">
        <f t="shared" ref="X54:X57" si="9">0.38*J54+0.31*J53+0.29*J50</f>
        <v>746.97560029247654</v>
      </c>
      <c r="Y54" s="109">
        <f t="shared" ref="Y54:Y57" si="10">162+0.27*J54+0.27*J53+0.21*J50</f>
        <v>734.07684253256809</v>
      </c>
      <c r="Z54" s="109">
        <f t="shared" ref="Z54:Z57" si="11">+C54</f>
        <v>774</v>
      </c>
      <c r="AA54" s="109">
        <f>+Z54-Y54</f>
        <v>39.923157467431906</v>
      </c>
      <c r="AB54" s="75"/>
      <c r="AC54" s="75"/>
      <c r="AD54" s="75"/>
      <c r="AE54" s="75"/>
    </row>
    <row r="55" spans="1:32">
      <c r="A55" s="312" t="s">
        <v>70</v>
      </c>
      <c r="B55" s="311">
        <v>41912</v>
      </c>
      <c r="C55" s="126">
        <f>Operations!$BK$51</f>
        <v>777</v>
      </c>
      <c r="D55" s="127">
        <f t="shared" si="2"/>
        <v>3.8759689922480689E-3</v>
      </c>
      <c r="E55" s="126">
        <f>Operations!$BK$116</f>
        <v>1567</v>
      </c>
      <c r="F55" s="127">
        <f t="shared" si="3"/>
        <v>5.9499661933739123E-2</v>
      </c>
      <c r="G55" s="126">
        <f>Operations!$BK$155</f>
        <v>671</v>
      </c>
      <c r="H55" s="127">
        <f t="shared" si="4"/>
        <v>-2.8943560057887119E-2</v>
      </c>
      <c r="I55" s="126"/>
      <c r="J55" s="126">
        <f>Operations!$BK$44</f>
        <v>790.99805578076473</v>
      </c>
      <c r="K55" s="278">
        <f t="shared" si="8"/>
        <v>-7.5234562616003364E-3</v>
      </c>
      <c r="L55" s="126">
        <f>Operations!$BK$108</f>
        <v>1667.7833333333331</v>
      </c>
      <c r="M55" s="278">
        <f t="shared" si="6"/>
        <v>6.7201474311529452E-2</v>
      </c>
      <c r="N55" s="126">
        <f>Operations!$BK$156</f>
        <v>593.29655409869497</v>
      </c>
      <c r="O55" s="278">
        <f t="shared" si="7"/>
        <v>-4.7434027644013166E-2</v>
      </c>
      <c r="P55" s="75"/>
      <c r="Q55" s="75"/>
      <c r="R55" s="75"/>
      <c r="S55" s="75"/>
      <c r="T55" s="75"/>
      <c r="U55" s="75"/>
      <c r="V55" s="75"/>
      <c r="W55" s="75"/>
      <c r="X55" s="91">
        <f t="shared" si="9"/>
        <v>766.23027462591051</v>
      </c>
      <c r="Y55" s="109">
        <f t="shared" si="10"/>
        <v>749.04201420004779</v>
      </c>
      <c r="Z55" s="109">
        <f t="shared" si="11"/>
        <v>777</v>
      </c>
      <c r="AA55" s="109">
        <f t="shared" ref="AA55:AA67" si="12">+Z55-Y55</f>
        <v>27.957985799952212</v>
      </c>
      <c r="AB55" s="75"/>
      <c r="AC55" s="75"/>
      <c r="AD55" s="109">
        <f t="shared" ref="AD55:AD65" si="13">130+0.54*N55+0.33*N54</f>
        <v>655.9174652720103</v>
      </c>
      <c r="AE55" s="109">
        <f t="shared" ref="AE55:AE65" si="14">+G55</f>
        <v>671</v>
      </c>
    </row>
    <row r="56" spans="1:32">
      <c r="A56" s="312" t="s">
        <v>71</v>
      </c>
      <c r="B56" s="311">
        <v>42004</v>
      </c>
      <c r="C56" s="126">
        <f>Operations!$BL$51</f>
        <v>775</v>
      </c>
      <c r="D56" s="127">
        <f t="shared" si="2"/>
        <v>-2.5740025740025319E-3</v>
      </c>
      <c r="E56" s="126">
        <f>Operations!$BL$116</f>
        <v>1625</v>
      </c>
      <c r="F56" s="127">
        <f t="shared" si="3"/>
        <v>3.7013401403956703E-2</v>
      </c>
      <c r="G56" s="126">
        <f>Operations!$BL$155</f>
        <v>600</v>
      </c>
      <c r="H56" s="127">
        <f t="shared" si="4"/>
        <v>-0.10581222056631889</v>
      </c>
      <c r="I56" s="126"/>
      <c r="J56" s="126">
        <f>Operations!$BL$44</f>
        <v>756.80912737721212</v>
      </c>
      <c r="K56" s="278">
        <f t="shared" si="8"/>
        <v>-4.3222518884456718E-2</v>
      </c>
      <c r="L56" s="126">
        <f>Operations!$BL$108</f>
        <v>1758.4766666666667</v>
      </c>
      <c r="M56" s="278">
        <f t="shared" si="6"/>
        <v>5.4379565690987119E-2</v>
      </c>
      <c r="N56" s="126">
        <f>Operations!$BL$156</f>
        <v>552.81057345979195</v>
      </c>
      <c r="O56" s="278">
        <f t="shared" si="7"/>
        <v>-6.8239028794642498E-2</v>
      </c>
      <c r="P56" s="75"/>
      <c r="Q56" s="75"/>
      <c r="R56" s="75"/>
      <c r="S56" s="75"/>
      <c r="T56" s="75"/>
      <c r="U56" s="75"/>
      <c r="V56" s="75"/>
      <c r="W56" s="75"/>
      <c r="X56" s="91">
        <f t="shared" si="9"/>
        <v>757.14000832777936</v>
      </c>
      <c r="Y56" s="109">
        <f t="shared" si="10"/>
        <v>742.36331860025507</v>
      </c>
      <c r="Z56" s="109">
        <f t="shared" si="11"/>
        <v>775</v>
      </c>
      <c r="AA56" s="109">
        <f t="shared" si="12"/>
        <v>32.63668139974493</v>
      </c>
      <c r="AB56" s="75"/>
      <c r="AC56" s="75"/>
      <c r="AD56" s="109">
        <f t="shared" si="13"/>
        <v>624.30557252085703</v>
      </c>
      <c r="AE56" s="109">
        <f t="shared" si="14"/>
        <v>600</v>
      </c>
    </row>
    <row r="57" spans="1:32">
      <c r="A57" s="312" t="s">
        <v>72</v>
      </c>
      <c r="B57" s="311">
        <v>42094</v>
      </c>
      <c r="C57" s="126">
        <f>Operations!$BN$51</f>
        <v>768</v>
      </c>
      <c r="D57" s="127">
        <f t="shared" si="2"/>
        <v>-9.0322580645161299E-3</v>
      </c>
      <c r="E57" s="126">
        <f>Operations!$BN$116</f>
        <v>1637</v>
      </c>
      <c r="F57" s="127">
        <f t="shared" si="3"/>
        <v>7.3846153846153229E-3</v>
      </c>
      <c r="G57" s="126">
        <f>Operations!$BN$155</f>
        <v>530</v>
      </c>
      <c r="H57" s="127">
        <f t="shared" si="4"/>
        <v>-0.1166666666666667</v>
      </c>
      <c r="I57" s="126"/>
      <c r="J57" s="126">
        <f>Operations!$BN$44</f>
        <v>666.64816524035336</v>
      </c>
      <c r="K57" s="278">
        <f t="shared" si="8"/>
        <v>-0.11913302690906946</v>
      </c>
      <c r="L57" s="126">
        <f>Operations!$BN$108</f>
        <v>1608.2933333333333</v>
      </c>
      <c r="M57" s="278">
        <f t="shared" si="6"/>
        <v>-8.5405360321338719E-2</v>
      </c>
      <c r="N57" s="126">
        <f>Operations!$BN$156</f>
        <v>490.99293751091062</v>
      </c>
      <c r="O57" s="278">
        <f t="shared" si="7"/>
        <v>-0.11182426479651542</v>
      </c>
      <c r="P57" s="75"/>
      <c r="Q57" s="75"/>
      <c r="R57" s="75"/>
      <c r="S57" s="75"/>
      <c r="T57" s="75"/>
      <c r="U57" s="75"/>
      <c r="V57" s="75"/>
      <c r="W57" s="75"/>
      <c r="X57" s="91">
        <f t="shared" si="9"/>
        <v>712.75083524426168</v>
      </c>
      <c r="Y57" s="109">
        <f t="shared" si="10"/>
        <v>709.12959874073658</v>
      </c>
      <c r="Z57" s="109">
        <f t="shared" si="11"/>
        <v>768</v>
      </c>
      <c r="AA57" s="109">
        <f t="shared" si="12"/>
        <v>58.870401259263417</v>
      </c>
      <c r="AB57" s="75"/>
      <c r="AC57" s="75"/>
      <c r="AD57" s="109">
        <f t="shared" si="13"/>
        <v>577.56367549762308</v>
      </c>
      <c r="AE57" s="109">
        <f t="shared" si="14"/>
        <v>530</v>
      </c>
    </row>
    <row r="58" spans="1:32">
      <c r="A58" s="312" t="s">
        <v>73</v>
      </c>
      <c r="B58" s="612">
        <v>42185</v>
      </c>
      <c r="C58" s="126">
        <f>Operations!$BO$51</f>
        <v>695</v>
      </c>
      <c r="D58" s="127">
        <f t="shared" si="2"/>
        <v>-9.505208333333337E-2</v>
      </c>
      <c r="E58" s="126">
        <f>Operations!$BO$116</f>
        <v>1651</v>
      </c>
      <c r="F58" s="127">
        <f t="shared" si="3"/>
        <v>8.5522296884545934E-3</v>
      </c>
      <c r="G58" s="126">
        <f>Operations!$BO$155</f>
        <v>533</v>
      </c>
      <c r="H58" s="127">
        <f t="shared" si="4"/>
        <v>5.6603773584906758E-3</v>
      </c>
      <c r="I58" s="128"/>
      <c r="J58" s="126">
        <f>Operations!$BO$44</f>
        <v>572.74152080652971</v>
      </c>
      <c r="K58" s="613">
        <f t="shared" si="8"/>
        <v>-0.14086387592466643</v>
      </c>
      <c r="L58" s="126">
        <f>Operations!$BO$108</f>
        <v>1435.7466666666667</v>
      </c>
      <c r="M58" s="613">
        <f t="shared" si="6"/>
        <v>-0.10728556979655446</v>
      </c>
      <c r="N58" s="126">
        <f>Operations!$BO$156</f>
        <v>466.67497178063797</v>
      </c>
      <c r="O58" s="613">
        <f t="shared" si="7"/>
        <v>-4.9528137519762705E-2</v>
      </c>
      <c r="P58" s="75"/>
      <c r="Q58" s="75"/>
      <c r="R58" s="75"/>
      <c r="S58" s="75"/>
      <c r="T58" s="75"/>
      <c r="U58" s="75"/>
      <c r="V58" s="75"/>
      <c r="W58" s="75"/>
      <c r="X58" s="91">
        <f t="shared" ref="X58:X67" si="15">0.38*J58+0.31*J57+0.29*J54</f>
        <v>655.43102911361905</v>
      </c>
      <c r="Y58" s="109">
        <f t="shared" ref="Y58:Y60" si="16">162+0.27*J58+0.27*J57+0.21*J54</f>
        <v>664.00399866835471</v>
      </c>
      <c r="Z58" s="109">
        <f t="shared" ref="Z58:Z67" si="17">+C58</f>
        <v>695</v>
      </c>
      <c r="AA58" s="109">
        <f t="shared" si="12"/>
        <v>30.996001331645289</v>
      </c>
      <c r="AB58" s="75"/>
      <c r="AC58" s="75"/>
      <c r="AD58" s="109">
        <f t="shared" si="13"/>
        <v>544.03215414014505</v>
      </c>
      <c r="AE58" s="109">
        <f t="shared" si="14"/>
        <v>533</v>
      </c>
    </row>
    <row r="59" spans="1:32">
      <c r="A59" s="312" t="s">
        <v>74</v>
      </c>
      <c r="B59" s="612">
        <v>42277</v>
      </c>
      <c r="C59" s="128">
        <f>Operations!$BP$51</f>
        <v>674</v>
      </c>
      <c r="D59" s="680">
        <f t="shared" si="2"/>
        <v>-3.0215827338129442E-2</v>
      </c>
      <c r="E59" s="128">
        <f>Operations!$BP$116</f>
        <v>1264</v>
      </c>
      <c r="F59" s="680">
        <f t="shared" si="3"/>
        <v>-0.23440339188370685</v>
      </c>
      <c r="G59" s="128">
        <f>Operations!$BP$155</f>
        <v>516</v>
      </c>
      <c r="H59" s="680">
        <f t="shared" si="4"/>
        <v>-3.1894934333958735E-2</v>
      </c>
      <c r="I59" s="128"/>
      <c r="J59" s="126">
        <f>Operations!$BP$44</f>
        <v>578.68941136343039</v>
      </c>
      <c r="K59" s="613">
        <f t="shared" si="8"/>
        <v>1.0384947381717469E-2</v>
      </c>
      <c r="L59" s="126">
        <f>Operations!$BP$108</f>
        <v>1307.0233333333333</v>
      </c>
      <c r="M59" s="613">
        <f t="shared" si="6"/>
        <v>-8.9656021025064758E-2</v>
      </c>
      <c r="N59" s="126">
        <f>Operations!$BP$156</f>
        <v>438.71780549192977</v>
      </c>
      <c r="O59" s="613">
        <f t="shared" si="7"/>
        <v>-5.9907147327904142E-2</v>
      </c>
      <c r="P59" s="75"/>
      <c r="Q59" s="75"/>
      <c r="R59" s="75"/>
      <c r="S59" s="75"/>
      <c r="T59" s="75"/>
      <c r="U59" s="75"/>
      <c r="V59" s="75"/>
      <c r="W59" s="75"/>
      <c r="X59" s="91">
        <f t="shared" si="15"/>
        <v>626.84128394454956</v>
      </c>
      <c r="Y59" s="109">
        <f t="shared" si="16"/>
        <v>638.99594339984992</v>
      </c>
      <c r="Z59" s="109">
        <f t="shared" si="17"/>
        <v>674</v>
      </c>
      <c r="AA59" s="109">
        <f t="shared" si="12"/>
        <v>35.004056600150079</v>
      </c>
      <c r="AB59" s="75"/>
      <c r="AC59" s="75"/>
      <c r="AD59" s="109">
        <f t="shared" si="13"/>
        <v>520.91035565325262</v>
      </c>
      <c r="AE59" s="109">
        <f t="shared" si="14"/>
        <v>516</v>
      </c>
    </row>
    <row r="60" spans="1:32">
      <c r="A60" s="312" t="s">
        <v>75</v>
      </c>
      <c r="B60" s="612">
        <v>42369</v>
      </c>
      <c r="C60" s="128">
        <f>Operations!$BQ$51</f>
        <v>642</v>
      </c>
      <c r="D60" s="680">
        <f t="shared" si="2"/>
        <v>-4.7477744807121636E-2</v>
      </c>
      <c r="E60" s="128">
        <f>Operations!$BQ$116</f>
        <v>1273</v>
      </c>
      <c r="F60" s="680">
        <f t="shared" si="3"/>
        <v>7.1202531645568889E-3</v>
      </c>
      <c r="G60" s="128">
        <f>Operations!$BQ$155</f>
        <v>477</v>
      </c>
      <c r="H60" s="680">
        <f t="shared" si="4"/>
        <v>-7.5581395348837233E-2</v>
      </c>
      <c r="I60" s="128"/>
      <c r="J60" s="126">
        <f>Operations!$BQ$44</f>
        <v>505.09714965731962</v>
      </c>
      <c r="K60" s="613">
        <f t="shared" si="8"/>
        <v>-0.12717056898055656</v>
      </c>
      <c r="L60" s="126">
        <f>Operations!$BQ$108</f>
        <v>1189.6766666666665</v>
      </c>
      <c r="M60" s="613">
        <f t="shared" si="6"/>
        <v>-8.9781615732440478E-2</v>
      </c>
      <c r="N60" s="126">
        <f>Operations!$BQ$156</f>
        <v>385.1808332498041</v>
      </c>
      <c r="O60" s="613">
        <f t="shared" si="7"/>
        <v>-0.12203054348818876</v>
      </c>
      <c r="P60" s="75"/>
      <c r="Q60" s="75"/>
      <c r="R60" s="75"/>
      <c r="S60" s="75"/>
      <c r="T60" s="75"/>
      <c r="U60" s="75"/>
      <c r="V60" s="75"/>
      <c r="W60" s="75"/>
      <c r="X60" s="91">
        <f t="shared" si="15"/>
        <v>590.80528133183634</v>
      </c>
      <c r="Y60" s="109">
        <f t="shared" si="16"/>
        <v>613.55228822481706</v>
      </c>
      <c r="Z60" s="109">
        <f t="shared" si="17"/>
        <v>642</v>
      </c>
      <c r="AA60" s="109">
        <f t="shared" si="12"/>
        <v>28.447711775182938</v>
      </c>
      <c r="AB60" s="75"/>
      <c r="AC60" s="75"/>
      <c r="AD60" s="109">
        <f t="shared" si="13"/>
        <v>482.77452576723101</v>
      </c>
      <c r="AE60" s="109">
        <f t="shared" si="14"/>
        <v>477</v>
      </c>
      <c r="AF60" s="874">
        <f t="shared" ref="AF60:AF67" si="18">+AD60-AE60</f>
        <v>5.7745257672310117</v>
      </c>
    </row>
    <row r="61" spans="1:32">
      <c r="A61" s="312" t="s">
        <v>884</v>
      </c>
      <c r="B61" s="612">
        <v>42460</v>
      </c>
      <c r="C61" s="128">
        <f>Operations!$BS$51</f>
        <v>611</v>
      </c>
      <c r="D61" s="680">
        <f t="shared" si="2"/>
        <v>-4.8286604361370666E-2</v>
      </c>
      <c r="E61" s="128">
        <f>Operations!$BS$116</f>
        <v>1180</v>
      </c>
      <c r="F61" s="680">
        <f t="shared" si="3"/>
        <v>-7.3055773762765175E-2</v>
      </c>
      <c r="G61" s="128">
        <f>Operations!$BS$155</f>
        <v>458</v>
      </c>
      <c r="H61" s="680">
        <f t="shared" si="4"/>
        <v>-3.9832285115304011E-2</v>
      </c>
      <c r="I61" s="128"/>
      <c r="J61" s="126">
        <f>Operations!$BS$44</f>
        <v>546.65550888242751</v>
      </c>
      <c r="K61" s="613">
        <f t="shared" ref="K61" si="19">J61/J60-1</f>
        <v>8.2277952376692109E-2</v>
      </c>
      <c r="L61" s="126">
        <f>Operations!$BS$108</f>
        <v>1118.4633333333334</v>
      </c>
      <c r="M61" s="613">
        <f t="shared" ref="M61" si="20">L61/L60-1</f>
        <v>-5.9859401574096971E-2</v>
      </c>
      <c r="N61" s="126">
        <f>Operations!$BS$156</f>
        <v>385.59690208538569</v>
      </c>
      <c r="O61" s="613">
        <f t="shared" ref="O61" si="21">N61/N60-1</f>
        <v>1.0801909120741193E-3</v>
      </c>
      <c r="P61" s="75"/>
      <c r="Q61" s="75"/>
      <c r="R61" s="75"/>
      <c r="S61" s="75"/>
      <c r="T61" s="75"/>
      <c r="U61" s="75"/>
      <c r="V61" s="75"/>
      <c r="W61" s="75"/>
      <c r="X61" s="91">
        <f t="shared" si="15"/>
        <v>557.63717768879405</v>
      </c>
      <c r="Y61" s="109">
        <f t="shared" ref="Y61:Y67" si="22">162+0.27*J61+0.27*J60+0.21*J57</f>
        <v>585.969332506206</v>
      </c>
      <c r="Z61" s="109">
        <f t="shared" si="17"/>
        <v>611</v>
      </c>
      <c r="AA61" s="109">
        <f t="shared" si="12"/>
        <v>25.030667493793999</v>
      </c>
      <c r="AB61" s="75"/>
      <c r="AC61" s="75"/>
      <c r="AD61" s="109">
        <f t="shared" si="13"/>
        <v>465.33200209854368</v>
      </c>
      <c r="AE61" s="109">
        <f t="shared" si="14"/>
        <v>458</v>
      </c>
      <c r="AF61" s="874">
        <f t="shared" si="18"/>
        <v>7.3320020985436827</v>
      </c>
    </row>
    <row r="62" spans="1:32">
      <c r="A62" s="312" t="s">
        <v>885</v>
      </c>
      <c r="B62" s="311">
        <v>42551</v>
      </c>
      <c r="C62" s="128">
        <f>Operations!$BT$51</f>
        <v>642</v>
      </c>
      <c r="D62" s="680">
        <f>C62/C61-1</f>
        <v>5.0736497545008197E-2</v>
      </c>
      <c r="E62" s="128">
        <f>Operations!$BT$116</f>
        <v>1050</v>
      </c>
      <c r="F62" s="680">
        <f>E62/E61-1</f>
        <v>-0.11016949152542377</v>
      </c>
      <c r="G62" s="128">
        <f>Operations!$BT$155</f>
        <v>485</v>
      </c>
      <c r="H62" s="680">
        <f>G62/G61-1</f>
        <v>5.8951965065502154E-2</v>
      </c>
      <c r="I62" s="128"/>
      <c r="J62" s="126">
        <f>Operations!$BT$44</f>
        <v>734.84986101071013</v>
      </c>
      <c r="K62" s="613">
        <f t="shared" ref="K62:K68" si="23">J62/J61-1</f>
        <v>0.34426498785866744</v>
      </c>
      <c r="L62" s="126">
        <f>Operations!$BT$108</f>
        <v>1078.0333333333335</v>
      </c>
      <c r="M62" s="613">
        <f t="shared" ref="M62:M68" si="24">L62/L61-1</f>
        <v>-3.6147809941616149E-2</v>
      </c>
      <c r="N62" s="126">
        <f>Operations!$BT$156</f>
        <v>485.62448045557727</v>
      </c>
      <c r="O62" s="613">
        <f t="shared" ref="O62:O68" si="25">N62/N61-1</f>
        <v>0.25940970435504607</v>
      </c>
      <c r="P62" s="75"/>
      <c r="Q62" s="75"/>
      <c r="R62" s="75"/>
      <c r="S62" s="75"/>
      <c r="T62" s="75"/>
      <c r="U62" s="75"/>
      <c r="V62" s="75"/>
      <c r="W62" s="75"/>
      <c r="X62" s="91">
        <f t="shared" si="15"/>
        <v>614.80119597151599</v>
      </c>
      <c r="Y62" s="109">
        <f t="shared" si="22"/>
        <v>628.28216924051844</v>
      </c>
      <c r="Z62" s="109">
        <f t="shared" si="17"/>
        <v>642</v>
      </c>
      <c r="AA62" s="109">
        <f t="shared" si="12"/>
        <v>13.717830759481558</v>
      </c>
      <c r="AB62" s="75"/>
      <c r="AC62" s="75"/>
      <c r="AD62" s="109">
        <f t="shared" si="13"/>
        <v>519.484197134189</v>
      </c>
      <c r="AE62" s="109">
        <f t="shared" si="14"/>
        <v>485</v>
      </c>
      <c r="AF62" s="874">
        <f t="shared" si="18"/>
        <v>34.484197134189003</v>
      </c>
    </row>
    <row r="63" spans="1:32">
      <c r="A63" s="312" t="s">
        <v>886</v>
      </c>
      <c r="B63" s="311">
        <v>42643</v>
      </c>
      <c r="C63" s="128">
        <f>Operations!$BU$51</f>
        <v>718</v>
      </c>
      <c r="D63" s="680">
        <f>C63/C62-1</f>
        <v>0.11838006230529596</v>
      </c>
      <c r="E63" s="128">
        <f>Operations!$BU$116</f>
        <v>1049</v>
      </c>
      <c r="F63" s="680">
        <f>E63/E62-1</f>
        <v>-9.5238095238092679E-4</v>
      </c>
      <c r="G63" s="128">
        <f>Operations!$BU$155</f>
        <v>503</v>
      </c>
      <c r="H63" s="680">
        <f>G63/G62-1</f>
        <v>3.711340206185576E-2</v>
      </c>
      <c r="I63" s="128"/>
      <c r="J63" s="126">
        <f>Operations!$BU$44</f>
        <v>789.4023202790172</v>
      </c>
      <c r="K63" s="613">
        <f t="shared" si="23"/>
        <v>7.4236197300596718E-2</v>
      </c>
      <c r="L63" s="126">
        <f>Operations!$BU$108</f>
        <v>1099.3999999999999</v>
      </c>
      <c r="M63" s="613">
        <f t="shared" si="24"/>
        <v>1.9820042670294358E-2</v>
      </c>
      <c r="N63" s="126">
        <f>Operations!$BU$156</f>
        <v>498.33745950807702</v>
      </c>
      <c r="O63" s="613">
        <f t="shared" si="25"/>
        <v>2.6178620650617379E-2</v>
      </c>
      <c r="P63" s="75"/>
      <c r="Q63" s="75"/>
      <c r="R63" s="75"/>
      <c r="S63" s="75"/>
      <c r="T63" s="75"/>
      <c r="U63" s="75"/>
      <c r="V63" s="75"/>
      <c r="W63" s="75"/>
      <c r="X63" s="91">
        <f t="shared" si="15"/>
        <v>695.59626791474147</v>
      </c>
      <c r="Y63" s="109">
        <f t="shared" si="22"/>
        <v>695.0728653345468</v>
      </c>
      <c r="Z63" s="109">
        <f t="shared" si="17"/>
        <v>718</v>
      </c>
      <c r="AA63" s="109">
        <f t="shared" si="12"/>
        <v>22.927134665453195</v>
      </c>
      <c r="AB63" s="75"/>
      <c r="AC63" s="75"/>
      <c r="AD63" s="109">
        <f t="shared" si="13"/>
        <v>559.35830668470214</v>
      </c>
      <c r="AE63" s="109">
        <f t="shared" si="14"/>
        <v>503</v>
      </c>
      <c r="AF63" s="874">
        <f t="shared" si="18"/>
        <v>56.358306684702143</v>
      </c>
    </row>
    <row r="64" spans="1:32">
      <c r="A64" s="312" t="s">
        <v>887</v>
      </c>
      <c r="B64" s="826">
        <v>42735</v>
      </c>
      <c r="C64" s="128">
        <f>Operations!$BV$51</f>
        <v>692</v>
      </c>
      <c r="D64" s="680">
        <f>C64/C63-1</f>
        <v>-3.6211699164345412E-2</v>
      </c>
      <c r="E64" s="128">
        <f>Operations!$BV$116</f>
        <v>1027</v>
      </c>
      <c r="F64" s="680">
        <f>E64/E63-1</f>
        <v>-2.0972354623450928E-2</v>
      </c>
      <c r="G64" s="128">
        <f>Operations!$BV$155</f>
        <v>484</v>
      </c>
      <c r="H64" s="680">
        <f>G64/G63-1</f>
        <v>-3.7773359840954313E-2</v>
      </c>
      <c r="I64" s="128"/>
      <c r="J64" s="126">
        <f>Operations!$BV$44</f>
        <v>726.36821341107589</v>
      </c>
      <c r="K64" s="613">
        <f t="shared" si="23"/>
        <v>-7.9850420056609028E-2</v>
      </c>
      <c r="L64" s="126">
        <f>Operations!$BV$108</f>
        <v>1085.8733333333334</v>
      </c>
      <c r="M64" s="613">
        <f t="shared" si="24"/>
        <v>-1.2303680795585192E-2</v>
      </c>
      <c r="N64" s="126">
        <f>Operations!$BV$156</f>
        <v>560.64125478463188</v>
      </c>
      <c r="O64" s="613">
        <f t="shared" si="25"/>
        <v>0.12502330316098798</v>
      </c>
      <c r="P64" s="75"/>
      <c r="Q64" s="75"/>
      <c r="R64" s="75"/>
      <c r="S64" s="75"/>
      <c r="T64" s="75"/>
      <c r="U64" s="75"/>
      <c r="V64" s="75"/>
      <c r="W64" s="75"/>
      <c r="X64" s="91">
        <f t="shared" si="15"/>
        <v>667.21281378332674</v>
      </c>
      <c r="Y64" s="109">
        <f t="shared" si="22"/>
        <v>677.32844552436234</v>
      </c>
      <c r="Z64" s="109">
        <f t="shared" si="17"/>
        <v>692</v>
      </c>
      <c r="AA64" s="109">
        <f t="shared" si="12"/>
        <v>14.671554475637663</v>
      </c>
      <c r="AB64" s="75"/>
      <c r="AC64" s="75"/>
      <c r="AD64" s="109">
        <f t="shared" si="13"/>
        <v>597.19763922136667</v>
      </c>
      <c r="AE64" s="109">
        <f t="shared" si="14"/>
        <v>484</v>
      </c>
      <c r="AF64" s="874">
        <f t="shared" si="18"/>
        <v>113.19763922136667</v>
      </c>
    </row>
    <row r="65" spans="1:32">
      <c r="A65" s="312" t="s">
        <v>936</v>
      </c>
      <c r="B65" s="826">
        <v>42825</v>
      </c>
      <c r="C65" s="128">
        <f>Operations!$BX$51</f>
        <v>719</v>
      </c>
      <c r="D65" s="680">
        <f>C65/C64-1</f>
        <v>3.9017341040462394E-2</v>
      </c>
      <c r="E65" s="128">
        <f>Operations!$BX$116</f>
        <v>1097</v>
      </c>
      <c r="F65" s="680">
        <f>E65/E64-1</f>
        <v>6.8159688412853026E-2</v>
      </c>
      <c r="G65" s="128">
        <f>Operations!$BX$155</f>
        <v>594</v>
      </c>
      <c r="H65" s="680">
        <f>G65/G64-1</f>
        <v>0.22727272727272729</v>
      </c>
      <c r="I65" s="128"/>
      <c r="J65" s="126">
        <f>Operations!$BX$44</f>
        <v>821.17498572259944</v>
      </c>
      <c r="K65" s="613">
        <f t="shared" si="23"/>
        <v>0.13052164255137799</v>
      </c>
      <c r="L65" s="126">
        <f>Operations!$BX$108</f>
        <v>1208.8066666666664</v>
      </c>
      <c r="M65" s="613">
        <f t="shared" si="24"/>
        <v>0.11321148568586836</v>
      </c>
      <c r="N65" s="126">
        <f>Operations!$BX$156</f>
        <v>639.5645850172574</v>
      </c>
      <c r="O65" s="613">
        <f t="shared" si="25"/>
        <v>0.14077331905042123</v>
      </c>
      <c r="P65" s="75"/>
      <c r="Q65" s="75"/>
      <c r="R65" s="75"/>
      <c r="S65" s="75"/>
      <c r="T65" s="75"/>
      <c r="U65" s="75"/>
      <c r="V65" s="75"/>
      <c r="W65" s="75"/>
      <c r="X65" s="91">
        <f t="shared" si="15"/>
        <v>695.75073830792519</v>
      </c>
      <c r="Y65" s="109">
        <f t="shared" si="22"/>
        <v>694.63432063140215</v>
      </c>
      <c r="Z65" s="109">
        <f t="shared" si="17"/>
        <v>719</v>
      </c>
      <c r="AA65" s="109">
        <f t="shared" si="12"/>
        <v>24.365679368597853</v>
      </c>
      <c r="AB65" s="75"/>
      <c r="AC65" s="75"/>
      <c r="AD65" s="109">
        <f t="shared" si="13"/>
        <v>660.37648998824761</v>
      </c>
      <c r="AE65" s="109">
        <f t="shared" si="14"/>
        <v>594</v>
      </c>
      <c r="AF65" s="874">
        <f t="shared" si="18"/>
        <v>66.376489988247613</v>
      </c>
    </row>
    <row r="66" spans="1:32">
      <c r="A66" s="312" t="s">
        <v>937</v>
      </c>
      <c r="B66" s="826">
        <v>42916</v>
      </c>
      <c r="C66" s="128">
        <f>Operations!$BY$51</f>
        <v>742</v>
      </c>
      <c r="D66" s="680">
        <f>C66/C65-1</f>
        <v>3.1988873435326859E-2</v>
      </c>
      <c r="E66" s="128">
        <f>Operations!$BY$116</f>
        <v>1234</v>
      </c>
      <c r="F66" s="680">
        <f>E66/E65-1</f>
        <v>0.1248860528714677</v>
      </c>
      <c r="G66" s="128">
        <f>Operations!$BY$155</f>
        <v>620</v>
      </c>
      <c r="H66" s="680">
        <f>G66/G65-1</f>
        <v>4.3771043771043683E-2</v>
      </c>
      <c r="I66" s="128"/>
      <c r="J66" s="126">
        <f>Operations!$BY$44</f>
        <v>821.88750054099251</v>
      </c>
      <c r="K66" s="613">
        <f t="shared" si="23"/>
        <v>8.6767720739344689E-4</v>
      </c>
      <c r="L66" s="126">
        <f>Operations!$BY$108</f>
        <v>1404.85</v>
      </c>
      <c r="M66" s="613">
        <f t="shared" si="24"/>
        <v>0.16217922910197946</v>
      </c>
      <c r="N66" s="126">
        <f>Operations!$BY$156</f>
        <v>611.2091250240685</v>
      </c>
      <c r="O66" s="613">
        <f t="shared" si="25"/>
        <v>-4.4335569319279622E-2</v>
      </c>
      <c r="P66" s="75"/>
      <c r="Q66" s="75"/>
      <c r="R66" s="75"/>
      <c r="S66" s="75"/>
      <c r="T66" s="75"/>
      <c r="U66" s="75"/>
      <c r="V66" s="75"/>
      <c r="W66" s="75"/>
      <c r="X66" s="91">
        <f t="shared" si="15"/>
        <v>779.98795547268901</v>
      </c>
      <c r="Y66" s="109">
        <f t="shared" si="22"/>
        <v>759.94534210341908</v>
      </c>
      <c r="Z66" s="109">
        <f t="shared" si="17"/>
        <v>742</v>
      </c>
      <c r="AA66" s="109">
        <f t="shared" si="12"/>
        <v>-17.94534210341908</v>
      </c>
      <c r="AB66" s="75"/>
      <c r="AC66" s="75"/>
      <c r="AD66" s="109">
        <f>130+0.54*N66+0.33*N65</f>
        <v>671.10924056869203</v>
      </c>
      <c r="AE66" s="109">
        <f>+G66</f>
        <v>620</v>
      </c>
      <c r="AF66" s="874">
        <f t="shared" si="18"/>
        <v>51.10924056869203</v>
      </c>
    </row>
    <row r="67" spans="1:32">
      <c r="A67" s="312" t="s">
        <v>938</v>
      </c>
      <c r="B67" s="826">
        <v>43008</v>
      </c>
      <c r="C67" s="128">
        <f>Operations!$BZ$51</f>
        <v>728</v>
      </c>
      <c r="D67" s="680">
        <f t="shared" ref="D67:D68" si="26">C67/C66-1</f>
        <v>-1.8867924528301883E-2</v>
      </c>
      <c r="E67" s="128">
        <f>Operations!$BZ$116</f>
        <v>1433</v>
      </c>
      <c r="F67" s="680">
        <f t="shared" ref="F67:F68" si="27">E67/E66-1</f>
        <v>0.16126418152350075</v>
      </c>
      <c r="G67" s="128">
        <f>Operations!$BZ$155</f>
        <v>639</v>
      </c>
      <c r="H67" s="680">
        <f t="shared" ref="H67:H68" si="28">G67/G66-1</f>
        <v>3.0645161290322687E-2</v>
      </c>
      <c r="I67" s="128"/>
      <c r="J67" s="126">
        <f>Operations!$BZ$44</f>
        <v>803.28792482068559</v>
      </c>
      <c r="K67" s="613">
        <f t="shared" si="23"/>
        <v>-2.2630318271130934E-2</v>
      </c>
      <c r="L67" s="126">
        <f>Operations!$BZ$108</f>
        <v>1403.1366666666668</v>
      </c>
      <c r="M67" s="613">
        <f t="shared" si="24"/>
        <v>-1.2195845345290834E-3</v>
      </c>
      <c r="N67" s="126">
        <f>Operations!$BZ$156</f>
        <v>643.99317673731457</v>
      </c>
      <c r="O67" s="613">
        <f t="shared" si="25"/>
        <v>5.3638027265962451E-2</v>
      </c>
      <c r="P67" s="75"/>
      <c r="Q67" s="75"/>
      <c r="R67" s="75"/>
      <c r="S67" s="75"/>
      <c r="T67" s="75"/>
      <c r="U67" s="75"/>
      <c r="V67" s="75"/>
      <c r="W67" s="75"/>
      <c r="X67" s="91">
        <f t="shared" si="15"/>
        <v>788.96120948048315</v>
      </c>
      <c r="Y67" s="109">
        <f t="shared" si="22"/>
        <v>766.57185210624675</v>
      </c>
      <c r="Z67" s="109">
        <f t="shared" si="17"/>
        <v>728</v>
      </c>
      <c r="AA67" s="109">
        <f t="shared" si="12"/>
        <v>-38.571852106246752</v>
      </c>
      <c r="AB67" s="75"/>
      <c r="AC67" s="75"/>
      <c r="AD67" s="109">
        <f>130+0.54*N67+0.33*N66</f>
        <v>679.45532669609247</v>
      </c>
      <c r="AE67" s="109">
        <f>+G67</f>
        <v>639</v>
      </c>
      <c r="AF67" s="874">
        <f t="shared" si="18"/>
        <v>40.45532669609247</v>
      </c>
    </row>
    <row r="68" spans="1:32">
      <c r="A68" s="312" t="s">
        <v>939</v>
      </c>
      <c r="B68" s="826">
        <v>43100</v>
      </c>
      <c r="C68" s="128">
        <f>Operations!$CA$51</f>
        <v>717</v>
      </c>
      <c r="D68" s="680">
        <f t="shared" si="26"/>
        <v>-1.5109890109890056E-2</v>
      </c>
      <c r="E68" s="128">
        <f>Operations!$CA$116</f>
        <v>1417</v>
      </c>
      <c r="F68" s="680">
        <f t="shared" si="27"/>
        <v>-1.1165387299371998E-2</v>
      </c>
      <c r="G68" s="128">
        <f>Operations!$CA$155</f>
        <v>634</v>
      </c>
      <c r="H68" s="680">
        <f t="shared" si="28"/>
        <v>-7.8247261345852914E-3</v>
      </c>
      <c r="I68" s="128"/>
      <c r="J68" s="126">
        <f>Operations!$CA$44</f>
        <v>802.56925456220017</v>
      </c>
      <c r="K68" s="613">
        <f t="shared" si="23"/>
        <v>-8.9466085108380611E-4</v>
      </c>
      <c r="L68" s="126">
        <f>Operations!$CA$108</f>
        <v>1406.6933333333334</v>
      </c>
      <c r="M68" s="613">
        <f t="shared" si="24"/>
        <v>2.5347970380646956E-3</v>
      </c>
      <c r="N68" s="126">
        <f>Operations!$CA$156</f>
        <v>669.96290569188477</v>
      </c>
      <c r="O68" s="613">
        <f t="shared" si="25"/>
        <v>4.0326093338661773E-2</v>
      </c>
      <c r="P68" s="75"/>
      <c r="Q68" s="75"/>
      <c r="R68" s="75"/>
      <c r="S68" s="75"/>
      <c r="T68" s="75"/>
      <c r="U68" s="75"/>
      <c r="V68" s="75"/>
      <c r="W68" s="75"/>
      <c r="X68" s="75"/>
      <c r="Y68" s="75"/>
      <c r="Z68" s="75"/>
      <c r="AA68" s="75"/>
      <c r="AB68" s="75"/>
      <c r="AC68" s="75"/>
      <c r="AD68" s="75"/>
      <c r="AE68" s="75"/>
    </row>
    <row r="69" spans="1:32">
      <c r="A69" s="778" t="s">
        <v>944</v>
      </c>
      <c r="B69" s="826">
        <v>43190</v>
      </c>
      <c r="C69" s="779">
        <f>0.7*C68+0.3*J69-30</f>
        <v>738.17412213988166</v>
      </c>
      <c r="D69" s="781"/>
      <c r="E69" s="779">
        <f>0.531*L69+0.348*L68+0.058*L65+120</f>
        <v>1455.8063066666666</v>
      </c>
      <c r="F69" s="781"/>
      <c r="G69" s="779">
        <f t="shared" ref="G69:G80" si="29">0.6797*N69+0.2904*N68+0.1002*N65-25</f>
        <v>726.40805393384903</v>
      </c>
      <c r="H69" s="781"/>
      <c r="I69" s="779"/>
      <c r="J69" s="779">
        <f>Operations!$CC$44</f>
        <v>887.58040713293894</v>
      </c>
      <c r="K69" s="780"/>
      <c r="L69" s="779">
        <f>Operations!$CC$108</f>
        <v>1461.7066666666667</v>
      </c>
      <c r="M69" s="780"/>
      <c r="N69" s="779">
        <f>Operations!$CC$156</f>
        <v>724.97639355921217</v>
      </c>
      <c r="O69" s="780"/>
      <c r="P69" s="75"/>
      <c r="Q69" s="75"/>
      <c r="R69" s="75"/>
      <c r="S69" s="75"/>
      <c r="T69" s="75"/>
      <c r="U69" s="75"/>
      <c r="V69" s="75"/>
      <c r="W69" s="75"/>
      <c r="X69" s="75"/>
      <c r="Y69" s="75"/>
      <c r="Z69" s="75"/>
      <c r="AA69" s="75"/>
      <c r="AB69" s="75"/>
      <c r="AC69" s="75"/>
      <c r="AD69" s="75"/>
      <c r="AE69" s="75"/>
    </row>
    <row r="70" spans="1:32">
      <c r="A70" s="778" t="s">
        <v>945</v>
      </c>
      <c r="B70" s="826">
        <v>43281</v>
      </c>
      <c r="C70" s="1563">
        <f>0.7*C69+0.3*J70-40</f>
        <v>788.21788549791711</v>
      </c>
      <c r="D70" s="781"/>
      <c r="E70" s="779">
        <f t="shared" ref="E70:E80" si="30">0.531*L70+0.348*L69+0.058*L66+120</f>
        <v>1586.3848699999999</v>
      </c>
      <c r="F70" s="781"/>
      <c r="G70" s="779">
        <f t="shared" si="29"/>
        <v>741.68768141411465</v>
      </c>
      <c r="H70" s="781"/>
      <c r="I70" s="779"/>
      <c r="J70" s="779">
        <f>Operations!$CD$44</f>
        <v>1038.32</v>
      </c>
      <c r="K70" s="780"/>
      <c r="L70" s="779">
        <f>Operations!$CD$108</f>
        <v>1650.15</v>
      </c>
      <c r="M70" s="780"/>
      <c r="N70" s="779">
        <f>Operations!$CD$156</f>
        <v>728.13209121245825</v>
      </c>
      <c r="O70" s="780"/>
      <c r="P70" s="75"/>
      <c r="Q70" s="75"/>
      <c r="R70" s="75"/>
      <c r="S70" s="75"/>
      <c r="T70" s="75"/>
      <c r="U70" s="75"/>
      <c r="V70" s="75"/>
      <c r="W70" s="75"/>
      <c r="X70" s="75"/>
      <c r="Y70" s="75"/>
      <c r="Z70" s="75"/>
      <c r="AA70" s="75"/>
      <c r="AB70" s="75"/>
      <c r="AC70" s="75"/>
      <c r="AD70" s="75"/>
      <c r="AE70" s="75"/>
    </row>
    <row r="71" spans="1:32">
      <c r="A71" s="778" t="s">
        <v>946</v>
      </c>
      <c r="B71" s="826">
        <v>43373</v>
      </c>
      <c r="C71" s="779">
        <f t="shared" ref="C71:C80" si="31">0.7*C70+0.3*J71-30</f>
        <v>813.86551984854191</v>
      </c>
      <c r="D71" s="781"/>
      <c r="E71" s="779">
        <f t="shared" si="30"/>
        <v>1638.4294766666669</v>
      </c>
      <c r="F71" s="781"/>
      <c r="G71" s="779">
        <f t="shared" si="29"/>
        <v>719.94483338805537</v>
      </c>
      <c r="H71" s="781"/>
      <c r="I71" s="779"/>
      <c r="J71" s="779">
        <f>Operations!$CE$44</f>
        <v>973.71</v>
      </c>
      <c r="K71" s="780"/>
      <c r="L71" s="779">
        <f>Operations!$CE$108</f>
        <v>1624.8500000000001</v>
      </c>
      <c r="M71" s="780"/>
      <c r="N71" s="779">
        <f>Operations!$CE$156</f>
        <v>689.961979977753</v>
      </c>
      <c r="O71" s="780"/>
      <c r="P71" s="75"/>
      <c r="Q71" s="75"/>
      <c r="R71" s="75"/>
      <c r="S71" s="75"/>
      <c r="T71" s="75"/>
      <c r="U71" s="75"/>
      <c r="V71" s="75"/>
      <c r="W71" s="75"/>
      <c r="X71" s="75"/>
      <c r="Y71" s="75"/>
      <c r="Z71" s="75"/>
      <c r="AA71" s="75"/>
      <c r="AB71" s="75"/>
      <c r="AC71" s="75"/>
      <c r="AD71" s="75"/>
      <c r="AE71" s="75"/>
    </row>
    <row r="72" spans="1:32">
      <c r="A72" s="778" t="s">
        <v>947</v>
      </c>
      <c r="B72" s="826">
        <v>43465</v>
      </c>
      <c r="C72" s="779">
        <f t="shared" si="31"/>
        <v>819.91036389397925</v>
      </c>
      <c r="D72" s="781"/>
      <c r="E72" s="779">
        <f t="shared" si="30"/>
        <v>1620.4592133333335</v>
      </c>
      <c r="F72" s="781"/>
      <c r="G72" s="779">
        <f t="shared" si="29"/>
        <v>689.48870448959258</v>
      </c>
      <c r="H72" s="781"/>
      <c r="I72" s="779"/>
      <c r="J72" s="779">
        <f>Operations!$CF$44</f>
        <v>934.01499999999976</v>
      </c>
      <c r="K72" s="780"/>
      <c r="L72" s="779">
        <f>Operations!$CF$108</f>
        <v>1607.1999999999998</v>
      </c>
      <c r="M72" s="780"/>
      <c r="N72" s="779">
        <f>Operations!$CF$156</f>
        <v>657.63345939933254</v>
      </c>
      <c r="O72" s="780"/>
      <c r="P72" s="75"/>
      <c r="Q72" s="75"/>
      <c r="R72" s="75"/>
      <c r="S72" s="75"/>
      <c r="T72" s="75"/>
      <c r="U72" s="75"/>
      <c r="V72" s="75"/>
      <c r="W72" s="75"/>
      <c r="X72" s="75"/>
      <c r="Y72" s="75"/>
      <c r="Z72" s="75"/>
      <c r="AA72" s="75"/>
      <c r="AB72" s="75"/>
      <c r="AC72" s="75"/>
      <c r="AD72" s="75"/>
      <c r="AE72" s="75"/>
    </row>
    <row r="73" spans="1:32">
      <c r="A73" s="778" t="s">
        <v>953</v>
      </c>
      <c r="B73" s="826">
        <v>43555</v>
      </c>
      <c r="C73" s="779">
        <f t="shared" si="31"/>
        <v>828.22925472578549</v>
      </c>
      <c r="D73" s="781"/>
      <c r="E73" s="779">
        <f t="shared" si="30"/>
        <v>1624.2249366666665</v>
      </c>
      <c r="F73" s="781"/>
      <c r="G73" s="779">
        <f t="shared" si="29"/>
        <v>678.45643670582319</v>
      </c>
      <c r="H73" s="781"/>
      <c r="I73" s="779"/>
      <c r="J73" s="779">
        <f>Operations!$CH$44</f>
        <v>947.6400000000001</v>
      </c>
      <c r="K73" s="780"/>
      <c r="L73" s="779">
        <f>Operations!$CH$108</f>
        <v>1619.85</v>
      </c>
      <c r="M73" s="780"/>
      <c r="N73" s="779">
        <f>Operations!$CH$156</f>
        <v>647.10467185761956</v>
      </c>
      <c r="O73" s="780"/>
      <c r="P73" s="75"/>
      <c r="Q73" s="75"/>
      <c r="R73" s="75"/>
      <c r="S73" s="75"/>
      <c r="T73" s="75"/>
      <c r="U73" s="75"/>
      <c r="V73" s="75"/>
      <c r="W73" s="75"/>
      <c r="X73" s="75"/>
      <c r="Y73" s="75"/>
      <c r="Z73" s="75"/>
      <c r="AA73" s="75"/>
      <c r="AB73" s="75"/>
      <c r="AC73" s="75"/>
      <c r="AD73" s="75"/>
      <c r="AE73" s="75"/>
    </row>
    <row r="74" spans="1:32">
      <c r="A74" s="778" t="s">
        <v>954</v>
      </c>
      <c r="B74" s="826">
        <v>43646</v>
      </c>
      <c r="C74" s="779">
        <f t="shared" si="31"/>
        <v>824.63997830804965</v>
      </c>
      <c r="D74" s="781"/>
      <c r="E74" s="779">
        <f t="shared" si="30"/>
        <v>1632.3617999999999</v>
      </c>
      <c r="F74" s="781"/>
      <c r="G74" s="779">
        <f t="shared" si="29"/>
        <v>675.59214197997767</v>
      </c>
      <c r="H74" s="781"/>
      <c r="I74" s="779"/>
      <c r="J74" s="779">
        <f>Operations!$CI$44</f>
        <v>916.26499999999987</v>
      </c>
      <c r="K74" s="780"/>
      <c r="L74" s="779">
        <f>Operations!$CI$108</f>
        <v>1606.3000000000002</v>
      </c>
      <c r="M74" s="780"/>
      <c r="N74" s="779">
        <f>Operations!$CI$156</f>
        <v>646.92380422691883</v>
      </c>
      <c r="O74" s="780"/>
      <c r="P74" s="75"/>
      <c r="Q74" s="75"/>
      <c r="R74" s="75"/>
      <c r="S74" s="75"/>
      <c r="T74" s="75"/>
      <c r="U74" s="75"/>
      <c r="V74" s="75"/>
      <c r="W74" s="75"/>
      <c r="X74" s="75"/>
      <c r="Y74" s="75"/>
      <c r="Z74" s="75"/>
      <c r="AA74" s="75"/>
      <c r="AB74" s="75"/>
      <c r="AC74" s="75"/>
      <c r="AD74" s="75"/>
      <c r="AE74" s="75"/>
    </row>
    <row r="75" spans="1:32">
      <c r="A75" s="778" t="s">
        <v>955</v>
      </c>
      <c r="B75" s="826">
        <v>43738</v>
      </c>
      <c r="C75" s="779">
        <f t="shared" si="31"/>
        <v>819.12748481563472</v>
      </c>
      <c r="D75" s="781"/>
      <c r="E75" s="779">
        <f t="shared" si="30"/>
        <v>1622.1168500000001</v>
      </c>
      <c r="F75" s="781"/>
      <c r="G75" s="779">
        <f t="shared" si="29"/>
        <v>649.8320049121246</v>
      </c>
      <c r="H75" s="781"/>
      <c r="I75" s="779"/>
      <c r="J75" s="779">
        <f>Operations!$CJ$44</f>
        <v>906.2650000000001</v>
      </c>
      <c r="K75" s="780"/>
      <c r="L75" s="779">
        <f>Operations!$CJ$108</f>
        <v>1598.65</v>
      </c>
      <c r="M75" s="780"/>
      <c r="N75" s="779">
        <f>Operations!$CJ$156</f>
        <v>614.72876529477207</v>
      </c>
      <c r="O75" s="780"/>
      <c r="P75" s="75"/>
      <c r="Q75" s="75"/>
      <c r="R75" s="75"/>
      <c r="S75" s="75"/>
      <c r="T75" s="75"/>
      <c r="U75" s="75"/>
      <c r="V75" s="75"/>
      <c r="W75" s="75"/>
      <c r="X75" s="75"/>
      <c r="Y75" s="75"/>
      <c r="Z75" s="75"/>
      <c r="AA75" s="75"/>
      <c r="AB75" s="75"/>
      <c r="AC75" s="75"/>
      <c r="AD75" s="75"/>
      <c r="AE75" s="75"/>
    </row>
    <row r="76" spans="1:32">
      <c r="A76" s="778" t="s">
        <v>956</v>
      </c>
      <c r="B76" s="826">
        <v>43830</v>
      </c>
      <c r="C76" s="779">
        <f t="shared" si="31"/>
        <v>801.76873937094422</v>
      </c>
      <c r="D76" s="781"/>
      <c r="E76" s="779">
        <f t="shared" si="30"/>
        <v>1600.7752</v>
      </c>
      <c r="F76" s="781"/>
      <c r="G76" s="779">
        <f t="shared" si="29"/>
        <v>636.94157898998878</v>
      </c>
      <c r="H76" s="781"/>
      <c r="I76" s="779"/>
      <c r="J76" s="779">
        <f>Operations!$CK$44</f>
        <v>861.2650000000001</v>
      </c>
      <c r="K76" s="780"/>
      <c r="L76" s="779">
        <f>Operations!$CK$108</f>
        <v>1565.4</v>
      </c>
      <c r="M76" s="780"/>
      <c r="N76" s="779">
        <f>Operations!$CK$156</f>
        <v>614.28493882091209</v>
      </c>
      <c r="O76" s="780"/>
      <c r="P76" s="75"/>
      <c r="Q76" s="75"/>
      <c r="R76" s="75"/>
      <c r="S76" s="75"/>
      <c r="T76" s="75"/>
      <c r="U76" s="75"/>
      <c r="V76" s="75"/>
      <c r="W76" s="75"/>
      <c r="X76" s="75"/>
      <c r="Y76" s="75"/>
      <c r="Z76" s="75"/>
      <c r="AA76" s="75"/>
      <c r="AB76" s="75"/>
      <c r="AC76" s="75"/>
      <c r="AD76" s="75"/>
      <c r="AE76" s="75"/>
    </row>
    <row r="77" spans="1:32">
      <c r="A77" s="778" t="s">
        <v>968</v>
      </c>
      <c r="B77" s="826">
        <v>43921</v>
      </c>
      <c r="C77" s="779">
        <f t="shared" si="31"/>
        <v>773.58111755966092</v>
      </c>
      <c r="D77" s="781"/>
      <c r="E77" s="779">
        <f t="shared" si="30"/>
        <v>1566.9721499999998</v>
      </c>
      <c r="F77" s="781"/>
      <c r="G77" s="779">
        <f t="shared" si="29"/>
        <v>638.02060170856498</v>
      </c>
      <c r="H77" s="781"/>
      <c r="I77" s="779"/>
      <c r="J77" s="779">
        <f>Operations!$CM$44</f>
        <v>807.81</v>
      </c>
      <c r="K77" s="780"/>
      <c r="L77" s="779">
        <f>Operations!$CM$108</f>
        <v>1522.1499999999999</v>
      </c>
      <c r="M77" s="780"/>
      <c r="N77" s="779">
        <f>Operations!$CM$156</f>
        <v>617.61419354838711</v>
      </c>
      <c r="O77" s="780"/>
      <c r="P77" s="75"/>
      <c r="Q77" s="75"/>
      <c r="R77" s="75"/>
      <c r="S77" s="75"/>
      <c r="T77" s="75"/>
      <c r="U77" s="75"/>
      <c r="V77" s="75"/>
      <c r="W77" s="75"/>
      <c r="X77" s="75"/>
      <c r="Y77" s="75"/>
      <c r="Z77" s="75"/>
      <c r="AA77" s="75"/>
      <c r="AB77" s="75"/>
      <c r="AC77" s="75"/>
      <c r="AD77" s="75"/>
      <c r="AE77" s="75"/>
    </row>
    <row r="78" spans="1:32">
      <c r="A78" s="778" t="s">
        <v>969</v>
      </c>
      <c r="B78" s="826">
        <v>44012</v>
      </c>
      <c r="C78" s="779">
        <f t="shared" si="31"/>
        <v>758.34978229176272</v>
      </c>
      <c r="D78" s="781"/>
      <c r="E78" s="779">
        <f t="shared" si="30"/>
        <v>1556.6045500000002</v>
      </c>
      <c r="F78" s="781"/>
      <c r="G78" s="779">
        <f t="shared" si="29"/>
        <v>646.33393079199118</v>
      </c>
      <c r="H78" s="781"/>
      <c r="I78" s="779"/>
      <c r="J78" s="779">
        <f>Operations!$CN$44</f>
        <v>822.81000000000017</v>
      </c>
      <c r="K78" s="780"/>
      <c r="L78" s="779">
        <f>Operations!$CN$108</f>
        <v>1532.45</v>
      </c>
      <c r="M78" s="780"/>
      <c r="N78" s="779">
        <f>Operations!$CN$156</f>
        <v>628.44932146829819</v>
      </c>
      <c r="O78" s="780"/>
      <c r="P78" s="75"/>
      <c r="Q78" s="75"/>
      <c r="R78" s="75"/>
      <c r="S78" s="75"/>
      <c r="T78" s="75"/>
      <c r="U78" s="75"/>
      <c r="V78" s="75"/>
      <c r="W78" s="75"/>
      <c r="X78" s="75"/>
      <c r="Y78" s="75"/>
      <c r="Z78" s="75"/>
      <c r="AA78" s="75"/>
      <c r="AB78" s="75"/>
      <c r="AC78" s="75"/>
      <c r="AD78" s="75"/>
      <c r="AE78" s="75"/>
    </row>
    <row r="79" spans="1:32">
      <c r="A79" s="778" t="s">
        <v>970</v>
      </c>
      <c r="B79" s="826">
        <v>44104</v>
      </c>
      <c r="C79" s="779">
        <f t="shared" si="31"/>
        <v>739.12584760423385</v>
      </c>
      <c r="D79" s="781"/>
      <c r="E79" s="779">
        <f t="shared" si="30"/>
        <v>1550.0545000000002</v>
      </c>
      <c r="F79" s="781"/>
      <c r="G79" s="779">
        <f t="shared" si="29"/>
        <v>636.50979605895441</v>
      </c>
      <c r="H79" s="781"/>
      <c r="I79" s="779"/>
      <c r="J79" s="779">
        <f>Operations!$CO$44</f>
        <v>794.27</v>
      </c>
      <c r="K79" s="780"/>
      <c r="L79" s="779">
        <f>Operations!$CO$108</f>
        <v>1514.2</v>
      </c>
      <c r="M79" s="780"/>
      <c r="N79" s="779">
        <f>Operations!$CO$156</f>
        <v>614.11253615127919</v>
      </c>
      <c r="O79" s="780"/>
      <c r="P79" s="75"/>
      <c r="Q79" s="75"/>
      <c r="R79" s="75"/>
      <c r="S79" s="75"/>
      <c r="T79" s="75"/>
      <c r="U79" s="75"/>
      <c r="V79" s="75"/>
      <c r="W79" s="75"/>
      <c r="X79" s="75"/>
      <c r="Y79" s="75"/>
      <c r="Z79" s="75"/>
      <c r="AA79" s="75"/>
      <c r="AB79" s="75"/>
      <c r="AC79" s="75"/>
      <c r="AD79" s="75"/>
      <c r="AE79" s="75"/>
    </row>
    <row r="80" spans="1:32">
      <c r="A80" s="778" t="s">
        <v>971</v>
      </c>
      <c r="B80" s="826">
        <v>44196</v>
      </c>
      <c r="C80" s="779">
        <f t="shared" si="31"/>
        <v>725.66909332296359</v>
      </c>
      <c r="D80" s="781"/>
      <c r="E80" s="779">
        <f t="shared" si="30"/>
        <v>1536.7836000000002</v>
      </c>
      <c r="F80" s="781"/>
      <c r="G80" s="779">
        <f t="shared" si="29"/>
        <v>632.21663836373739</v>
      </c>
      <c r="H80" s="781"/>
      <c r="I80" s="779"/>
      <c r="J80" s="779">
        <f>Operations!$CP$44</f>
        <v>794.2700000000001</v>
      </c>
      <c r="K80" s="780"/>
      <c r="L80" s="779">
        <f>Operations!$CP$108</f>
        <v>1504.8</v>
      </c>
      <c r="M80" s="780"/>
      <c r="N80" s="779">
        <f>Operations!$CP$156</f>
        <v>613.98706340378192</v>
      </c>
      <c r="O80" s="780"/>
      <c r="P80" s="75"/>
      <c r="Q80" s="75"/>
      <c r="R80" s="75"/>
      <c r="S80" s="75"/>
      <c r="T80" s="75"/>
      <c r="U80" s="75"/>
      <c r="V80" s="75"/>
      <c r="W80" s="75"/>
      <c r="X80" s="75"/>
      <c r="Y80" s="75"/>
      <c r="Z80" s="75"/>
      <c r="AA80" s="75"/>
      <c r="AB80" s="75"/>
      <c r="AC80" s="75"/>
      <c r="AD80" s="75"/>
      <c r="AE80" s="75"/>
    </row>
    <row r="81" spans="1:31">
      <c r="A81" s="81"/>
      <c r="B81" s="81"/>
      <c r="C81" s="313"/>
      <c r="D81" s="313"/>
      <c r="E81" s="126"/>
      <c r="F81" s="126"/>
      <c r="G81" s="126"/>
      <c r="H81" s="126"/>
      <c r="I81" s="126"/>
      <c r="J81" s="126"/>
      <c r="K81" s="126"/>
      <c r="L81" s="126"/>
      <c r="M81" s="126"/>
      <c r="N81" s="126"/>
      <c r="O81" s="126"/>
      <c r="P81" s="75"/>
      <c r="Q81" s="75"/>
      <c r="R81" s="75"/>
      <c r="S81" s="75"/>
      <c r="T81" s="75"/>
      <c r="U81" s="75"/>
      <c r="V81" s="75"/>
      <c r="W81" s="75"/>
      <c r="X81" s="75"/>
      <c r="Y81" s="75"/>
      <c r="Z81" s="75"/>
      <c r="AA81" s="75"/>
      <c r="AB81" s="75"/>
      <c r="AC81" s="75"/>
      <c r="AD81" s="75"/>
      <c r="AE81" s="75"/>
    </row>
    <row r="82" spans="1:31">
      <c r="A82" s="741"/>
      <c r="B82" s="741"/>
      <c r="C82" s="856"/>
      <c r="D82" s="856"/>
      <c r="E82" s="779"/>
      <c r="F82" s="779"/>
      <c r="G82" s="779"/>
      <c r="H82" s="779"/>
      <c r="I82" s="779"/>
      <c r="J82" s="779"/>
      <c r="K82" s="779"/>
      <c r="L82" s="779"/>
      <c r="M82" s="779"/>
      <c r="N82" s="779"/>
      <c r="O82" s="779"/>
      <c r="P82" s="75"/>
      <c r="Q82" s="75"/>
      <c r="R82" s="75"/>
      <c r="S82" s="75"/>
      <c r="T82" s="75"/>
      <c r="U82" s="75"/>
      <c r="V82" s="75"/>
      <c r="W82" s="75"/>
      <c r="X82" s="75"/>
      <c r="Y82" s="75"/>
      <c r="Z82" s="75"/>
      <c r="AA82" s="75"/>
      <c r="AB82" s="75"/>
      <c r="AC82" s="75"/>
      <c r="AD82" s="75"/>
      <c r="AE82" s="75"/>
    </row>
    <row r="83" spans="1:31">
      <c r="A83" s="694" t="s">
        <v>57</v>
      </c>
      <c r="B83" s="694"/>
      <c r="C83" s="693">
        <f t="shared" ref="C83:C89" si="32">C37-C36</f>
        <v>21</v>
      </c>
      <c r="D83" s="694"/>
      <c r="E83" s="694"/>
      <c r="F83" s="694"/>
      <c r="G83" s="693"/>
      <c r="H83" s="694"/>
      <c r="I83" s="694"/>
      <c r="J83" s="857">
        <f t="shared" ref="J83:J89" si="33">0.3*(J37-J36)+0.3*(J36-J35)+0.4*0.25*(J37-J33)</f>
        <v>27.424368106272958</v>
      </c>
      <c r="K83" s="694"/>
      <c r="L83" s="694"/>
      <c r="M83" s="694"/>
      <c r="N83" s="857"/>
      <c r="O83" s="694"/>
      <c r="P83" s="75"/>
      <c r="Q83" s="75"/>
      <c r="R83" s="75"/>
      <c r="S83" s="75"/>
      <c r="T83" s="75"/>
      <c r="U83" s="75"/>
      <c r="V83" s="75"/>
      <c r="W83" s="75"/>
      <c r="X83" s="75"/>
      <c r="Y83" s="75"/>
      <c r="Z83" s="75"/>
      <c r="AA83" s="75"/>
      <c r="AB83" s="75"/>
      <c r="AC83" s="75"/>
      <c r="AD83" s="75"/>
      <c r="AE83" s="75"/>
    </row>
    <row r="84" spans="1:31">
      <c r="A84" s="694" t="s">
        <v>58</v>
      </c>
      <c r="B84" s="694"/>
      <c r="C84" s="693">
        <f t="shared" si="32"/>
        <v>46</v>
      </c>
      <c r="D84" s="858"/>
      <c r="E84" s="694"/>
      <c r="F84" s="694"/>
      <c r="G84" s="693"/>
      <c r="H84" s="694"/>
      <c r="I84" s="694"/>
      <c r="J84" s="857">
        <f t="shared" si="33"/>
        <v>60.371476566670665</v>
      </c>
      <c r="K84" s="858"/>
      <c r="L84" s="694"/>
      <c r="M84" s="694"/>
      <c r="N84" s="857"/>
      <c r="O84" s="694"/>
      <c r="P84" s="75"/>
      <c r="Q84" s="75"/>
      <c r="R84" s="75"/>
      <c r="S84" s="75"/>
      <c r="T84" s="75"/>
      <c r="U84" s="75"/>
      <c r="V84" s="75"/>
      <c r="W84" s="75"/>
      <c r="X84" s="75"/>
      <c r="Y84" s="75"/>
      <c r="Z84" s="75"/>
      <c r="AA84" s="75"/>
      <c r="AB84" s="75"/>
      <c r="AC84" s="75"/>
      <c r="AD84" s="75"/>
      <c r="AE84" s="75"/>
    </row>
    <row r="85" spans="1:31">
      <c r="A85" s="694" t="s">
        <v>59</v>
      </c>
      <c r="B85" s="694"/>
      <c r="C85" s="693">
        <f t="shared" si="32"/>
        <v>-12</v>
      </c>
      <c r="D85" s="694"/>
      <c r="E85" s="694"/>
      <c r="F85" s="694"/>
      <c r="G85" s="693"/>
      <c r="H85" s="694"/>
      <c r="I85" s="694"/>
      <c r="J85" s="857">
        <f t="shared" si="33"/>
        <v>5.7513868215918151</v>
      </c>
      <c r="K85" s="694">
        <f>J64/J60-1</f>
        <v>0.43807624712171989</v>
      </c>
      <c r="L85" s="694"/>
      <c r="M85" s="694"/>
      <c r="N85" s="857"/>
      <c r="O85" s="694"/>
      <c r="P85" s="75"/>
      <c r="Q85" s="75"/>
      <c r="R85" s="75"/>
      <c r="S85" s="75"/>
      <c r="T85" s="75"/>
      <c r="U85" s="75"/>
      <c r="V85" s="75"/>
      <c r="W85" s="75"/>
      <c r="X85" s="75"/>
      <c r="Y85" s="75"/>
      <c r="Z85" s="75"/>
      <c r="AA85" s="75"/>
      <c r="AB85" s="75"/>
      <c r="AC85" s="75"/>
      <c r="AD85" s="75"/>
      <c r="AE85" s="75"/>
    </row>
    <row r="86" spans="1:31">
      <c r="A86" s="694" t="s">
        <v>60</v>
      </c>
      <c r="B86" s="694"/>
      <c r="C86" s="693">
        <f t="shared" si="32"/>
        <v>-31</v>
      </c>
      <c r="D86" s="694"/>
      <c r="E86" s="694"/>
      <c r="F86" s="694"/>
      <c r="G86" s="693"/>
      <c r="H86" s="694"/>
      <c r="I86" s="694"/>
      <c r="J86" s="857">
        <f t="shared" si="33"/>
        <v>-31.704979459183111</v>
      </c>
      <c r="K86" s="694">
        <f>J65/J61-1</f>
        <v>0.5021800244936605</v>
      </c>
      <c r="L86" s="694"/>
      <c r="M86" s="694"/>
      <c r="N86" s="857"/>
      <c r="O86" s="694"/>
      <c r="P86" s="75"/>
      <c r="Q86" s="75"/>
      <c r="R86" s="75"/>
      <c r="S86" s="75"/>
      <c r="T86" s="75"/>
      <c r="U86" s="75"/>
      <c r="V86" s="75"/>
      <c r="W86" s="75"/>
      <c r="X86" s="75"/>
      <c r="Y86" s="75"/>
      <c r="Z86" s="75"/>
      <c r="AA86" s="75"/>
      <c r="AB86" s="75"/>
      <c r="AC86" s="75"/>
      <c r="AD86" s="75"/>
      <c r="AE86" s="75"/>
    </row>
    <row r="87" spans="1:31">
      <c r="A87" s="694" t="s">
        <v>61</v>
      </c>
      <c r="B87" s="694"/>
      <c r="C87" s="693">
        <f t="shared" si="32"/>
        <v>63</v>
      </c>
      <c r="D87" s="694"/>
      <c r="E87" s="694"/>
      <c r="F87" s="694"/>
      <c r="G87" s="693"/>
      <c r="H87" s="694"/>
      <c r="I87" s="694"/>
      <c r="J87" s="857">
        <f t="shared" si="33"/>
        <v>83.306319126065929</v>
      </c>
      <c r="K87" s="694"/>
      <c r="L87" s="694"/>
      <c r="M87" s="694"/>
      <c r="N87" s="857"/>
      <c r="O87" s="694"/>
      <c r="P87" s="75"/>
      <c r="Q87" s="75"/>
      <c r="R87" s="75"/>
      <c r="S87" s="75"/>
      <c r="T87" s="75"/>
      <c r="U87" s="75"/>
      <c r="V87" s="75"/>
      <c r="W87" s="75"/>
      <c r="X87" s="75"/>
      <c r="Y87" s="75"/>
      <c r="Z87" s="75"/>
      <c r="AA87" s="75"/>
      <c r="AB87" s="75"/>
      <c r="AC87" s="75"/>
      <c r="AD87" s="75"/>
      <c r="AE87" s="75"/>
    </row>
    <row r="88" spans="1:31">
      <c r="A88" s="694" t="s">
        <v>62</v>
      </c>
      <c r="B88" s="694"/>
      <c r="C88" s="693">
        <f t="shared" si="32"/>
        <v>83</v>
      </c>
      <c r="D88" s="694"/>
      <c r="E88" s="694"/>
      <c r="F88" s="694"/>
      <c r="G88" s="693"/>
      <c r="H88" s="694"/>
      <c r="I88" s="694"/>
      <c r="J88" s="857">
        <f t="shared" si="33"/>
        <v>88.807904090949521</v>
      </c>
      <c r="K88" s="694"/>
      <c r="L88" s="694"/>
      <c r="M88" s="694"/>
      <c r="N88" s="857"/>
      <c r="O88" s="694"/>
      <c r="P88" s="75"/>
      <c r="Q88" s="75"/>
      <c r="R88" s="75"/>
      <c r="S88" s="75"/>
      <c r="T88" s="75"/>
      <c r="U88" s="75"/>
      <c r="V88" s="75"/>
      <c r="W88" s="75"/>
      <c r="X88" s="75"/>
      <c r="Y88" s="75"/>
      <c r="Z88" s="75"/>
      <c r="AA88" s="75"/>
      <c r="AB88" s="75"/>
      <c r="AC88" s="75"/>
      <c r="AD88" s="75"/>
      <c r="AE88" s="75"/>
    </row>
    <row r="89" spans="1:31">
      <c r="A89" s="694"/>
      <c r="B89" s="694"/>
      <c r="C89" s="693">
        <f t="shared" si="32"/>
        <v>-30</v>
      </c>
      <c r="D89" s="694"/>
      <c r="E89" s="694"/>
      <c r="F89" s="694"/>
      <c r="G89" s="694"/>
      <c r="H89" s="694"/>
      <c r="I89" s="694"/>
      <c r="J89" s="857">
        <f t="shared" si="33"/>
        <v>-17.648379980041817</v>
      </c>
      <c r="K89" s="694"/>
      <c r="L89" s="694"/>
      <c r="M89" s="694"/>
      <c r="N89" s="857"/>
      <c r="O89" s="694"/>
      <c r="P89" s="75"/>
      <c r="Q89" s="75"/>
      <c r="R89" s="75"/>
      <c r="S89" s="75"/>
      <c r="T89" s="75"/>
      <c r="U89" s="75"/>
      <c r="V89" s="75"/>
      <c r="W89" s="75"/>
      <c r="X89" s="75"/>
      <c r="Y89" s="75"/>
      <c r="Z89" s="75"/>
      <c r="AA89" s="75"/>
      <c r="AB89" s="75"/>
      <c r="AC89" s="75"/>
      <c r="AD89" s="75"/>
      <c r="AE89" s="75"/>
    </row>
    <row r="91" spans="1:31">
      <c r="A91" s="859"/>
      <c r="B91" s="859"/>
      <c r="C91" s="859"/>
      <c r="D91" s="859"/>
      <c r="E91" s="859"/>
      <c r="F91" s="859"/>
      <c r="G91" s="859"/>
      <c r="H91" s="859"/>
      <c r="I91" s="859"/>
      <c r="J91" s="859"/>
      <c r="K91" s="859"/>
      <c r="L91" s="859"/>
      <c r="M91" s="859"/>
      <c r="N91" s="859"/>
      <c r="O91" s="859"/>
      <c r="P91" s="859"/>
      <c r="Q91" s="859"/>
      <c r="R91" s="859"/>
      <c r="S91" s="859"/>
      <c r="T91" s="859"/>
      <c r="U91" s="859"/>
      <c r="V91" s="859"/>
      <c r="W91" s="859"/>
      <c r="X91" s="859"/>
      <c r="Y91" s="859"/>
      <c r="Z91" s="859"/>
    </row>
    <row r="92" spans="1:31">
      <c r="A92" s="859"/>
      <c r="B92" s="859"/>
      <c r="C92" s="859"/>
      <c r="D92" s="859"/>
      <c r="E92" s="859"/>
      <c r="F92" s="859"/>
      <c r="G92" s="859"/>
      <c r="H92" s="859"/>
      <c r="I92" s="859"/>
      <c r="J92" s="859"/>
      <c r="K92" s="859"/>
      <c r="L92" s="859"/>
      <c r="M92" s="859"/>
      <c r="N92" s="859"/>
      <c r="O92" s="859"/>
      <c r="P92" s="859"/>
      <c r="Q92" s="859"/>
      <c r="R92" s="859"/>
      <c r="S92" s="859"/>
      <c r="T92" s="859"/>
      <c r="U92" s="859"/>
      <c r="V92" s="859"/>
      <c r="W92" s="859"/>
      <c r="X92" s="859"/>
      <c r="Y92" s="859"/>
      <c r="Z92" s="859"/>
    </row>
    <row r="93" spans="1:31">
      <c r="A93" s="859"/>
      <c r="B93" s="859"/>
      <c r="C93" s="859"/>
      <c r="D93" s="859"/>
      <c r="E93" s="859"/>
      <c r="F93" s="859"/>
      <c r="G93" s="859"/>
      <c r="H93" s="859"/>
      <c r="I93" s="859"/>
      <c r="J93" s="859"/>
      <c r="K93" s="859"/>
      <c r="L93" s="859"/>
      <c r="M93" s="859"/>
      <c r="N93" s="859"/>
      <c r="O93" s="859"/>
      <c r="P93" s="859"/>
      <c r="Q93" s="859"/>
      <c r="R93" s="859"/>
      <c r="S93" s="859"/>
      <c r="T93" s="859"/>
      <c r="U93" s="859"/>
      <c r="V93" s="859"/>
      <c r="W93" s="859"/>
      <c r="X93" s="859"/>
      <c r="Y93" s="859"/>
      <c r="Z93" s="859"/>
    </row>
    <row r="94" spans="1:31">
      <c r="A94" s="859"/>
      <c r="B94" s="859"/>
      <c r="C94" s="859"/>
      <c r="D94" s="859"/>
      <c r="E94" s="859"/>
      <c r="F94" s="859"/>
      <c r="G94" s="859"/>
      <c r="H94" s="859"/>
      <c r="I94" s="859"/>
      <c r="J94" s="859"/>
      <c r="K94" s="859"/>
      <c r="L94" s="859"/>
      <c r="M94" s="859"/>
      <c r="N94" s="859"/>
      <c r="O94" s="859"/>
      <c r="P94" s="859"/>
      <c r="Q94" s="859"/>
      <c r="R94" s="859"/>
      <c r="S94" s="859"/>
      <c r="T94" s="859"/>
      <c r="U94" s="859"/>
      <c r="V94" s="859"/>
      <c r="W94" s="859"/>
      <c r="X94" s="859"/>
      <c r="Y94" s="859"/>
      <c r="Z94" s="859"/>
    </row>
    <row r="95" spans="1:31">
      <c r="A95" s="859"/>
      <c r="B95" s="859"/>
      <c r="C95" s="859"/>
      <c r="D95" s="859"/>
      <c r="E95" s="859"/>
      <c r="F95" s="859"/>
      <c r="G95" s="859"/>
      <c r="H95" s="859"/>
      <c r="I95" s="859"/>
      <c r="J95" s="859"/>
      <c r="K95" s="859"/>
      <c r="L95" s="859"/>
      <c r="M95" s="859"/>
      <c r="N95" s="859"/>
      <c r="O95" s="859"/>
      <c r="P95" s="859"/>
      <c r="Q95" s="859"/>
      <c r="R95" s="859"/>
      <c r="S95" s="859"/>
      <c r="T95" s="859"/>
      <c r="U95" s="859"/>
      <c r="V95" s="859"/>
      <c r="W95" s="859"/>
      <c r="X95" s="859"/>
      <c r="Y95" s="859"/>
      <c r="Z95" s="859"/>
    </row>
    <row r="96" spans="1:31">
      <c r="A96" s="859"/>
      <c r="B96" s="859"/>
      <c r="C96" s="859"/>
      <c r="D96" s="859"/>
      <c r="E96" s="859"/>
      <c r="F96" s="859"/>
      <c r="G96" s="859"/>
      <c r="H96" s="859"/>
      <c r="I96" s="859"/>
      <c r="J96" s="859"/>
      <c r="K96" s="859"/>
      <c r="L96" s="859"/>
      <c r="M96" s="859"/>
      <c r="N96" s="859"/>
      <c r="O96" s="859"/>
      <c r="P96" s="859"/>
      <c r="Q96" s="859"/>
      <c r="R96" s="859"/>
      <c r="S96" s="859"/>
      <c r="T96" s="859"/>
      <c r="U96" s="859"/>
      <c r="V96" s="859"/>
      <c r="W96" s="859"/>
      <c r="X96" s="859"/>
      <c r="Y96" s="859"/>
      <c r="Z96" s="859"/>
    </row>
    <row r="97" spans="1:26">
      <c r="A97" s="859"/>
      <c r="B97" s="859"/>
      <c r="C97" s="859"/>
      <c r="D97" s="859"/>
      <c r="E97" s="859"/>
      <c r="F97" s="859"/>
      <c r="G97" s="859"/>
      <c r="H97" s="859"/>
      <c r="I97" s="859"/>
      <c r="J97" s="859"/>
      <c r="K97" s="859"/>
      <c r="L97" s="859"/>
      <c r="M97" s="859"/>
      <c r="N97" s="859"/>
      <c r="O97" s="859"/>
      <c r="P97" s="859"/>
      <c r="Q97" s="859"/>
      <c r="R97" s="859"/>
      <c r="S97" s="859"/>
      <c r="T97" s="859"/>
      <c r="U97" s="859"/>
      <c r="V97" s="859"/>
      <c r="W97" s="859"/>
      <c r="X97" s="859"/>
      <c r="Y97" s="859"/>
      <c r="Z97" s="859"/>
    </row>
    <row r="98" spans="1:26">
      <c r="A98" s="859"/>
      <c r="B98" s="859"/>
      <c r="C98" s="859"/>
      <c r="D98" s="859"/>
      <c r="E98" s="859"/>
      <c r="F98" s="859"/>
      <c r="G98" s="859"/>
      <c r="H98" s="859"/>
      <c r="I98" s="859"/>
      <c r="J98" s="859"/>
      <c r="K98" s="859"/>
      <c r="L98" s="859"/>
      <c r="M98" s="859"/>
      <c r="N98" s="859"/>
      <c r="O98" s="859"/>
      <c r="P98" s="859"/>
      <c r="Q98" s="859"/>
      <c r="R98" s="859"/>
      <c r="S98" s="859"/>
      <c r="T98" s="859"/>
      <c r="U98" s="859"/>
      <c r="V98" s="859"/>
      <c r="W98" s="859"/>
      <c r="X98" s="859"/>
      <c r="Y98" s="859"/>
      <c r="Z98" s="859"/>
    </row>
    <row r="99" spans="1:26">
      <c r="A99" s="859"/>
      <c r="B99" s="859"/>
      <c r="C99" s="859"/>
      <c r="D99" s="859"/>
      <c r="E99" s="859"/>
      <c r="F99" s="859"/>
      <c r="G99" s="859"/>
      <c r="H99" s="859"/>
      <c r="I99" s="859"/>
      <c r="J99" s="859"/>
      <c r="K99" s="859"/>
      <c r="L99" s="859"/>
      <c r="M99" s="859"/>
      <c r="N99" s="859"/>
      <c r="O99" s="859"/>
      <c r="P99" s="859"/>
      <c r="Q99" s="859"/>
      <c r="R99" s="859"/>
      <c r="S99" s="859"/>
      <c r="T99" s="859"/>
      <c r="U99" s="859"/>
      <c r="V99" s="859"/>
      <c r="W99" s="859"/>
      <c r="X99" s="859"/>
      <c r="Y99" s="859"/>
      <c r="Z99" s="859"/>
    </row>
    <row r="100" spans="1:26">
      <c r="A100" s="859"/>
      <c r="B100" s="859"/>
      <c r="C100" s="859"/>
      <c r="D100" s="859"/>
      <c r="E100" s="859"/>
      <c r="F100" s="859"/>
      <c r="G100" s="859"/>
      <c r="H100" s="859"/>
      <c r="I100" s="859"/>
      <c r="J100" s="859"/>
      <c r="K100" s="859"/>
      <c r="L100" s="859"/>
      <c r="M100" s="859"/>
      <c r="N100" s="859"/>
      <c r="O100" s="859"/>
      <c r="P100" s="859"/>
      <c r="Q100" s="859"/>
      <c r="R100" s="859"/>
      <c r="S100" s="859"/>
      <c r="T100" s="859"/>
      <c r="U100" s="859"/>
      <c r="V100" s="859"/>
      <c r="W100" s="859"/>
      <c r="X100" s="859"/>
      <c r="Y100" s="859"/>
      <c r="Z100" s="859"/>
    </row>
    <row r="101" spans="1:26">
      <c r="A101" s="859"/>
      <c r="B101" s="859"/>
      <c r="C101" s="859"/>
      <c r="D101" s="859"/>
      <c r="E101" s="859"/>
      <c r="F101" s="859"/>
      <c r="G101" s="859"/>
      <c r="H101" s="859"/>
      <c r="I101" s="859"/>
      <c r="J101" s="859"/>
      <c r="K101" s="859"/>
      <c r="L101" s="859"/>
      <c r="M101" s="859"/>
      <c r="N101" s="859"/>
      <c r="O101" s="859"/>
      <c r="P101" s="859"/>
      <c r="Q101" s="859"/>
      <c r="R101" s="859"/>
      <c r="S101" s="859"/>
      <c r="T101" s="859"/>
      <c r="U101" s="859"/>
      <c r="V101" s="859"/>
      <c r="W101" s="859"/>
      <c r="X101" s="859"/>
      <c r="Y101" s="859"/>
      <c r="Z101" s="859"/>
    </row>
    <row r="102" spans="1:26">
      <c r="A102" s="859"/>
      <c r="B102" s="859"/>
      <c r="C102" s="859"/>
      <c r="D102" s="859"/>
      <c r="E102" s="859"/>
      <c r="F102" s="859"/>
      <c r="G102" s="859"/>
      <c r="H102" s="859"/>
      <c r="I102" s="859"/>
      <c r="J102" s="859"/>
      <c r="K102" s="859"/>
      <c r="L102" s="859"/>
      <c r="M102" s="859"/>
      <c r="N102" s="859"/>
      <c r="O102" s="859"/>
      <c r="P102" s="859"/>
      <c r="Q102" s="859"/>
      <c r="R102" s="859"/>
      <c r="S102" s="859"/>
      <c r="T102" s="859"/>
      <c r="U102" s="859"/>
      <c r="V102" s="859"/>
      <c r="W102" s="859"/>
      <c r="X102" s="859"/>
      <c r="Y102" s="859"/>
      <c r="Z102" s="859"/>
    </row>
    <row r="103" spans="1:26">
      <c r="A103" s="859"/>
      <c r="B103" s="859"/>
      <c r="C103" s="859"/>
      <c r="D103" s="859"/>
      <c r="E103" s="859"/>
      <c r="F103" s="859"/>
      <c r="G103" s="859"/>
      <c r="H103" s="859"/>
      <c r="I103" s="859"/>
      <c r="J103" s="859"/>
      <c r="K103" s="859"/>
      <c r="L103" s="859"/>
      <c r="M103" s="859"/>
      <c r="N103" s="859"/>
      <c r="O103" s="859"/>
      <c r="P103" s="859"/>
      <c r="Q103" s="859"/>
      <c r="R103" s="859"/>
      <c r="S103" s="859"/>
      <c r="T103" s="859"/>
      <c r="U103" s="859"/>
      <c r="V103" s="859"/>
      <c r="W103" s="859"/>
      <c r="X103" s="859"/>
      <c r="Y103" s="859"/>
      <c r="Z103" s="859"/>
    </row>
    <row r="104" spans="1:26">
      <c r="A104" s="859"/>
      <c r="B104" s="859"/>
      <c r="C104" s="859"/>
      <c r="D104" s="859"/>
      <c r="E104" s="859"/>
      <c r="F104" s="859"/>
      <c r="G104" s="859"/>
      <c r="H104" s="859"/>
      <c r="I104" s="859"/>
      <c r="J104" s="859"/>
      <c r="K104" s="859"/>
      <c r="L104" s="859"/>
      <c r="M104" s="859"/>
      <c r="N104" s="859"/>
      <c r="O104" s="859"/>
      <c r="P104" s="859"/>
      <c r="Q104" s="859"/>
      <c r="R104" s="859"/>
      <c r="S104" s="859"/>
      <c r="T104" s="859"/>
      <c r="U104" s="859"/>
      <c r="V104" s="859"/>
      <c r="W104" s="859"/>
      <c r="X104" s="859"/>
      <c r="Y104" s="859"/>
      <c r="Z104" s="859"/>
    </row>
    <row r="105" spans="1:26">
      <c r="A105" s="859"/>
      <c r="B105" s="859"/>
      <c r="C105" s="859"/>
      <c r="D105" s="859"/>
      <c r="E105" s="859"/>
      <c r="F105" s="859"/>
      <c r="G105" s="859"/>
      <c r="H105" s="859"/>
      <c r="I105" s="859"/>
      <c r="J105" s="859"/>
      <c r="K105" s="859"/>
      <c r="L105" s="859"/>
      <c r="M105" s="859"/>
      <c r="N105" s="859"/>
      <c r="O105" s="859"/>
      <c r="P105" s="859"/>
      <c r="Q105" s="859"/>
      <c r="R105" s="859"/>
      <c r="S105" s="859"/>
      <c r="T105" s="859"/>
      <c r="U105" s="859"/>
      <c r="V105" s="859"/>
      <c r="W105" s="859"/>
      <c r="X105" s="859"/>
      <c r="Y105" s="859"/>
      <c r="Z105" s="859"/>
    </row>
    <row r="106" spans="1:26">
      <c r="A106" s="859"/>
      <c r="B106" s="859"/>
      <c r="C106" s="859"/>
      <c r="D106" s="859"/>
      <c r="E106" s="859"/>
      <c r="F106" s="859"/>
      <c r="G106" s="859"/>
      <c r="H106" s="859"/>
      <c r="I106" s="859"/>
      <c r="J106" s="859"/>
      <c r="K106" s="859"/>
      <c r="L106" s="859"/>
      <c r="M106" s="859"/>
      <c r="N106" s="859"/>
      <c r="O106" s="859"/>
      <c r="P106" s="859"/>
      <c r="Q106" s="859"/>
      <c r="R106" s="859"/>
      <c r="S106" s="859"/>
      <c r="T106" s="859"/>
      <c r="U106" s="859"/>
      <c r="V106" s="859"/>
      <c r="W106" s="859"/>
      <c r="X106" s="859"/>
      <c r="Y106" s="859"/>
      <c r="Z106" s="859"/>
    </row>
    <row r="107" spans="1:26">
      <c r="A107" s="859"/>
      <c r="B107" s="859"/>
      <c r="C107" s="859"/>
      <c r="D107" s="859"/>
      <c r="E107" s="859"/>
      <c r="F107" s="859"/>
      <c r="G107" s="859"/>
      <c r="H107" s="859"/>
      <c r="I107" s="859"/>
      <c r="J107" s="859"/>
      <c r="K107" s="859"/>
      <c r="L107" s="859"/>
      <c r="M107" s="859"/>
      <c r="N107" s="859"/>
      <c r="O107" s="859"/>
      <c r="P107" s="859"/>
      <c r="Q107" s="859"/>
      <c r="R107" s="859"/>
      <c r="S107" s="859"/>
      <c r="T107" s="859"/>
      <c r="U107" s="859"/>
      <c r="V107" s="859"/>
      <c r="W107" s="859"/>
      <c r="X107" s="859"/>
      <c r="Y107" s="859"/>
      <c r="Z107" s="859"/>
    </row>
    <row r="108" spans="1:26">
      <c r="A108" s="859"/>
      <c r="B108" s="859"/>
      <c r="C108" s="859"/>
      <c r="D108" s="859"/>
      <c r="E108" s="859"/>
      <c r="F108" s="859"/>
      <c r="G108" s="859"/>
      <c r="H108" s="859"/>
      <c r="I108" s="859"/>
      <c r="J108" s="859"/>
      <c r="K108" s="859"/>
      <c r="L108" s="859"/>
      <c r="M108" s="859"/>
      <c r="N108" s="859"/>
      <c r="O108" s="859"/>
      <c r="P108" s="859"/>
      <c r="Q108" s="859"/>
      <c r="R108" s="859"/>
      <c r="S108" s="859"/>
      <c r="T108" s="859"/>
      <c r="U108" s="859"/>
      <c r="V108" s="859"/>
      <c r="W108" s="859"/>
      <c r="X108" s="859"/>
      <c r="Y108" s="859"/>
      <c r="Z108" s="859"/>
    </row>
    <row r="109" spans="1:26">
      <c r="A109" s="859"/>
      <c r="B109" s="859"/>
      <c r="C109" s="859"/>
      <c r="D109" s="859"/>
      <c r="E109" s="859"/>
      <c r="F109" s="859"/>
      <c r="G109" s="859"/>
      <c r="H109" s="859"/>
      <c r="I109" s="859"/>
      <c r="J109" s="859"/>
      <c r="K109" s="859"/>
      <c r="L109" s="859"/>
      <c r="M109" s="859"/>
      <c r="N109" s="859"/>
      <c r="O109" s="859"/>
      <c r="P109" s="859"/>
      <c r="Q109" s="859"/>
      <c r="R109" s="859"/>
      <c r="S109" s="859"/>
      <c r="T109" s="859"/>
      <c r="U109" s="859"/>
      <c r="V109" s="859"/>
      <c r="W109" s="859"/>
      <c r="X109" s="859"/>
      <c r="Y109" s="859"/>
      <c r="Z109" s="859"/>
    </row>
    <row r="110" spans="1:26">
      <c r="A110" s="859"/>
      <c r="B110" s="859"/>
      <c r="C110" s="859"/>
      <c r="D110" s="859"/>
      <c r="E110" s="859"/>
      <c r="F110" s="859"/>
      <c r="G110" s="859"/>
      <c r="H110" s="859"/>
      <c r="I110" s="859"/>
      <c r="J110" s="859"/>
      <c r="K110" s="859"/>
      <c r="L110" s="859"/>
      <c r="M110" s="859"/>
      <c r="N110" s="859"/>
      <c r="O110" s="859"/>
      <c r="P110" s="859"/>
      <c r="Q110" s="859"/>
      <c r="R110" s="859"/>
      <c r="S110" s="859"/>
      <c r="T110" s="859"/>
      <c r="U110" s="859"/>
      <c r="V110" s="859"/>
      <c r="W110" s="859"/>
      <c r="X110" s="859"/>
      <c r="Y110" s="859"/>
      <c r="Z110" s="859"/>
    </row>
    <row r="111" spans="1:26">
      <c r="A111" s="859"/>
      <c r="B111" s="859"/>
      <c r="C111" s="859"/>
      <c r="D111" s="859"/>
      <c r="E111" s="859"/>
      <c r="F111" s="859"/>
      <c r="G111" s="859"/>
      <c r="H111" s="859"/>
      <c r="I111" s="859"/>
      <c r="J111" s="859"/>
      <c r="K111" s="859"/>
      <c r="L111" s="859"/>
      <c r="M111" s="859"/>
      <c r="N111" s="859"/>
      <c r="O111" s="859"/>
      <c r="P111" s="859"/>
      <c r="Q111" s="859"/>
      <c r="R111" s="859"/>
      <c r="S111" s="859"/>
      <c r="T111" s="859"/>
      <c r="U111" s="859"/>
      <c r="V111" s="859"/>
      <c r="W111" s="859"/>
      <c r="X111" s="859"/>
      <c r="Y111" s="859"/>
      <c r="Z111" s="859"/>
    </row>
    <row r="112" spans="1:26">
      <c r="A112" s="859"/>
      <c r="B112" s="859"/>
      <c r="C112" s="859"/>
      <c r="D112" s="859"/>
      <c r="E112" s="859"/>
      <c r="F112" s="859"/>
      <c r="G112" s="859"/>
      <c r="H112" s="859"/>
      <c r="I112" s="859"/>
      <c r="J112" s="859"/>
      <c r="K112" s="859"/>
      <c r="L112" s="859"/>
      <c r="M112" s="859"/>
      <c r="N112" s="859"/>
      <c r="O112" s="859"/>
      <c r="P112" s="859"/>
      <c r="Q112" s="859"/>
      <c r="R112" s="859"/>
      <c r="S112" s="859"/>
      <c r="T112" s="859"/>
      <c r="U112" s="859"/>
      <c r="V112" s="859"/>
      <c r="W112" s="859"/>
      <c r="X112" s="859"/>
      <c r="Y112" s="859"/>
      <c r="Z112" s="859"/>
    </row>
    <row r="113" spans="1:26">
      <c r="A113" s="859"/>
      <c r="B113" s="859"/>
      <c r="C113" s="859"/>
      <c r="D113" s="859"/>
      <c r="E113" s="859"/>
      <c r="F113" s="859"/>
      <c r="G113" s="859"/>
      <c r="H113" s="859"/>
      <c r="I113" s="859"/>
      <c r="J113" s="859"/>
      <c r="K113" s="859"/>
      <c r="L113" s="859"/>
      <c r="M113" s="859"/>
      <c r="N113" s="859"/>
      <c r="O113" s="859"/>
      <c r="P113" s="859"/>
      <c r="Q113" s="859"/>
      <c r="R113" s="859"/>
      <c r="S113" s="859"/>
      <c r="T113" s="859"/>
      <c r="U113" s="859"/>
      <c r="V113" s="859"/>
      <c r="W113" s="859"/>
      <c r="X113" s="859"/>
      <c r="Y113" s="859"/>
      <c r="Z113" s="859"/>
    </row>
    <row r="114" spans="1:26">
      <c r="A114" s="859"/>
      <c r="B114" s="859"/>
      <c r="C114" s="859"/>
      <c r="D114" s="859"/>
      <c r="E114" s="859"/>
      <c r="F114" s="859"/>
      <c r="G114" s="859"/>
      <c r="H114" s="859"/>
      <c r="I114" s="859"/>
      <c r="J114" s="859"/>
      <c r="K114" s="859"/>
      <c r="L114" s="859"/>
      <c r="M114" s="859"/>
      <c r="N114" s="859"/>
      <c r="O114" s="859"/>
      <c r="P114" s="859"/>
      <c r="Q114" s="859"/>
      <c r="R114" s="859"/>
      <c r="S114" s="859"/>
      <c r="T114" s="859"/>
      <c r="U114" s="859"/>
      <c r="V114" s="859"/>
      <c r="W114" s="859"/>
      <c r="X114" s="859"/>
      <c r="Y114" s="859"/>
      <c r="Z114" s="859"/>
    </row>
    <row r="115" spans="1:26">
      <c r="A115" s="859"/>
      <c r="B115" s="859"/>
      <c r="C115" s="859"/>
      <c r="D115" s="859"/>
      <c r="E115" s="859"/>
      <c r="F115" s="859"/>
      <c r="G115" s="859"/>
      <c r="H115" s="859"/>
      <c r="I115" s="859"/>
      <c r="J115" s="859"/>
      <c r="K115" s="859"/>
      <c r="L115" s="859"/>
      <c r="M115" s="859"/>
      <c r="N115" s="859"/>
      <c r="O115" s="859"/>
      <c r="P115" s="859"/>
      <c r="Q115" s="859"/>
      <c r="R115" s="859"/>
      <c r="S115" s="859"/>
      <c r="T115" s="859"/>
      <c r="U115" s="859"/>
      <c r="V115" s="859"/>
      <c r="W115" s="859"/>
      <c r="X115" s="859"/>
      <c r="Y115" s="859"/>
      <c r="Z115" s="859"/>
    </row>
    <row r="116" spans="1:26">
      <c r="A116" s="859"/>
      <c r="B116" s="859"/>
      <c r="C116" s="859"/>
      <c r="D116" s="859"/>
      <c r="E116" s="859"/>
      <c r="F116" s="859"/>
      <c r="G116" s="859"/>
      <c r="H116" s="859"/>
      <c r="I116" s="859"/>
      <c r="J116" s="859"/>
      <c r="K116" s="859"/>
      <c r="L116" s="859"/>
      <c r="M116" s="859"/>
      <c r="N116" s="859"/>
      <c r="O116" s="859"/>
      <c r="P116" s="859"/>
      <c r="Q116" s="859"/>
      <c r="R116" s="859"/>
      <c r="S116" s="859"/>
      <c r="T116" s="859"/>
      <c r="U116" s="859"/>
      <c r="V116" s="859"/>
      <c r="W116" s="859"/>
      <c r="X116" s="859"/>
      <c r="Y116" s="859"/>
      <c r="Z116" s="859"/>
    </row>
    <row r="117" spans="1:26">
      <c r="A117" s="859"/>
      <c r="B117" s="859"/>
      <c r="C117" s="859"/>
      <c r="D117" s="859"/>
      <c r="E117" s="859"/>
      <c r="F117" s="859"/>
      <c r="G117" s="859"/>
      <c r="H117" s="859"/>
      <c r="I117" s="859"/>
      <c r="J117" s="859"/>
      <c r="K117" s="859"/>
      <c r="L117" s="859"/>
      <c r="M117" s="859"/>
      <c r="N117" s="859"/>
      <c r="O117" s="859"/>
      <c r="P117" s="859"/>
      <c r="Q117" s="859"/>
      <c r="R117" s="859"/>
      <c r="S117" s="859"/>
      <c r="T117" s="859"/>
      <c r="U117" s="859"/>
      <c r="V117" s="859"/>
      <c r="W117" s="859"/>
      <c r="X117" s="859"/>
      <c r="Y117" s="859"/>
      <c r="Z117" s="859"/>
    </row>
    <row r="118" spans="1:26">
      <c r="A118" s="859"/>
      <c r="B118" s="859"/>
      <c r="C118" s="859"/>
      <c r="D118" s="859"/>
      <c r="E118" s="859"/>
      <c r="F118" s="859"/>
      <c r="G118" s="859"/>
      <c r="H118" s="859"/>
      <c r="I118" s="859"/>
      <c r="J118" s="859"/>
      <c r="K118" s="859"/>
      <c r="L118" s="859"/>
      <c r="M118" s="859"/>
      <c r="N118" s="859"/>
      <c r="O118" s="859"/>
      <c r="P118" s="859"/>
      <c r="Q118" s="859"/>
      <c r="R118" s="859"/>
      <c r="S118" s="859"/>
      <c r="T118" s="859"/>
      <c r="U118" s="859"/>
      <c r="V118" s="859"/>
      <c r="W118" s="859"/>
      <c r="X118" s="859"/>
      <c r="Y118" s="859"/>
      <c r="Z118" s="859"/>
    </row>
    <row r="119" spans="1:26">
      <c r="A119" s="859"/>
      <c r="B119" s="859"/>
      <c r="C119" s="859"/>
      <c r="D119" s="859"/>
      <c r="E119" s="859"/>
      <c r="F119" s="859"/>
      <c r="G119" s="859"/>
      <c r="H119" s="859"/>
      <c r="I119" s="859"/>
      <c r="J119" s="859"/>
      <c r="K119" s="859"/>
      <c r="L119" s="859"/>
      <c r="M119" s="859"/>
      <c r="N119" s="859"/>
      <c r="O119" s="859"/>
      <c r="P119" s="859"/>
      <c r="Q119" s="859"/>
      <c r="R119" s="859"/>
      <c r="S119" s="859"/>
      <c r="T119" s="859"/>
      <c r="U119" s="859"/>
      <c r="V119" s="859"/>
      <c r="W119" s="859"/>
      <c r="X119" s="859"/>
      <c r="Y119" s="859"/>
      <c r="Z119" s="859"/>
    </row>
    <row r="120" spans="1:26">
      <c r="A120" s="859"/>
      <c r="B120" s="859"/>
      <c r="C120" s="859"/>
      <c r="D120" s="859"/>
      <c r="E120" s="859"/>
      <c r="F120" s="859"/>
      <c r="G120" s="859"/>
      <c r="H120" s="859"/>
      <c r="I120" s="859"/>
      <c r="J120" s="859"/>
      <c r="K120" s="859"/>
      <c r="L120" s="859"/>
      <c r="M120" s="859"/>
      <c r="N120" s="859"/>
      <c r="O120" s="859"/>
      <c r="P120" s="859"/>
      <c r="Q120" s="859"/>
      <c r="R120" s="859"/>
      <c r="S120" s="859"/>
      <c r="T120" s="859"/>
      <c r="U120" s="859"/>
      <c r="V120" s="859"/>
      <c r="W120" s="859"/>
      <c r="X120" s="859"/>
      <c r="Y120" s="859"/>
      <c r="Z120" s="859"/>
    </row>
    <row r="121" spans="1:26">
      <c r="A121" s="859"/>
      <c r="B121" s="859"/>
      <c r="C121" s="859"/>
      <c r="D121" s="859"/>
      <c r="E121" s="859"/>
      <c r="F121" s="859"/>
      <c r="G121" s="859"/>
      <c r="H121" s="859"/>
      <c r="I121" s="859"/>
      <c r="J121" s="859"/>
      <c r="K121" s="859"/>
      <c r="L121" s="859"/>
      <c r="M121" s="859"/>
      <c r="N121" s="859"/>
      <c r="O121" s="859"/>
      <c r="P121" s="859"/>
      <c r="Q121" s="859"/>
      <c r="R121" s="859"/>
      <c r="S121" s="859"/>
      <c r="T121" s="859"/>
      <c r="U121" s="859"/>
      <c r="V121" s="859"/>
      <c r="W121" s="859"/>
      <c r="X121" s="859"/>
      <c r="Y121" s="859"/>
      <c r="Z121" s="859"/>
    </row>
    <row r="122" spans="1:26">
      <c r="A122" s="859"/>
      <c r="B122" s="859"/>
      <c r="C122" s="859"/>
      <c r="D122" s="859"/>
      <c r="E122" s="859"/>
      <c r="F122" s="859"/>
      <c r="G122" s="859"/>
      <c r="H122" s="859"/>
      <c r="I122" s="859"/>
      <c r="J122" s="859"/>
      <c r="K122" s="859"/>
      <c r="L122" s="859"/>
      <c r="M122" s="859"/>
      <c r="N122" s="859"/>
      <c r="O122" s="859"/>
      <c r="P122" s="859"/>
      <c r="Q122" s="859"/>
      <c r="R122" s="859"/>
      <c r="S122" s="859"/>
      <c r="T122" s="859"/>
      <c r="U122" s="859"/>
      <c r="V122" s="859"/>
      <c r="W122" s="859"/>
      <c r="X122" s="859"/>
      <c r="Y122" s="859"/>
      <c r="Z122" s="859"/>
    </row>
    <row r="123" spans="1:26">
      <c r="A123" s="859"/>
      <c r="B123" s="859"/>
      <c r="C123" s="859"/>
      <c r="D123" s="859"/>
      <c r="E123" s="859"/>
      <c r="F123" s="859"/>
      <c r="G123" s="859"/>
      <c r="H123" s="859"/>
      <c r="I123" s="859"/>
      <c r="J123" s="859"/>
      <c r="K123" s="859"/>
      <c r="L123" s="859"/>
      <c r="M123" s="859"/>
      <c r="N123" s="859"/>
      <c r="O123" s="859"/>
      <c r="P123" s="859"/>
      <c r="Q123" s="859"/>
      <c r="R123" s="859"/>
      <c r="S123" s="859"/>
      <c r="T123" s="859"/>
      <c r="U123" s="859"/>
      <c r="V123" s="859"/>
      <c r="W123" s="859"/>
      <c r="X123" s="859"/>
      <c r="Y123" s="859"/>
      <c r="Z123" s="859"/>
    </row>
    <row r="124" spans="1:26">
      <c r="A124" s="859"/>
      <c r="B124" s="859"/>
      <c r="C124" s="859"/>
      <c r="D124" s="859"/>
      <c r="E124" s="859"/>
      <c r="F124" s="859"/>
      <c r="G124" s="859"/>
      <c r="H124" s="859"/>
      <c r="I124" s="859"/>
      <c r="J124" s="859"/>
      <c r="K124" s="859"/>
      <c r="L124" s="859"/>
      <c r="M124" s="859"/>
      <c r="N124" s="859"/>
      <c r="O124" s="859"/>
      <c r="P124" s="859"/>
      <c r="Q124" s="859"/>
      <c r="R124" s="859"/>
      <c r="S124" s="859"/>
      <c r="T124" s="859"/>
      <c r="U124" s="859"/>
      <c r="V124" s="859"/>
      <c r="W124" s="859"/>
      <c r="X124" s="859"/>
      <c r="Y124" s="859"/>
      <c r="Z124" s="859"/>
    </row>
    <row r="125" spans="1:26">
      <c r="A125" s="859"/>
      <c r="B125" s="859"/>
      <c r="C125" s="859"/>
      <c r="D125" s="859"/>
      <c r="E125" s="859"/>
      <c r="F125" s="859"/>
      <c r="G125" s="859"/>
      <c r="H125" s="859"/>
      <c r="I125" s="859"/>
      <c r="J125" s="859"/>
      <c r="K125" s="859"/>
      <c r="L125" s="859"/>
      <c r="M125" s="859"/>
      <c r="N125" s="859"/>
      <c r="O125" s="859"/>
      <c r="P125" s="859"/>
      <c r="Q125" s="859"/>
      <c r="R125" s="859"/>
      <c r="S125" s="859"/>
      <c r="T125" s="859"/>
      <c r="U125" s="859"/>
      <c r="V125" s="859"/>
      <c r="W125" s="859"/>
      <c r="X125" s="859"/>
      <c r="Y125" s="859"/>
      <c r="Z125" s="859"/>
    </row>
    <row r="126" spans="1:26">
      <c r="A126" s="859"/>
      <c r="B126" s="859"/>
      <c r="C126" s="859"/>
      <c r="D126" s="859"/>
      <c r="E126" s="859"/>
      <c r="F126" s="859"/>
      <c r="G126" s="859"/>
      <c r="H126" s="859"/>
      <c r="I126" s="859"/>
      <c r="J126" s="859"/>
      <c r="K126" s="859"/>
      <c r="L126" s="859"/>
      <c r="M126" s="859"/>
      <c r="N126" s="859"/>
      <c r="O126" s="859"/>
      <c r="P126" s="859"/>
      <c r="Q126" s="859"/>
      <c r="R126" s="859"/>
      <c r="S126" s="859"/>
      <c r="T126" s="859"/>
      <c r="U126" s="859"/>
      <c r="V126" s="859"/>
      <c r="W126" s="859"/>
      <c r="X126" s="859"/>
      <c r="Y126" s="859"/>
      <c r="Z126" s="859"/>
    </row>
    <row r="127" spans="1:26">
      <c r="A127" s="859"/>
      <c r="B127" s="859"/>
      <c r="C127" s="859"/>
      <c r="D127" s="859"/>
      <c r="E127" s="859"/>
      <c r="F127" s="859"/>
      <c r="G127" s="859"/>
      <c r="H127" s="859"/>
      <c r="I127" s="859"/>
      <c r="J127" s="859"/>
      <c r="K127" s="859"/>
      <c r="L127" s="859"/>
      <c r="M127" s="859"/>
      <c r="N127" s="859"/>
      <c r="O127" s="859"/>
      <c r="P127" s="859"/>
      <c r="Q127" s="859"/>
      <c r="R127" s="859"/>
      <c r="S127" s="859"/>
      <c r="T127" s="859"/>
      <c r="U127" s="859"/>
      <c r="V127" s="859"/>
      <c r="W127" s="859"/>
      <c r="X127" s="859"/>
      <c r="Y127" s="859"/>
      <c r="Z127" s="859"/>
    </row>
  </sheetData>
  <phoneticPr fontId="0" type="noConversion"/>
  <pageMargins left="0.75" right="0.75" top="1" bottom="1" header="0.5" footer="0.5"/>
  <pageSetup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theme="0" tint="-0.499984740745262"/>
    <pageSetUpPr fitToPage="1"/>
  </sheetPr>
  <dimension ref="A1:CR223"/>
  <sheetViews>
    <sheetView showGridLines="0" zoomScaleNormal="100" zoomScaleSheetLayoutView="85" workbookViewId="0">
      <pane xSplit="9" ySplit="3" topLeftCell="BS4" activePane="bottomRight" state="frozen"/>
      <selection pane="topRight"/>
      <selection pane="bottomLeft"/>
      <selection pane="bottomRight" activeCell="BS2" sqref="BS2"/>
    </sheetView>
  </sheetViews>
  <sheetFormatPr defaultRowHeight="12.75" outlineLevelRow="1" outlineLevelCol="1"/>
  <cols>
    <col min="1" max="1" width="2.28515625" customWidth="1"/>
    <col min="2" max="2" width="5.7109375" customWidth="1"/>
    <col min="3" max="3" width="6.7109375" customWidth="1"/>
    <col min="4" max="8" width="7.7109375" customWidth="1"/>
    <col min="9" max="9" width="7.7109375" hidden="1" customWidth="1"/>
    <col min="10" max="32" width="1.7109375" hidden="1" customWidth="1" outlineLevel="1"/>
    <col min="33" max="35" width="9.140625" hidden="1" customWidth="1" outlineLevel="1"/>
    <col min="36" max="36" width="9.140625" customWidth="1" collapsed="1"/>
    <col min="37" max="40" width="9.140625" hidden="1" customWidth="1" outlineLevel="1"/>
    <col min="41" max="41" width="9.140625" customWidth="1" collapsed="1"/>
    <col min="42" max="45" width="9.140625" hidden="1" customWidth="1" outlineLevel="1"/>
    <col min="46" max="46" width="9.140625" customWidth="1" collapsed="1"/>
    <col min="47" max="50" width="9.140625" hidden="1" customWidth="1" outlineLevel="1"/>
    <col min="51" max="51" width="9.140625" customWidth="1" collapsed="1"/>
    <col min="52" max="55" width="9.140625" hidden="1" customWidth="1" outlineLevel="1"/>
    <col min="56" max="56" width="9.140625" customWidth="1" collapsed="1"/>
    <col min="57" max="60" width="9.140625" hidden="1" customWidth="1" outlineLevel="1"/>
    <col min="61" max="61" width="9.140625" customWidth="1" collapsed="1"/>
    <col min="62" max="65" width="9.140625" hidden="1" customWidth="1" outlineLevel="1"/>
    <col min="66" max="66" width="9.140625" customWidth="1" collapsed="1"/>
    <col min="67" max="70" width="9.140625" hidden="1" customWidth="1" outlineLevel="1"/>
    <col min="71" max="71" width="9.140625" customWidth="1" collapsed="1"/>
    <col min="72" max="75" width="9.140625" hidden="1" customWidth="1" outlineLevel="1"/>
    <col min="76" max="76" width="9.140625" customWidth="1" collapsed="1"/>
    <col min="77" max="80" width="9.140625" customWidth="1" outlineLevel="1"/>
    <col min="81" max="81" width="9.140625" customWidth="1"/>
    <col min="82" max="85" width="9.140625" customWidth="1" outlineLevel="1"/>
    <col min="86" max="86" width="9.140625" customWidth="1"/>
    <col min="87" max="90" width="9.140625" hidden="1" customWidth="1" outlineLevel="1"/>
    <col min="91" max="91" width="9.140625" customWidth="1" collapsed="1"/>
    <col min="92" max="95" width="9.140625" hidden="1" customWidth="1" outlineLevel="1"/>
    <col min="96" max="96" width="9.140625" customWidth="1" collapsed="1"/>
  </cols>
  <sheetData>
    <row r="1" spans="1:96" ht="20.25" customHeight="1">
      <c r="A1" s="315" t="s">
        <v>841</v>
      </c>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6"/>
      <c r="AU1" s="316"/>
      <c r="AV1" s="316"/>
      <c r="AW1" s="316"/>
      <c r="AX1" s="316"/>
      <c r="AY1" s="316"/>
      <c r="AZ1" s="316"/>
      <c r="BA1" s="316"/>
      <c r="BB1" s="316"/>
      <c r="BC1" s="316"/>
      <c r="BD1" s="316"/>
      <c r="BE1" s="316"/>
      <c r="BF1" s="316"/>
      <c r="BG1" s="316"/>
      <c r="BH1" s="316"/>
      <c r="BI1" s="316"/>
      <c r="BJ1" s="316"/>
      <c r="BK1" s="316"/>
      <c r="BL1" s="316"/>
      <c r="BM1" s="316"/>
      <c r="BN1" s="316"/>
      <c r="BO1" s="316"/>
      <c r="BP1" s="316"/>
      <c r="BQ1" s="316"/>
      <c r="BR1" s="316"/>
      <c r="BS1" s="316"/>
      <c r="BT1" s="316"/>
      <c r="BU1" s="316"/>
      <c r="BV1" s="316"/>
      <c r="BW1" s="316"/>
      <c r="BX1" s="316"/>
      <c r="BY1" s="316"/>
      <c r="BZ1" s="316"/>
      <c r="CA1" s="316"/>
      <c r="CB1" s="316"/>
      <c r="CC1" s="316"/>
      <c r="CD1" s="316"/>
      <c r="CE1" s="316"/>
      <c r="CF1" s="316"/>
      <c r="CG1" s="316"/>
      <c r="CH1" s="316"/>
      <c r="CI1" s="316"/>
      <c r="CJ1" s="316"/>
      <c r="CK1" s="316"/>
      <c r="CL1" s="316"/>
      <c r="CM1" s="316"/>
      <c r="CN1" s="316"/>
      <c r="CO1" s="316"/>
      <c r="CP1" s="316"/>
      <c r="CQ1" s="316"/>
      <c r="CR1" s="316"/>
    </row>
    <row r="2" spans="1:96" s="825" customFormat="1" ht="15" customHeight="1" outlineLevel="1">
      <c r="A2" s="822"/>
      <c r="B2" s="822"/>
      <c r="C2" s="822"/>
      <c r="D2" s="822"/>
      <c r="E2" s="822"/>
      <c r="F2" s="822"/>
      <c r="G2" s="822"/>
      <c r="H2" s="822"/>
      <c r="I2" s="823">
        <v>39447</v>
      </c>
      <c r="J2" s="823"/>
      <c r="K2" s="823"/>
      <c r="L2" s="823"/>
      <c r="M2" s="823"/>
      <c r="N2" s="823"/>
      <c r="O2" s="823"/>
      <c r="P2" s="823"/>
      <c r="Q2" s="823"/>
      <c r="R2" s="823"/>
      <c r="S2" s="823"/>
      <c r="T2" s="823"/>
      <c r="U2" s="823"/>
      <c r="V2" s="823"/>
      <c r="W2" s="823"/>
      <c r="X2" s="823"/>
      <c r="Y2" s="823"/>
      <c r="Z2" s="823"/>
      <c r="AA2" s="823"/>
      <c r="AB2" s="823"/>
      <c r="AC2" s="823"/>
      <c r="AD2" s="823"/>
      <c r="AE2" s="823"/>
      <c r="AF2" s="823"/>
      <c r="AG2" s="824">
        <v>39629</v>
      </c>
      <c r="AH2" s="824">
        <v>39721</v>
      </c>
      <c r="AI2" s="824">
        <v>39813</v>
      </c>
      <c r="AJ2" s="824">
        <v>39813</v>
      </c>
      <c r="AK2" s="824">
        <v>39903</v>
      </c>
      <c r="AL2" s="824">
        <v>39994</v>
      </c>
      <c r="AM2" s="824">
        <v>40086</v>
      </c>
      <c r="AN2" s="824">
        <v>40178</v>
      </c>
      <c r="AO2" s="824">
        <v>40178</v>
      </c>
      <c r="AP2" s="824">
        <v>40268</v>
      </c>
      <c r="AQ2" s="824">
        <v>40359</v>
      </c>
      <c r="AR2" s="824">
        <v>40451</v>
      </c>
      <c r="AS2" s="824">
        <v>40543</v>
      </c>
      <c r="AT2" s="824">
        <v>40543</v>
      </c>
      <c r="AU2" s="824">
        <v>40633</v>
      </c>
      <c r="AV2" s="824">
        <v>40724</v>
      </c>
      <c r="AW2" s="824">
        <v>40816</v>
      </c>
      <c r="AX2" s="824">
        <v>40908</v>
      </c>
      <c r="AY2" s="824">
        <v>40908</v>
      </c>
      <c r="AZ2" s="824">
        <v>40999</v>
      </c>
      <c r="BA2" s="824">
        <v>41090</v>
      </c>
      <c r="BB2" s="824">
        <v>41182</v>
      </c>
      <c r="BC2" s="824">
        <v>41274</v>
      </c>
      <c r="BD2" s="824">
        <v>41274</v>
      </c>
      <c r="BE2" s="824">
        <v>41364</v>
      </c>
      <c r="BF2" s="824">
        <v>41455</v>
      </c>
      <c r="BG2" s="824">
        <v>41547</v>
      </c>
      <c r="BH2" s="824">
        <v>41639</v>
      </c>
      <c r="BI2" s="824">
        <v>41639</v>
      </c>
      <c r="BJ2" s="824">
        <v>41729</v>
      </c>
      <c r="BK2" s="824">
        <v>41820</v>
      </c>
      <c r="BL2" s="824">
        <v>41912</v>
      </c>
      <c r="BM2" s="824">
        <v>42004</v>
      </c>
      <c r="BN2" s="824">
        <v>42004</v>
      </c>
      <c r="BO2" s="824">
        <v>42094</v>
      </c>
      <c r="BP2" s="824">
        <v>42185</v>
      </c>
      <c r="BQ2" s="824">
        <v>42277</v>
      </c>
      <c r="BR2" s="824">
        <v>42369</v>
      </c>
      <c r="BS2" s="824">
        <v>42369</v>
      </c>
      <c r="BT2" s="824">
        <v>42460</v>
      </c>
      <c r="BU2" s="824">
        <v>42551</v>
      </c>
      <c r="BV2" s="824">
        <v>42643</v>
      </c>
      <c r="BW2" s="824">
        <v>42735</v>
      </c>
      <c r="BX2" s="824">
        <v>42735</v>
      </c>
      <c r="BY2" s="823">
        <f>Operations!BX5</f>
        <v>42825</v>
      </c>
      <c r="BZ2" s="823">
        <f>Operations!BY5</f>
        <v>42916</v>
      </c>
      <c r="CA2" s="823">
        <f>Operations!BZ5</f>
        <v>43008</v>
      </c>
      <c r="CB2" s="823">
        <f>Operations!CA5</f>
        <v>43100</v>
      </c>
      <c r="CC2" s="823">
        <f>CB2</f>
        <v>43100</v>
      </c>
      <c r="CD2" s="823">
        <f>Operations!CC5</f>
        <v>43190</v>
      </c>
      <c r="CE2" s="823">
        <f>Operations!CD5</f>
        <v>43281</v>
      </c>
      <c r="CF2" s="823">
        <f>Operations!CE5</f>
        <v>43373</v>
      </c>
      <c r="CG2" s="823">
        <f>Operations!CF5</f>
        <v>43465</v>
      </c>
      <c r="CH2" s="823">
        <f>CG2</f>
        <v>43465</v>
      </c>
      <c r="CI2" s="823">
        <f>Operations!CH5</f>
        <v>43555</v>
      </c>
      <c r="CJ2" s="823">
        <f>Operations!CI5</f>
        <v>43646</v>
      </c>
      <c r="CK2" s="823">
        <f>Operations!CJ5</f>
        <v>43738</v>
      </c>
      <c r="CL2" s="823">
        <f>Operations!CK5</f>
        <v>43830</v>
      </c>
      <c r="CM2" s="823">
        <f>CL2</f>
        <v>43830</v>
      </c>
      <c r="CN2" s="823">
        <f>Operations!CM5</f>
        <v>43921</v>
      </c>
      <c r="CO2" s="823">
        <f>Operations!CN5</f>
        <v>44012</v>
      </c>
      <c r="CP2" s="823">
        <f>Operations!CO5</f>
        <v>44104</v>
      </c>
      <c r="CQ2" s="823">
        <f>Operations!CP5</f>
        <v>44196</v>
      </c>
      <c r="CR2" s="823">
        <f>CQ2</f>
        <v>44196</v>
      </c>
    </row>
    <row r="3" spans="1:96" ht="13.5" customHeight="1">
      <c r="A3" s="812" t="s">
        <v>76</v>
      </c>
      <c r="B3" s="813"/>
      <c r="C3" s="813"/>
      <c r="D3" s="814"/>
      <c r="E3" s="814"/>
      <c r="F3" s="815"/>
      <c r="G3" s="815" t="s">
        <v>77</v>
      </c>
      <c r="H3" s="815" t="s">
        <v>78</v>
      </c>
      <c r="I3" s="815"/>
      <c r="J3" s="876"/>
      <c r="K3" s="876"/>
      <c r="L3" s="876"/>
      <c r="M3" s="876"/>
      <c r="N3" s="876"/>
      <c r="O3" s="876"/>
      <c r="P3" s="876"/>
      <c r="Q3" s="876"/>
      <c r="R3" s="876"/>
      <c r="S3" s="876"/>
      <c r="T3" s="876"/>
      <c r="U3" s="876"/>
      <c r="V3" s="876"/>
      <c r="W3" s="876"/>
      <c r="X3" s="876"/>
      <c r="Y3" s="876"/>
      <c r="Z3" s="876"/>
      <c r="AA3" s="876"/>
      <c r="AB3" s="876"/>
      <c r="AC3" s="876"/>
      <c r="AD3" s="876"/>
      <c r="AE3" s="876"/>
      <c r="AF3" s="876"/>
      <c r="AG3" s="800" t="str">
        <f>Operations!AF4</f>
        <v>2Q</v>
      </c>
      <c r="AH3" s="800" t="str">
        <f>Operations!AG4</f>
        <v>3Q</v>
      </c>
      <c r="AI3" s="800" t="str">
        <f>Operations!AH4</f>
        <v>4Q</v>
      </c>
      <c r="AJ3" s="799">
        <f>Operations!AI4</f>
        <v>2008</v>
      </c>
      <c r="AK3" s="1389" t="str">
        <f>Operations!AJ4</f>
        <v>1Q</v>
      </c>
      <c r="AL3" s="1390" t="str">
        <f>Operations!AK4</f>
        <v>2Q</v>
      </c>
      <c r="AM3" s="1390" t="str">
        <f>Operations!AL4</f>
        <v>3Q</v>
      </c>
      <c r="AN3" s="1391" t="str">
        <f>Operations!AM4</f>
        <v>4Q</v>
      </c>
      <c r="AO3" s="799">
        <f>Operations!AN4</f>
        <v>2009</v>
      </c>
      <c r="AP3" s="1389" t="str">
        <f>Operations!AO4</f>
        <v>1Q</v>
      </c>
      <c r="AQ3" s="1390" t="str">
        <f>Operations!AP4</f>
        <v>2Q</v>
      </c>
      <c r="AR3" s="1390" t="str">
        <f>Operations!AQ4</f>
        <v>3Q</v>
      </c>
      <c r="AS3" s="1391" t="str">
        <f>Operations!AR4</f>
        <v>4Q</v>
      </c>
      <c r="AT3" s="799">
        <f>Operations!AS4</f>
        <v>2010</v>
      </c>
      <c r="AU3" s="1389" t="str">
        <f>Operations!AT4</f>
        <v>1Q</v>
      </c>
      <c r="AV3" s="1390" t="str">
        <f>Operations!AU4</f>
        <v>2Q</v>
      </c>
      <c r="AW3" s="1390" t="str">
        <f>Operations!AV4</f>
        <v>3Q</v>
      </c>
      <c r="AX3" s="1391" t="str">
        <f>Operations!AW4</f>
        <v>4Q</v>
      </c>
      <c r="AY3" s="799">
        <f>Operations!AX4</f>
        <v>2011</v>
      </c>
      <c r="AZ3" s="1389" t="str">
        <f>Operations!AY4</f>
        <v>1Q</v>
      </c>
      <c r="BA3" s="1390" t="str">
        <f>Operations!AZ4</f>
        <v>2Q</v>
      </c>
      <c r="BB3" s="1390" t="str">
        <f>Operations!BA4</f>
        <v>3Q</v>
      </c>
      <c r="BC3" s="1391" t="str">
        <f>Operations!BB4</f>
        <v>4Q</v>
      </c>
      <c r="BD3" s="799">
        <f>Operations!BC4</f>
        <v>2012</v>
      </c>
      <c r="BE3" s="1389" t="str">
        <f>Operations!BD4</f>
        <v>1Q</v>
      </c>
      <c r="BF3" s="1390" t="str">
        <f>Operations!BE4</f>
        <v>2Q</v>
      </c>
      <c r="BG3" s="1390" t="str">
        <f>Operations!BF4</f>
        <v>3Q</v>
      </c>
      <c r="BH3" s="1391" t="str">
        <f>Operations!BG4</f>
        <v>4Q</v>
      </c>
      <c r="BI3" s="799">
        <f>Operations!BH4</f>
        <v>2013</v>
      </c>
      <c r="BJ3" s="1389" t="str">
        <f>Operations!BI4</f>
        <v>1Q</v>
      </c>
      <c r="BK3" s="1390" t="str">
        <f>Operations!BJ4</f>
        <v>2Q</v>
      </c>
      <c r="BL3" s="1390" t="str">
        <f>Operations!BK4</f>
        <v>3Q</v>
      </c>
      <c r="BM3" s="1391" t="str">
        <f>Operations!BL4</f>
        <v>4Q</v>
      </c>
      <c r="BN3" s="799">
        <f>Operations!BM4</f>
        <v>2014</v>
      </c>
      <c r="BO3" s="1389" t="str">
        <f>Operations!BN4</f>
        <v>1Q</v>
      </c>
      <c r="BP3" s="1390" t="str">
        <f>Operations!BO4</f>
        <v>2Q</v>
      </c>
      <c r="BQ3" s="1390" t="str">
        <f>Operations!BP4</f>
        <v>3Q</v>
      </c>
      <c r="BR3" s="1391" t="str">
        <f>Operations!BQ4</f>
        <v>4Q</v>
      </c>
      <c r="BS3" s="799">
        <f>Operations!BR4</f>
        <v>2015</v>
      </c>
      <c r="BT3" s="1389" t="str">
        <f>Operations!BS4</f>
        <v>1Q</v>
      </c>
      <c r="BU3" s="1390" t="str">
        <f>Operations!BT4</f>
        <v>2Q</v>
      </c>
      <c r="BV3" s="1390" t="str">
        <f>Operations!BU4</f>
        <v>3Q</v>
      </c>
      <c r="BW3" s="1391" t="str">
        <f>Operations!BV4</f>
        <v>4Q</v>
      </c>
      <c r="BX3" s="799">
        <f>Operations!BW4</f>
        <v>2016</v>
      </c>
      <c r="BY3" s="1389" t="str">
        <f>Operations!BX4</f>
        <v>1Q</v>
      </c>
      <c r="BZ3" s="1390" t="str">
        <f>Operations!BY4</f>
        <v>2Q</v>
      </c>
      <c r="CA3" s="1390" t="str">
        <f>Operations!BZ4</f>
        <v>3Q</v>
      </c>
      <c r="CB3" s="1391" t="str">
        <f>Operations!CA4</f>
        <v>4Q</v>
      </c>
      <c r="CC3" s="799">
        <f>Operations!CB4</f>
        <v>2017</v>
      </c>
      <c r="CD3" s="1389" t="str">
        <f>Operations!CC4</f>
        <v>1QE</v>
      </c>
      <c r="CE3" s="1390" t="str">
        <f>Operations!CD4</f>
        <v>2QE</v>
      </c>
      <c r="CF3" s="1390" t="str">
        <f>Operations!CE4</f>
        <v>3QE</v>
      </c>
      <c r="CG3" s="1391" t="str">
        <f>Operations!CF4</f>
        <v>4QE</v>
      </c>
      <c r="CH3" s="799" t="str">
        <f>Operations!CG4</f>
        <v>2018E</v>
      </c>
      <c r="CI3" s="1389" t="str">
        <f>Operations!CH4</f>
        <v>1QE</v>
      </c>
      <c r="CJ3" s="1390" t="str">
        <f>Operations!CI4</f>
        <v>2QE</v>
      </c>
      <c r="CK3" s="1390" t="str">
        <f>Operations!CJ4</f>
        <v>3QE</v>
      </c>
      <c r="CL3" s="1391" t="str">
        <f>Operations!CK4</f>
        <v>4QE</v>
      </c>
      <c r="CM3" s="799" t="str">
        <f>Operations!CL4</f>
        <v>2019E</v>
      </c>
      <c r="CN3" s="1389" t="str">
        <f>Operations!CM4</f>
        <v>1QE</v>
      </c>
      <c r="CO3" s="1390" t="str">
        <f>Operations!CN4</f>
        <v>2QE</v>
      </c>
      <c r="CP3" s="1390" t="str">
        <f>Operations!CO4</f>
        <v>3QE</v>
      </c>
      <c r="CQ3" s="1391" t="str">
        <f>Operations!CP4</f>
        <v>4QE</v>
      </c>
      <c r="CR3" s="1449" t="str">
        <f>Operations!CQ4</f>
        <v>2020E</v>
      </c>
    </row>
    <row r="4" spans="1:96" ht="6.2" customHeight="1">
      <c r="A4" s="317"/>
      <c r="B4" s="317"/>
      <c r="C4" s="317"/>
      <c r="D4" s="318"/>
      <c r="E4" s="318"/>
      <c r="F4" s="318"/>
      <c r="G4" s="318"/>
      <c r="H4" s="318"/>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9"/>
      <c r="AH4" s="319"/>
      <c r="AI4" s="320"/>
      <c r="AJ4" s="320"/>
      <c r="AK4" s="1392"/>
      <c r="AL4" s="320"/>
      <c r="AM4" s="320"/>
      <c r="AN4" s="1393"/>
      <c r="AO4" s="320"/>
      <c r="AP4" s="1392"/>
      <c r="AQ4" s="320"/>
      <c r="AR4" s="320"/>
      <c r="AS4" s="1393"/>
      <c r="AT4" s="320"/>
      <c r="AU4" s="1392"/>
      <c r="AV4" s="320"/>
      <c r="AW4" s="320"/>
      <c r="AX4" s="1393"/>
      <c r="AY4" s="320"/>
      <c r="AZ4" s="1392"/>
      <c r="BA4" s="320"/>
      <c r="BB4" s="320"/>
      <c r="BC4" s="1393"/>
      <c r="BD4" s="320"/>
      <c r="BE4" s="1392"/>
      <c r="BF4" s="320"/>
      <c r="BG4" s="320"/>
      <c r="BH4" s="1393"/>
      <c r="BI4" s="320"/>
      <c r="BJ4" s="1392"/>
      <c r="BK4" s="320"/>
      <c r="BL4" s="320"/>
      <c r="BM4" s="1393"/>
      <c r="BN4" s="320"/>
      <c r="BO4" s="1392"/>
      <c r="BP4" s="320"/>
      <c r="BQ4" s="320"/>
      <c r="BR4" s="1393"/>
      <c r="BS4" s="320"/>
      <c r="BT4" s="1392"/>
      <c r="BU4" s="320"/>
      <c r="BV4" s="320"/>
      <c r="BW4" s="1393"/>
      <c r="BX4" s="320"/>
      <c r="BY4" s="1392"/>
      <c r="BZ4" s="320"/>
      <c r="CA4" s="320"/>
      <c r="CB4" s="1393"/>
      <c r="CC4" s="320"/>
      <c r="CD4" s="1392"/>
      <c r="CE4" s="320"/>
      <c r="CF4" s="320"/>
      <c r="CG4" s="1393"/>
      <c r="CH4" s="320"/>
      <c r="CI4" s="1392"/>
      <c r="CJ4" s="320"/>
      <c r="CK4" s="320"/>
      <c r="CL4" s="1393"/>
      <c r="CM4" s="320"/>
      <c r="CN4" s="1392"/>
      <c r="CO4" s="320"/>
      <c r="CP4" s="320"/>
      <c r="CQ4" s="1393"/>
      <c r="CR4" s="1393"/>
    </row>
    <row r="5" spans="1:96" ht="13.5" customHeight="1">
      <c r="A5" s="317" t="s">
        <v>79</v>
      </c>
      <c r="B5" s="317"/>
      <c r="C5" s="317"/>
      <c r="D5" s="318"/>
      <c r="E5" s="318"/>
      <c r="F5" s="318"/>
      <c r="G5" s="318"/>
      <c r="H5" s="318"/>
      <c r="I5" s="318"/>
      <c r="J5" s="318"/>
      <c r="K5" s="318"/>
      <c r="L5" s="318"/>
      <c r="M5" s="318"/>
      <c r="N5" s="318"/>
      <c r="O5" s="318"/>
      <c r="P5" s="318"/>
      <c r="Q5" s="318"/>
      <c r="R5" s="318"/>
      <c r="S5" s="318"/>
      <c r="T5" s="318"/>
      <c r="U5" s="318"/>
      <c r="V5" s="318"/>
      <c r="W5" s="318"/>
      <c r="X5" s="318"/>
      <c r="Y5" s="318"/>
      <c r="Z5" s="318"/>
      <c r="AA5" s="318"/>
      <c r="AB5" s="318"/>
      <c r="AC5" s="318"/>
      <c r="AD5" s="318"/>
      <c r="AE5" s="318"/>
      <c r="AF5" s="318"/>
      <c r="AG5" s="658">
        <v>2.3720438095238099E-2</v>
      </c>
      <c r="AH5" s="658">
        <v>2.4923512698412701E-2</v>
      </c>
      <c r="AI5" s="658">
        <v>1.0207993442622951E-2</v>
      </c>
      <c r="AJ5" s="321">
        <f>AVERAGE(AG5:AI5)</f>
        <v>1.9617314745424583E-2</v>
      </c>
      <c r="AK5" s="1394">
        <v>2.6047196721311469E-3</v>
      </c>
      <c r="AL5" s="659">
        <v>2.4850442622950828E-3</v>
      </c>
      <c r="AM5" s="659">
        <v>2.3227687499999998E-3</v>
      </c>
      <c r="AN5" s="1395">
        <v>1.8248901639344251E-3</v>
      </c>
      <c r="AO5" s="321">
        <f>AVERAGE(AK5:AN5)</f>
        <v>2.3093557120901637E-3</v>
      </c>
      <c r="AP5" s="1434">
        <v>1.8388770491803283E-3</v>
      </c>
      <c r="AQ5" s="659">
        <v>2.7903508196721314E-3</v>
      </c>
      <c r="AR5" s="659">
        <v>2.5060547169811318E-3</v>
      </c>
      <c r="AS5" s="1435">
        <v>1.6639999999999999E-3</v>
      </c>
      <c r="AT5" s="321">
        <f>AVERAGE(AP5:AS5)</f>
        <v>2.199820646458398E-3</v>
      </c>
      <c r="AU5" s="1437">
        <f>(1+0.003494)/(1+AS5)-1</f>
        <v>1.8269599386619984E-3</v>
      </c>
      <c r="AV5" s="322">
        <f>(1+0.005003)/(1+AU5)-1</f>
        <v>3.1702481449815689E-3</v>
      </c>
      <c r="AW5" s="322">
        <f>(1+0.00669)/(1+AV5)-1</f>
        <v>3.5086286316077242E-3</v>
      </c>
      <c r="AX5" s="1435">
        <v>3.5000000000000001E-3</v>
      </c>
      <c r="AY5" s="321">
        <f>AVERAGE(AU5:AX5)</f>
        <v>3.0014591788128228E-3</v>
      </c>
      <c r="AZ5" s="1434">
        <v>5.0000000000000001E-3</v>
      </c>
      <c r="BA5" s="659">
        <v>5.0000000000000001E-3</v>
      </c>
      <c r="BB5" s="659">
        <v>5.0000000000000001E-3</v>
      </c>
      <c r="BC5" s="1435">
        <v>5.0000000000000001E-3</v>
      </c>
      <c r="BD5" s="321">
        <f>AVERAGE(AZ5:BC5)</f>
        <v>5.0000000000000001E-3</v>
      </c>
      <c r="BE5" s="1434">
        <v>5.0000000000000001E-3</v>
      </c>
      <c r="BF5" s="659">
        <v>5.0000000000000001E-3</v>
      </c>
      <c r="BG5" s="659">
        <v>5.0000000000000001E-3</v>
      </c>
      <c r="BH5" s="1435">
        <v>5.0000000000000001E-3</v>
      </c>
      <c r="BI5" s="321">
        <f>AVERAGE(BE5:BH5)</f>
        <v>5.0000000000000001E-3</v>
      </c>
      <c r="BJ5" s="1434">
        <v>5.0000000000000001E-3</v>
      </c>
      <c r="BK5" s="659">
        <v>5.0000000000000001E-3</v>
      </c>
      <c r="BL5" s="659">
        <v>5.0000000000000001E-3</v>
      </c>
      <c r="BM5" s="1435">
        <v>5.0000000000000001E-3</v>
      </c>
      <c r="BN5" s="321">
        <f>AVERAGE(BJ5:BM5)</f>
        <v>5.0000000000000001E-3</v>
      </c>
      <c r="BO5" s="1434">
        <v>5.0000000000000001E-3</v>
      </c>
      <c r="BP5" s="659">
        <v>5.0000000000000001E-3</v>
      </c>
      <c r="BQ5" s="659">
        <v>5.0000000000000001E-3</v>
      </c>
      <c r="BR5" s="1435">
        <v>5.0000000000000001E-3</v>
      </c>
      <c r="BS5" s="321">
        <f>AVERAGE(BO5:BR5)</f>
        <v>5.0000000000000001E-3</v>
      </c>
      <c r="BT5" s="1434">
        <v>5.0000000000000001E-3</v>
      </c>
      <c r="BU5" s="659">
        <v>5.0000000000000001E-3</v>
      </c>
      <c r="BV5" s="659">
        <v>5.0000000000000001E-3</v>
      </c>
      <c r="BW5" s="1435">
        <v>5.0000000000000001E-3</v>
      </c>
      <c r="BX5" s="321">
        <f>AVERAGE(BT5:BW5)</f>
        <v>5.0000000000000001E-3</v>
      </c>
      <c r="BY5" s="1434">
        <v>5.0000000000000001E-3</v>
      </c>
      <c r="BZ5" s="659">
        <v>5.0000000000000001E-3</v>
      </c>
      <c r="CA5" s="659">
        <v>5.0000000000000001E-3</v>
      </c>
      <c r="CB5" s="1435">
        <v>5.0000000000000001E-3</v>
      </c>
      <c r="CC5" s="321">
        <f>AVERAGE(BY5:CB5)</f>
        <v>5.0000000000000001E-3</v>
      </c>
      <c r="CD5" s="1434">
        <v>5.0000000000000001E-3</v>
      </c>
      <c r="CE5" s="659">
        <v>5.0000000000000001E-3</v>
      </c>
      <c r="CF5" s="659">
        <v>5.0000000000000001E-3</v>
      </c>
      <c r="CG5" s="1435">
        <v>5.0000000000000001E-3</v>
      </c>
      <c r="CH5" s="321">
        <f>AVERAGE(CD5:CG5)</f>
        <v>5.0000000000000001E-3</v>
      </c>
      <c r="CI5" s="1434">
        <v>5.0000000000000001E-3</v>
      </c>
      <c r="CJ5" s="659">
        <v>5.0000000000000001E-3</v>
      </c>
      <c r="CK5" s="659">
        <v>5.0000000000000001E-3</v>
      </c>
      <c r="CL5" s="1435">
        <v>5.0000000000000001E-3</v>
      </c>
      <c r="CM5" s="321">
        <f>AVERAGE(CI5:CL5)</f>
        <v>5.0000000000000001E-3</v>
      </c>
      <c r="CN5" s="1434">
        <v>5.0000000000000001E-3</v>
      </c>
      <c r="CO5" s="659">
        <v>5.0000000000000001E-3</v>
      </c>
      <c r="CP5" s="659">
        <v>5.0000000000000001E-3</v>
      </c>
      <c r="CQ5" s="1435">
        <v>5.0000000000000001E-3</v>
      </c>
      <c r="CR5" s="1450">
        <f>AVERAGE(CN5:CQ5)</f>
        <v>5.0000000000000001E-3</v>
      </c>
    </row>
    <row r="6" spans="1:96" ht="6.2" customHeight="1">
      <c r="A6" s="317"/>
      <c r="B6" s="317"/>
      <c r="C6" s="317"/>
      <c r="D6" s="318"/>
      <c r="E6" s="318"/>
      <c r="F6" s="318"/>
      <c r="G6" s="318"/>
      <c r="H6" s="318"/>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23"/>
      <c r="AJ6" s="324"/>
      <c r="AK6" s="1396"/>
      <c r="AL6" s="326"/>
      <c r="AM6" s="326"/>
      <c r="AN6" s="1397"/>
      <c r="AO6" s="325"/>
      <c r="AP6" s="1400"/>
      <c r="AQ6" s="326"/>
      <c r="AR6" s="326"/>
      <c r="AS6" s="1397"/>
      <c r="AT6" s="326"/>
      <c r="AU6" s="1400"/>
      <c r="AV6" s="326"/>
      <c r="AW6" s="326"/>
      <c r="AX6" s="1397"/>
      <c r="AY6" s="326"/>
      <c r="AZ6" s="1400"/>
      <c r="BA6" s="326"/>
      <c r="BB6" s="326"/>
      <c r="BC6" s="1397"/>
      <c r="BD6" s="326"/>
      <c r="BE6" s="1400"/>
      <c r="BF6" s="326"/>
      <c r="BG6" s="326"/>
      <c r="BH6" s="1397"/>
      <c r="BI6" s="326"/>
      <c r="BJ6" s="1400"/>
      <c r="BK6" s="326"/>
      <c r="BL6" s="326"/>
      <c r="BM6" s="1397"/>
      <c r="BN6" s="326"/>
      <c r="BO6" s="1400"/>
      <c r="BP6" s="326"/>
      <c r="BQ6" s="326"/>
      <c r="BR6" s="1397"/>
      <c r="BS6" s="326"/>
      <c r="BT6" s="1400"/>
      <c r="BU6" s="326"/>
      <c r="BV6" s="326"/>
      <c r="BW6" s="1397"/>
      <c r="BX6" s="326"/>
      <c r="BY6" s="1400"/>
      <c r="BZ6" s="326"/>
      <c r="CA6" s="326"/>
      <c r="CB6" s="1397"/>
      <c r="CC6" s="326"/>
      <c r="CD6" s="1400"/>
      <c r="CE6" s="326"/>
      <c r="CF6" s="326"/>
      <c r="CG6" s="1397"/>
      <c r="CH6" s="326"/>
      <c r="CI6" s="1400"/>
      <c r="CJ6" s="326"/>
      <c r="CK6" s="326"/>
      <c r="CL6" s="1397"/>
      <c r="CM6" s="326"/>
      <c r="CN6" s="1400"/>
      <c r="CO6" s="326"/>
      <c r="CP6" s="326"/>
      <c r="CQ6" s="1397"/>
      <c r="CR6" s="1397"/>
    </row>
    <row r="7" spans="1:96" ht="13.5" customHeight="1">
      <c r="A7" s="317" t="s">
        <v>80</v>
      </c>
      <c r="B7" s="317"/>
      <c r="C7" s="317"/>
      <c r="D7" s="318"/>
      <c r="E7" s="318"/>
      <c r="F7" s="318"/>
      <c r="G7" s="318"/>
      <c r="H7" s="318"/>
      <c r="I7" s="318"/>
      <c r="J7" s="318"/>
      <c r="K7" s="318"/>
      <c r="L7" s="318"/>
      <c r="M7" s="318"/>
      <c r="N7" s="318"/>
      <c r="O7" s="318"/>
      <c r="P7" s="318"/>
      <c r="Q7" s="318"/>
      <c r="R7" s="318"/>
      <c r="S7" s="318"/>
      <c r="T7" s="318"/>
      <c r="U7" s="318"/>
      <c r="V7" s="318"/>
      <c r="W7" s="318"/>
      <c r="X7" s="318"/>
      <c r="Y7" s="318"/>
      <c r="Z7" s="318"/>
      <c r="AA7" s="318"/>
      <c r="AB7" s="318"/>
      <c r="AC7" s="318"/>
      <c r="AD7" s="318"/>
      <c r="AE7" s="318"/>
      <c r="AF7" s="318"/>
      <c r="AG7" s="318"/>
      <c r="AH7" s="318"/>
      <c r="AI7" s="323"/>
      <c r="AJ7" s="324"/>
      <c r="AK7" s="1396"/>
      <c r="AL7" s="326"/>
      <c r="AM7" s="326"/>
      <c r="AN7" s="1397"/>
      <c r="AO7" s="325"/>
      <c r="AP7" s="1400"/>
      <c r="AQ7" s="326"/>
      <c r="AR7" s="326"/>
      <c r="AS7" s="1397"/>
      <c r="AT7" s="326"/>
      <c r="AU7" s="1400"/>
      <c r="AV7" s="326"/>
      <c r="AW7" s="326"/>
      <c r="AX7" s="1397"/>
      <c r="AY7" s="326"/>
      <c r="AZ7" s="1400"/>
      <c r="BA7" s="326"/>
      <c r="BB7" s="326"/>
      <c r="BC7" s="1397"/>
      <c r="BD7" s="326"/>
      <c r="BE7" s="1400"/>
      <c r="BF7" s="326"/>
      <c r="BG7" s="326"/>
      <c r="BH7" s="1397"/>
      <c r="BI7" s="326"/>
      <c r="BJ7" s="1400"/>
      <c r="BK7" s="326"/>
      <c r="BL7" s="326"/>
      <c r="BM7" s="1397"/>
      <c r="BN7" s="326"/>
      <c r="BO7" s="1400"/>
      <c r="BP7" s="326"/>
      <c r="BQ7" s="326"/>
      <c r="BR7" s="1397"/>
      <c r="BS7" s="326"/>
      <c r="BT7" s="1400"/>
      <c r="BU7" s="326"/>
      <c r="BV7" s="326"/>
      <c r="BW7" s="1397"/>
      <c r="BX7" s="326"/>
      <c r="BY7" s="1400"/>
      <c r="BZ7" s="326"/>
      <c r="CA7" s="326"/>
      <c r="CB7" s="1397"/>
      <c r="CC7" s="326"/>
      <c r="CD7" s="1400"/>
      <c r="CE7" s="326"/>
      <c r="CF7" s="326"/>
      <c r="CG7" s="1397"/>
      <c r="CH7" s="326"/>
      <c r="CI7" s="1400"/>
      <c r="CJ7" s="326"/>
      <c r="CK7" s="326"/>
      <c r="CL7" s="1397"/>
      <c r="CM7" s="326"/>
      <c r="CN7" s="1400"/>
      <c r="CO7" s="326"/>
      <c r="CP7" s="326"/>
      <c r="CQ7" s="1397"/>
      <c r="CR7" s="1397"/>
    </row>
    <row r="8" spans="1:96" ht="13.5" customHeight="1">
      <c r="A8" s="327" t="s">
        <v>81</v>
      </c>
      <c r="B8" s="327"/>
      <c r="C8" s="328" t="s">
        <v>82</v>
      </c>
      <c r="D8" s="329"/>
      <c r="E8" s="329"/>
      <c r="F8" s="329"/>
      <c r="G8" s="329"/>
      <c r="H8" s="329"/>
      <c r="I8" s="329"/>
      <c r="J8" s="329"/>
      <c r="K8" s="329"/>
      <c r="L8" s="329"/>
      <c r="M8" s="329"/>
      <c r="N8" s="329"/>
      <c r="O8" s="329"/>
      <c r="P8" s="329"/>
      <c r="Q8" s="329"/>
      <c r="R8" s="329"/>
      <c r="S8" s="329"/>
      <c r="T8" s="329"/>
      <c r="U8" s="329"/>
      <c r="V8" s="329"/>
      <c r="W8" s="329"/>
      <c r="X8" s="329"/>
      <c r="Y8" s="329"/>
      <c r="Z8" s="329"/>
      <c r="AA8" s="329"/>
      <c r="AB8" s="329"/>
      <c r="AC8" s="329"/>
      <c r="AD8" s="329"/>
      <c r="AE8" s="329"/>
      <c r="AF8" s="329"/>
      <c r="AG8" s="329"/>
      <c r="AH8" s="329"/>
      <c r="AI8" s="660">
        <v>1.2344999999999999</v>
      </c>
      <c r="AJ8" s="330"/>
      <c r="AK8" s="1398">
        <v>1.2581</v>
      </c>
      <c r="AL8" s="660">
        <v>1.1613</v>
      </c>
      <c r="AM8" s="660">
        <v>1.0732999999999999</v>
      </c>
      <c r="AN8" s="1399">
        <v>1.0483</v>
      </c>
      <c r="AO8" s="332"/>
      <c r="AP8" s="1398">
        <v>1.0145</v>
      </c>
      <c r="AQ8" s="660">
        <v>1.0626</v>
      </c>
      <c r="AR8" s="660">
        <v>1.0258</v>
      </c>
      <c r="AS8" s="1408">
        <f>AR8</f>
        <v>1.0258</v>
      </c>
      <c r="AT8" s="333"/>
      <c r="AU8" s="1436">
        <f>AS8</f>
        <v>1.0258</v>
      </c>
      <c r="AV8" s="332">
        <f t="shared" ref="AV8:AX9" si="0">AU8</f>
        <v>1.0258</v>
      </c>
      <c r="AW8" s="332">
        <f t="shared" si="0"/>
        <v>1.0258</v>
      </c>
      <c r="AX8" s="1408">
        <f t="shared" si="0"/>
        <v>1.0258</v>
      </c>
      <c r="AY8" s="326"/>
      <c r="AZ8" s="1436">
        <f>AX8</f>
        <v>1.0258</v>
      </c>
      <c r="BA8" s="332">
        <f t="shared" ref="BA8:BC9" si="1">AZ8</f>
        <v>1.0258</v>
      </c>
      <c r="BB8" s="332">
        <f t="shared" si="1"/>
        <v>1.0258</v>
      </c>
      <c r="BC8" s="1408">
        <f t="shared" si="1"/>
        <v>1.0258</v>
      </c>
      <c r="BD8" s="326"/>
      <c r="BE8" s="1436">
        <f>BC8</f>
        <v>1.0258</v>
      </c>
      <c r="BF8" s="661">
        <v>1.05</v>
      </c>
      <c r="BG8" s="332">
        <f>BF8</f>
        <v>1.05</v>
      </c>
      <c r="BH8" s="1408">
        <f t="shared" ref="BF8:BH9" si="2">BG8</f>
        <v>1.05</v>
      </c>
      <c r="BI8" s="326"/>
      <c r="BJ8" s="1436">
        <f>BH8</f>
        <v>1.05</v>
      </c>
      <c r="BK8" s="332">
        <f t="shared" ref="BK8:BM9" si="3">BJ8</f>
        <v>1.05</v>
      </c>
      <c r="BL8" s="332">
        <f t="shared" si="3"/>
        <v>1.05</v>
      </c>
      <c r="BM8" s="1408">
        <f t="shared" si="3"/>
        <v>1.05</v>
      </c>
      <c r="BN8" s="326"/>
      <c r="BO8" s="1436">
        <f>BM8</f>
        <v>1.05</v>
      </c>
      <c r="BP8" s="332">
        <f t="shared" ref="BP8:BR9" si="4">BO8</f>
        <v>1.05</v>
      </c>
      <c r="BQ8" s="332">
        <f t="shared" si="4"/>
        <v>1.05</v>
      </c>
      <c r="BR8" s="1408">
        <f t="shared" si="4"/>
        <v>1.05</v>
      </c>
      <c r="BS8" s="326"/>
      <c r="BT8" s="1436">
        <f>BR8</f>
        <v>1.05</v>
      </c>
      <c r="BU8" s="332">
        <f t="shared" ref="BU8:BW9" si="5">BT8</f>
        <v>1.05</v>
      </c>
      <c r="BV8" s="332">
        <f t="shared" si="5"/>
        <v>1.05</v>
      </c>
      <c r="BW8" s="1408">
        <f t="shared" si="5"/>
        <v>1.05</v>
      </c>
      <c r="BX8" s="326"/>
      <c r="BY8" s="1436">
        <f>BW8</f>
        <v>1.05</v>
      </c>
      <c r="BZ8" s="332">
        <f t="shared" ref="BZ8:CB9" si="6">BY8</f>
        <v>1.05</v>
      </c>
      <c r="CA8" s="332">
        <f t="shared" si="6"/>
        <v>1.05</v>
      </c>
      <c r="CB8" s="1408">
        <f t="shared" si="6"/>
        <v>1.05</v>
      </c>
      <c r="CC8" s="326"/>
      <c r="CD8" s="1436">
        <f>CB8</f>
        <v>1.05</v>
      </c>
      <c r="CE8" s="332">
        <f t="shared" ref="CE8:CG9" si="7">CD8</f>
        <v>1.05</v>
      </c>
      <c r="CF8" s="332">
        <f t="shared" si="7"/>
        <v>1.05</v>
      </c>
      <c r="CG8" s="1408">
        <f t="shared" si="7"/>
        <v>1.05</v>
      </c>
      <c r="CH8" s="326"/>
      <c r="CI8" s="1436">
        <f>CG8</f>
        <v>1.05</v>
      </c>
      <c r="CJ8" s="332">
        <f t="shared" ref="CJ8:CL9" si="8">CI8</f>
        <v>1.05</v>
      </c>
      <c r="CK8" s="332">
        <f t="shared" si="8"/>
        <v>1.05</v>
      </c>
      <c r="CL8" s="1408">
        <f t="shared" si="8"/>
        <v>1.05</v>
      </c>
      <c r="CM8" s="326"/>
      <c r="CN8" s="1436">
        <f>CL8</f>
        <v>1.05</v>
      </c>
      <c r="CO8" s="332">
        <f t="shared" ref="CO8:CO9" si="9">CN8</f>
        <v>1.05</v>
      </c>
      <c r="CP8" s="332">
        <f t="shared" ref="CP8:CP9" si="10">CO8</f>
        <v>1.05</v>
      </c>
      <c r="CQ8" s="1408">
        <f t="shared" ref="CQ8:CQ9" si="11">CP8</f>
        <v>1.05</v>
      </c>
      <c r="CR8" s="1397"/>
    </row>
    <row r="9" spans="1:96" ht="13.5" customHeight="1">
      <c r="A9" s="327" t="s">
        <v>83</v>
      </c>
      <c r="B9" s="327"/>
      <c r="C9" s="328" t="s">
        <v>84</v>
      </c>
      <c r="D9" s="329"/>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660">
        <v>0.71942446043165476</v>
      </c>
      <c r="AJ9" s="330"/>
      <c r="AK9" s="1398">
        <v>0.75318219477291548</v>
      </c>
      <c r="AL9" s="660">
        <v>0.71301247771836007</v>
      </c>
      <c r="AM9" s="660">
        <v>0.68408811054863872</v>
      </c>
      <c r="AN9" s="1399">
        <v>0.69700982783857246</v>
      </c>
      <c r="AO9" s="332"/>
      <c r="AP9" s="1398">
        <v>0.73898906296186817</v>
      </c>
      <c r="AQ9" s="660">
        <v>0.8163931749530573</v>
      </c>
      <c r="AR9" s="660">
        <v>0.73249340755933201</v>
      </c>
      <c r="AS9" s="1408">
        <f>AR9</f>
        <v>0.73249340755933201</v>
      </c>
      <c r="AT9" s="333"/>
      <c r="AU9" s="1436">
        <f>AS9</f>
        <v>0.73249340755933201</v>
      </c>
      <c r="AV9" s="332">
        <f t="shared" si="0"/>
        <v>0.73249340755933201</v>
      </c>
      <c r="AW9" s="332">
        <f t="shared" si="0"/>
        <v>0.73249340755933201</v>
      </c>
      <c r="AX9" s="1408">
        <f t="shared" si="0"/>
        <v>0.73249340755933201</v>
      </c>
      <c r="AY9" s="326"/>
      <c r="AZ9" s="1436">
        <f>AX9</f>
        <v>0.73249340755933201</v>
      </c>
      <c r="BA9" s="332">
        <f t="shared" si="1"/>
        <v>0.73249340755933201</v>
      </c>
      <c r="BB9" s="332">
        <f t="shared" si="1"/>
        <v>0.73249340755933201</v>
      </c>
      <c r="BC9" s="1408">
        <f t="shared" si="1"/>
        <v>0.73249340755933201</v>
      </c>
      <c r="BD9" s="326"/>
      <c r="BE9" s="1436">
        <f>BC9</f>
        <v>0.73249340755933201</v>
      </c>
      <c r="BF9" s="332">
        <f t="shared" si="2"/>
        <v>0.73249340755933201</v>
      </c>
      <c r="BG9" s="332">
        <f t="shared" si="2"/>
        <v>0.73249340755933201</v>
      </c>
      <c r="BH9" s="1408">
        <f t="shared" si="2"/>
        <v>0.73249340755933201</v>
      </c>
      <c r="BI9" s="326"/>
      <c r="BJ9" s="1436">
        <f>BH9</f>
        <v>0.73249340755933201</v>
      </c>
      <c r="BK9" s="332">
        <f t="shared" si="3"/>
        <v>0.73249340755933201</v>
      </c>
      <c r="BL9" s="332">
        <f t="shared" si="3"/>
        <v>0.73249340755933201</v>
      </c>
      <c r="BM9" s="1408">
        <f t="shared" si="3"/>
        <v>0.73249340755933201</v>
      </c>
      <c r="BN9" s="326"/>
      <c r="BO9" s="1436">
        <f>BM9</f>
        <v>0.73249340755933201</v>
      </c>
      <c r="BP9" s="332">
        <f t="shared" si="4"/>
        <v>0.73249340755933201</v>
      </c>
      <c r="BQ9" s="332">
        <f t="shared" si="4"/>
        <v>0.73249340755933201</v>
      </c>
      <c r="BR9" s="1408">
        <f t="shared" si="4"/>
        <v>0.73249340755933201</v>
      </c>
      <c r="BS9" s="326"/>
      <c r="BT9" s="1436">
        <f>BR9</f>
        <v>0.73249340755933201</v>
      </c>
      <c r="BU9" s="332">
        <f t="shared" si="5"/>
        <v>0.73249340755933201</v>
      </c>
      <c r="BV9" s="332">
        <f t="shared" si="5"/>
        <v>0.73249340755933201</v>
      </c>
      <c r="BW9" s="1408">
        <f t="shared" si="5"/>
        <v>0.73249340755933201</v>
      </c>
      <c r="BX9" s="326"/>
      <c r="BY9" s="1436">
        <f>BW9</f>
        <v>0.73249340755933201</v>
      </c>
      <c r="BZ9" s="332">
        <f t="shared" si="6"/>
        <v>0.73249340755933201</v>
      </c>
      <c r="CA9" s="332">
        <f t="shared" si="6"/>
        <v>0.73249340755933201</v>
      </c>
      <c r="CB9" s="1408">
        <f t="shared" si="6"/>
        <v>0.73249340755933201</v>
      </c>
      <c r="CC9" s="326"/>
      <c r="CD9" s="1436">
        <f>CB9</f>
        <v>0.73249340755933201</v>
      </c>
      <c r="CE9" s="332">
        <f t="shared" si="7"/>
        <v>0.73249340755933201</v>
      </c>
      <c r="CF9" s="332">
        <f t="shared" si="7"/>
        <v>0.73249340755933201</v>
      </c>
      <c r="CG9" s="1408">
        <f t="shared" si="7"/>
        <v>0.73249340755933201</v>
      </c>
      <c r="CH9" s="326"/>
      <c r="CI9" s="1436">
        <f>CG9</f>
        <v>0.73249340755933201</v>
      </c>
      <c r="CJ9" s="332">
        <f t="shared" si="8"/>
        <v>0.73249340755933201</v>
      </c>
      <c r="CK9" s="332">
        <f t="shared" si="8"/>
        <v>0.73249340755933201</v>
      </c>
      <c r="CL9" s="1408">
        <f t="shared" si="8"/>
        <v>0.73249340755933201</v>
      </c>
      <c r="CM9" s="326"/>
      <c r="CN9" s="1436">
        <f>CL9</f>
        <v>0.73249340755933201</v>
      </c>
      <c r="CO9" s="332">
        <f t="shared" si="9"/>
        <v>0.73249340755933201</v>
      </c>
      <c r="CP9" s="332">
        <f t="shared" si="10"/>
        <v>0.73249340755933201</v>
      </c>
      <c r="CQ9" s="1408">
        <f t="shared" si="11"/>
        <v>0.73249340755933201</v>
      </c>
      <c r="CR9" s="1397"/>
    </row>
    <row r="10" spans="1:96" ht="6.2" customHeight="1">
      <c r="A10" s="317"/>
      <c r="B10" s="317"/>
      <c r="C10" s="317"/>
      <c r="D10" s="318"/>
      <c r="E10" s="318"/>
      <c r="F10" s="318"/>
      <c r="G10" s="318"/>
      <c r="H10" s="318"/>
      <c r="I10" s="318"/>
      <c r="J10" s="318"/>
      <c r="K10" s="318"/>
      <c r="L10" s="318"/>
      <c r="M10" s="318"/>
      <c r="N10" s="318"/>
      <c r="O10" s="318"/>
      <c r="P10" s="318"/>
      <c r="Q10" s="318"/>
      <c r="R10" s="318"/>
      <c r="S10" s="318"/>
      <c r="T10" s="318"/>
      <c r="U10" s="318"/>
      <c r="V10" s="318"/>
      <c r="W10" s="318"/>
      <c r="X10" s="318"/>
      <c r="Y10" s="318"/>
      <c r="Z10" s="318"/>
      <c r="AA10" s="318"/>
      <c r="AB10" s="318"/>
      <c r="AC10" s="318"/>
      <c r="AD10" s="318"/>
      <c r="AE10" s="318"/>
      <c r="AF10" s="318"/>
      <c r="AG10" s="318"/>
      <c r="AH10" s="318"/>
      <c r="AI10" s="330"/>
      <c r="AJ10" s="324"/>
      <c r="AK10" s="1400"/>
      <c r="AL10" s="326"/>
      <c r="AM10" s="326"/>
      <c r="AN10" s="1397"/>
      <c r="AO10" s="325"/>
      <c r="AP10" s="1400"/>
      <c r="AQ10" s="326"/>
      <c r="AR10" s="326"/>
      <c r="AS10" s="1397"/>
      <c r="AT10" s="326"/>
      <c r="AU10" s="1400"/>
      <c r="AV10" s="326"/>
      <c r="AW10" s="326"/>
      <c r="AX10" s="1397"/>
      <c r="AY10" s="326"/>
      <c r="AZ10" s="1400"/>
      <c r="BA10" s="326"/>
      <c r="BB10" s="326"/>
      <c r="BC10" s="1397"/>
      <c r="BD10" s="326"/>
      <c r="BE10" s="1400"/>
      <c r="BF10" s="326"/>
      <c r="BG10" s="326"/>
      <c r="BH10" s="1397"/>
      <c r="BI10" s="326"/>
      <c r="BJ10" s="1400"/>
      <c r="BK10" s="326"/>
      <c r="BL10" s="326"/>
      <c r="BM10" s="1397"/>
      <c r="BN10" s="326"/>
      <c r="BO10" s="1400"/>
      <c r="BP10" s="326"/>
      <c r="BQ10" s="326"/>
      <c r="BR10" s="1397"/>
      <c r="BS10" s="326"/>
      <c r="BT10" s="1400"/>
      <c r="BU10" s="326"/>
      <c r="BV10" s="326"/>
      <c r="BW10" s="1397"/>
      <c r="BX10" s="326"/>
      <c r="BY10" s="1400"/>
      <c r="BZ10" s="326"/>
      <c r="CA10" s="326"/>
      <c r="CB10" s="1397"/>
      <c r="CC10" s="326"/>
      <c r="CD10" s="1400"/>
      <c r="CE10" s="326"/>
      <c r="CF10" s="326"/>
      <c r="CG10" s="1397"/>
      <c r="CH10" s="326"/>
      <c r="CI10" s="1400"/>
      <c r="CJ10" s="326"/>
      <c r="CK10" s="326"/>
      <c r="CL10" s="1397"/>
      <c r="CM10" s="326"/>
      <c r="CN10" s="1400"/>
      <c r="CO10" s="326"/>
      <c r="CP10" s="326"/>
      <c r="CQ10" s="1397"/>
      <c r="CR10" s="1397"/>
    </row>
    <row r="11" spans="1:96" ht="13.5" customHeight="1">
      <c r="A11" s="334" t="s">
        <v>85</v>
      </c>
      <c r="B11" s="317"/>
      <c r="C11" s="317"/>
      <c r="D11" s="318"/>
      <c r="E11" s="318"/>
      <c r="F11" s="318"/>
      <c r="G11" s="318"/>
      <c r="H11" s="318"/>
      <c r="I11" s="318"/>
      <c r="J11" s="318"/>
      <c r="K11" s="318"/>
      <c r="L11" s="318"/>
      <c r="M11" s="318"/>
      <c r="N11" s="318"/>
      <c r="O11" s="318"/>
      <c r="P11" s="318"/>
      <c r="Q11" s="318"/>
      <c r="R11" s="318"/>
      <c r="S11" s="318"/>
      <c r="T11" s="318"/>
      <c r="U11" s="318"/>
      <c r="V11" s="318"/>
      <c r="W11" s="318"/>
      <c r="X11" s="318"/>
      <c r="Y11" s="318"/>
      <c r="Z11" s="318"/>
      <c r="AA11" s="318"/>
      <c r="AB11" s="318"/>
      <c r="AC11" s="318"/>
      <c r="AD11" s="318"/>
      <c r="AE11" s="318"/>
      <c r="AF11" s="318"/>
      <c r="AG11" s="318"/>
      <c r="AH11" s="318"/>
      <c r="AI11" s="335"/>
      <c r="AJ11" s="335"/>
      <c r="AK11" s="1401"/>
      <c r="AL11" s="336"/>
      <c r="AM11" s="336"/>
      <c r="AN11" s="1402"/>
      <c r="AO11" s="336"/>
      <c r="AP11" s="1401"/>
      <c r="AQ11" s="336"/>
      <c r="AR11" s="336"/>
      <c r="AS11" s="1402"/>
      <c r="AT11" s="336"/>
      <c r="AU11" s="1401"/>
      <c r="AV11" s="336"/>
      <c r="AW11" s="336"/>
      <c r="AX11" s="1402"/>
      <c r="AY11" s="336"/>
      <c r="AZ11" s="1401"/>
      <c r="BA11" s="336"/>
      <c r="BB11" s="336"/>
      <c r="BC11" s="1402"/>
      <c r="BD11" s="336"/>
      <c r="BE11" s="1401"/>
      <c r="BF11" s="336"/>
      <c r="BG11" s="336"/>
      <c r="BH11" s="1402"/>
      <c r="BI11" s="336"/>
      <c r="BJ11" s="1401"/>
      <c r="BK11" s="336"/>
      <c r="BL11" s="336"/>
      <c r="BM11" s="1402"/>
      <c r="BN11" s="336"/>
      <c r="BO11" s="1401"/>
      <c r="BP11" s="336"/>
      <c r="BQ11" s="336"/>
      <c r="BR11" s="1402"/>
      <c r="BS11" s="336"/>
      <c r="BT11" s="1401"/>
      <c r="BU11" s="336"/>
      <c r="BV11" s="336"/>
      <c r="BW11" s="1402"/>
      <c r="BX11" s="336"/>
      <c r="BY11" s="1401"/>
      <c r="BZ11" s="336"/>
      <c r="CA11" s="336"/>
      <c r="CB11" s="1402"/>
      <c r="CC11" s="336"/>
      <c r="CD11" s="1401"/>
      <c r="CE11" s="336"/>
      <c r="CF11" s="336"/>
      <c r="CG11" s="1402"/>
      <c r="CH11" s="336"/>
      <c r="CI11" s="1401"/>
      <c r="CJ11" s="336"/>
      <c r="CK11" s="336"/>
      <c r="CL11" s="1402"/>
      <c r="CM11" s="336"/>
      <c r="CN11" s="1401"/>
      <c r="CO11" s="336"/>
      <c r="CP11" s="336"/>
      <c r="CQ11" s="1402"/>
      <c r="CR11" s="1402"/>
    </row>
    <row r="12" spans="1:96" ht="13.5" customHeight="1">
      <c r="A12" s="327" t="s">
        <v>86</v>
      </c>
      <c r="B12" s="327"/>
      <c r="C12" s="327"/>
      <c r="D12" s="329"/>
      <c r="E12" s="329"/>
      <c r="F12" s="329"/>
      <c r="G12" s="329"/>
      <c r="H12" s="329"/>
      <c r="I12" s="329"/>
      <c r="J12" s="329"/>
      <c r="K12" s="329"/>
      <c r="L12" s="329"/>
      <c r="M12" s="329"/>
      <c r="N12" s="329"/>
      <c r="O12" s="329"/>
      <c r="P12" s="329"/>
      <c r="Q12" s="329"/>
      <c r="R12" s="329"/>
      <c r="S12" s="329"/>
      <c r="T12" s="329"/>
      <c r="U12" s="329"/>
      <c r="V12" s="329"/>
      <c r="W12" s="329"/>
      <c r="X12" s="329"/>
      <c r="Y12" s="329"/>
      <c r="Z12" s="329"/>
      <c r="AA12" s="329"/>
      <c r="AB12" s="329"/>
      <c r="AC12" s="329"/>
      <c r="AD12" s="329"/>
      <c r="AE12" s="329"/>
      <c r="AF12" s="329"/>
      <c r="AG12" s="329"/>
      <c r="AH12" s="329"/>
      <c r="AI12" s="337"/>
      <c r="AJ12" s="330"/>
      <c r="AK12" s="1400">
        <f>$G13/10000+AK5</f>
        <v>3.2604719672131147E-2</v>
      </c>
      <c r="AL12" s="326">
        <f>$G13/10000+AL5</f>
        <v>3.2485044262295079E-2</v>
      </c>
      <c r="AM12" s="326">
        <f>$G13/10000+AM5</f>
        <v>3.2322768750000001E-2</v>
      </c>
      <c r="AN12" s="1397">
        <f>$G13/10000+AN5</f>
        <v>3.1824890163934423E-2</v>
      </c>
      <c r="AO12" s="331"/>
      <c r="AP12" s="1400">
        <f>$G13/10000+AP5</f>
        <v>3.1838877049180328E-2</v>
      </c>
      <c r="AQ12" s="326">
        <f>$G13/10000+AQ5</f>
        <v>3.2790350819672132E-2</v>
      </c>
      <c r="AR12" s="326">
        <f>$G13/10000+AR5</f>
        <v>3.2506054716981134E-2</v>
      </c>
      <c r="AS12" s="1397">
        <f>$G13/10000+AS5</f>
        <v>3.1663999999999998E-2</v>
      </c>
      <c r="AT12" s="326"/>
      <c r="AU12" s="1400">
        <f>$G13/10000+AU5</f>
        <v>3.1826959938661997E-2</v>
      </c>
      <c r="AV12" s="326">
        <f>$G13/10000+AV5</f>
        <v>3.3170248144981568E-2</v>
      </c>
      <c r="AW12" s="326">
        <f>$G13/10000+AW5</f>
        <v>3.3508628631607723E-2</v>
      </c>
      <c r="AX12" s="1397">
        <f>$G13/10000+AX5</f>
        <v>3.3500000000000002E-2</v>
      </c>
      <c r="AY12" s="326"/>
      <c r="AZ12" s="1400">
        <f>$G13/10000+AZ5</f>
        <v>3.4999999999999996E-2</v>
      </c>
      <c r="BA12" s="326">
        <f>$G13/10000+BA5</f>
        <v>3.4999999999999996E-2</v>
      </c>
      <c r="BB12" s="326">
        <f>$G13/10000+BB5</f>
        <v>3.4999999999999996E-2</v>
      </c>
      <c r="BC12" s="1397">
        <f>$G13/10000+BC5</f>
        <v>3.4999999999999996E-2</v>
      </c>
      <c r="BD12" s="326"/>
      <c r="BE12" s="1400">
        <f>$G13/10000+BE5</f>
        <v>3.4999999999999996E-2</v>
      </c>
      <c r="BF12" s="326">
        <f>$G13/10000+BF5</f>
        <v>3.4999999999999996E-2</v>
      </c>
      <c r="BG12" s="326">
        <f>$G13/10000+BG5</f>
        <v>3.4999999999999996E-2</v>
      </c>
      <c r="BH12" s="1397">
        <f>$G13/10000+BH5</f>
        <v>3.4999999999999996E-2</v>
      </c>
      <c r="BI12" s="326"/>
      <c r="BJ12" s="1400">
        <f>$G13/10000+BJ5</f>
        <v>3.4999999999999996E-2</v>
      </c>
      <c r="BK12" s="326">
        <f>$G13/10000+BK5</f>
        <v>3.4999999999999996E-2</v>
      </c>
      <c r="BL12" s="326">
        <f>$G13/10000+BL5</f>
        <v>3.4999999999999996E-2</v>
      </c>
      <c r="BM12" s="1397">
        <f>$G13/10000+BM5</f>
        <v>3.4999999999999996E-2</v>
      </c>
      <c r="BN12" s="326"/>
      <c r="BO12" s="1400">
        <f>$G13/10000+BO5</f>
        <v>3.4999999999999996E-2</v>
      </c>
      <c r="BP12" s="326">
        <f>$G13/10000+BP5</f>
        <v>3.4999999999999996E-2</v>
      </c>
      <c r="BQ12" s="326">
        <f>$G13/10000+BQ5</f>
        <v>3.4999999999999996E-2</v>
      </c>
      <c r="BR12" s="1397">
        <f>$G13/10000+BR5</f>
        <v>3.4999999999999996E-2</v>
      </c>
      <c r="BS12" s="326"/>
      <c r="BT12" s="1400">
        <f>$G13/10000+BT5</f>
        <v>3.4999999999999996E-2</v>
      </c>
      <c r="BU12" s="326">
        <f>$G13/10000+BU5</f>
        <v>3.4999999999999996E-2</v>
      </c>
      <c r="BV12" s="326">
        <f>$G13/10000+BV5</f>
        <v>3.4999999999999996E-2</v>
      </c>
      <c r="BW12" s="1397">
        <f>$G13/10000+BW5</f>
        <v>3.4999999999999996E-2</v>
      </c>
      <c r="BX12" s="326"/>
      <c r="BY12" s="1400">
        <f>$G13/10000+BY5</f>
        <v>3.4999999999999996E-2</v>
      </c>
      <c r="BZ12" s="326">
        <f>$G13/10000+BZ5</f>
        <v>3.4999999999999996E-2</v>
      </c>
      <c r="CA12" s="326">
        <f>$G13/10000+CA5</f>
        <v>3.4999999999999996E-2</v>
      </c>
      <c r="CB12" s="1397">
        <f>$G13/10000+CB5</f>
        <v>3.4999999999999996E-2</v>
      </c>
      <c r="CC12" s="326"/>
      <c r="CD12" s="1400">
        <f>$G13/10000+CD5</f>
        <v>3.4999999999999996E-2</v>
      </c>
      <c r="CE12" s="326">
        <f>$G13/10000+CE5</f>
        <v>3.4999999999999996E-2</v>
      </c>
      <c r="CF12" s="326">
        <f>$G13/10000+CF5</f>
        <v>3.4999999999999996E-2</v>
      </c>
      <c r="CG12" s="1397">
        <f>$G13/10000+CG5</f>
        <v>3.4999999999999996E-2</v>
      </c>
      <c r="CH12" s="326"/>
      <c r="CI12" s="1400">
        <f>$G13/10000+CI5</f>
        <v>3.4999999999999996E-2</v>
      </c>
      <c r="CJ12" s="326">
        <f>$G13/10000+CJ5</f>
        <v>3.4999999999999996E-2</v>
      </c>
      <c r="CK12" s="326">
        <f>$G13/10000+CK5</f>
        <v>3.4999999999999996E-2</v>
      </c>
      <c r="CL12" s="1397">
        <f>$G13/10000+CL5</f>
        <v>3.4999999999999996E-2</v>
      </c>
      <c r="CM12" s="326"/>
      <c r="CN12" s="1400">
        <f>$G13/10000+CN5</f>
        <v>3.4999999999999996E-2</v>
      </c>
      <c r="CO12" s="326">
        <f>$G13/10000+CO5</f>
        <v>3.4999999999999996E-2</v>
      </c>
      <c r="CP12" s="326">
        <f>$G13/10000+CP5</f>
        <v>3.4999999999999996E-2</v>
      </c>
      <c r="CQ12" s="1397">
        <f>$G13/10000+CQ5</f>
        <v>3.4999999999999996E-2</v>
      </c>
      <c r="CR12" s="1397"/>
    </row>
    <row r="13" spans="1:96" ht="13.5" customHeight="1">
      <c r="A13" s="317"/>
      <c r="B13" s="317" t="s">
        <v>87</v>
      </c>
      <c r="C13" s="317"/>
      <c r="D13" s="318"/>
      <c r="E13" s="318"/>
      <c r="F13" s="318"/>
      <c r="G13" s="338">
        <v>300</v>
      </c>
      <c r="H13" s="339">
        <v>42500</v>
      </c>
      <c r="I13" s="318"/>
      <c r="J13" s="318"/>
      <c r="K13" s="318"/>
      <c r="L13" s="318"/>
      <c r="M13" s="318"/>
      <c r="N13" s="318"/>
      <c r="O13" s="318"/>
      <c r="P13" s="318"/>
      <c r="Q13" s="318"/>
      <c r="R13" s="318"/>
      <c r="S13" s="318"/>
      <c r="T13" s="318"/>
      <c r="U13" s="318"/>
      <c r="V13" s="318"/>
      <c r="W13" s="318"/>
      <c r="X13" s="318"/>
      <c r="Y13" s="318"/>
      <c r="Z13" s="318"/>
      <c r="AA13" s="318"/>
      <c r="AB13" s="318"/>
      <c r="AC13" s="318"/>
      <c r="AD13" s="318"/>
      <c r="AE13" s="318"/>
      <c r="AF13" s="318"/>
      <c r="AG13" s="318"/>
      <c r="AH13" s="318"/>
      <c r="AI13" s="335"/>
      <c r="AJ13" s="335"/>
      <c r="AK13" s="1401">
        <f>+AJ16</f>
        <v>0</v>
      </c>
      <c r="AL13" s="336">
        <f>+AK16</f>
        <v>0</v>
      </c>
      <c r="AM13" s="336">
        <f>+AL16</f>
        <v>0</v>
      </c>
      <c r="AN13" s="1402">
        <f>+AM16</f>
        <v>0</v>
      </c>
      <c r="AO13" s="336"/>
      <c r="AP13" s="1401">
        <f>+AO16</f>
        <v>0</v>
      </c>
      <c r="AQ13" s="336">
        <f>+AP16</f>
        <v>0</v>
      </c>
      <c r="AR13" s="336">
        <f>+AQ16</f>
        <v>0</v>
      </c>
      <c r="AS13" s="1402">
        <f>+AR16</f>
        <v>0</v>
      </c>
      <c r="AT13" s="336"/>
      <c r="AU13" s="1403">
        <v>0</v>
      </c>
      <c r="AV13" s="336">
        <f>+AU16</f>
        <v>0</v>
      </c>
      <c r="AW13" s="336">
        <f>+AV16</f>
        <v>0</v>
      </c>
      <c r="AX13" s="1402">
        <f>+AW16</f>
        <v>0</v>
      </c>
      <c r="AY13" s="336"/>
      <c r="AZ13" s="1401">
        <f>+AY16</f>
        <v>0</v>
      </c>
      <c r="BA13" s="336">
        <f>+AZ16</f>
        <v>0</v>
      </c>
      <c r="BB13" s="336">
        <f>+BA16</f>
        <v>0</v>
      </c>
      <c r="BC13" s="1402">
        <f>+BB16</f>
        <v>0</v>
      </c>
      <c r="BD13" s="336"/>
      <c r="BE13" s="1401">
        <f>+BD16</f>
        <v>0</v>
      </c>
      <c r="BF13" s="336">
        <f>+BE16</f>
        <v>0</v>
      </c>
      <c r="BG13" s="336">
        <f>+BF16</f>
        <v>0</v>
      </c>
      <c r="BH13" s="1402">
        <f>+BG16</f>
        <v>0</v>
      </c>
      <c r="BI13" s="336"/>
      <c r="BJ13" s="1401">
        <f>+BI16</f>
        <v>0</v>
      </c>
      <c r="BK13" s="336">
        <f>+BJ16</f>
        <v>0</v>
      </c>
      <c r="BL13" s="336">
        <f>+BK16</f>
        <v>0</v>
      </c>
      <c r="BM13" s="1402">
        <f>+BL16</f>
        <v>0</v>
      </c>
      <c r="BN13" s="336"/>
      <c r="BO13" s="1401">
        <f>+BN16</f>
        <v>0</v>
      </c>
      <c r="BP13" s="336">
        <f>+BO16</f>
        <v>0</v>
      </c>
      <c r="BQ13" s="336">
        <f>+BP16</f>
        <v>0</v>
      </c>
      <c r="BR13" s="1402">
        <f>+BQ16</f>
        <v>0</v>
      </c>
      <c r="BS13" s="336"/>
      <c r="BT13" s="1401">
        <f>+BS16</f>
        <v>0</v>
      </c>
      <c r="BU13" s="336">
        <f>+BT16</f>
        <v>0</v>
      </c>
      <c r="BV13" s="336">
        <f>+BU16</f>
        <v>0</v>
      </c>
      <c r="BW13" s="1402">
        <f>+BV16</f>
        <v>0</v>
      </c>
      <c r="BX13" s="336"/>
      <c r="BY13" s="1401">
        <f>+BX16</f>
        <v>0</v>
      </c>
      <c r="BZ13" s="336">
        <f>+BY16</f>
        <v>0</v>
      </c>
      <c r="CA13" s="336">
        <f>+BZ16</f>
        <v>0</v>
      </c>
      <c r="CB13" s="1402">
        <f>+CA16</f>
        <v>0</v>
      </c>
      <c r="CC13" s="336"/>
      <c r="CD13" s="1401">
        <f>+CC16</f>
        <v>0</v>
      </c>
      <c r="CE13" s="336">
        <f>+CD16</f>
        <v>0</v>
      </c>
      <c r="CF13" s="336">
        <f>+CE16</f>
        <v>0</v>
      </c>
      <c r="CG13" s="1402">
        <f>+CF16</f>
        <v>0</v>
      </c>
      <c r="CH13" s="336"/>
      <c r="CI13" s="1401">
        <f>+CH16</f>
        <v>0</v>
      </c>
      <c r="CJ13" s="336">
        <f>+CI16</f>
        <v>0</v>
      </c>
      <c r="CK13" s="336">
        <f>+CJ16</f>
        <v>0</v>
      </c>
      <c r="CL13" s="1402">
        <f>+CK16</f>
        <v>0</v>
      </c>
      <c r="CM13" s="336"/>
      <c r="CN13" s="1401">
        <f>+CM16</f>
        <v>0</v>
      </c>
      <c r="CO13" s="336">
        <f>+CN16</f>
        <v>0</v>
      </c>
      <c r="CP13" s="336">
        <f>+CO16</f>
        <v>0</v>
      </c>
      <c r="CQ13" s="1402">
        <f>+CP16</f>
        <v>0</v>
      </c>
      <c r="CR13" s="1402"/>
    </row>
    <row r="14" spans="1:96" ht="13.5" customHeight="1">
      <c r="A14" s="317"/>
      <c r="B14" s="317" t="s">
        <v>88</v>
      </c>
      <c r="C14" s="317"/>
      <c r="D14" s="318"/>
      <c r="E14" s="318"/>
      <c r="F14" s="340"/>
      <c r="G14" s="318"/>
      <c r="H14" s="318"/>
      <c r="I14" s="318"/>
      <c r="J14" s="318"/>
      <c r="K14" s="318"/>
      <c r="L14" s="318"/>
      <c r="M14" s="318"/>
      <c r="N14" s="318"/>
      <c r="O14" s="318"/>
      <c r="P14" s="318"/>
      <c r="Q14" s="318"/>
      <c r="R14" s="318"/>
      <c r="S14" s="318"/>
      <c r="T14" s="318"/>
      <c r="U14" s="318"/>
      <c r="V14" s="318"/>
      <c r="W14" s="318"/>
      <c r="X14" s="318"/>
      <c r="Y14" s="318"/>
      <c r="Z14" s="318"/>
      <c r="AA14" s="318"/>
      <c r="AB14" s="318"/>
      <c r="AC14" s="318"/>
      <c r="AD14" s="318"/>
      <c r="AE14" s="318"/>
      <c r="AF14" s="318"/>
      <c r="AG14" s="318"/>
      <c r="AH14" s="318"/>
      <c r="AI14" s="335"/>
      <c r="AJ14" s="335"/>
      <c r="AK14" s="1403">
        <v>0</v>
      </c>
      <c r="AL14" s="662">
        <v>0</v>
      </c>
      <c r="AM14" s="662">
        <v>0</v>
      </c>
      <c r="AN14" s="1404">
        <v>0</v>
      </c>
      <c r="AO14" s="336"/>
      <c r="AP14" s="1403">
        <v>0</v>
      </c>
      <c r="AQ14" s="662">
        <v>0</v>
      </c>
      <c r="AR14" s="662">
        <v>0</v>
      </c>
      <c r="AS14" s="1404">
        <v>0</v>
      </c>
      <c r="AT14" s="336"/>
      <c r="AU14" s="1403">
        <v>0</v>
      </c>
      <c r="AV14" s="662">
        <v>0</v>
      </c>
      <c r="AW14" s="662">
        <v>0</v>
      </c>
      <c r="AX14" s="1404">
        <v>0</v>
      </c>
      <c r="AY14" s="336"/>
      <c r="AZ14" s="1403">
        <v>0</v>
      </c>
      <c r="BA14" s="662">
        <v>0</v>
      </c>
      <c r="BB14" s="662">
        <v>0</v>
      </c>
      <c r="BC14" s="1404">
        <v>0</v>
      </c>
      <c r="BD14" s="336"/>
      <c r="BE14" s="1403">
        <v>0</v>
      </c>
      <c r="BF14" s="662">
        <v>0</v>
      </c>
      <c r="BG14" s="662">
        <v>0</v>
      </c>
      <c r="BH14" s="1404">
        <v>0</v>
      </c>
      <c r="BI14" s="336"/>
      <c r="BJ14" s="1403">
        <v>0</v>
      </c>
      <c r="BK14" s="662">
        <v>0</v>
      </c>
      <c r="BL14" s="662">
        <v>0</v>
      </c>
      <c r="BM14" s="1404">
        <v>0</v>
      </c>
      <c r="BN14" s="336"/>
      <c r="BO14" s="1403">
        <v>0</v>
      </c>
      <c r="BP14" s="662">
        <v>0</v>
      </c>
      <c r="BQ14" s="662">
        <v>0</v>
      </c>
      <c r="BR14" s="1404">
        <v>0</v>
      </c>
      <c r="BS14" s="336"/>
      <c r="BT14" s="1403">
        <v>0</v>
      </c>
      <c r="BU14" s="662">
        <v>0</v>
      </c>
      <c r="BV14" s="662">
        <v>0</v>
      </c>
      <c r="BW14" s="1404">
        <v>0</v>
      </c>
      <c r="BX14" s="336"/>
      <c r="BY14" s="1403">
        <v>0</v>
      </c>
      <c r="BZ14" s="662">
        <v>0</v>
      </c>
      <c r="CA14" s="662">
        <v>0</v>
      </c>
      <c r="CB14" s="1404">
        <v>0</v>
      </c>
      <c r="CC14" s="336"/>
      <c r="CD14" s="1403">
        <v>0</v>
      </c>
      <c r="CE14" s="662">
        <v>0</v>
      </c>
      <c r="CF14" s="662">
        <v>0</v>
      </c>
      <c r="CG14" s="1404">
        <v>0</v>
      </c>
      <c r="CH14" s="336"/>
      <c r="CI14" s="1403">
        <v>0</v>
      </c>
      <c r="CJ14" s="662">
        <v>0</v>
      </c>
      <c r="CK14" s="662">
        <v>0</v>
      </c>
      <c r="CL14" s="1404">
        <v>0</v>
      </c>
      <c r="CM14" s="336"/>
      <c r="CN14" s="1403">
        <v>0</v>
      </c>
      <c r="CO14" s="662">
        <v>0</v>
      </c>
      <c r="CP14" s="662">
        <v>0</v>
      </c>
      <c r="CQ14" s="1404">
        <v>0</v>
      </c>
      <c r="CR14" s="1402"/>
    </row>
    <row r="15" spans="1:96" ht="13.5" customHeight="1">
      <c r="A15" s="317"/>
      <c r="B15" s="317" t="s">
        <v>89</v>
      </c>
      <c r="C15" s="317"/>
      <c r="D15" s="318"/>
      <c r="E15" s="318"/>
      <c r="F15" s="318"/>
      <c r="G15" s="341"/>
      <c r="H15" s="341"/>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8"/>
      <c r="AH15" s="318"/>
      <c r="AI15" s="335"/>
      <c r="AJ15" s="335"/>
      <c r="AK15" s="1403">
        <v>0</v>
      </c>
      <c r="AL15" s="662">
        <v>0</v>
      </c>
      <c r="AM15" s="662">
        <v>0</v>
      </c>
      <c r="AN15" s="1404">
        <v>0</v>
      </c>
      <c r="AO15" s="336"/>
      <c r="AP15" s="1403">
        <v>0</v>
      </c>
      <c r="AQ15" s="662">
        <v>0</v>
      </c>
      <c r="AR15" s="662">
        <v>0</v>
      </c>
      <c r="AS15" s="1404">
        <v>0</v>
      </c>
      <c r="AT15" s="336"/>
      <c r="AU15" s="1403">
        <v>0</v>
      </c>
      <c r="AV15" s="662">
        <v>0</v>
      </c>
      <c r="AW15" s="662">
        <v>0</v>
      </c>
      <c r="AX15" s="1404">
        <v>0</v>
      </c>
      <c r="AY15" s="336"/>
      <c r="AZ15" s="1403">
        <v>0</v>
      </c>
      <c r="BA15" s="662">
        <v>0</v>
      </c>
      <c r="BB15" s="336">
        <f>-BB13</f>
        <v>0</v>
      </c>
      <c r="BC15" s="1402">
        <f>-BC13</f>
        <v>0</v>
      </c>
      <c r="BD15" s="336"/>
      <c r="BE15" s="1403">
        <v>0</v>
      </c>
      <c r="BF15" s="336">
        <f>-BF13</f>
        <v>0</v>
      </c>
      <c r="BG15" s="336">
        <f>-BG13</f>
        <v>0</v>
      </c>
      <c r="BH15" s="1404">
        <v>0</v>
      </c>
      <c r="BI15" s="336"/>
      <c r="BJ15" s="1403">
        <v>0</v>
      </c>
      <c r="BK15" s="662">
        <v>0</v>
      </c>
      <c r="BL15" s="662">
        <v>0</v>
      </c>
      <c r="BM15" s="1404">
        <v>0</v>
      </c>
      <c r="BN15" s="336"/>
      <c r="BO15" s="1403">
        <v>0</v>
      </c>
      <c r="BP15" s="662">
        <v>0</v>
      </c>
      <c r="BQ15" s="662">
        <v>0</v>
      </c>
      <c r="BR15" s="1404">
        <v>0</v>
      </c>
      <c r="BS15" s="336"/>
      <c r="BT15" s="1403">
        <v>0</v>
      </c>
      <c r="BU15" s="662">
        <v>0</v>
      </c>
      <c r="BV15" s="662">
        <v>0</v>
      </c>
      <c r="BW15" s="1404">
        <v>0</v>
      </c>
      <c r="BX15" s="336"/>
      <c r="BY15" s="1403">
        <v>0</v>
      </c>
      <c r="BZ15" s="662">
        <v>0</v>
      </c>
      <c r="CA15" s="662">
        <v>0</v>
      </c>
      <c r="CB15" s="1404">
        <v>0</v>
      </c>
      <c r="CC15" s="336"/>
      <c r="CD15" s="1403">
        <v>0</v>
      </c>
      <c r="CE15" s="662">
        <v>0</v>
      </c>
      <c r="CF15" s="662">
        <v>0</v>
      </c>
      <c r="CG15" s="1404">
        <v>0</v>
      </c>
      <c r="CH15" s="336"/>
      <c r="CI15" s="1403">
        <v>0</v>
      </c>
      <c r="CJ15" s="662">
        <v>0</v>
      </c>
      <c r="CK15" s="662">
        <v>0</v>
      </c>
      <c r="CL15" s="1404">
        <v>0</v>
      </c>
      <c r="CM15" s="336"/>
      <c r="CN15" s="1403">
        <v>0</v>
      </c>
      <c r="CO15" s="662">
        <v>0</v>
      </c>
      <c r="CP15" s="662">
        <v>0</v>
      </c>
      <c r="CQ15" s="1404">
        <v>0</v>
      </c>
      <c r="CR15" s="1402"/>
    </row>
    <row r="16" spans="1:96" ht="13.5" customHeight="1">
      <c r="A16" s="317"/>
      <c r="B16" s="317" t="s">
        <v>90</v>
      </c>
      <c r="C16" s="317"/>
      <c r="D16" s="318"/>
      <c r="E16" s="318"/>
      <c r="F16" s="318"/>
      <c r="G16" s="341"/>
      <c r="H16" s="341"/>
      <c r="I16" s="342"/>
      <c r="J16" s="342"/>
      <c r="K16" s="342"/>
      <c r="L16" s="342"/>
      <c r="M16" s="342"/>
      <c r="N16" s="342"/>
      <c r="O16" s="342"/>
      <c r="P16" s="342"/>
      <c r="Q16" s="342"/>
      <c r="R16" s="342"/>
      <c r="S16" s="342"/>
      <c r="T16" s="342"/>
      <c r="U16" s="342"/>
      <c r="V16" s="342"/>
      <c r="W16" s="342"/>
      <c r="X16" s="342"/>
      <c r="Y16" s="342"/>
      <c r="Z16" s="342"/>
      <c r="AA16" s="342"/>
      <c r="AB16" s="342"/>
      <c r="AC16" s="342"/>
      <c r="AD16" s="342"/>
      <c r="AE16" s="342"/>
      <c r="AF16" s="342"/>
      <c r="AG16" s="342"/>
      <c r="AH16" s="342"/>
      <c r="AI16" s="663">
        <v>0</v>
      </c>
      <c r="AJ16" s="335">
        <f>+AI16</f>
        <v>0</v>
      </c>
      <c r="AK16" s="1401">
        <f>+AK13+AK14+AK15</f>
        <v>0</v>
      </c>
      <c r="AL16" s="336">
        <f>+AL13+AL14+AL15</f>
        <v>0</v>
      </c>
      <c r="AM16" s="336">
        <f>+AM13+AM14+AM15</f>
        <v>0</v>
      </c>
      <c r="AN16" s="1402">
        <f>+AN13+AN14+AN15</f>
        <v>0</v>
      </c>
      <c r="AO16" s="343">
        <f>+AN16</f>
        <v>0</v>
      </c>
      <c r="AP16" s="1401">
        <f>+AP13+AP14+AP15</f>
        <v>0</v>
      </c>
      <c r="AQ16" s="336">
        <f>+AQ13+AQ14+AQ15</f>
        <v>0</v>
      </c>
      <c r="AR16" s="336">
        <f>+AR13+AR14+AR15</f>
        <v>0</v>
      </c>
      <c r="AS16" s="1402">
        <f>+AS13+AS14+AS15</f>
        <v>0</v>
      </c>
      <c r="AT16" s="343">
        <f>AS16</f>
        <v>0</v>
      </c>
      <c r="AU16" s="1401">
        <f>+AU13+AU14+AU15</f>
        <v>0</v>
      </c>
      <c r="AV16" s="336">
        <f>+AV13+AV14+AV15</f>
        <v>0</v>
      </c>
      <c r="AW16" s="336">
        <f>+AW13+AW14+AW15</f>
        <v>0</v>
      </c>
      <c r="AX16" s="1402">
        <f>+AX13+AX14+AX15</f>
        <v>0</v>
      </c>
      <c r="AY16" s="343">
        <f>AX16</f>
        <v>0</v>
      </c>
      <c r="AZ16" s="1401">
        <f>+AZ13+AZ14+AZ15</f>
        <v>0</v>
      </c>
      <c r="BA16" s="336">
        <f>+BA13+BA14+BA15</f>
        <v>0</v>
      </c>
      <c r="BB16" s="336">
        <f>+BB13+BB14+BB15</f>
        <v>0</v>
      </c>
      <c r="BC16" s="1402">
        <f>+BC13+BC14+BC15</f>
        <v>0</v>
      </c>
      <c r="BD16" s="343">
        <f>BC16</f>
        <v>0</v>
      </c>
      <c r="BE16" s="1401">
        <f>+BE13+BE14+BE15</f>
        <v>0</v>
      </c>
      <c r="BF16" s="336">
        <f>+BF13+BF14+BF15</f>
        <v>0</v>
      </c>
      <c r="BG16" s="336">
        <f>+BG13+BG14+BG15</f>
        <v>0</v>
      </c>
      <c r="BH16" s="1402">
        <f>+BH13+BH14+BH15</f>
        <v>0</v>
      </c>
      <c r="BI16" s="343">
        <f>BH16</f>
        <v>0</v>
      </c>
      <c r="BJ16" s="1401">
        <f>+BJ13+BJ14+BJ15</f>
        <v>0</v>
      </c>
      <c r="BK16" s="336">
        <f>+BK13+BK14+BK15</f>
        <v>0</v>
      </c>
      <c r="BL16" s="336">
        <f>+BL13+BL14+BL15</f>
        <v>0</v>
      </c>
      <c r="BM16" s="1402">
        <f>+BM13+BM14+BM15</f>
        <v>0</v>
      </c>
      <c r="BN16" s="343">
        <f>BM16</f>
        <v>0</v>
      </c>
      <c r="BO16" s="1401">
        <f>+BO13+BO14+BO15</f>
        <v>0</v>
      </c>
      <c r="BP16" s="336">
        <f>+BP13+BP14+BP15</f>
        <v>0</v>
      </c>
      <c r="BQ16" s="336">
        <f>+BQ13+BQ14+BQ15</f>
        <v>0</v>
      </c>
      <c r="BR16" s="1402">
        <f>+BR13+BR14+BR15</f>
        <v>0</v>
      </c>
      <c r="BS16" s="343">
        <f>BR16</f>
        <v>0</v>
      </c>
      <c r="BT16" s="1401">
        <f>+BT13+BT14+BT15</f>
        <v>0</v>
      </c>
      <c r="BU16" s="336">
        <f>+BU13+BU14+BU15</f>
        <v>0</v>
      </c>
      <c r="BV16" s="336">
        <f>+BV13+BV14+BV15</f>
        <v>0</v>
      </c>
      <c r="BW16" s="1402">
        <f>+BW13+BW14+BW15</f>
        <v>0</v>
      </c>
      <c r="BX16" s="343">
        <f>BW16</f>
        <v>0</v>
      </c>
      <c r="BY16" s="1401">
        <f>+BY13+BY14+BY15</f>
        <v>0</v>
      </c>
      <c r="BZ16" s="336">
        <f>+BZ13+BZ14+BZ15</f>
        <v>0</v>
      </c>
      <c r="CA16" s="336">
        <f>+CA13+CA14+CA15</f>
        <v>0</v>
      </c>
      <c r="CB16" s="1402">
        <f>+CB13+CB14+CB15</f>
        <v>0</v>
      </c>
      <c r="CC16" s="343">
        <f>CB16</f>
        <v>0</v>
      </c>
      <c r="CD16" s="1401">
        <f>+CD13+CD14+CD15</f>
        <v>0</v>
      </c>
      <c r="CE16" s="336">
        <f>+CE13+CE14+CE15</f>
        <v>0</v>
      </c>
      <c r="CF16" s="336">
        <f>+CF13+CF14+CF15</f>
        <v>0</v>
      </c>
      <c r="CG16" s="1402">
        <f>+CG13+CG14+CG15</f>
        <v>0</v>
      </c>
      <c r="CH16" s="343">
        <f>CG16</f>
        <v>0</v>
      </c>
      <c r="CI16" s="1401">
        <f>+CI13+CI14+CI15</f>
        <v>0</v>
      </c>
      <c r="CJ16" s="336">
        <f>+CJ13+CJ14+CJ15</f>
        <v>0</v>
      </c>
      <c r="CK16" s="336">
        <f>+CK13+CK14+CK15</f>
        <v>0</v>
      </c>
      <c r="CL16" s="1402">
        <f>+CL13+CL14+CL15</f>
        <v>0</v>
      </c>
      <c r="CM16" s="343">
        <f>CL16</f>
        <v>0</v>
      </c>
      <c r="CN16" s="1401">
        <f>+CN13+CN14+CN15</f>
        <v>0</v>
      </c>
      <c r="CO16" s="336">
        <f>+CO13+CO14+CO15</f>
        <v>0</v>
      </c>
      <c r="CP16" s="336">
        <f>+CP13+CP14+CP15</f>
        <v>0</v>
      </c>
      <c r="CQ16" s="1402">
        <f>+CQ13+CQ14+CQ15</f>
        <v>0</v>
      </c>
      <c r="CR16" s="1451">
        <f>CQ16</f>
        <v>0</v>
      </c>
    </row>
    <row r="17" spans="1:96" ht="13.5" customHeight="1">
      <c r="A17" s="317"/>
      <c r="B17" s="317" t="s">
        <v>91</v>
      </c>
      <c r="C17" s="317"/>
      <c r="D17" s="318"/>
      <c r="E17" s="318"/>
      <c r="F17" s="318"/>
      <c r="G17" s="341"/>
      <c r="H17" s="341"/>
      <c r="I17" s="318"/>
      <c r="J17" s="318"/>
      <c r="K17" s="318"/>
      <c r="L17" s="318"/>
      <c r="M17" s="318"/>
      <c r="N17" s="318"/>
      <c r="O17" s="318"/>
      <c r="P17" s="318"/>
      <c r="Q17" s="318"/>
      <c r="R17" s="318"/>
      <c r="S17" s="318"/>
      <c r="T17" s="318"/>
      <c r="U17" s="318"/>
      <c r="V17" s="318"/>
      <c r="W17" s="318"/>
      <c r="X17" s="318"/>
      <c r="Y17" s="318"/>
      <c r="Z17" s="318"/>
      <c r="AA17" s="318"/>
      <c r="AB17" s="318"/>
      <c r="AC17" s="318"/>
      <c r="AD17" s="318"/>
      <c r="AE17" s="318"/>
      <c r="AF17" s="318"/>
      <c r="AG17" s="318"/>
      <c r="AH17" s="318"/>
      <c r="AI17" s="335"/>
      <c r="AJ17" s="335"/>
      <c r="AK17" s="1401">
        <f>+AVERAGE(AK13,AK16)</f>
        <v>0</v>
      </c>
      <c r="AL17" s="336">
        <f>+AVERAGE(AL13,AL16)</f>
        <v>0</v>
      </c>
      <c r="AM17" s="336">
        <f>+AVERAGE(AM13,AM16)</f>
        <v>0</v>
      </c>
      <c r="AN17" s="1402">
        <f>+AVERAGE(AN13,AN16)</f>
        <v>0</v>
      </c>
      <c r="AO17" s="336"/>
      <c r="AP17" s="1401">
        <f>+AVERAGE(AP13,AP16)</f>
        <v>0</v>
      </c>
      <c r="AQ17" s="336">
        <f>+AVERAGE(AQ13,AQ16)</f>
        <v>0</v>
      </c>
      <c r="AR17" s="336">
        <f>+AVERAGE(AR13,AR16)</f>
        <v>0</v>
      </c>
      <c r="AS17" s="1402">
        <f>+AVERAGE(AS13,AS16)</f>
        <v>0</v>
      </c>
      <c r="AT17" s="336"/>
      <c r="AU17" s="1401">
        <f>+AVERAGE(AU13,AU16)</f>
        <v>0</v>
      </c>
      <c r="AV17" s="336">
        <f>+AVERAGE(AV13,AV16)</f>
        <v>0</v>
      </c>
      <c r="AW17" s="336">
        <f>+AVERAGE(AW13,AW16)</f>
        <v>0</v>
      </c>
      <c r="AX17" s="1402">
        <f>+AVERAGE(AX13,AX16)</f>
        <v>0</v>
      </c>
      <c r="AY17" s="336"/>
      <c r="AZ17" s="1401">
        <f>+AVERAGE(AZ13,AZ16)</f>
        <v>0</v>
      </c>
      <c r="BA17" s="336">
        <f>+AVERAGE(BA13,BA16)</f>
        <v>0</v>
      </c>
      <c r="BB17" s="336">
        <f>+AVERAGE(BB13,BB16)</f>
        <v>0</v>
      </c>
      <c r="BC17" s="1402">
        <f>+AVERAGE(BC13,BC16)</f>
        <v>0</v>
      </c>
      <c r="BD17" s="336"/>
      <c r="BE17" s="1401">
        <f>+AVERAGE(BE13,BE16)</f>
        <v>0</v>
      </c>
      <c r="BF17" s="336">
        <f>+AVERAGE(BF13,BF16)</f>
        <v>0</v>
      </c>
      <c r="BG17" s="336">
        <f>+AVERAGE(BG13,BG16)</f>
        <v>0</v>
      </c>
      <c r="BH17" s="1402">
        <f>+AVERAGE(BH13,BH16)</f>
        <v>0</v>
      </c>
      <c r="BI17" s="336"/>
      <c r="BJ17" s="1401">
        <f>+AVERAGE(BJ13,BJ16)</f>
        <v>0</v>
      </c>
      <c r="BK17" s="336">
        <f>+AVERAGE(BK13,BK16)</f>
        <v>0</v>
      </c>
      <c r="BL17" s="336">
        <f>+AVERAGE(BL13,BL16)</f>
        <v>0</v>
      </c>
      <c r="BM17" s="1402">
        <f>+AVERAGE(BM13,BM16)</f>
        <v>0</v>
      </c>
      <c r="BN17" s="336"/>
      <c r="BO17" s="1401">
        <f>+AVERAGE(BO13,BO16)</f>
        <v>0</v>
      </c>
      <c r="BP17" s="336">
        <f>+AVERAGE(BP13,BP16)</f>
        <v>0</v>
      </c>
      <c r="BQ17" s="336">
        <f>+AVERAGE(BQ13,BQ16)</f>
        <v>0</v>
      </c>
      <c r="BR17" s="1402">
        <f>+AVERAGE(BR13,BR16)</f>
        <v>0</v>
      </c>
      <c r="BS17" s="336"/>
      <c r="BT17" s="1401">
        <f>+AVERAGE(BT13,BT16)</f>
        <v>0</v>
      </c>
      <c r="BU17" s="336">
        <f>+AVERAGE(BU13,BU16)</f>
        <v>0</v>
      </c>
      <c r="BV17" s="336">
        <f>+AVERAGE(BV13,BV16)</f>
        <v>0</v>
      </c>
      <c r="BW17" s="1402">
        <f>+AVERAGE(BW13,BW16)</f>
        <v>0</v>
      </c>
      <c r="BX17" s="336"/>
      <c r="BY17" s="1401">
        <f>+AVERAGE(BY13,BY16)</f>
        <v>0</v>
      </c>
      <c r="BZ17" s="336">
        <f>+AVERAGE(BZ13,BZ16)</f>
        <v>0</v>
      </c>
      <c r="CA17" s="336">
        <f>+AVERAGE(CA13,CA16)</f>
        <v>0</v>
      </c>
      <c r="CB17" s="1402">
        <f>+AVERAGE(CB13,CB16)</f>
        <v>0</v>
      </c>
      <c r="CC17" s="336"/>
      <c r="CD17" s="1401">
        <f>+AVERAGE(CD13,CD16)</f>
        <v>0</v>
      </c>
      <c r="CE17" s="336">
        <f>+AVERAGE(CE13,CE16)</f>
        <v>0</v>
      </c>
      <c r="CF17" s="336">
        <f>+AVERAGE(CF13,CF16)</f>
        <v>0</v>
      </c>
      <c r="CG17" s="1402">
        <f>+AVERAGE(CG13,CG16)</f>
        <v>0</v>
      </c>
      <c r="CH17" s="336"/>
      <c r="CI17" s="1401">
        <f>+AVERAGE(CI13,CI16)</f>
        <v>0</v>
      </c>
      <c r="CJ17" s="336">
        <f>+AVERAGE(CJ13,CJ16)</f>
        <v>0</v>
      </c>
      <c r="CK17" s="336">
        <f>+AVERAGE(CK13,CK16)</f>
        <v>0</v>
      </c>
      <c r="CL17" s="1402">
        <f>+AVERAGE(CL13,CL16)</f>
        <v>0</v>
      </c>
      <c r="CM17" s="336"/>
      <c r="CN17" s="1401">
        <f>+AVERAGE(CN13,CN16)</f>
        <v>0</v>
      </c>
      <c r="CO17" s="336">
        <f>+AVERAGE(CO13,CO16)</f>
        <v>0</v>
      </c>
      <c r="CP17" s="336">
        <f>+AVERAGE(CP13,CP16)</f>
        <v>0</v>
      </c>
      <c r="CQ17" s="1402">
        <f>+AVERAGE(CQ13,CQ16)</f>
        <v>0</v>
      </c>
      <c r="CR17" s="1402"/>
    </row>
    <row r="18" spans="1:96" ht="13.5" customHeight="1">
      <c r="A18" s="317"/>
      <c r="B18" s="317" t="s">
        <v>92</v>
      </c>
      <c r="C18" s="317"/>
      <c r="D18" s="318"/>
      <c r="E18" s="318"/>
      <c r="F18" s="318"/>
      <c r="G18" s="341"/>
      <c r="H18" s="341"/>
      <c r="I18" s="318"/>
      <c r="J18" s="318"/>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35"/>
      <c r="AJ18" s="335"/>
      <c r="AK18" s="1401">
        <f>+AK$12*AK17/4</f>
        <v>0</v>
      </c>
      <c r="AL18" s="336">
        <f>+AL$12*AL17/4</f>
        <v>0</v>
      </c>
      <c r="AM18" s="336">
        <f>+AM$12*AM17/4</f>
        <v>0</v>
      </c>
      <c r="AN18" s="1402">
        <f>+AN$12*AN17/4</f>
        <v>0</v>
      </c>
      <c r="AO18" s="336"/>
      <c r="AP18" s="1401">
        <f>+AP$12*AP17/4</f>
        <v>0</v>
      </c>
      <c r="AQ18" s="336">
        <f>+AQ$12*AQ17/4</f>
        <v>0</v>
      </c>
      <c r="AR18" s="336">
        <f>+AR$12*AR17/4</f>
        <v>0</v>
      </c>
      <c r="AS18" s="1402">
        <f>+AS$12*AS17/4</f>
        <v>0</v>
      </c>
      <c r="AT18" s="336"/>
      <c r="AU18" s="1401">
        <f>+AU$12*AU17/4</f>
        <v>0</v>
      </c>
      <c r="AV18" s="336">
        <f>+AV$12*AV17/4</f>
        <v>0</v>
      </c>
      <c r="AW18" s="336">
        <f>+AW$12*AW17/4</f>
        <v>0</v>
      </c>
      <c r="AX18" s="1402">
        <f>+AX$12*AX17/4</f>
        <v>0</v>
      </c>
      <c r="AY18" s="336"/>
      <c r="AZ18" s="1401">
        <f>+AZ$12*AZ17/4</f>
        <v>0</v>
      </c>
      <c r="BA18" s="336">
        <f>+BA$12*BA17/4</f>
        <v>0</v>
      </c>
      <c r="BB18" s="336">
        <f>+BB$12*BB17/4</f>
        <v>0</v>
      </c>
      <c r="BC18" s="1402">
        <f>+BC$12*BC17/4</f>
        <v>0</v>
      </c>
      <c r="BD18" s="336"/>
      <c r="BE18" s="1401">
        <f>+BE$12*BE17/4</f>
        <v>0</v>
      </c>
      <c r="BF18" s="336">
        <f>+BF$12*BF17/4</f>
        <v>0</v>
      </c>
      <c r="BG18" s="336">
        <f>+BG$12*BG17/4</f>
        <v>0</v>
      </c>
      <c r="BH18" s="1402">
        <f>+BH$12*BH17/4</f>
        <v>0</v>
      </c>
      <c r="BI18" s="336"/>
      <c r="BJ18" s="1401">
        <f>+BJ$12*BJ17/4</f>
        <v>0</v>
      </c>
      <c r="BK18" s="336">
        <f>+BK$12*BK17/4</f>
        <v>0</v>
      </c>
      <c r="BL18" s="336">
        <f>+BL$12*BL17/4</f>
        <v>0</v>
      </c>
      <c r="BM18" s="1402">
        <f>+BM$12*BM17/4</f>
        <v>0</v>
      </c>
      <c r="BN18" s="336"/>
      <c r="BO18" s="1401">
        <f>+BO$12*BO17/4</f>
        <v>0</v>
      </c>
      <c r="BP18" s="336">
        <f>+BP$12*BP17/4</f>
        <v>0</v>
      </c>
      <c r="BQ18" s="336">
        <f>+BQ$12*BQ17/4</f>
        <v>0</v>
      </c>
      <c r="BR18" s="1402">
        <f>+BR$12*BR17/4</f>
        <v>0</v>
      </c>
      <c r="BS18" s="336"/>
      <c r="BT18" s="1401">
        <f>+BT$12*BT17/4</f>
        <v>0</v>
      </c>
      <c r="BU18" s="336">
        <f>+BU$12*BU17/4</f>
        <v>0</v>
      </c>
      <c r="BV18" s="336">
        <f>+BV$12*BV17/4</f>
        <v>0</v>
      </c>
      <c r="BW18" s="1402">
        <f>+BW$12*BW17/4</f>
        <v>0</v>
      </c>
      <c r="BX18" s="336"/>
      <c r="BY18" s="1401">
        <f>+BY$12*BY17/4</f>
        <v>0</v>
      </c>
      <c r="BZ18" s="336">
        <f>+BZ$12*BZ17/4</f>
        <v>0</v>
      </c>
      <c r="CA18" s="336">
        <f>+CA$12*CA17/4</f>
        <v>0</v>
      </c>
      <c r="CB18" s="1402">
        <f>+CB$12*CB17/4</f>
        <v>0</v>
      </c>
      <c r="CC18" s="336"/>
      <c r="CD18" s="1401">
        <f>+CD$12*CD17/4</f>
        <v>0</v>
      </c>
      <c r="CE18" s="336">
        <f>+CE$12*CE17/4</f>
        <v>0</v>
      </c>
      <c r="CF18" s="336">
        <f>+CF$12*CF17/4</f>
        <v>0</v>
      </c>
      <c r="CG18" s="1402">
        <f>+CG$12*CG17/4</f>
        <v>0</v>
      </c>
      <c r="CH18" s="336"/>
      <c r="CI18" s="1401">
        <f>+CI$12*CI17/4</f>
        <v>0</v>
      </c>
      <c r="CJ18" s="336">
        <f>+CJ$12*CJ17/4</f>
        <v>0</v>
      </c>
      <c r="CK18" s="336">
        <f>+CK$12*CK17/4</f>
        <v>0</v>
      </c>
      <c r="CL18" s="1402">
        <f>+CL$12*CL17/4</f>
        <v>0</v>
      </c>
      <c r="CM18" s="336"/>
      <c r="CN18" s="1401">
        <f>+CN$12*CN17/4</f>
        <v>0</v>
      </c>
      <c r="CO18" s="336">
        <f>+CO$12*CO17/4</f>
        <v>0</v>
      </c>
      <c r="CP18" s="336">
        <f>+CP$12*CP17/4</f>
        <v>0</v>
      </c>
      <c r="CQ18" s="1402">
        <f>+CQ$12*CQ17/4</f>
        <v>0</v>
      </c>
      <c r="CR18" s="1402"/>
    </row>
    <row r="19" spans="1:96" ht="13.5" customHeight="1">
      <c r="A19" s="317"/>
      <c r="B19" s="317" t="s">
        <v>93</v>
      </c>
      <c r="C19" s="317"/>
      <c r="D19" s="318"/>
      <c r="E19" s="318"/>
      <c r="F19" s="318"/>
      <c r="G19" s="318"/>
      <c r="H19" s="318"/>
      <c r="I19" s="318"/>
      <c r="J19" s="318"/>
      <c r="K19" s="318"/>
      <c r="L19" s="318"/>
      <c r="M19" s="318"/>
      <c r="N19" s="318"/>
      <c r="O19" s="318"/>
      <c r="P19" s="318"/>
      <c r="Q19" s="318"/>
      <c r="R19" s="318"/>
      <c r="S19" s="318"/>
      <c r="T19" s="318"/>
      <c r="U19" s="318"/>
      <c r="V19" s="318"/>
      <c r="W19" s="318"/>
      <c r="X19" s="318"/>
      <c r="Y19" s="318"/>
      <c r="Z19" s="318"/>
      <c r="AA19" s="318"/>
      <c r="AB19" s="318"/>
      <c r="AC19" s="318"/>
      <c r="AD19" s="318"/>
      <c r="AE19" s="318"/>
      <c r="AF19" s="318"/>
      <c r="AG19" s="318"/>
      <c r="AH19" s="318"/>
      <c r="AI19" s="335"/>
      <c r="AJ19" s="335"/>
      <c r="AK19" s="1401">
        <f>+AK18</f>
        <v>0</v>
      </c>
      <c r="AL19" s="336">
        <f>+AL18</f>
        <v>0</v>
      </c>
      <c r="AM19" s="336">
        <f>+AM18</f>
        <v>0</v>
      </c>
      <c r="AN19" s="1402">
        <f>+AN18</f>
        <v>0</v>
      </c>
      <c r="AO19" s="336"/>
      <c r="AP19" s="1401">
        <f>+AP18</f>
        <v>0</v>
      </c>
      <c r="AQ19" s="336">
        <f>+AQ18</f>
        <v>0</v>
      </c>
      <c r="AR19" s="336">
        <f>+AR18</f>
        <v>0</v>
      </c>
      <c r="AS19" s="1402">
        <f>+AS18</f>
        <v>0</v>
      </c>
      <c r="AT19" s="336"/>
      <c r="AU19" s="1401">
        <f>+AU18</f>
        <v>0</v>
      </c>
      <c r="AV19" s="336">
        <f>+AV18</f>
        <v>0</v>
      </c>
      <c r="AW19" s="336">
        <f>+AW18</f>
        <v>0</v>
      </c>
      <c r="AX19" s="1402">
        <f>+AX18</f>
        <v>0</v>
      </c>
      <c r="AY19" s="336"/>
      <c r="AZ19" s="1401">
        <f>+AZ18</f>
        <v>0</v>
      </c>
      <c r="BA19" s="336">
        <f>+BA18</f>
        <v>0</v>
      </c>
      <c r="BB19" s="336">
        <f>+BB18</f>
        <v>0</v>
      </c>
      <c r="BC19" s="1402">
        <f>+BC18</f>
        <v>0</v>
      </c>
      <c r="BD19" s="336"/>
      <c r="BE19" s="1401">
        <f>+BE18</f>
        <v>0</v>
      </c>
      <c r="BF19" s="336">
        <f>+BF18</f>
        <v>0</v>
      </c>
      <c r="BG19" s="336">
        <f>+BG18</f>
        <v>0</v>
      </c>
      <c r="BH19" s="1402">
        <f>+BH18</f>
        <v>0</v>
      </c>
      <c r="BI19" s="336"/>
      <c r="BJ19" s="1401">
        <f>+BJ18</f>
        <v>0</v>
      </c>
      <c r="BK19" s="336">
        <f>+BK18</f>
        <v>0</v>
      </c>
      <c r="BL19" s="336">
        <f>+BL18</f>
        <v>0</v>
      </c>
      <c r="BM19" s="1402">
        <f>+BM18</f>
        <v>0</v>
      </c>
      <c r="BN19" s="336"/>
      <c r="BO19" s="1401">
        <f>+BO18</f>
        <v>0</v>
      </c>
      <c r="BP19" s="336">
        <f>+BP18</f>
        <v>0</v>
      </c>
      <c r="BQ19" s="336">
        <f>+BQ18</f>
        <v>0</v>
      </c>
      <c r="BR19" s="1402">
        <f>+BR18</f>
        <v>0</v>
      </c>
      <c r="BS19" s="336"/>
      <c r="BT19" s="1401">
        <f>+BT18</f>
        <v>0</v>
      </c>
      <c r="BU19" s="336">
        <f>+BU18</f>
        <v>0</v>
      </c>
      <c r="BV19" s="336">
        <f>+BV18</f>
        <v>0</v>
      </c>
      <c r="BW19" s="1402">
        <f>+BW18</f>
        <v>0</v>
      </c>
      <c r="BX19" s="336"/>
      <c r="BY19" s="1401">
        <f>+BY18</f>
        <v>0</v>
      </c>
      <c r="BZ19" s="336">
        <f>+BZ18</f>
        <v>0</v>
      </c>
      <c r="CA19" s="336">
        <f>+CA18</f>
        <v>0</v>
      </c>
      <c r="CB19" s="1402">
        <f>+CB18</f>
        <v>0</v>
      </c>
      <c r="CC19" s="336"/>
      <c r="CD19" s="1401">
        <f>+CD18</f>
        <v>0</v>
      </c>
      <c r="CE19" s="336">
        <f>+CE18</f>
        <v>0</v>
      </c>
      <c r="CF19" s="336">
        <f>+CF18</f>
        <v>0</v>
      </c>
      <c r="CG19" s="1402">
        <f>+CG18</f>
        <v>0</v>
      </c>
      <c r="CH19" s="336"/>
      <c r="CI19" s="1401">
        <f>+CI18</f>
        <v>0</v>
      </c>
      <c r="CJ19" s="336">
        <f>+CJ18</f>
        <v>0</v>
      </c>
      <c r="CK19" s="336">
        <f>+CK18</f>
        <v>0</v>
      </c>
      <c r="CL19" s="1402">
        <f>+CL18</f>
        <v>0</v>
      </c>
      <c r="CM19" s="336"/>
      <c r="CN19" s="1401">
        <f>+CN18</f>
        <v>0</v>
      </c>
      <c r="CO19" s="336">
        <f>+CO18</f>
        <v>0</v>
      </c>
      <c r="CP19" s="336">
        <f>+CP18</f>
        <v>0</v>
      </c>
      <c r="CQ19" s="1402">
        <f>+CQ18</f>
        <v>0</v>
      </c>
      <c r="CR19" s="1402"/>
    </row>
    <row r="20" spans="1:96" ht="6.2" customHeight="1">
      <c r="A20" s="317"/>
      <c r="B20" s="317"/>
      <c r="C20" s="317"/>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318"/>
      <c r="AH20" s="318"/>
      <c r="AI20" s="335"/>
      <c r="AJ20" s="335"/>
      <c r="AK20" s="1401"/>
      <c r="AL20" s="336"/>
      <c r="AM20" s="336"/>
      <c r="AN20" s="1402"/>
      <c r="AO20" s="336"/>
      <c r="AP20" s="1401"/>
      <c r="AQ20" s="336"/>
      <c r="AR20" s="336"/>
      <c r="AS20" s="1402"/>
      <c r="AT20" s="336"/>
      <c r="AU20" s="1401"/>
      <c r="AV20" s="336"/>
      <c r="AW20" s="336"/>
      <c r="AX20" s="1402"/>
      <c r="AY20" s="336"/>
      <c r="AZ20" s="1401"/>
      <c r="BA20" s="336"/>
      <c r="BB20" s="336"/>
      <c r="BC20" s="1402"/>
      <c r="BD20" s="336"/>
      <c r="BE20" s="1401"/>
      <c r="BF20" s="336"/>
      <c r="BG20" s="336"/>
      <c r="BH20" s="1402"/>
      <c r="BI20" s="336"/>
      <c r="BJ20" s="1401"/>
      <c r="BK20" s="336"/>
      <c r="BL20" s="336"/>
      <c r="BM20" s="1402"/>
      <c r="BN20" s="336"/>
      <c r="BO20" s="1401"/>
      <c r="BP20" s="336"/>
      <c r="BQ20" s="336"/>
      <c r="BR20" s="1402"/>
      <c r="BS20" s="336"/>
      <c r="BT20" s="1401"/>
      <c r="BU20" s="336"/>
      <c r="BV20" s="336"/>
      <c r="BW20" s="1402"/>
      <c r="BX20" s="336"/>
      <c r="BY20" s="1401"/>
      <c r="BZ20" s="336"/>
      <c r="CA20" s="336"/>
      <c r="CB20" s="1402"/>
      <c r="CC20" s="336"/>
      <c r="CD20" s="1401"/>
      <c r="CE20" s="336"/>
      <c r="CF20" s="336"/>
      <c r="CG20" s="1402"/>
      <c r="CH20" s="336"/>
      <c r="CI20" s="1401"/>
      <c r="CJ20" s="336"/>
      <c r="CK20" s="336"/>
      <c r="CL20" s="1402"/>
      <c r="CM20" s="336"/>
      <c r="CN20" s="1401"/>
      <c r="CO20" s="336"/>
      <c r="CP20" s="336"/>
      <c r="CQ20" s="1402"/>
      <c r="CR20" s="1402"/>
    </row>
    <row r="21" spans="1:96" ht="13.5" customHeight="1">
      <c r="A21" s="317"/>
      <c r="B21" s="317" t="s">
        <v>94</v>
      </c>
      <c r="C21" s="317"/>
      <c r="D21" s="318"/>
      <c r="E21" s="318"/>
      <c r="F21" s="344" t="s">
        <v>95</v>
      </c>
      <c r="G21" s="345">
        <v>875</v>
      </c>
      <c r="H21" s="318"/>
      <c r="I21" s="318"/>
      <c r="J21" s="318"/>
      <c r="K21" s="318"/>
      <c r="L21" s="318"/>
      <c r="M21" s="318"/>
      <c r="N21" s="318"/>
      <c r="O21" s="318"/>
      <c r="P21" s="318"/>
      <c r="Q21" s="318"/>
      <c r="R21" s="318"/>
      <c r="S21" s="318"/>
      <c r="T21" s="318"/>
      <c r="U21" s="318"/>
      <c r="V21" s="318"/>
      <c r="W21" s="318"/>
      <c r="X21" s="318"/>
      <c r="Y21" s="318"/>
      <c r="Z21" s="318"/>
      <c r="AA21" s="318"/>
      <c r="AB21" s="318"/>
      <c r="AC21" s="318"/>
      <c r="AD21" s="318"/>
      <c r="AE21" s="318"/>
      <c r="AF21" s="318"/>
      <c r="AG21" s="318"/>
      <c r="AH21" s="318"/>
      <c r="AI21" s="346">
        <f>+$G$21</f>
        <v>875</v>
      </c>
      <c r="AJ21" s="335"/>
      <c r="AK21" s="1401">
        <f>+$G$21</f>
        <v>875</v>
      </c>
      <c r="AL21" s="336">
        <f>+$G$21</f>
        <v>875</v>
      </c>
      <c r="AM21" s="336">
        <f>+$G$21</f>
        <v>875</v>
      </c>
      <c r="AN21" s="1402">
        <f>+$G$21</f>
        <v>875</v>
      </c>
      <c r="AO21" s="336"/>
      <c r="AP21" s="1401">
        <f>+$G$21</f>
        <v>875</v>
      </c>
      <c r="AQ21" s="336">
        <f>+$G$21</f>
        <v>875</v>
      </c>
      <c r="AR21" s="336">
        <f>+$G$21</f>
        <v>875</v>
      </c>
      <c r="AS21" s="1402">
        <f>+$G$21</f>
        <v>875</v>
      </c>
      <c r="AT21" s="343"/>
      <c r="AU21" s="1401">
        <f>+$G$21</f>
        <v>875</v>
      </c>
      <c r="AV21" s="336">
        <f>+$G$21</f>
        <v>875</v>
      </c>
      <c r="AW21" s="336">
        <f>+$G$21</f>
        <v>875</v>
      </c>
      <c r="AX21" s="1402">
        <f>+$G$21</f>
        <v>875</v>
      </c>
      <c r="AY21" s="343"/>
      <c r="AZ21" s="1401">
        <f>+$G$21</f>
        <v>875</v>
      </c>
      <c r="BA21" s="336">
        <f>+$G$21</f>
        <v>875</v>
      </c>
      <c r="BB21" s="336">
        <f>+$G$21</f>
        <v>875</v>
      </c>
      <c r="BC21" s="1402">
        <f>+$G$21</f>
        <v>875</v>
      </c>
      <c r="BD21" s="343"/>
      <c r="BE21" s="1401">
        <f>+$G$21</f>
        <v>875</v>
      </c>
      <c r="BF21" s="336">
        <f>+$G$21</f>
        <v>875</v>
      </c>
      <c r="BG21" s="336">
        <f>+$G$21</f>
        <v>875</v>
      </c>
      <c r="BH21" s="1402">
        <f>+$G$21</f>
        <v>875</v>
      </c>
      <c r="BI21" s="343"/>
      <c r="BJ21" s="1401">
        <f>+$G$21</f>
        <v>875</v>
      </c>
      <c r="BK21" s="336">
        <f>+$G$21</f>
        <v>875</v>
      </c>
      <c r="BL21" s="336">
        <f>+$G$21</f>
        <v>875</v>
      </c>
      <c r="BM21" s="1402">
        <f>+$G$21</f>
        <v>875</v>
      </c>
      <c r="BN21" s="343"/>
      <c r="BO21" s="1401">
        <f>+$G$21</f>
        <v>875</v>
      </c>
      <c r="BP21" s="336">
        <f>+$G$21</f>
        <v>875</v>
      </c>
      <c r="BQ21" s="336">
        <f>+$G$21</f>
        <v>875</v>
      </c>
      <c r="BR21" s="1402">
        <f>+$G$21</f>
        <v>875</v>
      </c>
      <c r="BS21" s="343"/>
      <c r="BT21" s="1401">
        <f>+$G$21</f>
        <v>875</v>
      </c>
      <c r="BU21" s="336">
        <f>+$G$21</f>
        <v>875</v>
      </c>
      <c r="BV21" s="336">
        <f>+$G$21</f>
        <v>875</v>
      </c>
      <c r="BW21" s="1402">
        <f>+$G$21</f>
        <v>875</v>
      </c>
      <c r="BX21" s="343"/>
      <c r="BY21" s="1401">
        <f>+$G$21</f>
        <v>875</v>
      </c>
      <c r="BZ21" s="336">
        <f>+$G$21</f>
        <v>875</v>
      </c>
      <c r="CA21" s="336">
        <f>+$G$21</f>
        <v>875</v>
      </c>
      <c r="CB21" s="1402">
        <f>+$G$21</f>
        <v>875</v>
      </c>
      <c r="CC21" s="343"/>
      <c r="CD21" s="1401">
        <f>+$G$21</f>
        <v>875</v>
      </c>
      <c r="CE21" s="336">
        <f>+$G$21</f>
        <v>875</v>
      </c>
      <c r="CF21" s="336">
        <f>+$G$21</f>
        <v>875</v>
      </c>
      <c r="CG21" s="1402">
        <f>+$G$21</f>
        <v>875</v>
      </c>
      <c r="CH21" s="343"/>
      <c r="CI21" s="1401">
        <f>+$G$21</f>
        <v>875</v>
      </c>
      <c r="CJ21" s="336">
        <f>+$G$21</f>
        <v>875</v>
      </c>
      <c r="CK21" s="336">
        <f>+$G$21</f>
        <v>875</v>
      </c>
      <c r="CL21" s="1402">
        <f>+$G$21</f>
        <v>875</v>
      </c>
      <c r="CM21" s="343"/>
      <c r="CN21" s="1401">
        <f>+$G$21</f>
        <v>875</v>
      </c>
      <c r="CO21" s="336">
        <f>+$G$21</f>
        <v>875</v>
      </c>
      <c r="CP21" s="336">
        <f>+$G$21</f>
        <v>875</v>
      </c>
      <c r="CQ21" s="1402">
        <f>+$G$21</f>
        <v>875</v>
      </c>
      <c r="CR21" s="1451"/>
    </row>
    <row r="22" spans="1:96" ht="6.2" customHeight="1">
      <c r="A22" s="317"/>
      <c r="B22" s="317"/>
      <c r="C22" s="317"/>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8"/>
      <c r="AI22" s="318"/>
      <c r="AJ22" s="318"/>
      <c r="AK22" s="1405"/>
      <c r="AL22" s="319"/>
      <c r="AM22" s="319"/>
      <c r="AN22" s="1406"/>
      <c r="AO22" s="319"/>
      <c r="AP22" s="1405"/>
      <c r="AQ22" s="319"/>
      <c r="AR22" s="319"/>
      <c r="AS22" s="1406"/>
      <c r="AT22" s="319"/>
      <c r="AU22" s="1405"/>
      <c r="AV22" s="319"/>
      <c r="AW22" s="319"/>
      <c r="AX22" s="1406"/>
      <c r="AY22" s="319"/>
      <c r="AZ22" s="1405"/>
      <c r="BA22" s="319"/>
      <c r="BB22" s="319"/>
      <c r="BC22" s="1406"/>
      <c r="BD22" s="319"/>
      <c r="BE22" s="1405"/>
      <c r="BF22" s="319"/>
      <c r="BG22" s="319"/>
      <c r="BH22" s="1406"/>
      <c r="BI22" s="319"/>
      <c r="BJ22" s="1405"/>
      <c r="BK22" s="319"/>
      <c r="BL22" s="319"/>
      <c r="BM22" s="1406"/>
      <c r="BN22" s="319"/>
      <c r="BO22" s="1405"/>
      <c r="BP22" s="319"/>
      <c r="BQ22" s="319"/>
      <c r="BR22" s="1406"/>
      <c r="BS22" s="319"/>
      <c r="BT22" s="1405"/>
      <c r="BU22" s="319"/>
      <c r="BV22" s="319"/>
      <c r="BW22" s="1406"/>
      <c r="BX22" s="319"/>
      <c r="BY22" s="1405"/>
      <c r="BZ22" s="319"/>
      <c r="CA22" s="319"/>
      <c r="CB22" s="1406"/>
      <c r="CC22" s="319"/>
      <c r="CD22" s="1405"/>
      <c r="CE22" s="319"/>
      <c r="CF22" s="319"/>
      <c r="CG22" s="1406"/>
      <c r="CH22" s="319"/>
      <c r="CI22" s="1405"/>
      <c r="CJ22" s="319"/>
      <c r="CK22" s="319"/>
      <c r="CL22" s="1406"/>
      <c r="CM22" s="319"/>
      <c r="CN22" s="1405"/>
      <c r="CO22" s="319"/>
      <c r="CP22" s="319"/>
      <c r="CQ22" s="1406"/>
      <c r="CR22" s="1406"/>
    </row>
    <row r="23" spans="1:96" ht="13.5" hidden="1" customHeight="1" outlineLevel="1">
      <c r="A23" s="334" t="s">
        <v>96</v>
      </c>
      <c r="B23" s="317"/>
      <c r="C23" s="317"/>
      <c r="D23" s="318"/>
      <c r="E23" s="318"/>
      <c r="F23" s="318"/>
      <c r="G23" s="318"/>
      <c r="H23" s="318"/>
      <c r="I23" s="318"/>
      <c r="J23" s="318"/>
      <c r="K23" s="318"/>
      <c r="L23" s="318"/>
      <c r="M23" s="318"/>
      <c r="N23" s="318"/>
      <c r="O23" s="318"/>
      <c r="P23" s="318"/>
      <c r="Q23" s="318"/>
      <c r="R23" s="318"/>
      <c r="S23" s="318"/>
      <c r="T23" s="318"/>
      <c r="U23" s="318"/>
      <c r="V23" s="318"/>
      <c r="W23" s="318"/>
      <c r="X23" s="318"/>
      <c r="Y23" s="318"/>
      <c r="Z23" s="318"/>
      <c r="AA23" s="318"/>
      <c r="AB23" s="318"/>
      <c r="AC23" s="318"/>
      <c r="AD23" s="318"/>
      <c r="AE23" s="318"/>
      <c r="AF23" s="318"/>
      <c r="AG23" s="318"/>
      <c r="AH23" s="318"/>
      <c r="AI23" s="335"/>
      <c r="AJ23" s="335"/>
      <c r="AK23" s="1401"/>
      <c r="AL23" s="336"/>
      <c r="AM23" s="336"/>
      <c r="AN23" s="1402"/>
      <c r="AO23" s="336"/>
      <c r="AP23" s="1401"/>
      <c r="AQ23" s="336"/>
      <c r="AR23" s="336"/>
      <c r="AS23" s="1402"/>
      <c r="AT23" s="336"/>
      <c r="AU23" s="1401"/>
      <c r="AV23" s="336"/>
      <c r="AW23" s="336"/>
      <c r="AX23" s="1402"/>
      <c r="AY23" s="336"/>
      <c r="AZ23" s="1401"/>
      <c r="BA23" s="336"/>
      <c r="BB23" s="336"/>
      <c r="BC23" s="1402"/>
      <c r="BD23" s="336"/>
      <c r="BE23" s="1401"/>
      <c r="BF23" s="336"/>
      <c r="BG23" s="336"/>
      <c r="BH23" s="1402"/>
      <c r="BI23" s="336"/>
      <c r="BJ23" s="1401"/>
      <c r="BK23" s="336"/>
      <c r="BL23" s="336"/>
      <c r="BM23" s="1402"/>
      <c r="BN23" s="336"/>
      <c r="BO23" s="1401"/>
      <c r="BP23" s="336"/>
      <c r="BQ23" s="336"/>
      <c r="BR23" s="1402"/>
      <c r="BS23" s="336"/>
      <c r="BT23" s="1401"/>
      <c r="BU23" s="336"/>
      <c r="BV23" s="336"/>
      <c r="BW23" s="1402"/>
      <c r="BX23" s="336"/>
      <c r="BY23" s="1401"/>
      <c r="BZ23" s="336"/>
      <c r="CA23" s="336"/>
      <c r="CB23" s="1402"/>
      <c r="CC23" s="336"/>
      <c r="CD23" s="1401"/>
      <c r="CE23" s="336"/>
      <c r="CF23" s="336"/>
      <c r="CG23" s="1402"/>
      <c r="CH23" s="336"/>
      <c r="CI23" s="1401"/>
      <c r="CJ23" s="336"/>
      <c r="CK23" s="336"/>
      <c r="CL23" s="1402"/>
      <c r="CM23" s="336"/>
      <c r="CN23" s="1401"/>
      <c r="CO23" s="336"/>
      <c r="CP23" s="336"/>
      <c r="CQ23" s="1402"/>
      <c r="CR23" s="1402"/>
    </row>
    <row r="24" spans="1:96" ht="13.5" hidden="1" customHeight="1" outlineLevel="1">
      <c r="A24" s="317"/>
      <c r="B24" s="317" t="s">
        <v>87</v>
      </c>
      <c r="C24" s="317"/>
      <c r="D24" s="318"/>
      <c r="E24" s="318"/>
      <c r="F24" s="318"/>
      <c r="G24" s="338">
        <v>87.5</v>
      </c>
      <c r="H24" s="339">
        <v>40463</v>
      </c>
      <c r="I24" s="318"/>
      <c r="J24" s="318"/>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35"/>
      <c r="AJ24" s="335"/>
      <c r="AK24" s="1401">
        <f>+AJ26</f>
        <v>180</v>
      </c>
      <c r="AL24" s="336">
        <f>+AK26</f>
        <v>180</v>
      </c>
      <c r="AM24" s="336">
        <f>+AL26</f>
        <v>0</v>
      </c>
      <c r="AN24" s="1402">
        <f>+AM26</f>
        <v>0</v>
      </c>
      <c r="AO24" s="336"/>
      <c r="AP24" s="1401">
        <f>+AO26</f>
        <v>0</v>
      </c>
      <c r="AQ24" s="336">
        <f>+AP26</f>
        <v>0</v>
      </c>
      <c r="AR24" s="336">
        <f>+AQ26</f>
        <v>0</v>
      </c>
      <c r="AS24" s="1402">
        <f>+AR26</f>
        <v>0</v>
      </c>
      <c r="AT24" s="336"/>
      <c r="AU24" s="1401">
        <f>AT26</f>
        <v>0</v>
      </c>
      <c r="AV24" s="336">
        <f>+AU26</f>
        <v>0</v>
      </c>
      <c r="AW24" s="336">
        <f>+AV26</f>
        <v>0</v>
      </c>
      <c r="AX24" s="1402">
        <f>+AW26</f>
        <v>0</v>
      </c>
      <c r="AY24" s="336"/>
      <c r="AZ24" s="1401">
        <f>AY26</f>
        <v>0</v>
      </c>
      <c r="BA24" s="336">
        <f>+AZ26</f>
        <v>0</v>
      </c>
      <c r="BB24" s="336">
        <f>+BA26</f>
        <v>0</v>
      </c>
      <c r="BC24" s="1402">
        <f>+BB26</f>
        <v>0</v>
      </c>
      <c r="BD24" s="336"/>
      <c r="BE24" s="1401">
        <f>BD26</f>
        <v>0</v>
      </c>
      <c r="BF24" s="336">
        <f>+BE26</f>
        <v>0</v>
      </c>
      <c r="BG24" s="336">
        <f>+BF26</f>
        <v>0</v>
      </c>
      <c r="BH24" s="1402">
        <f>+BG26</f>
        <v>0</v>
      </c>
      <c r="BI24" s="336"/>
      <c r="BJ24" s="1401">
        <f>BI26</f>
        <v>0</v>
      </c>
      <c r="BK24" s="336">
        <f>+BJ26</f>
        <v>0</v>
      </c>
      <c r="BL24" s="336">
        <f>+BK26</f>
        <v>0</v>
      </c>
      <c r="BM24" s="1402">
        <f>+BL26</f>
        <v>0</v>
      </c>
      <c r="BN24" s="336"/>
      <c r="BO24" s="1401">
        <f>BN26</f>
        <v>0</v>
      </c>
      <c r="BP24" s="336">
        <f>+BO26</f>
        <v>0</v>
      </c>
      <c r="BQ24" s="336">
        <f>+BP26</f>
        <v>0</v>
      </c>
      <c r="BR24" s="1402">
        <f>+BQ26</f>
        <v>0</v>
      </c>
      <c r="BS24" s="336"/>
      <c r="BT24" s="1401">
        <f>BS26</f>
        <v>0</v>
      </c>
      <c r="BU24" s="336">
        <f>+BT26</f>
        <v>0</v>
      </c>
      <c r="BV24" s="336">
        <f>+BU26</f>
        <v>0</v>
      </c>
      <c r="BW24" s="1402">
        <f>+BV26</f>
        <v>0</v>
      </c>
      <c r="BX24" s="336"/>
      <c r="BY24" s="1401">
        <f>BX26</f>
        <v>0</v>
      </c>
      <c r="BZ24" s="336">
        <f>+BY26</f>
        <v>0</v>
      </c>
      <c r="CA24" s="336">
        <f>+BZ26</f>
        <v>0</v>
      </c>
      <c r="CB24" s="1402">
        <f>+CA26</f>
        <v>0</v>
      </c>
      <c r="CC24" s="336"/>
      <c r="CD24" s="1401">
        <f>CC26</f>
        <v>0</v>
      </c>
      <c r="CE24" s="336">
        <f>+CD26</f>
        <v>0</v>
      </c>
      <c r="CF24" s="336">
        <f>+CE26</f>
        <v>0</v>
      </c>
      <c r="CG24" s="1402">
        <f>+CF26</f>
        <v>0</v>
      </c>
      <c r="CH24" s="336"/>
      <c r="CI24" s="1401">
        <f>CH26</f>
        <v>0</v>
      </c>
      <c r="CJ24" s="336">
        <f>+CI26</f>
        <v>0</v>
      </c>
      <c r="CK24" s="336">
        <f>+CJ26</f>
        <v>0</v>
      </c>
      <c r="CL24" s="1402">
        <f>+CK26</f>
        <v>0</v>
      </c>
      <c r="CM24" s="336"/>
      <c r="CN24" s="1401">
        <f>CM26</f>
        <v>0</v>
      </c>
      <c r="CO24" s="336">
        <f>+CN26</f>
        <v>0</v>
      </c>
      <c r="CP24" s="336">
        <f>+CO26</f>
        <v>0</v>
      </c>
      <c r="CQ24" s="1402">
        <f>+CP26</f>
        <v>0</v>
      </c>
      <c r="CR24" s="1402"/>
    </row>
    <row r="25" spans="1:96" ht="13.5" hidden="1" customHeight="1" outlineLevel="1">
      <c r="A25" s="317"/>
      <c r="B25" s="317" t="s">
        <v>89</v>
      </c>
      <c r="C25" s="317"/>
      <c r="D25" s="318"/>
      <c r="E25" s="318"/>
      <c r="F25" s="318"/>
      <c r="G25" s="341"/>
      <c r="H25" s="341"/>
      <c r="I25" s="318"/>
      <c r="J25" s="318"/>
      <c r="K25" s="318"/>
      <c r="L25" s="318"/>
      <c r="M25" s="318"/>
      <c r="N25" s="318"/>
      <c r="O25" s="318"/>
      <c r="P25" s="318"/>
      <c r="Q25" s="318"/>
      <c r="R25" s="318"/>
      <c r="S25" s="318"/>
      <c r="T25" s="318"/>
      <c r="U25" s="318"/>
      <c r="V25" s="318"/>
      <c r="W25" s="318"/>
      <c r="X25" s="318"/>
      <c r="Y25" s="318"/>
      <c r="Z25" s="318"/>
      <c r="AA25" s="318"/>
      <c r="AB25" s="318"/>
      <c r="AC25" s="318"/>
      <c r="AD25" s="318"/>
      <c r="AE25" s="318"/>
      <c r="AF25" s="318"/>
      <c r="AG25" s="318"/>
      <c r="AH25" s="318"/>
      <c r="AI25" s="335"/>
      <c r="AJ25" s="335"/>
      <c r="AK25" s="1403">
        <v>0</v>
      </c>
      <c r="AL25" s="662">
        <v>-180</v>
      </c>
      <c r="AM25" s="662">
        <v>0</v>
      </c>
      <c r="AN25" s="1404">
        <v>0</v>
      </c>
      <c r="AO25" s="336"/>
      <c r="AP25" s="1403">
        <v>0</v>
      </c>
      <c r="AQ25" s="662">
        <v>0</v>
      </c>
      <c r="AR25" s="662">
        <v>0</v>
      </c>
      <c r="AS25" s="1404">
        <v>0</v>
      </c>
      <c r="AT25" s="336"/>
      <c r="AU25" s="1403">
        <v>0</v>
      </c>
      <c r="AV25" s="662">
        <v>0</v>
      </c>
      <c r="AW25" s="662">
        <v>0</v>
      </c>
      <c r="AX25" s="1404">
        <v>0</v>
      </c>
      <c r="AY25" s="336"/>
      <c r="AZ25" s="1403">
        <v>0</v>
      </c>
      <c r="BA25" s="662">
        <v>0</v>
      </c>
      <c r="BB25" s="662">
        <v>0</v>
      </c>
      <c r="BC25" s="1404">
        <v>0</v>
      </c>
      <c r="BD25" s="336"/>
      <c r="BE25" s="1403">
        <v>0</v>
      </c>
      <c r="BF25" s="662">
        <v>0</v>
      </c>
      <c r="BG25" s="662">
        <v>0</v>
      </c>
      <c r="BH25" s="1404">
        <v>0</v>
      </c>
      <c r="BI25" s="336"/>
      <c r="BJ25" s="1403">
        <v>0</v>
      </c>
      <c r="BK25" s="662">
        <v>0</v>
      </c>
      <c r="BL25" s="662">
        <v>0</v>
      </c>
      <c r="BM25" s="1404">
        <v>0</v>
      </c>
      <c r="BN25" s="336"/>
      <c r="BO25" s="1403">
        <v>0</v>
      </c>
      <c r="BP25" s="662">
        <v>0</v>
      </c>
      <c r="BQ25" s="662">
        <v>0</v>
      </c>
      <c r="BR25" s="1404">
        <v>0</v>
      </c>
      <c r="BS25" s="336"/>
      <c r="BT25" s="1403">
        <v>0</v>
      </c>
      <c r="BU25" s="662">
        <v>0</v>
      </c>
      <c r="BV25" s="662">
        <v>0</v>
      </c>
      <c r="BW25" s="1404">
        <v>0</v>
      </c>
      <c r="BX25" s="336"/>
      <c r="BY25" s="1403">
        <v>0</v>
      </c>
      <c r="BZ25" s="662">
        <v>0</v>
      </c>
      <c r="CA25" s="662">
        <v>0</v>
      </c>
      <c r="CB25" s="1404">
        <v>0</v>
      </c>
      <c r="CC25" s="336"/>
      <c r="CD25" s="1403">
        <v>0</v>
      </c>
      <c r="CE25" s="662">
        <v>0</v>
      </c>
      <c r="CF25" s="662">
        <v>0</v>
      </c>
      <c r="CG25" s="1404">
        <v>0</v>
      </c>
      <c r="CH25" s="336"/>
      <c r="CI25" s="1403">
        <v>0</v>
      </c>
      <c r="CJ25" s="662">
        <v>0</v>
      </c>
      <c r="CK25" s="662">
        <v>0</v>
      </c>
      <c r="CL25" s="1404">
        <v>0</v>
      </c>
      <c r="CM25" s="336"/>
      <c r="CN25" s="1403">
        <v>0</v>
      </c>
      <c r="CO25" s="662">
        <v>0</v>
      </c>
      <c r="CP25" s="662">
        <v>0</v>
      </c>
      <c r="CQ25" s="1404">
        <v>0</v>
      </c>
      <c r="CR25" s="1402"/>
    </row>
    <row r="26" spans="1:96" ht="13.5" hidden="1" customHeight="1" outlineLevel="1">
      <c r="A26" s="317"/>
      <c r="B26" s="317" t="s">
        <v>90</v>
      </c>
      <c r="C26" s="317"/>
      <c r="D26" s="318"/>
      <c r="E26" s="318"/>
      <c r="F26" s="318"/>
      <c r="G26" s="341"/>
      <c r="H26" s="341"/>
      <c r="I26" s="342"/>
      <c r="J26" s="342"/>
      <c r="K26" s="342"/>
      <c r="L26" s="342"/>
      <c r="M26" s="342"/>
      <c r="N26" s="342"/>
      <c r="O26" s="342"/>
      <c r="P26" s="342"/>
      <c r="Q26" s="342"/>
      <c r="R26" s="342"/>
      <c r="S26" s="342"/>
      <c r="T26" s="342"/>
      <c r="U26" s="342"/>
      <c r="V26" s="342"/>
      <c r="W26" s="342"/>
      <c r="X26" s="342"/>
      <c r="Y26" s="342"/>
      <c r="Z26" s="342"/>
      <c r="AA26" s="342"/>
      <c r="AB26" s="342"/>
      <c r="AC26" s="342"/>
      <c r="AD26" s="342"/>
      <c r="AE26" s="342"/>
      <c r="AF26" s="342"/>
      <c r="AG26" s="342"/>
      <c r="AH26" s="342"/>
      <c r="AI26" s="663">
        <v>180</v>
      </c>
      <c r="AJ26" s="335">
        <f>+AI26</f>
        <v>180</v>
      </c>
      <c r="AK26" s="1401">
        <f>+AK24+AK25</f>
        <v>180</v>
      </c>
      <c r="AL26" s="336">
        <f>+AL24+AL25</f>
        <v>0</v>
      </c>
      <c r="AM26" s="336">
        <f>+AM24+AM25</f>
        <v>0</v>
      </c>
      <c r="AN26" s="1402">
        <f>+AN24+AN25</f>
        <v>0</v>
      </c>
      <c r="AO26" s="343">
        <f>+AN26</f>
        <v>0</v>
      </c>
      <c r="AP26" s="1401">
        <f>+AP24+AP25</f>
        <v>0</v>
      </c>
      <c r="AQ26" s="336">
        <f>+AQ24+AQ25</f>
        <v>0</v>
      </c>
      <c r="AR26" s="336">
        <f>+AR24+AR25</f>
        <v>0</v>
      </c>
      <c r="AS26" s="1402">
        <f>+AS24+AS25</f>
        <v>0</v>
      </c>
      <c r="AT26" s="343">
        <f>AS26</f>
        <v>0</v>
      </c>
      <c r="AU26" s="1401">
        <f>+AU24+AU25</f>
        <v>0</v>
      </c>
      <c r="AV26" s="336">
        <f>+AV24+AV25</f>
        <v>0</v>
      </c>
      <c r="AW26" s="336">
        <f>+AW24+AW25</f>
        <v>0</v>
      </c>
      <c r="AX26" s="1402">
        <f>+AX24+AX25</f>
        <v>0</v>
      </c>
      <c r="AY26" s="343">
        <f>AX26</f>
        <v>0</v>
      </c>
      <c r="AZ26" s="1401">
        <f>+AZ24+AZ25</f>
        <v>0</v>
      </c>
      <c r="BA26" s="336">
        <f>+BA24+BA25</f>
        <v>0</v>
      </c>
      <c r="BB26" s="336">
        <f>+BB24+BB25</f>
        <v>0</v>
      </c>
      <c r="BC26" s="1402">
        <f>+BC24+BC25</f>
        <v>0</v>
      </c>
      <c r="BD26" s="343">
        <f>BC26</f>
        <v>0</v>
      </c>
      <c r="BE26" s="1401">
        <f>+BE24+BE25</f>
        <v>0</v>
      </c>
      <c r="BF26" s="336">
        <f>+BF24+BF25</f>
        <v>0</v>
      </c>
      <c r="BG26" s="336">
        <f>+BG24+BG25</f>
        <v>0</v>
      </c>
      <c r="BH26" s="1402">
        <f>+BH24+BH25</f>
        <v>0</v>
      </c>
      <c r="BI26" s="343">
        <f>BH26</f>
        <v>0</v>
      </c>
      <c r="BJ26" s="1401">
        <f>+BJ24+BJ25</f>
        <v>0</v>
      </c>
      <c r="BK26" s="336">
        <f>+BK24+BK25</f>
        <v>0</v>
      </c>
      <c r="BL26" s="336">
        <f>+BL24+BL25</f>
        <v>0</v>
      </c>
      <c r="BM26" s="1402">
        <f>+BM24+BM25</f>
        <v>0</v>
      </c>
      <c r="BN26" s="343">
        <f>BM26</f>
        <v>0</v>
      </c>
      <c r="BO26" s="1401">
        <f>+BO24+BO25</f>
        <v>0</v>
      </c>
      <c r="BP26" s="336">
        <f>+BP24+BP25</f>
        <v>0</v>
      </c>
      <c r="BQ26" s="336">
        <f>+BQ24+BQ25</f>
        <v>0</v>
      </c>
      <c r="BR26" s="1402">
        <f>+BR24+BR25</f>
        <v>0</v>
      </c>
      <c r="BS26" s="343">
        <f>BR26</f>
        <v>0</v>
      </c>
      <c r="BT26" s="1401">
        <f>+BT24+BT25</f>
        <v>0</v>
      </c>
      <c r="BU26" s="336">
        <f>+BU24+BU25</f>
        <v>0</v>
      </c>
      <c r="BV26" s="336">
        <f>+BV24+BV25</f>
        <v>0</v>
      </c>
      <c r="BW26" s="1402">
        <f>+BW24+BW25</f>
        <v>0</v>
      </c>
      <c r="BX26" s="343">
        <f>BW26</f>
        <v>0</v>
      </c>
      <c r="BY26" s="1401">
        <f>+BY24+BY25</f>
        <v>0</v>
      </c>
      <c r="BZ26" s="336">
        <f>+BZ24+BZ25</f>
        <v>0</v>
      </c>
      <c r="CA26" s="336">
        <f>+CA24+CA25</f>
        <v>0</v>
      </c>
      <c r="CB26" s="1402">
        <f>+CB24+CB25</f>
        <v>0</v>
      </c>
      <c r="CC26" s="343">
        <f>CB26</f>
        <v>0</v>
      </c>
      <c r="CD26" s="1401">
        <f>+CD24+CD25</f>
        <v>0</v>
      </c>
      <c r="CE26" s="336">
        <f>+CE24+CE25</f>
        <v>0</v>
      </c>
      <c r="CF26" s="336">
        <f>+CF24+CF25</f>
        <v>0</v>
      </c>
      <c r="CG26" s="1402">
        <f>+CG24+CG25</f>
        <v>0</v>
      </c>
      <c r="CH26" s="343">
        <f>CG26</f>
        <v>0</v>
      </c>
      <c r="CI26" s="1401">
        <f>+CI24+CI25</f>
        <v>0</v>
      </c>
      <c r="CJ26" s="336">
        <f>+CJ24+CJ25</f>
        <v>0</v>
      </c>
      <c r="CK26" s="336">
        <f>+CK24+CK25</f>
        <v>0</v>
      </c>
      <c r="CL26" s="1402">
        <f>+CL24+CL25</f>
        <v>0</v>
      </c>
      <c r="CM26" s="343">
        <f>CL26</f>
        <v>0</v>
      </c>
      <c r="CN26" s="1401">
        <f>+CN24+CN25</f>
        <v>0</v>
      </c>
      <c r="CO26" s="336">
        <f>+CO24+CO25</f>
        <v>0</v>
      </c>
      <c r="CP26" s="336">
        <f>+CP24+CP25</f>
        <v>0</v>
      </c>
      <c r="CQ26" s="1402">
        <f>+CQ24+CQ25</f>
        <v>0</v>
      </c>
      <c r="CR26" s="1451">
        <f>CQ26</f>
        <v>0</v>
      </c>
    </row>
    <row r="27" spans="1:96" ht="13.5" hidden="1" customHeight="1" outlineLevel="1">
      <c r="A27" s="317"/>
      <c r="B27" s="317" t="s">
        <v>91</v>
      </c>
      <c r="C27" s="317"/>
      <c r="D27" s="318"/>
      <c r="E27" s="318"/>
      <c r="F27" s="318"/>
      <c r="G27" s="341"/>
      <c r="H27" s="341"/>
      <c r="I27" s="318"/>
      <c r="J27" s="318"/>
      <c r="K27" s="318"/>
      <c r="L27" s="318"/>
      <c r="M27" s="318"/>
      <c r="N27" s="318"/>
      <c r="O27" s="318"/>
      <c r="P27" s="318"/>
      <c r="Q27" s="318"/>
      <c r="R27" s="318"/>
      <c r="S27" s="318"/>
      <c r="T27" s="318"/>
      <c r="U27" s="318"/>
      <c r="V27" s="318"/>
      <c r="W27" s="318"/>
      <c r="X27" s="318"/>
      <c r="Y27" s="318"/>
      <c r="Z27" s="318"/>
      <c r="AA27" s="318"/>
      <c r="AB27" s="318"/>
      <c r="AC27" s="318"/>
      <c r="AD27" s="318"/>
      <c r="AE27" s="318"/>
      <c r="AF27" s="318"/>
      <c r="AG27" s="318"/>
      <c r="AH27" s="318"/>
      <c r="AI27" s="335"/>
      <c r="AJ27" s="335"/>
      <c r="AK27" s="1401">
        <f>+AVERAGE(AK24,AK26)</f>
        <v>180</v>
      </c>
      <c r="AL27" s="336">
        <f>+AVERAGE(AL24,AL26)</f>
        <v>90</v>
      </c>
      <c r="AM27" s="336">
        <f>+AVERAGE(AM24,AM26)</f>
        <v>0</v>
      </c>
      <c r="AN27" s="1402">
        <f>+AVERAGE(AN24,AN26)</f>
        <v>0</v>
      </c>
      <c r="AO27" s="336"/>
      <c r="AP27" s="1401">
        <f>+AVERAGE(AP24,AP26)</f>
        <v>0</v>
      </c>
      <c r="AQ27" s="336">
        <f>+AVERAGE(AQ24,AQ26)</f>
        <v>0</v>
      </c>
      <c r="AR27" s="336">
        <f>+AVERAGE(AR24,AR26)</f>
        <v>0</v>
      </c>
      <c r="AS27" s="1402">
        <f>+AVERAGE(AS24,AS26)</f>
        <v>0</v>
      </c>
      <c r="AT27" s="336"/>
      <c r="AU27" s="1401">
        <f>+AVERAGE(AU24,AU26)</f>
        <v>0</v>
      </c>
      <c r="AV27" s="336">
        <f>+AVERAGE(AV24,AV26)</f>
        <v>0</v>
      </c>
      <c r="AW27" s="336">
        <f>+AVERAGE(AW24,AW26)</f>
        <v>0</v>
      </c>
      <c r="AX27" s="1402">
        <f>+AVERAGE(AX24,AX26)</f>
        <v>0</v>
      </c>
      <c r="AY27" s="336"/>
      <c r="AZ27" s="1401">
        <f>+AVERAGE(AZ24,AZ26)</f>
        <v>0</v>
      </c>
      <c r="BA27" s="336">
        <f>+AVERAGE(BA24,BA26)</f>
        <v>0</v>
      </c>
      <c r="BB27" s="336">
        <f>+AVERAGE(BB24,BB26)</f>
        <v>0</v>
      </c>
      <c r="BC27" s="1402">
        <f>+AVERAGE(BC24,BC26)</f>
        <v>0</v>
      </c>
      <c r="BD27" s="336"/>
      <c r="BE27" s="1401">
        <f>+AVERAGE(BE24,BE26)</f>
        <v>0</v>
      </c>
      <c r="BF27" s="336">
        <f>+AVERAGE(BF24,BF26)</f>
        <v>0</v>
      </c>
      <c r="BG27" s="336">
        <f>+AVERAGE(BG24,BG26)</f>
        <v>0</v>
      </c>
      <c r="BH27" s="1402">
        <f>+AVERAGE(BH24,BH26)</f>
        <v>0</v>
      </c>
      <c r="BI27" s="336"/>
      <c r="BJ27" s="1401">
        <f>+AVERAGE(BJ24,BJ26)</f>
        <v>0</v>
      </c>
      <c r="BK27" s="336">
        <f>+AVERAGE(BK24,BK26)</f>
        <v>0</v>
      </c>
      <c r="BL27" s="336">
        <f>+AVERAGE(BL24,BL26)</f>
        <v>0</v>
      </c>
      <c r="BM27" s="1402">
        <f>+AVERAGE(BM24,BM26)</f>
        <v>0</v>
      </c>
      <c r="BN27" s="336"/>
      <c r="BO27" s="1401">
        <f>+AVERAGE(BO24,BO26)</f>
        <v>0</v>
      </c>
      <c r="BP27" s="336">
        <f>+AVERAGE(BP24,BP26)</f>
        <v>0</v>
      </c>
      <c r="BQ27" s="336">
        <f>+AVERAGE(BQ24,BQ26)</f>
        <v>0</v>
      </c>
      <c r="BR27" s="1402">
        <f>+AVERAGE(BR24,BR26)</f>
        <v>0</v>
      </c>
      <c r="BS27" s="336"/>
      <c r="BT27" s="1401">
        <f>+AVERAGE(BT24,BT26)</f>
        <v>0</v>
      </c>
      <c r="BU27" s="336">
        <f>+AVERAGE(BU24,BU26)</f>
        <v>0</v>
      </c>
      <c r="BV27" s="336">
        <f>+AVERAGE(BV24,BV26)</f>
        <v>0</v>
      </c>
      <c r="BW27" s="1402">
        <f>+AVERAGE(BW24,BW26)</f>
        <v>0</v>
      </c>
      <c r="BX27" s="336"/>
      <c r="BY27" s="1401">
        <f>+AVERAGE(BY24,BY26)</f>
        <v>0</v>
      </c>
      <c r="BZ27" s="336">
        <f>+AVERAGE(BZ24,BZ26)</f>
        <v>0</v>
      </c>
      <c r="CA27" s="336">
        <f>+AVERAGE(CA24,CA26)</f>
        <v>0</v>
      </c>
      <c r="CB27" s="1402">
        <f>+AVERAGE(CB24,CB26)</f>
        <v>0</v>
      </c>
      <c r="CC27" s="336"/>
      <c r="CD27" s="1401">
        <f>+AVERAGE(CD24,CD26)</f>
        <v>0</v>
      </c>
      <c r="CE27" s="336">
        <f>+AVERAGE(CE24,CE26)</f>
        <v>0</v>
      </c>
      <c r="CF27" s="336">
        <f>+AVERAGE(CF24,CF26)</f>
        <v>0</v>
      </c>
      <c r="CG27" s="1402">
        <f>+AVERAGE(CG24,CG26)</f>
        <v>0</v>
      </c>
      <c r="CH27" s="336"/>
      <c r="CI27" s="1401">
        <f>+AVERAGE(CI24,CI26)</f>
        <v>0</v>
      </c>
      <c r="CJ27" s="336">
        <f>+AVERAGE(CJ24,CJ26)</f>
        <v>0</v>
      </c>
      <c r="CK27" s="336">
        <f>+AVERAGE(CK24,CK26)</f>
        <v>0</v>
      </c>
      <c r="CL27" s="1402">
        <f>+AVERAGE(CL24,CL26)</f>
        <v>0</v>
      </c>
      <c r="CM27" s="336"/>
      <c r="CN27" s="1401">
        <f>+AVERAGE(CN24,CN26)</f>
        <v>0</v>
      </c>
      <c r="CO27" s="336">
        <f>+AVERAGE(CO24,CO26)</f>
        <v>0</v>
      </c>
      <c r="CP27" s="336">
        <f>+AVERAGE(CP24,CP26)</f>
        <v>0</v>
      </c>
      <c r="CQ27" s="1402">
        <f>+AVERAGE(CQ24,CQ26)</f>
        <v>0</v>
      </c>
      <c r="CR27" s="1402"/>
    </row>
    <row r="28" spans="1:96" ht="13.5" hidden="1" customHeight="1" outlineLevel="1">
      <c r="A28" s="317"/>
      <c r="B28" s="317" t="s">
        <v>92</v>
      </c>
      <c r="C28" s="317"/>
      <c r="D28" s="318"/>
      <c r="E28" s="318"/>
      <c r="F28" s="318"/>
      <c r="G28" s="341"/>
      <c r="H28" s="341"/>
      <c r="I28" s="318"/>
      <c r="J28" s="318"/>
      <c r="K28" s="318"/>
      <c r="L28" s="318"/>
      <c r="M28" s="318"/>
      <c r="N28" s="318"/>
      <c r="O28" s="318"/>
      <c r="P28" s="318"/>
      <c r="Q28" s="318"/>
      <c r="R28" s="318"/>
      <c r="S28" s="318"/>
      <c r="T28" s="318"/>
      <c r="U28" s="318"/>
      <c r="V28" s="318"/>
      <c r="W28" s="318"/>
      <c r="X28" s="318"/>
      <c r="Y28" s="318"/>
      <c r="Z28" s="318"/>
      <c r="AA28" s="318"/>
      <c r="AB28" s="318"/>
      <c r="AC28" s="318"/>
      <c r="AD28" s="318"/>
      <c r="AE28" s="318"/>
      <c r="AF28" s="318"/>
      <c r="AG28" s="318"/>
      <c r="AH28" s="318"/>
      <c r="AI28" s="335"/>
      <c r="AJ28" s="335"/>
      <c r="AK28" s="1401">
        <f>+AK$12*AK27/4</f>
        <v>1.4672123852459016</v>
      </c>
      <c r="AL28" s="336">
        <f>+AL$12*AL27/4</f>
        <v>0.73091349590163923</v>
      </c>
      <c r="AM28" s="336">
        <f>+AM$12*AM27/4</f>
        <v>0</v>
      </c>
      <c r="AN28" s="1402">
        <f>+AN$12*AN27/4</f>
        <v>0</v>
      </c>
      <c r="AO28" s="336"/>
      <c r="AP28" s="1401">
        <f>+AP$12*AP27/4</f>
        <v>0</v>
      </c>
      <c r="AQ28" s="336">
        <f>+AQ$12*AQ27/4</f>
        <v>0</v>
      </c>
      <c r="AR28" s="336">
        <f>+AR$12*AR27/4</f>
        <v>0</v>
      </c>
      <c r="AS28" s="1402">
        <f>+AS$12*AS27/4</f>
        <v>0</v>
      </c>
      <c r="AT28" s="336"/>
      <c r="AU28" s="1401">
        <f>+AU$12*AU27/4</f>
        <v>0</v>
      </c>
      <c r="AV28" s="336">
        <f>+AV$12*AV27/4</f>
        <v>0</v>
      </c>
      <c r="AW28" s="336">
        <f>+AW$12*AW27/4</f>
        <v>0</v>
      </c>
      <c r="AX28" s="1402">
        <f>+AX$12*AX27/4</f>
        <v>0</v>
      </c>
      <c r="AY28" s="336"/>
      <c r="AZ28" s="1401">
        <f>+AZ$12*AZ27/4</f>
        <v>0</v>
      </c>
      <c r="BA28" s="336">
        <f>+BA$12*BA27/4</f>
        <v>0</v>
      </c>
      <c r="BB28" s="336">
        <f>+BB$12*BB27/4</f>
        <v>0</v>
      </c>
      <c r="BC28" s="1402">
        <f>+BC$12*BC27/4</f>
        <v>0</v>
      </c>
      <c r="BD28" s="336"/>
      <c r="BE28" s="1401">
        <f>+BE$12*BE27/4</f>
        <v>0</v>
      </c>
      <c r="BF28" s="336">
        <f>+BF$12*BF27/4</f>
        <v>0</v>
      </c>
      <c r="BG28" s="336">
        <f>+BG$12*BG27/4</f>
        <v>0</v>
      </c>
      <c r="BH28" s="1402">
        <f>+BH$12*BH27/4</f>
        <v>0</v>
      </c>
      <c r="BI28" s="336"/>
      <c r="BJ28" s="1401">
        <f>+BJ$12*BJ27/4</f>
        <v>0</v>
      </c>
      <c r="BK28" s="336">
        <f>+BK$12*BK27/4</f>
        <v>0</v>
      </c>
      <c r="BL28" s="336">
        <f>+BL$12*BL27/4</f>
        <v>0</v>
      </c>
      <c r="BM28" s="1402">
        <f>+BM$12*BM27/4</f>
        <v>0</v>
      </c>
      <c r="BN28" s="336"/>
      <c r="BO28" s="1401">
        <f>+BO$12*BO27/4</f>
        <v>0</v>
      </c>
      <c r="BP28" s="336">
        <f>+BP$12*BP27/4</f>
        <v>0</v>
      </c>
      <c r="BQ28" s="336">
        <f>+BQ$12*BQ27/4</f>
        <v>0</v>
      </c>
      <c r="BR28" s="1402">
        <f>+BR$12*BR27/4</f>
        <v>0</v>
      </c>
      <c r="BS28" s="336"/>
      <c r="BT28" s="1401">
        <f>+BT$12*BT27/4</f>
        <v>0</v>
      </c>
      <c r="BU28" s="336">
        <f>+BU$12*BU27/4</f>
        <v>0</v>
      </c>
      <c r="BV28" s="336">
        <f>+BV$12*BV27/4</f>
        <v>0</v>
      </c>
      <c r="BW28" s="1402">
        <f>+BW$12*BW27/4</f>
        <v>0</v>
      </c>
      <c r="BX28" s="336"/>
      <c r="BY28" s="1401">
        <f>+BY$12*BY27/4</f>
        <v>0</v>
      </c>
      <c r="BZ28" s="336">
        <f>+BZ$12*BZ27/4</f>
        <v>0</v>
      </c>
      <c r="CA28" s="336">
        <f>+CA$12*CA27/4</f>
        <v>0</v>
      </c>
      <c r="CB28" s="1402">
        <f>+CB$12*CB27/4</f>
        <v>0</v>
      </c>
      <c r="CC28" s="336"/>
      <c r="CD28" s="1401">
        <f>+CD$12*CD27/4</f>
        <v>0</v>
      </c>
      <c r="CE28" s="336">
        <f>+CE$12*CE27/4</f>
        <v>0</v>
      </c>
      <c r="CF28" s="336">
        <f>+CF$12*CF27/4</f>
        <v>0</v>
      </c>
      <c r="CG28" s="1402">
        <f>+CG$12*CG27/4</f>
        <v>0</v>
      </c>
      <c r="CH28" s="336"/>
      <c r="CI28" s="1401">
        <f>+CI$12*CI27/4</f>
        <v>0</v>
      </c>
      <c r="CJ28" s="336">
        <f>+CJ$12*CJ27/4</f>
        <v>0</v>
      </c>
      <c r="CK28" s="336">
        <f>+CK$12*CK27/4</f>
        <v>0</v>
      </c>
      <c r="CL28" s="1402">
        <f>+CL$12*CL27/4</f>
        <v>0</v>
      </c>
      <c r="CM28" s="336"/>
      <c r="CN28" s="1401">
        <f>+CN$12*CN27/4</f>
        <v>0</v>
      </c>
      <c r="CO28" s="336">
        <f>+CO$12*CO27/4</f>
        <v>0</v>
      </c>
      <c r="CP28" s="336">
        <f>+CP$12*CP27/4</f>
        <v>0</v>
      </c>
      <c r="CQ28" s="1402">
        <f>+CQ$12*CQ27/4</f>
        <v>0</v>
      </c>
      <c r="CR28" s="1402"/>
    </row>
    <row r="29" spans="1:96" ht="13.5" hidden="1" customHeight="1" outlineLevel="1">
      <c r="A29" s="317"/>
      <c r="B29" s="317" t="s">
        <v>93</v>
      </c>
      <c r="C29" s="317"/>
      <c r="D29" s="318"/>
      <c r="E29" s="318"/>
      <c r="F29" s="318"/>
      <c r="G29" s="318"/>
      <c r="H29" s="318"/>
      <c r="I29" s="318"/>
      <c r="J29" s="318"/>
      <c r="K29" s="318"/>
      <c r="L29" s="318"/>
      <c r="M29" s="318"/>
      <c r="N29" s="318"/>
      <c r="O29" s="318"/>
      <c r="P29" s="318"/>
      <c r="Q29" s="318"/>
      <c r="R29" s="318"/>
      <c r="S29" s="318"/>
      <c r="T29" s="318"/>
      <c r="U29" s="318"/>
      <c r="V29" s="318"/>
      <c r="W29" s="318"/>
      <c r="X29" s="318"/>
      <c r="Y29" s="318"/>
      <c r="Z29" s="318"/>
      <c r="AA29" s="318"/>
      <c r="AB29" s="318"/>
      <c r="AC29" s="318"/>
      <c r="AD29" s="318"/>
      <c r="AE29" s="318"/>
      <c r="AF29" s="318"/>
      <c r="AG29" s="318"/>
      <c r="AH29" s="318"/>
      <c r="AI29" s="335"/>
      <c r="AJ29" s="335"/>
      <c r="AK29" s="1401">
        <f>+AK28</f>
        <v>1.4672123852459016</v>
      </c>
      <c r="AL29" s="336">
        <f>+AL28</f>
        <v>0.73091349590163923</v>
      </c>
      <c r="AM29" s="336">
        <f>+AM28</f>
        <v>0</v>
      </c>
      <c r="AN29" s="1402">
        <f>+AN28</f>
        <v>0</v>
      </c>
      <c r="AO29" s="336"/>
      <c r="AP29" s="1401">
        <f>+AP28</f>
        <v>0</v>
      </c>
      <c r="AQ29" s="336">
        <f>+AQ28</f>
        <v>0</v>
      </c>
      <c r="AR29" s="336">
        <f>+AR28</f>
        <v>0</v>
      </c>
      <c r="AS29" s="1402">
        <f>+AS28</f>
        <v>0</v>
      </c>
      <c r="AT29" s="336"/>
      <c r="AU29" s="1401">
        <f>+AU28</f>
        <v>0</v>
      </c>
      <c r="AV29" s="336">
        <f>+AV28</f>
        <v>0</v>
      </c>
      <c r="AW29" s="336">
        <f>+AW28</f>
        <v>0</v>
      </c>
      <c r="AX29" s="1402">
        <f>+AX28</f>
        <v>0</v>
      </c>
      <c r="AY29" s="336"/>
      <c r="AZ29" s="1401">
        <f>+AZ28</f>
        <v>0</v>
      </c>
      <c r="BA29" s="336">
        <f>+BA28</f>
        <v>0</v>
      </c>
      <c r="BB29" s="336">
        <f>+BB28</f>
        <v>0</v>
      </c>
      <c r="BC29" s="1402">
        <f>+BC28</f>
        <v>0</v>
      </c>
      <c r="BD29" s="336"/>
      <c r="BE29" s="1401">
        <f>+BE28</f>
        <v>0</v>
      </c>
      <c r="BF29" s="336">
        <f>+BF28</f>
        <v>0</v>
      </c>
      <c r="BG29" s="336">
        <f>+BG28</f>
        <v>0</v>
      </c>
      <c r="BH29" s="1402">
        <f>+BH28</f>
        <v>0</v>
      </c>
      <c r="BI29" s="336"/>
      <c r="BJ29" s="1401">
        <f>+BJ28</f>
        <v>0</v>
      </c>
      <c r="BK29" s="336">
        <f>+BK28</f>
        <v>0</v>
      </c>
      <c r="BL29" s="336">
        <f>+BL28</f>
        <v>0</v>
      </c>
      <c r="BM29" s="1402">
        <f>+BM28</f>
        <v>0</v>
      </c>
      <c r="BN29" s="336"/>
      <c r="BO29" s="1401">
        <f>+BO28</f>
        <v>0</v>
      </c>
      <c r="BP29" s="336">
        <f>+BP28</f>
        <v>0</v>
      </c>
      <c r="BQ29" s="336">
        <f>+BQ28</f>
        <v>0</v>
      </c>
      <c r="BR29" s="1402">
        <f>+BR28</f>
        <v>0</v>
      </c>
      <c r="BS29" s="336"/>
      <c r="BT29" s="1401">
        <f>+BT28</f>
        <v>0</v>
      </c>
      <c r="BU29" s="336">
        <f>+BU28</f>
        <v>0</v>
      </c>
      <c r="BV29" s="336">
        <f>+BV28</f>
        <v>0</v>
      </c>
      <c r="BW29" s="1402">
        <f>+BW28</f>
        <v>0</v>
      </c>
      <c r="BX29" s="336"/>
      <c r="BY29" s="1401">
        <f>+BY28</f>
        <v>0</v>
      </c>
      <c r="BZ29" s="336">
        <f>+BZ28</f>
        <v>0</v>
      </c>
      <c r="CA29" s="336">
        <f>+CA28</f>
        <v>0</v>
      </c>
      <c r="CB29" s="1402">
        <f>+CB28</f>
        <v>0</v>
      </c>
      <c r="CC29" s="336"/>
      <c r="CD29" s="1401">
        <f>+CD28</f>
        <v>0</v>
      </c>
      <c r="CE29" s="336">
        <f>+CE28</f>
        <v>0</v>
      </c>
      <c r="CF29" s="336">
        <f>+CF28</f>
        <v>0</v>
      </c>
      <c r="CG29" s="1402">
        <f>+CG28</f>
        <v>0</v>
      </c>
      <c r="CH29" s="336"/>
      <c r="CI29" s="1401">
        <f>+CI28</f>
        <v>0</v>
      </c>
      <c r="CJ29" s="336">
        <f>+CJ28</f>
        <v>0</v>
      </c>
      <c r="CK29" s="336">
        <f>+CK28</f>
        <v>0</v>
      </c>
      <c r="CL29" s="1402">
        <f>+CL28</f>
        <v>0</v>
      </c>
      <c r="CM29" s="336"/>
      <c r="CN29" s="1401">
        <f>+CN28</f>
        <v>0</v>
      </c>
      <c r="CO29" s="336">
        <f>+CO28</f>
        <v>0</v>
      </c>
      <c r="CP29" s="336">
        <f>+CP28</f>
        <v>0</v>
      </c>
      <c r="CQ29" s="1402">
        <f>+CQ28</f>
        <v>0</v>
      </c>
      <c r="CR29" s="1402"/>
    </row>
    <row r="30" spans="1:96" ht="6.2" hidden="1" customHeight="1" outlineLevel="1">
      <c r="A30" s="317"/>
      <c r="B30" s="317"/>
      <c r="C30" s="317"/>
      <c r="D30" s="318"/>
      <c r="E30" s="318"/>
      <c r="F30" s="318"/>
      <c r="G30" s="318"/>
      <c r="H30" s="318"/>
      <c r="I30" s="318"/>
      <c r="J30" s="318"/>
      <c r="K30" s="318"/>
      <c r="L30" s="318"/>
      <c r="M30" s="318"/>
      <c r="N30" s="318"/>
      <c r="O30" s="318"/>
      <c r="P30" s="318"/>
      <c r="Q30" s="318"/>
      <c r="R30" s="318"/>
      <c r="S30" s="318"/>
      <c r="T30" s="318"/>
      <c r="U30" s="318"/>
      <c r="V30" s="318"/>
      <c r="W30" s="318"/>
      <c r="X30" s="318"/>
      <c r="Y30" s="318"/>
      <c r="Z30" s="318"/>
      <c r="AA30" s="318"/>
      <c r="AB30" s="318"/>
      <c r="AC30" s="318"/>
      <c r="AD30" s="318"/>
      <c r="AE30" s="318"/>
      <c r="AF30" s="318"/>
      <c r="AG30" s="318"/>
      <c r="AH30" s="318"/>
      <c r="AI30" s="335"/>
      <c r="AJ30" s="335"/>
      <c r="AK30" s="1401"/>
      <c r="AL30" s="336"/>
      <c r="AM30" s="336"/>
      <c r="AN30" s="1402"/>
      <c r="AO30" s="336"/>
      <c r="AP30" s="1401"/>
      <c r="AQ30" s="336"/>
      <c r="AR30" s="336"/>
      <c r="AS30" s="1402"/>
      <c r="AT30" s="336"/>
      <c r="AU30" s="1401"/>
      <c r="AV30" s="336"/>
      <c r="AW30" s="336"/>
      <c r="AX30" s="1402"/>
      <c r="AY30" s="336"/>
      <c r="AZ30" s="1401"/>
      <c r="BA30" s="336"/>
      <c r="BB30" s="336"/>
      <c r="BC30" s="1402"/>
      <c r="BD30" s="336"/>
      <c r="BE30" s="1401"/>
      <c r="BF30" s="336"/>
      <c r="BG30" s="336"/>
      <c r="BH30" s="1402"/>
      <c r="BI30" s="336"/>
      <c r="BJ30" s="1401"/>
      <c r="BK30" s="336"/>
      <c r="BL30" s="336"/>
      <c r="BM30" s="1402"/>
      <c r="BN30" s="336"/>
      <c r="BO30" s="1401"/>
      <c r="BP30" s="336"/>
      <c r="BQ30" s="336"/>
      <c r="BR30" s="1402"/>
      <c r="BS30" s="336"/>
      <c r="BT30" s="1401"/>
      <c r="BU30" s="336"/>
      <c r="BV30" s="336"/>
      <c r="BW30" s="1402"/>
      <c r="BX30" s="336"/>
      <c r="BY30" s="1401"/>
      <c r="BZ30" s="336"/>
      <c r="CA30" s="336"/>
      <c r="CB30" s="1402"/>
      <c r="CC30" s="336"/>
      <c r="CD30" s="1401"/>
      <c r="CE30" s="336"/>
      <c r="CF30" s="336"/>
      <c r="CG30" s="1402"/>
      <c r="CH30" s="336"/>
      <c r="CI30" s="1401"/>
      <c r="CJ30" s="336"/>
      <c r="CK30" s="336"/>
      <c r="CL30" s="1402"/>
      <c r="CM30" s="336"/>
      <c r="CN30" s="1401"/>
      <c r="CO30" s="336"/>
      <c r="CP30" s="336"/>
      <c r="CQ30" s="1402"/>
      <c r="CR30" s="1402"/>
    </row>
    <row r="31" spans="1:96" ht="13.5" hidden="1" customHeight="1" outlineLevel="1">
      <c r="A31" s="334" t="s">
        <v>97</v>
      </c>
      <c r="B31" s="317"/>
      <c r="C31" s="317"/>
      <c r="D31" s="318"/>
      <c r="E31" s="318"/>
      <c r="F31" s="318"/>
      <c r="G31" s="318"/>
      <c r="H31" s="318"/>
      <c r="I31" s="318"/>
      <c r="J31" s="318"/>
      <c r="K31" s="318"/>
      <c r="L31" s="318"/>
      <c r="M31" s="318"/>
      <c r="N31" s="318"/>
      <c r="O31" s="318"/>
      <c r="P31" s="318"/>
      <c r="Q31" s="318"/>
      <c r="R31" s="318"/>
      <c r="S31" s="318"/>
      <c r="T31" s="318"/>
      <c r="U31" s="318"/>
      <c r="V31" s="318"/>
      <c r="W31" s="318"/>
      <c r="X31" s="318"/>
      <c r="Y31" s="318"/>
      <c r="Z31" s="318"/>
      <c r="AA31" s="318"/>
      <c r="AB31" s="318"/>
      <c r="AC31" s="318"/>
      <c r="AD31" s="318"/>
      <c r="AE31" s="318"/>
      <c r="AF31" s="318"/>
      <c r="AG31" s="318"/>
      <c r="AH31" s="318"/>
      <c r="AI31" s="335"/>
      <c r="AJ31" s="335"/>
      <c r="AK31" s="1401"/>
      <c r="AL31" s="336"/>
      <c r="AM31" s="336"/>
      <c r="AN31" s="1402"/>
      <c r="AO31" s="336"/>
      <c r="AP31" s="1401"/>
      <c r="AQ31" s="336"/>
      <c r="AR31" s="336"/>
      <c r="AS31" s="1402"/>
      <c r="AT31" s="336"/>
      <c r="AU31" s="1401"/>
      <c r="AV31" s="336"/>
      <c r="AW31" s="336"/>
      <c r="AX31" s="1402"/>
      <c r="AY31" s="336"/>
      <c r="AZ31" s="1401"/>
      <c r="BA31" s="336"/>
      <c r="BB31" s="336"/>
      <c r="BC31" s="1402"/>
      <c r="BD31" s="336"/>
      <c r="BE31" s="1401"/>
      <c r="BF31" s="336"/>
      <c r="BG31" s="336"/>
      <c r="BH31" s="1402"/>
      <c r="BI31" s="336"/>
      <c r="BJ31" s="1401"/>
      <c r="BK31" s="336"/>
      <c r="BL31" s="336"/>
      <c r="BM31" s="1402"/>
      <c r="BN31" s="336"/>
      <c r="BO31" s="1401"/>
      <c r="BP31" s="336"/>
      <c r="BQ31" s="336"/>
      <c r="BR31" s="1402"/>
      <c r="BS31" s="336"/>
      <c r="BT31" s="1401"/>
      <c r="BU31" s="336"/>
      <c r="BV31" s="336"/>
      <c r="BW31" s="1402"/>
      <c r="BX31" s="336"/>
      <c r="BY31" s="1401"/>
      <c r="BZ31" s="336"/>
      <c r="CA31" s="336"/>
      <c r="CB31" s="1402"/>
      <c r="CC31" s="336"/>
      <c r="CD31" s="1401"/>
      <c r="CE31" s="336"/>
      <c r="CF31" s="336"/>
      <c r="CG31" s="1402"/>
      <c r="CH31" s="336"/>
      <c r="CI31" s="1401"/>
      <c r="CJ31" s="336"/>
      <c r="CK31" s="336"/>
      <c r="CL31" s="1402"/>
      <c r="CM31" s="336"/>
      <c r="CN31" s="1401"/>
      <c r="CO31" s="336"/>
      <c r="CP31" s="336"/>
      <c r="CQ31" s="1402"/>
      <c r="CR31" s="1402"/>
    </row>
    <row r="32" spans="1:96" ht="13.5" hidden="1" customHeight="1" outlineLevel="1">
      <c r="A32" s="317"/>
      <c r="B32" s="317" t="s">
        <v>87</v>
      </c>
      <c r="C32" s="317"/>
      <c r="D32" s="318"/>
      <c r="E32" s="318"/>
      <c r="F32" s="318"/>
      <c r="G32" s="338">
        <v>87.5</v>
      </c>
      <c r="H32" s="339">
        <v>41071</v>
      </c>
      <c r="I32" s="318"/>
      <c r="J32" s="318"/>
      <c r="K32" s="318"/>
      <c r="L32" s="318"/>
      <c r="M32" s="318"/>
      <c r="N32" s="318"/>
      <c r="O32" s="318"/>
      <c r="P32" s="318"/>
      <c r="Q32" s="318"/>
      <c r="R32" s="318"/>
      <c r="S32" s="318"/>
      <c r="T32" s="318"/>
      <c r="U32" s="318"/>
      <c r="V32" s="318"/>
      <c r="W32" s="318"/>
      <c r="X32" s="318"/>
      <c r="Y32" s="318"/>
      <c r="Z32" s="318"/>
      <c r="AA32" s="318"/>
      <c r="AB32" s="318"/>
      <c r="AC32" s="318"/>
      <c r="AD32" s="318"/>
      <c r="AE32" s="318"/>
      <c r="AF32" s="318"/>
      <c r="AG32" s="318"/>
      <c r="AH32" s="318"/>
      <c r="AI32" s="335"/>
      <c r="AJ32" s="335"/>
      <c r="AK32" s="1401">
        <f>+AJ34</f>
        <v>475</v>
      </c>
      <c r="AL32" s="336">
        <f>+AK34</f>
        <v>475</v>
      </c>
      <c r="AM32" s="336">
        <f>+AL34</f>
        <v>0</v>
      </c>
      <c r="AN32" s="1402">
        <f>+AM34</f>
        <v>0</v>
      </c>
      <c r="AO32" s="336"/>
      <c r="AP32" s="1401">
        <f>+AO34</f>
        <v>0</v>
      </c>
      <c r="AQ32" s="336">
        <f>+AP34</f>
        <v>0</v>
      </c>
      <c r="AR32" s="336">
        <f>+AQ34</f>
        <v>0</v>
      </c>
      <c r="AS32" s="1402">
        <f>+AR34</f>
        <v>0</v>
      </c>
      <c r="AT32" s="336"/>
      <c r="AU32" s="1401">
        <f>AT34</f>
        <v>0</v>
      </c>
      <c r="AV32" s="336">
        <f>+AU34</f>
        <v>0</v>
      </c>
      <c r="AW32" s="336">
        <f>+AV34</f>
        <v>0</v>
      </c>
      <c r="AX32" s="1402">
        <f>+AW34</f>
        <v>0</v>
      </c>
      <c r="AY32" s="336"/>
      <c r="AZ32" s="1401">
        <f>AY34</f>
        <v>0</v>
      </c>
      <c r="BA32" s="336">
        <f>+AZ34</f>
        <v>0</v>
      </c>
      <c r="BB32" s="336">
        <f>+BA34</f>
        <v>0</v>
      </c>
      <c r="BC32" s="1402">
        <f>+BB34</f>
        <v>0</v>
      </c>
      <c r="BD32" s="336"/>
      <c r="BE32" s="1401">
        <f>BD34</f>
        <v>0</v>
      </c>
      <c r="BF32" s="336">
        <f>+BE34</f>
        <v>0</v>
      </c>
      <c r="BG32" s="336">
        <f>+BF34</f>
        <v>0</v>
      </c>
      <c r="BH32" s="1402">
        <f>+BG34</f>
        <v>0</v>
      </c>
      <c r="BI32" s="336"/>
      <c r="BJ32" s="1401">
        <f>BI34</f>
        <v>0</v>
      </c>
      <c r="BK32" s="336">
        <f>+BJ34</f>
        <v>0</v>
      </c>
      <c r="BL32" s="336">
        <f>+BK34</f>
        <v>0</v>
      </c>
      <c r="BM32" s="1402">
        <f>+BL34</f>
        <v>0</v>
      </c>
      <c r="BN32" s="336"/>
      <c r="BO32" s="1401">
        <f>BN34</f>
        <v>0</v>
      </c>
      <c r="BP32" s="336">
        <f>+BO34</f>
        <v>0</v>
      </c>
      <c r="BQ32" s="336">
        <f>+BP34</f>
        <v>0</v>
      </c>
      <c r="BR32" s="1402">
        <f>+BQ34</f>
        <v>0</v>
      </c>
      <c r="BS32" s="336"/>
      <c r="BT32" s="1401">
        <f>BS34</f>
        <v>0</v>
      </c>
      <c r="BU32" s="336">
        <f>+BT34</f>
        <v>0</v>
      </c>
      <c r="BV32" s="336">
        <f>+BU34</f>
        <v>0</v>
      </c>
      <c r="BW32" s="1402">
        <f>+BV34</f>
        <v>0</v>
      </c>
      <c r="BX32" s="336"/>
      <c r="BY32" s="1401">
        <f>BX34</f>
        <v>0</v>
      </c>
      <c r="BZ32" s="336">
        <f>+BY34</f>
        <v>0</v>
      </c>
      <c r="CA32" s="336">
        <f>+BZ34</f>
        <v>0</v>
      </c>
      <c r="CB32" s="1402">
        <f>+CA34</f>
        <v>0</v>
      </c>
      <c r="CC32" s="336"/>
      <c r="CD32" s="1401">
        <f>CC34</f>
        <v>0</v>
      </c>
      <c r="CE32" s="336">
        <f>+CD34</f>
        <v>0</v>
      </c>
      <c r="CF32" s="336">
        <f>+CE34</f>
        <v>0</v>
      </c>
      <c r="CG32" s="1402">
        <f>+CF34</f>
        <v>0</v>
      </c>
      <c r="CH32" s="336"/>
      <c r="CI32" s="1401">
        <f>CH34</f>
        <v>0</v>
      </c>
      <c r="CJ32" s="336">
        <f>+CI34</f>
        <v>0</v>
      </c>
      <c r="CK32" s="336">
        <f>+CJ34</f>
        <v>0</v>
      </c>
      <c r="CL32" s="1402">
        <f>+CK34</f>
        <v>0</v>
      </c>
      <c r="CM32" s="336"/>
      <c r="CN32" s="1401">
        <f>CM34</f>
        <v>0</v>
      </c>
      <c r="CO32" s="336">
        <f>+CN34</f>
        <v>0</v>
      </c>
      <c r="CP32" s="336">
        <f>+CO34</f>
        <v>0</v>
      </c>
      <c r="CQ32" s="1402">
        <f>+CP34</f>
        <v>0</v>
      </c>
      <c r="CR32" s="1402"/>
    </row>
    <row r="33" spans="1:96" ht="13.5" hidden="1" customHeight="1" outlineLevel="1">
      <c r="A33" s="317"/>
      <c r="B33" s="317" t="s">
        <v>89</v>
      </c>
      <c r="C33" s="317"/>
      <c r="D33" s="318"/>
      <c r="E33" s="318"/>
      <c r="F33" s="318"/>
      <c r="G33" s="341"/>
      <c r="H33" s="341"/>
      <c r="I33" s="318"/>
      <c r="J33" s="318"/>
      <c r="K33" s="318"/>
      <c r="L33" s="318"/>
      <c r="M33" s="318"/>
      <c r="N33" s="318"/>
      <c r="O33" s="318"/>
      <c r="P33" s="318"/>
      <c r="Q33" s="318"/>
      <c r="R33" s="318"/>
      <c r="S33" s="318"/>
      <c r="T33" s="318"/>
      <c r="U33" s="318"/>
      <c r="V33" s="318"/>
      <c r="W33" s="318"/>
      <c r="X33" s="318"/>
      <c r="Y33" s="318"/>
      <c r="Z33" s="318"/>
      <c r="AA33" s="318"/>
      <c r="AB33" s="318"/>
      <c r="AC33" s="318"/>
      <c r="AD33" s="318"/>
      <c r="AE33" s="318"/>
      <c r="AF33" s="318"/>
      <c r="AG33" s="318"/>
      <c r="AH33" s="318"/>
      <c r="AI33" s="335"/>
      <c r="AJ33" s="335"/>
      <c r="AK33" s="1403">
        <v>0</v>
      </c>
      <c r="AL33" s="662">
        <v>-475</v>
      </c>
      <c r="AM33" s="662">
        <v>0</v>
      </c>
      <c r="AN33" s="1404">
        <v>0</v>
      </c>
      <c r="AO33" s="336"/>
      <c r="AP33" s="1403">
        <v>0</v>
      </c>
      <c r="AQ33" s="662">
        <v>0</v>
      </c>
      <c r="AR33" s="662">
        <v>0</v>
      </c>
      <c r="AS33" s="1404">
        <v>0</v>
      </c>
      <c r="AT33" s="336"/>
      <c r="AU33" s="1403">
        <v>0</v>
      </c>
      <c r="AV33" s="662">
        <v>0</v>
      </c>
      <c r="AW33" s="662">
        <v>0</v>
      </c>
      <c r="AX33" s="1404">
        <v>0</v>
      </c>
      <c r="AY33" s="336"/>
      <c r="AZ33" s="1403">
        <v>0</v>
      </c>
      <c r="BA33" s="662">
        <v>0</v>
      </c>
      <c r="BB33" s="662">
        <v>0</v>
      </c>
      <c r="BC33" s="1404">
        <v>0</v>
      </c>
      <c r="BD33" s="336"/>
      <c r="BE33" s="1403">
        <v>0</v>
      </c>
      <c r="BF33" s="662">
        <v>0</v>
      </c>
      <c r="BG33" s="662">
        <v>0</v>
      </c>
      <c r="BH33" s="1404">
        <v>0</v>
      </c>
      <c r="BI33" s="336"/>
      <c r="BJ33" s="1403">
        <v>0</v>
      </c>
      <c r="BK33" s="662">
        <v>0</v>
      </c>
      <c r="BL33" s="662">
        <v>0</v>
      </c>
      <c r="BM33" s="1404">
        <v>0</v>
      </c>
      <c r="BN33" s="336"/>
      <c r="BO33" s="1403">
        <v>0</v>
      </c>
      <c r="BP33" s="662">
        <v>0</v>
      </c>
      <c r="BQ33" s="662">
        <v>0</v>
      </c>
      <c r="BR33" s="1404">
        <v>0</v>
      </c>
      <c r="BS33" s="336"/>
      <c r="BT33" s="1403">
        <v>0</v>
      </c>
      <c r="BU33" s="662">
        <v>0</v>
      </c>
      <c r="BV33" s="662">
        <v>0</v>
      </c>
      <c r="BW33" s="1404">
        <v>0</v>
      </c>
      <c r="BX33" s="336"/>
      <c r="BY33" s="1403">
        <v>0</v>
      </c>
      <c r="BZ33" s="662">
        <v>0</v>
      </c>
      <c r="CA33" s="662">
        <v>0</v>
      </c>
      <c r="CB33" s="1404">
        <v>0</v>
      </c>
      <c r="CC33" s="336"/>
      <c r="CD33" s="1403">
        <v>0</v>
      </c>
      <c r="CE33" s="662">
        <v>0</v>
      </c>
      <c r="CF33" s="662">
        <v>0</v>
      </c>
      <c r="CG33" s="1404">
        <v>0</v>
      </c>
      <c r="CH33" s="336"/>
      <c r="CI33" s="1403">
        <v>0</v>
      </c>
      <c r="CJ33" s="662">
        <v>0</v>
      </c>
      <c r="CK33" s="662">
        <v>0</v>
      </c>
      <c r="CL33" s="1404">
        <v>0</v>
      </c>
      <c r="CM33" s="336"/>
      <c r="CN33" s="1403">
        <v>0</v>
      </c>
      <c r="CO33" s="662">
        <v>0</v>
      </c>
      <c r="CP33" s="662">
        <v>0</v>
      </c>
      <c r="CQ33" s="1404">
        <v>0</v>
      </c>
      <c r="CR33" s="1402"/>
    </row>
    <row r="34" spans="1:96" ht="13.5" hidden="1" customHeight="1" outlineLevel="1">
      <c r="A34" s="317"/>
      <c r="B34" s="317" t="s">
        <v>90</v>
      </c>
      <c r="C34" s="317"/>
      <c r="D34" s="318"/>
      <c r="E34" s="318"/>
      <c r="F34" s="318"/>
      <c r="G34" s="341"/>
      <c r="H34" s="341"/>
      <c r="I34" s="342"/>
      <c r="J34" s="342"/>
      <c r="K34" s="342"/>
      <c r="L34" s="342"/>
      <c r="M34" s="342"/>
      <c r="N34" s="342"/>
      <c r="O34" s="342"/>
      <c r="P34" s="342"/>
      <c r="Q34" s="342"/>
      <c r="R34" s="342"/>
      <c r="S34" s="342"/>
      <c r="T34" s="342"/>
      <c r="U34" s="342"/>
      <c r="V34" s="342"/>
      <c r="W34" s="342"/>
      <c r="X34" s="342"/>
      <c r="Y34" s="342"/>
      <c r="Z34" s="342"/>
      <c r="AA34" s="342"/>
      <c r="AB34" s="342"/>
      <c r="AC34" s="342"/>
      <c r="AD34" s="342"/>
      <c r="AE34" s="342"/>
      <c r="AF34" s="342"/>
      <c r="AG34" s="342"/>
      <c r="AH34" s="342"/>
      <c r="AI34" s="663">
        <v>475</v>
      </c>
      <c r="AJ34" s="335">
        <f>+AI34</f>
        <v>475</v>
      </c>
      <c r="AK34" s="1401">
        <f>+AK32+AK33</f>
        <v>475</v>
      </c>
      <c r="AL34" s="336">
        <f>+AL32+AL33</f>
        <v>0</v>
      </c>
      <c r="AM34" s="336">
        <f>+AM32+AM33</f>
        <v>0</v>
      </c>
      <c r="AN34" s="1402">
        <f>+AN32+AN33</f>
        <v>0</v>
      </c>
      <c r="AO34" s="343">
        <f>+AN34</f>
        <v>0</v>
      </c>
      <c r="AP34" s="1401">
        <f>+AP32+AP33</f>
        <v>0</v>
      </c>
      <c r="AQ34" s="336">
        <f>+AQ32+AQ33</f>
        <v>0</v>
      </c>
      <c r="AR34" s="336">
        <f>+AR32+AR33</f>
        <v>0</v>
      </c>
      <c r="AS34" s="1402">
        <f>+AS32+AS33</f>
        <v>0</v>
      </c>
      <c r="AT34" s="343">
        <f>AS34</f>
        <v>0</v>
      </c>
      <c r="AU34" s="1401">
        <f>+AU32+AU33</f>
        <v>0</v>
      </c>
      <c r="AV34" s="336">
        <f>+AV32+AV33</f>
        <v>0</v>
      </c>
      <c r="AW34" s="336">
        <f>+AW32+AW33</f>
        <v>0</v>
      </c>
      <c r="AX34" s="1402">
        <f>+AX32+AX33</f>
        <v>0</v>
      </c>
      <c r="AY34" s="343">
        <f>AX34</f>
        <v>0</v>
      </c>
      <c r="AZ34" s="1401">
        <f>+AZ32+AZ33</f>
        <v>0</v>
      </c>
      <c r="BA34" s="336">
        <f>+BA32+BA33</f>
        <v>0</v>
      </c>
      <c r="BB34" s="336">
        <f>+BB32+BB33</f>
        <v>0</v>
      </c>
      <c r="BC34" s="1402">
        <f>+BC32+BC33</f>
        <v>0</v>
      </c>
      <c r="BD34" s="343">
        <f>BC34</f>
        <v>0</v>
      </c>
      <c r="BE34" s="1401">
        <f>+BE32+BE33</f>
        <v>0</v>
      </c>
      <c r="BF34" s="336">
        <f>+BF32+BF33</f>
        <v>0</v>
      </c>
      <c r="BG34" s="336">
        <f>+BG32+BG33</f>
        <v>0</v>
      </c>
      <c r="BH34" s="1402">
        <f>+BH32+BH33</f>
        <v>0</v>
      </c>
      <c r="BI34" s="343">
        <f>BH34</f>
        <v>0</v>
      </c>
      <c r="BJ34" s="1401">
        <f>+BJ32+BJ33</f>
        <v>0</v>
      </c>
      <c r="BK34" s="336">
        <f>+BK32+BK33</f>
        <v>0</v>
      </c>
      <c r="BL34" s="336">
        <f>+BL32+BL33</f>
        <v>0</v>
      </c>
      <c r="BM34" s="1402">
        <f>+BM32+BM33</f>
        <v>0</v>
      </c>
      <c r="BN34" s="343">
        <f>BM34</f>
        <v>0</v>
      </c>
      <c r="BO34" s="1401">
        <f>+BO32+BO33</f>
        <v>0</v>
      </c>
      <c r="BP34" s="336">
        <f>+BP32+BP33</f>
        <v>0</v>
      </c>
      <c r="BQ34" s="336">
        <f>+BQ32+BQ33</f>
        <v>0</v>
      </c>
      <c r="BR34" s="1402">
        <f>+BR32+BR33</f>
        <v>0</v>
      </c>
      <c r="BS34" s="343">
        <f>BR34</f>
        <v>0</v>
      </c>
      <c r="BT34" s="1401">
        <f>+BT32+BT33</f>
        <v>0</v>
      </c>
      <c r="BU34" s="336">
        <f>+BU32+BU33</f>
        <v>0</v>
      </c>
      <c r="BV34" s="336">
        <f>+BV32+BV33</f>
        <v>0</v>
      </c>
      <c r="BW34" s="1402">
        <f>+BW32+BW33</f>
        <v>0</v>
      </c>
      <c r="BX34" s="343">
        <f>BW34</f>
        <v>0</v>
      </c>
      <c r="BY34" s="1401">
        <f>+BY32+BY33</f>
        <v>0</v>
      </c>
      <c r="BZ34" s="336">
        <f>+BZ32+BZ33</f>
        <v>0</v>
      </c>
      <c r="CA34" s="336">
        <f>+CA32+CA33</f>
        <v>0</v>
      </c>
      <c r="CB34" s="1402">
        <f>+CB32+CB33</f>
        <v>0</v>
      </c>
      <c r="CC34" s="343">
        <f>CB34</f>
        <v>0</v>
      </c>
      <c r="CD34" s="1401">
        <f>+CD32+CD33</f>
        <v>0</v>
      </c>
      <c r="CE34" s="336">
        <f>+CE32+CE33</f>
        <v>0</v>
      </c>
      <c r="CF34" s="336">
        <f>+CF32+CF33</f>
        <v>0</v>
      </c>
      <c r="CG34" s="1402">
        <f>+CG32+CG33</f>
        <v>0</v>
      </c>
      <c r="CH34" s="343">
        <f>CG34</f>
        <v>0</v>
      </c>
      <c r="CI34" s="1401">
        <f>+CI32+CI33</f>
        <v>0</v>
      </c>
      <c r="CJ34" s="336">
        <f>+CJ32+CJ33</f>
        <v>0</v>
      </c>
      <c r="CK34" s="336">
        <f>+CK32+CK33</f>
        <v>0</v>
      </c>
      <c r="CL34" s="1402">
        <f>+CL32+CL33</f>
        <v>0</v>
      </c>
      <c r="CM34" s="343">
        <f>CL34</f>
        <v>0</v>
      </c>
      <c r="CN34" s="1401">
        <f>+CN32+CN33</f>
        <v>0</v>
      </c>
      <c r="CO34" s="336">
        <f>+CO32+CO33</f>
        <v>0</v>
      </c>
      <c r="CP34" s="336">
        <f>+CP32+CP33</f>
        <v>0</v>
      </c>
      <c r="CQ34" s="1402">
        <f>+CQ32+CQ33</f>
        <v>0</v>
      </c>
      <c r="CR34" s="1451">
        <f>CQ34</f>
        <v>0</v>
      </c>
    </row>
    <row r="35" spans="1:96" ht="13.5" hidden="1" customHeight="1" outlineLevel="1">
      <c r="A35" s="317"/>
      <c r="B35" s="317" t="s">
        <v>91</v>
      </c>
      <c r="C35" s="317"/>
      <c r="D35" s="318"/>
      <c r="E35" s="318"/>
      <c r="F35" s="318"/>
      <c r="G35" s="341"/>
      <c r="H35" s="341"/>
      <c r="I35" s="318"/>
      <c r="J35" s="318"/>
      <c r="K35" s="318"/>
      <c r="L35" s="318"/>
      <c r="M35" s="318"/>
      <c r="N35" s="318"/>
      <c r="O35" s="318"/>
      <c r="P35" s="318"/>
      <c r="Q35" s="318"/>
      <c r="R35" s="318"/>
      <c r="S35" s="318"/>
      <c r="T35" s="318"/>
      <c r="U35" s="318"/>
      <c r="V35" s="318"/>
      <c r="W35" s="318"/>
      <c r="X35" s="318"/>
      <c r="Y35" s="318"/>
      <c r="Z35" s="318"/>
      <c r="AA35" s="318"/>
      <c r="AB35" s="318"/>
      <c r="AC35" s="318"/>
      <c r="AD35" s="318"/>
      <c r="AE35" s="318"/>
      <c r="AF35" s="318"/>
      <c r="AG35" s="318"/>
      <c r="AH35" s="318"/>
      <c r="AI35" s="335"/>
      <c r="AJ35" s="335"/>
      <c r="AK35" s="1401">
        <f>+AVERAGE(AK32,AK34)</f>
        <v>475</v>
      </c>
      <c r="AL35" s="336">
        <f>+AVERAGE(AL32,AL34)</f>
        <v>237.5</v>
      </c>
      <c r="AM35" s="336">
        <f>+AVERAGE(AM32,AM34)</f>
        <v>0</v>
      </c>
      <c r="AN35" s="1402">
        <f>+AVERAGE(AN32,AN34)</f>
        <v>0</v>
      </c>
      <c r="AO35" s="336"/>
      <c r="AP35" s="1401">
        <f>+AVERAGE(AP32,AP34)</f>
        <v>0</v>
      </c>
      <c r="AQ35" s="336">
        <f>+AVERAGE(AQ32,AQ34)</f>
        <v>0</v>
      </c>
      <c r="AR35" s="336">
        <f>+AVERAGE(AR32,AR34)</f>
        <v>0</v>
      </c>
      <c r="AS35" s="1402">
        <f>+AVERAGE(AS32,AS34)</f>
        <v>0</v>
      </c>
      <c r="AT35" s="336"/>
      <c r="AU35" s="1401">
        <f>+AVERAGE(AU32,AU34)</f>
        <v>0</v>
      </c>
      <c r="AV35" s="336">
        <f>+AVERAGE(AV32,AV34)</f>
        <v>0</v>
      </c>
      <c r="AW35" s="336">
        <f>+AVERAGE(AW32,AW34)</f>
        <v>0</v>
      </c>
      <c r="AX35" s="1402">
        <f>+AVERAGE(AX32,AX34)</f>
        <v>0</v>
      </c>
      <c r="AY35" s="336"/>
      <c r="AZ35" s="1401">
        <f>+AVERAGE(AZ32,AZ34)</f>
        <v>0</v>
      </c>
      <c r="BA35" s="336">
        <f>+AVERAGE(BA32,BA34)</f>
        <v>0</v>
      </c>
      <c r="BB35" s="336">
        <f>+AVERAGE(BB32,BB34)</f>
        <v>0</v>
      </c>
      <c r="BC35" s="1402">
        <f>+AVERAGE(BC32,BC34)</f>
        <v>0</v>
      </c>
      <c r="BD35" s="336"/>
      <c r="BE35" s="1401">
        <f>+AVERAGE(BE32,BE34)</f>
        <v>0</v>
      </c>
      <c r="BF35" s="336">
        <f>+AVERAGE(BF32,BF34)</f>
        <v>0</v>
      </c>
      <c r="BG35" s="336">
        <f>+AVERAGE(BG32,BG34)</f>
        <v>0</v>
      </c>
      <c r="BH35" s="1402">
        <f>+AVERAGE(BH32,BH34)</f>
        <v>0</v>
      </c>
      <c r="BI35" s="336"/>
      <c r="BJ35" s="1401">
        <f>+AVERAGE(BJ32,BJ34)</f>
        <v>0</v>
      </c>
      <c r="BK35" s="336">
        <f>+AVERAGE(BK32,BK34)</f>
        <v>0</v>
      </c>
      <c r="BL35" s="336">
        <f>+AVERAGE(BL32,BL34)</f>
        <v>0</v>
      </c>
      <c r="BM35" s="1402">
        <f>+AVERAGE(BM32,BM34)</f>
        <v>0</v>
      </c>
      <c r="BN35" s="336"/>
      <c r="BO35" s="1401">
        <f>+AVERAGE(BO32,BO34)</f>
        <v>0</v>
      </c>
      <c r="BP35" s="336">
        <f>+AVERAGE(BP32,BP34)</f>
        <v>0</v>
      </c>
      <c r="BQ35" s="336">
        <f>+AVERAGE(BQ32,BQ34)</f>
        <v>0</v>
      </c>
      <c r="BR35" s="1402">
        <f>+AVERAGE(BR32,BR34)</f>
        <v>0</v>
      </c>
      <c r="BS35" s="336"/>
      <c r="BT35" s="1401">
        <f>+AVERAGE(BT32,BT34)</f>
        <v>0</v>
      </c>
      <c r="BU35" s="336">
        <f>+AVERAGE(BU32,BU34)</f>
        <v>0</v>
      </c>
      <c r="BV35" s="336">
        <f>+AVERAGE(BV32,BV34)</f>
        <v>0</v>
      </c>
      <c r="BW35" s="1402">
        <f>+AVERAGE(BW32,BW34)</f>
        <v>0</v>
      </c>
      <c r="BX35" s="336"/>
      <c r="BY35" s="1401">
        <f>+AVERAGE(BY32,BY34)</f>
        <v>0</v>
      </c>
      <c r="BZ35" s="336">
        <f>+AVERAGE(BZ32,BZ34)</f>
        <v>0</v>
      </c>
      <c r="CA35" s="336">
        <f>+AVERAGE(CA32,CA34)</f>
        <v>0</v>
      </c>
      <c r="CB35" s="1402">
        <f>+AVERAGE(CB32,CB34)</f>
        <v>0</v>
      </c>
      <c r="CC35" s="336"/>
      <c r="CD35" s="1401">
        <f>+AVERAGE(CD32,CD34)</f>
        <v>0</v>
      </c>
      <c r="CE35" s="336">
        <f>+AVERAGE(CE32,CE34)</f>
        <v>0</v>
      </c>
      <c r="CF35" s="336">
        <f>+AVERAGE(CF32,CF34)</f>
        <v>0</v>
      </c>
      <c r="CG35" s="1402">
        <f>+AVERAGE(CG32,CG34)</f>
        <v>0</v>
      </c>
      <c r="CH35" s="336"/>
      <c r="CI35" s="1401">
        <f>+AVERAGE(CI32,CI34)</f>
        <v>0</v>
      </c>
      <c r="CJ35" s="336">
        <f>+AVERAGE(CJ32,CJ34)</f>
        <v>0</v>
      </c>
      <c r="CK35" s="336">
        <f>+AVERAGE(CK32,CK34)</f>
        <v>0</v>
      </c>
      <c r="CL35" s="1402">
        <f>+AVERAGE(CL32,CL34)</f>
        <v>0</v>
      </c>
      <c r="CM35" s="336"/>
      <c r="CN35" s="1401">
        <f>+AVERAGE(CN32,CN34)</f>
        <v>0</v>
      </c>
      <c r="CO35" s="336">
        <f>+AVERAGE(CO32,CO34)</f>
        <v>0</v>
      </c>
      <c r="CP35" s="336">
        <f>+AVERAGE(CP32,CP34)</f>
        <v>0</v>
      </c>
      <c r="CQ35" s="1402">
        <f>+AVERAGE(CQ32,CQ34)</f>
        <v>0</v>
      </c>
      <c r="CR35" s="1402"/>
    </row>
    <row r="36" spans="1:96" ht="13.5" hidden="1" customHeight="1" outlineLevel="1">
      <c r="A36" s="317"/>
      <c r="B36" s="317" t="s">
        <v>92</v>
      </c>
      <c r="C36" s="317"/>
      <c r="D36" s="318"/>
      <c r="E36" s="318"/>
      <c r="F36" s="318"/>
      <c r="G36" s="341"/>
      <c r="H36" s="341"/>
      <c r="I36" s="318"/>
      <c r="J36" s="318"/>
      <c r="K36" s="318"/>
      <c r="L36" s="318"/>
      <c r="M36" s="318"/>
      <c r="N36" s="318"/>
      <c r="O36" s="318"/>
      <c r="P36" s="318"/>
      <c r="Q36" s="318"/>
      <c r="R36" s="318"/>
      <c r="S36" s="318"/>
      <c r="T36" s="318"/>
      <c r="U36" s="318"/>
      <c r="V36" s="318"/>
      <c r="W36" s="318"/>
      <c r="X36" s="318"/>
      <c r="Y36" s="318"/>
      <c r="Z36" s="318"/>
      <c r="AA36" s="318"/>
      <c r="AB36" s="318"/>
      <c r="AC36" s="318"/>
      <c r="AD36" s="318"/>
      <c r="AE36" s="318"/>
      <c r="AF36" s="318"/>
      <c r="AG36" s="318"/>
      <c r="AH36" s="318"/>
      <c r="AI36" s="335"/>
      <c r="AJ36" s="335"/>
      <c r="AK36" s="1401">
        <f>+AK$12*AK35/4</f>
        <v>3.8718104610655737</v>
      </c>
      <c r="AL36" s="336">
        <f>+AL$12*AL35/4</f>
        <v>1.9287995030737703</v>
      </c>
      <c r="AM36" s="336">
        <f>+AM$12*AM35/4</f>
        <v>0</v>
      </c>
      <c r="AN36" s="1402">
        <f>+AN$12*AN35/4</f>
        <v>0</v>
      </c>
      <c r="AO36" s="336"/>
      <c r="AP36" s="1401">
        <f>+AP$12*AP35/4</f>
        <v>0</v>
      </c>
      <c r="AQ36" s="336">
        <f>+AQ$12*AQ35/4</f>
        <v>0</v>
      </c>
      <c r="AR36" s="336">
        <f>+AR$12*AR35/4</f>
        <v>0</v>
      </c>
      <c r="AS36" s="1402">
        <f>+AS$12*AS35/4</f>
        <v>0</v>
      </c>
      <c r="AT36" s="336"/>
      <c r="AU36" s="1401">
        <f>+AU$12*AU35/4</f>
        <v>0</v>
      </c>
      <c r="AV36" s="336">
        <f>+AV$12*AV35/4</f>
        <v>0</v>
      </c>
      <c r="AW36" s="336">
        <f>+AW$12*AW35/4</f>
        <v>0</v>
      </c>
      <c r="AX36" s="1402">
        <f>+AX$12*AX35/4</f>
        <v>0</v>
      </c>
      <c r="AY36" s="336"/>
      <c r="AZ36" s="1401">
        <f>+AZ$12*AZ35/4</f>
        <v>0</v>
      </c>
      <c r="BA36" s="336">
        <f>+BA$12*BA35/4</f>
        <v>0</v>
      </c>
      <c r="BB36" s="336">
        <f>+BB$12*BB35/4</f>
        <v>0</v>
      </c>
      <c r="BC36" s="1402">
        <f>+BC$12*BC35/4</f>
        <v>0</v>
      </c>
      <c r="BD36" s="336"/>
      <c r="BE36" s="1401">
        <f>+BE$12*BE35/4</f>
        <v>0</v>
      </c>
      <c r="BF36" s="336">
        <f>+BF$12*BF35/4</f>
        <v>0</v>
      </c>
      <c r="BG36" s="336">
        <f>+BG$12*BG35/4</f>
        <v>0</v>
      </c>
      <c r="BH36" s="1402">
        <f>+BH$12*BH35/4</f>
        <v>0</v>
      </c>
      <c r="BI36" s="336"/>
      <c r="BJ36" s="1401">
        <f>+BJ$12*BJ35/4</f>
        <v>0</v>
      </c>
      <c r="BK36" s="336">
        <f>+BK$12*BK35/4</f>
        <v>0</v>
      </c>
      <c r="BL36" s="336">
        <f>+BL$12*BL35/4</f>
        <v>0</v>
      </c>
      <c r="BM36" s="1402">
        <f>+BM$12*BM35/4</f>
        <v>0</v>
      </c>
      <c r="BN36" s="336"/>
      <c r="BO36" s="1401">
        <f>+BO$12*BO35/4</f>
        <v>0</v>
      </c>
      <c r="BP36" s="336">
        <f>+BP$12*BP35/4</f>
        <v>0</v>
      </c>
      <c r="BQ36" s="336">
        <f>+BQ$12*BQ35/4</f>
        <v>0</v>
      </c>
      <c r="BR36" s="1402">
        <f>+BR$12*BR35/4</f>
        <v>0</v>
      </c>
      <c r="BS36" s="336"/>
      <c r="BT36" s="1401">
        <f>+BT$12*BT35/4</f>
        <v>0</v>
      </c>
      <c r="BU36" s="336">
        <f>+BU$12*BU35/4</f>
        <v>0</v>
      </c>
      <c r="BV36" s="336">
        <f>+BV$12*BV35/4</f>
        <v>0</v>
      </c>
      <c r="BW36" s="1402">
        <f>+BW$12*BW35/4</f>
        <v>0</v>
      </c>
      <c r="BX36" s="336"/>
      <c r="BY36" s="1401">
        <f>+BY$12*BY35/4</f>
        <v>0</v>
      </c>
      <c r="BZ36" s="336">
        <f>+BZ$12*BZ35/4</f>
        <v>0</v>
      </c>
      <c r="CA36" s="336">
        <f>+CA$12*CA35/4</f>
        <v>0</v>
      </c>
      <c r="CB36" s="1402">
        <f>+CB$12*CB35/4</f>
        <v>0</v>
      </c>
      <c r="CC36" s="336"/>
      <c r="CD36" s="1401">
        <f>+CD$12*CD35/4</f>
        <v>0</v>
      </c>
      <c r="CE36" s="336">
        <f>+CE$12*CE35/4</f>
        <v>0</v>
      </c>
      <c r="CF36" s="336">
        <f>+CF$12*CF35/4</f>
        <v>0</v>
      </c>
      <c r="CG36" s="1402">
        <f>+CG$12*CG35/4</f>
        <v>0</v>
      </c>
      <c r="CH36" s="336"/>
      <c r="CI36" s="1401">
        <f>+CI$12*CI35/4</f>
        <v>0</v>
      </c>
      <c r="CJ36" s="336">
        <f>+CJ$12*CJ35/4</f>
        <v>0</v>
      </c>
      <c r="CK36" s="336">
        <f>+CK$12*CK35/4</f>
        <v>0</v>
      </c>
      <c r="CL36" s="1402">
        <f>+CL$12*CL35/4</f>
        <v>0</v>
      </c>
      <c r="CM36" s="336"/>
      <c r="CN36" s="1401">
        <f>+CN$12*CN35/4</f>
        <v>0</v>
      </c>
      <c r="CO36" s="336">
        <f>+CO$12*CO35/4</f>
        <v>0</v>
      </c>
      <c r="CP36" s="336">
        <f>+CP$12*CP35/4</f>
        <v>0</v>
      </c>
      <c r="CQ36" s="1402">
        <f>+CQ$12*CQ35/4</f>
        <v>0</v>
      </c>
      <c r="CR36" s="1402"/>
    </row>
    <row r="37" spans="1:96" ht="13.5" hidden="1" customHeight="1" outlineLevel="1">
      <c r="A37" s="317"/>
      <c r="B37" s="317" t="s">
        <v>93</v>
      </c>
      <c r="C37" s="317"/>
      <c r="D37" s="318"/>
      <c r="E37" s="318"/>
      <c r="F37" s="318"/>
      <c r="G37" s="318"/>
      <c r="H37" s="318"/>
      <c r="I37" s="318"/>
      <c r="J37" s="318"/>
      <c r="K37" s="318"/>
      <c r="L37" s="318"/>
      <c r="M37" s="318"/>
      <c r="N37" s="318"/>
      <c r="O37" s="318"/>
      <c r="P37" s="318"/>
      <c r="Q37" s="318"/>
      <c r="R37" s="318"/>
      <c r="S37" s="318"/>
      <c r="T37" s="318"/>
      <c r="U37" s="318"/>
      <c r="V37" s="318"/>
      <c r="W37" s="318"/>
      <c r="X37" s="318"/>
      <c r="Y37" s="318"/>
      <c r="Z37" s="318"/>
      <c r="AA37" s="318"/>
      <c r="AB37" s="318"/>
      <c r="AC37" s="318"/>
      <c r="AD37" s="318"/>
      <c r="AE37" s="318"/>
      <c r="AF37" s="318"/>
      <c r="AG37" s="318"/>
      <c r="AH37" s="318"/>
      <c r="AI37" s="335"/>
      <c r="AJ37" s="335"/>
      <c r="AK37" s="1401">
        <f>+AK36</f>
        <v>3.8718104610655737</v>
      </c>
      <c r="AL37" s="336">
        <f>+AL36</f>
        <v>1.9287995030737703</v>
      </c>
      <c r="AM37" s="336">
        <f>+AM36</f>
        <v>0</v>
      </c>
      <c r="AN37" s="1402">
        <f>+AN36</f>
        <v>0</v>
      </c>
      <c r="AO37" s="336"/>
      <c r="AP37" s="1401">
        <f>+AP36</f>
        <v>0</v>
      </c>
      <c r="AQ37" s="336">
        <f>+AQ36</f>
        <v>0</v>
      </c>
      <c r="AR37" s="336">
        <f>+AR36</f>
        <v>0</v>
      </c>
      <c r="AS37" s="1402">
        <f>+AS36</f>
        <v>0</v>
      </c>
      <c r="AT37" s="336"/>
      <c r="AU37" s="1401">
        <f>+AU36</f>
        <v>0</v>
      </c>
      <c r="AV37" s="336">
        <f>+AV36</f>
        <v>0</v>
      </c>
      <c r="AW37" s="336">
        <f>+AW36</f>
        <v>0</v>
      </c>
      <c r="AX37" s="1402">
        <f>+AX36</f>
        <v>0</v>
      </c>
      <c r="AY37" s="336"/>
      <c r="AZ37" s="1401">
        <f>+AZ36</f>
        <v>0</v>
      </c>
      <c r="BA37" s="336">
        <f>+BA36</f>
        <v>0</v>
      </c>
      <c r="BB37" s="336">
        <f>+BB36</f>
        <v>0</v>
      </c>
      <c r="BC37" s="1402">
        <f>+BC36</f>
        <v>0</v>
      </c>
      <c r="BD37" s="336"/>
      <c r="BE37" s="1401">
        <f>+BE36</f>
        <v>0</v>
      </c>
      <c r="BF37" s="336">
        <f>+BF36</f>
        <v>0</v>
      </c>
      <c r="BG37" s="336">
        <f>+BG36</f>
        <v>0</v>
      </c>
      <c r="BH37" s="1402">
        <f>+BH36</f>
        <v>0</v>
      </c>
      <c r="BI37" s="336"/>
      <c r="BJ37" s="1401">
        <f>+BJ36</f>
        <v>0</v>
      </c>
      <c r="BK37" s="336">
        <f>+BK36</f>
        <v>0</v>
      </c>
      <c r="BL37" s="336">
        <f>+BL36</f>
        <v>0</v>
      </c>
      <c r="BM37" s="1402">
        <f>+BM36</f>
        <v>0</v>
      </c>
      <c r="BN37" s="336"/>
      <c r="BO37" s="1401">
        <f>+BO36</f>
        <v>0</v>
      </c>
      <c r="BP37" s="336">
        <f>+BP36</f>
        <v>0</v>
      </c>
      <c r="BQ37" s="336">
        <f>+BQ36</f>
        <v>0</v>
      </c>
      <c r="BR37" s="1402">
        <f>+BR36</f>
        <v>0</v>
      </c>
      <c r="BS37" s="336"/>
      <c r="BT37" s="1401">
        <f>+BT36</f>
        <v>0</v>
      </c>
      <c r="BU37" s="336">
        <f>+BU36</f>
        <v>0</v>
      </c>
      <c r="BV37" s="336">
        <f>+BV36</f>
        <v>0</v>
      </c>
      <c r="BW37" s="1402">
        <f>+BW36</f>
        <v>0</v>
      </c>
      <c r="BX37" s="336"/>
      <c r="BY37" s="1401">
        <f>+BY36</f>
        <v>0</v>
      </c>
      <c r="BZ37" s="336">
        <f>+BZ36</f>
        <v>0</v>
      </c>
      <c r="CA37" s="336">
        <f>+CA36</f>
        <v>0</v>
      </c>
      <c r="CB37" s="1402">
        <f>+CB36</f>
        <v>0</v>
      </c>
      <c r="CC37" s="336"/>
      <c r="CD37" s="1401">
        <f>+CD36</f>
        <v>0</v>
      </c>
      <c r="CE37" s="336">
        <f>+CE36</f>
        <v>0</v>
      </c>
      <c r="CF37" s="336">
        <f>+CF36</f>
        <v>0</v>
      </c>
      <c r="CG37" s="1402">
        <f>+CG36</f>
        <v>0</v>
      </c>
      <c r="CH37" s="336"/>
      <c r="CI37" s="1401">
        <f>+CI36</f>
        <v>0</v>
      </c>
      <c r="CJ37" s="336">
        <f>+CJ36</f>
        <v>0</v>
      </c>
      <c r="CK37" s="336">
        <f>+CK36</f>
        <v>0</v>
      </c>
      <c r="CL37" s="1402">
        <f>+CL36</f>
        <v>0</v>
      </c>
      <c r="CM37" s="336"/>
      <c r="CN37" s="1401">
        <f>+CN36</f>
        <v>0</v>
      </c>
      <c r="CO37" s="336">
        <f>+CO36</f>
        <v>0</v>
      </c>
      <c r="CP37" s="336">
        <f>+CP36</f>
        <v>0</v>
      </c>
      <c r="CQ37" s="1402">
        <f>+CQ36</f>
        <v>0</v>
      </c>
      <c r="CR37" s="1402"/>
    </row>
    <row r="38" spans="1:96" ht="6.2" customHeight="1" collapsed="1">
      <c r="A38" s="317"/>
      <c r="B38" s="317"/>
      <c r="C38" s="317"/>
      <c r="D38" s="318"/>
      <c r="E38" s="318"/>
      <c r="F38" s="318"/>
      <c r="G38" s="318"/>
      <c r="H38" s="318"/>
      <c r="I38" s="318"/>
      <c r="J38" s="318"/>
      <c r="K38" s="318"/>
      <c r="L38" s="318"/>
      <c r="M38" s="318"/>
      <c r="N38" s="318"/>
      <c r="O38" s="318"/>
      <c r="P38" s="318"/>
      <c r="Q38" s="318"/>
      <c r="R38" s="318"/>
      <c r="S38" s="318"/>
      <c r="T38" s="318"/>
      <c r="U38" s="318"/>
      <c r="V38" s="318"/>
      <c r="W38" s="318"/>
      <c r="X38" s="318"/>
      <c r="Y38" s="318"/>
      <c r="Z38" s="318"/>
      <c r="AA38" s="318"/>
      <c r="AB38" s="318"/>
      <c r="AC38" s="318"/>
      <c r="AD38" s="318"/>
      <c r="AE38" s="318"/>
      <c r="AF38" s="318"/>
      <c r="AG38" s="318"/>
      <c r="AH38" s="318"/>
      <c r="AI38" s="335"/>
      <c r="AJ38" s="335"/>
      <c r="AK38" s="1401"/>
      <c r="AL38" s="336"/>
      <c r="AM38" s="336"/>
      <c r="AN38" s="1402"/>
      <c r="AO38" s="336"/>
      <c r="AP38" s="1401"/>
      <c r="AQ38" s="336"/>
      <c r="AR38" s="336"/>
      <c r="AS38" s="1402"/>
      <c r="AT38" s="336"/>
      <c r="AU38" s="1401"/>
      <c r="AV38" s="336"/>
      <c r="AW38" s="336"/>
      <c r="AX38" s="1402"/>
      <c r="AY38" s="336"/>
      <c r="AZ38" s="1401"/>
      <c r="BA38" s="336"/>
      <c r="BB38" s="336"/>
      <c r="BC38" s="1402"/>
      <c r="BD38" s="336"/>
      <c r="BE38" s="1401"/>
      <c r="BF38" s="336"/>
      <c r="BG38" s="336"/>
      <c r="BH38" s="1402"/>
      <c r="BI38" s="336"/>
      <c r="BJ38" s="1401"/>
      <c r="BK38" s="336"/>
      <c r="BL38" s="336"/>
      <c r="BM38" s="1402"/>
      <c r="BN38" s="336"/>
      <c r="BO38" s="1401"/>
      <c r="BP38" s="336"/>
      <c r="BQ38" s="336"/>
      <c r="BR38" s="1402"/>
      <c r="BS38" s="336"/>
      <c r="BT38" s="1401"/>
      <c r="BU38" s="336"/>
      <c r="BV38" s="336"/>
      <c r="BW38" s="1402"/>
      <c r="BX38" s="336"/>
      <c r="BY38" s="1401"/>
      <c r="BZ38" s="336"/>
      <c r="CA38" s="336"/>
      <c r="CB38" s="1402"/>
      <c r="CC38" s="336"/>
      <c r="CD38" s="1401"/>
      <c r="CE38" s="336"/>
      <c r="CF38" s="336"/>
      <c r="CG38" s="1402"/>
      <c r="CH38" s="336"/>
      <c r="CI38" s="1401"/>
      <c r="CJ38" s="336"/>
      <c r="CK38" s="336"/>
      <c r="CL38" s="1402"/>
      <c r="CM38" s="336"/>
      <c r="CN38" s="1401"/>
      <c r="CO38" s="336"/>
      <c r="CP38" s="336"/>
      <c r="CQ38" s="1402"/>
      <c r="CR38" s="1402"/>
    </row>
    <row r="39" spans="1:96" ht="13.5" customHeight="1">
      <c r="A39" s="334" t="s">
        <v>98</v>
      </c>
      <c r="B39" s="317"/>
      <c r="C39" s="317"/>
      <c r="D39" s="318"/>
      <c r="E39" s="318"/>
      <c r="F39" s="318"/>
      <c r="G39" s="347">
        <v>6.6500000000000004E-2</v>
      </c>
      <c r="H39" s="339">
        <v>13656</v>
      </c>
      <c r="I39" s="318"/>
      <c r="J39" s="318"/>
      <c r="K39" s="318"/>
      <c r="L39" s="318"/>
      <c r="M39" s="318"/>
      <c r="N39" s="318"/>
      <c r="O39" s="318"/>
      <c r="P39" s="318"/>
      <c r="Q39" s="318"/>
      <c r="R39" s="318"/>
      <c r="S39" s="318"/>
      <c r="T39" s="318"/>
      <c r="U39" s="318"/>
      <c r="V39" s="318"/>
      <c r="W39" s="318"/>
      <c r="X39" s="318"/>
      <c r="Y39" s="318"/>
      <c r="Z39" s="318"/>
      <c r="AA39" s="318"/>
      <c r="AB39" s="318"/>
      <c r="AC39" s="318"/>
      <c r="AD39" s="318"/>
      <c r="AE39" s="318"/>
      <c r="AF39" s="318"/>
      <c r="AG39" s="318"/>
      <c r="AH39" s="318"/>
      <c r="AI39" s="318"/>
      <c r="AJ39" s="318"/>
      <c r="AK39" s="1405"/>
      <c r="AL39" s="319"/>
      <c r="AM39" s="319"/>
      <c r="AN39" s="1406"/>
      <c r="AO39" s="319"/>
      <c r="AP39" s="1405"/>
      <c r="AQ39" s="319"/>
      <c r="AR39" s="319"/>
      <c r="AS39" s="1406"/>
      <c r="AT39" s="319"/>
      <c r="AU39" s="1405"/>
      <c r="AV39" s="319"/>
      <c r="AW39" s="319"/>
      <c r="AX39" s="1406"/>
      <c r="AY39" s="319"/>
      <c r="AZ39" s="1405"/>
      <c r="BA39" s="319"/>
      <c r="BB39" s="319"/>
      <c r="BC39" s="1406"/>
      <c r="BD39" s="319"/>
      <c r="BE39" s="1405"/>
      <c r="BF39" s="319"/>
      <c r="BG39" s="319"/>
      <c r="BH39" s="1406"/>
      <c r="BI39" s="319"/>
      <c r="BJ39" s="1405"/>
      <c r="BK39" s="319"/>
      <c r="BL39" s="319"/>
      <c r="BM39" s="1406"/>
      <c r="BN39" s="319"/>
      <c r="BO39" s="1405"/>
      <c r="BP39" s="319"/>
      <c r="BQ39" s="319"/>
      <c r="BR39" s="1406"/>
      <c r="BS39" s="319"/>
      <c r="BT39" s="1405"/>
      <c r="BU39" s="319"/>
      <c r="BV39" s="319"/>
      <c r="BW39" s="1406"/>
      <c r="BX39" s="319"/>
      <c r="BY39" s="1405"/>
      <c r="BZ39" s="319"/>
      <c r="CA39" s="319"/>
      <c r="CB39" s="1406"/>
      <c r="CC39" s="319"/>
      <c r="CD39" s="1405"/>
      <c r="CE39" s="319"/>
      <c r="CF39" s="319"/>
      <c r="CG39" s="1406"/>
      <c r="CH39" s="319"/>
      <c r="CI39" s="1405"/>
      <c r="CJ39" s="319"/>
      <c r="CK39" s="319"/>
      <c r="CL39" s="1406"/>
      <c r="CM39" s="319"/>
      <c r="CN39" s="1405"/>
      <c r="CO39" s="319"/>
      <c r="CP39" s="319"/>
      <c r="CQ39" s="1406"/>
      <c r="CR39" s="1406"/>
    </row>
    <row r="40" spans="1:96" ht="13.5" customHeight="1">
      <c r="A40" s="317"/>
      <c r="B40" s="317" t="s">
        <v>87</v>
      </c>
      <c r="C40" s="317"/>
      <c r="D40" s="318"/>
      <c r="E40" s="318"/>
      <c r="F40" s="318"/>
      <c r="G40" s="318"/>
      <c r="H40" s="335"/>
      <c r="I40" s="335"/>
      <c r="J40" s="335"/>
      <c r="K40" s="335"/>
      <c r="L40" s="335"/>
      <c r="M40" s="335"/>
      <c r="N40" s="335"/>
      <c r="O40" s="335"/>
      <c r="P40" s="335"/>
      <c r="Q40" s="335"/>
      <c r="R40" s="335"/>
      <c r="S40" s="335"/>
      <c r="T40" s="335"/>
      <c r="U40" s="335"/>
      <c r="V40" s="335"/>
      <c r="W40" s="335"/>
      <c r="X40" s="335"/>
      <c r="Y40" s="335"/>
      <c r="Z40" s="335"/>
      <c r="AA40" s="335"/>
      <c r="AB40" s="335"/>
      <c r="AC40" s="335"/>
      <c r="AD40" s="335"/>
      <c r="AE40" s="335"/>
      <c r="AF40" s="335"/>
      <c r="AG40" s="335"/>
      <c r="AH40" s="335"/>
      <c r="AI40" s="335"/>
      <c r="AJ40" s="335"/>
      <c r="AK40" s="1401">
        <f>+AJ42</f>
        <v>350</v>
      </c>
      <c r="AL40" s="336">
        <f>+AK42</f>
        <v>350</v>
      </c>
      <c r="AM40" s="336">
        <f>+AL42</f>
        <v>350</v>
      </c>
      <c r="AN40" s="1402">
        <f>+AM42</f>
        <v>350</v>
      </c>
      <c r="AO40" s="336"/>
      <c r="AP40" s="1401">
        <f>+AO42</f>
        <v>350</v>
      </c>
      <c r="AQ40" s="336">
        <f>+AP42</f>
        <v>350</v>
      </c>
      <c r="AR40" s="336">
        <f>+AQ42</f>
        <v>350</v>
      </c>
      <c r="AS40" s="1402">
        <f>+AR42</f>
        <v>350</v>
      </c>
      <c r="AT40" s="336"/>
      <c r="AU40" s="1401">
        <f>+AT42</f>
        <v>350</v>
      </c>
      <c r="AV40" s="336">
        <f>+AU42</f>
        <v>350</v>
      </c>
      <c r="AW40" s="336">
        <f>+AV42</f>
        <v>350</v>
      </c>
      <c r="AX40" s="1402">
        <f>+AW42</f>
        <v>350</v>
      </c>
      <c r="AY40" s="336"/>
      <c r="AZ40" s="1401">
        <f>+AY42</f>
        <v>350</v>
      </c>
      <c r="BA40" s="336">
        <f>+AZ42</f>
        <v>350</v>
      </c>
      <c r="BB40" s="336">
        <f>+BA42</f>
        <v>350</v>
      </c>
      <c r="BC40" s="1402">
        <f>+BB42</f>
        <v>350</v>
      </c>
      <c r="BD40" s="336"/>
      <c r="BE40" s="1401">
        <f>+BD42</f>
        <v>350</v>
      </c>
      <c r="BF40" s="336">
        <f>+BE42</f>
        <v>350</v>
      </c>
      <c r="BG40" s="336">
        <f>+BF42</f>
        <v>350</v>
      </c>
      <c r="BH40" s="1402">
        <f>+BG42</f>
        <v>350</v>
      </c>
      <c r="BI40" s="336"/>
      <c r="BJ40" s="1401">
        <f>+BI42</f>
        <v>350</v>
      </c>
      <c r="BK40" s="336">
        <f>+BJ42</f>
        <v>350</v>
      </c>
      <c r="BL40" s="336">
        <f>+BK42</f>
        <v>350</v>
      </c>
      <c r="BM40" s="1402">
        <f>+BL42</f>
        <v>350</v>
      </c>
      <c r="BN40" s="336"/>
      <c r="BO40" s="1401">
        <f>+BN42</f>
        <v>350</v>
      </c>
      <c r="BP40" s="336">
        <f>+BO42</f>
        <v>350</v>
      </c>
      <c r="BQ40" s="336">
        <f>+BP42</f>
        <v>350</v>
      </c>
      <c r="BR40" s="1402">
        <f>+BQ42</f>
        <v>350</v>
      </c>
      <c r="BS40" s="336"/>
      <c r="BT40" s="1401">
        <f>+BS42</f>
        <v>350</v>
      </c>
      <c r="BU40" s="336">
        <f>+BT42</f>
        <v>350</v>
      </c>
      <c r="BV40" s="336">
        <f>+BU42</f>
        <v>350</v>
      </c>
      <c r="BW40" s="1402">
        <f>+BV42</f>
        <v>350</v>
      </c>
      <c r="BX40" s="336"/>
      <c r="BY40" s="1401">
        <f>+BX42</f>
        <v>350</v>
      </c>
      <c r="BZ40" s="336">
        <f>+BY42</f>
        <v>350</v>
      </c>
      <c r="CA40" s="336">
        <f>+BZ42</f>
        <v>350</v>
      </c>
      <c r="CB40" s="1402">
        <f>+CA42</f>
        <v>350</v>
      </c>
      <c r="CC40" s="336"/>
      <c r="CD40" s="1401">
        <f>+CC42</f>
        <v>350</v>
      </c>
      <c r="CE40" s="336">
        <f>+CD42</f>
        <v>350</v>
      </c>
      <c r="CF40" s="336">
        <f>+CE42</f>
        <v>350</v>
      </c>
      <c r="CG40" s="1402">
        <f>+CF42</f>
        <v>350</v>
      </c>
      <c r="CH40" s="336"/>
      <c r="CI40" s="1401">
        <f>+CH42</f>
        <v>350</v>
      </c>
      <c r="CJ40" s="336">
        <f>+CI42</f>
        <v>350</v>
      </c>
      <c r="CK40" s="336">
        <f>+CJ42</f>
        <v>350</v>
      </c>
      <c r="CL40" s="1402">
        <f>+CK42</f>
        <v>350</v>
      </c>
      <c r="CM40" s="336"/>
      <c r="CN40" s="1401">
        <f>+CM42</f>
        <v>350</v>
      </c>
      <c r="CO40" s="336">
        <f>+CN42</f>
        <v>350</v>
      </c>
      <c r="CP40" s="336">
        <f>+CO42</f>
        <v>350</v>
      </c>
      <c r="CQ40" s="1402">
        <f>+CP42</f>
        <v>350</v>
      </c>
      <c r="CR40" s="1402"/>
    </row>
    <row r="41" spans="1:96" ht="13.5" customHeight="1">
      <c r="A41" s="317"/>
      <c r="B41" s="317" t="s">
        <v>89</v>
      </c>
      <c r="C41" s="317"/>
      <c r="D41" s="318"/>
      <c r="E41" s="318"/>
      <c r="F41" s="318"/>
      <c r="G41" s="318"/>
      <c r="H41" s="335"/>
      <c r="I41" s="335"/>
      <c r="J41" s="335"/>
      <c r="K41" s="335"/>
      <c r="L41" s="335"/>
      <c r="M41" s="335"/>
      <c r="N41" s="335"/>
      <c r="O41" s="335"/>
      <c r="P41" s="335"/>
      <c r="Q41" s="335"/>
      <c r="R41" s="335"/>
      <c r="S41" s="335"/>
      <c r="T41" s="335"/>
      <c r="U41" s="335"/>
      <c r="V41" s="335"/>
      <c r="W41" s="335"/>
      <c r="X41" s="335"/>
      <c r="Y41" s="335"/>
      <c r="Z41" s="335"/>
      <c r="AA41" s="335"/>
      <c r="AB41" s="335"/>
      <c r="AC41" s="335"/>
      <c r="AD41" s="335"/>
      <c r="AE41" s="335"/>
      <c r="AF41" s="335"/>
      <c r="AG41" s="335"/>
      <c r="AH41" s="335"/>
      <c r="AI41" s="663">
        <v>0</v>
      </c>
      <c r="AJ41" s="335"/>
      <c r="AK41" s="1403">
        <v>0</v>
      </c>
      <c r="AL41" s="662">
        <v>0</v>
      </c>
      <c r="AM41" s="662">
        <v>0</v>
      </c>
      <c r="AN41" s="1404">
        <v>0</v>
      </c>
      <c r="AO41" s="336"/>
      <c r="AP41" s="1403">
        <v>0</v>
      </c>
      <c r="AQ41" s="662">
        <v>0</v>
      </c>
      <c r="AR41" s="662">
        <v>0</v>
      </c>
      <c r="AS41" s="1404">
        <v>0</v>
      </c>
      <c r="AT41" s="336"/>
      <c r="AU41" s="1403">
        <v>0</v>
      </c>
      <c r="AV41" s="662">
        <v>0</v>
      </c>
      <c r="AW41" s="662">
        <v>0</v>
      </c>
      <c r="AX41" s="1404">
        <v>0</v>
      </c>
      <c r="AY41" s="336"/>
      <c r="AZ41" s="1403">
        <v>0</v>
      </c>
      <c r="BA41" s="662">
        <v>0</v>
      </c>
      <c r="BB41" s="662">
        <v>0</v>
      </c>
      <c r="BC41" s="1404">
        <v>0</v>
      </c>
      <c r="BD41" s="336"/>
      <c r="BE41" s="1403">
        <v>0</v>
      </c>
      <c r="BF41" s="662">
        <v>0</v>
      </c>
      <c r="BG41" s="662">
        <v>0</v>
      </c>
      <c r="BH41" s="1404">
        <v>0</v>
      </c>
      <c r="BI41" s="336"/>
      <c r="BJ41" s="1403">
        <v>0</v>
      </c>
      <c r="BK41" s="662">
        <v>0</v>
      </c>
      <c r="BL41" s="662">
        <v>0</v>
      </c>
      <c r="BM41" s="1404">
        <v>0</v>
      </c>
      <c r="BN41" s="336"/>
      <c r="BO41" s="1403">
        <v>0</v>
      </c>
      <c r="BP41" s="662">
        <v>0</v>
      </c>
      <c r="BQ41" s="662">
        <v>0</v>
      </c>
      <c r="BR41" s="1404">
        <v>0</v>
      </c>
      <c r="BS41" s="336"/>
      <c r="BT41" s="1403">
        <v>0</v>
      </c>
      <c r="BU41" s="662">
        <v>0</v>
      </c>
      <c r="BV41" s="662">
        <v>0</v>
      </c>
      <c r="BW41" s="1404">
        <v>0</v>
      </c>
      <c r="BX41" s="336"/>
      <c r="BY41" s="1403">
        <v>0</v>
      </c>
      <c r="BZ41" s="662">
        <v>0</v>
      </c>
      <c r="CA41" s="662">
        <v>0</v>
      </c>
      <c r="CB41" s="1404">
        <v>0</v>
      </c>
      <c r="CC41" s="336"/>
      <c r="CD41" s="1403">
        <v>0</v>
      </c>
      <c r="CE41" s="662">
        <v>0</v>
      </c>
      <c r="CF41" s="662">
        <v>0</v>
      </c>
      <c r="CG41" s="1404">
        <v>0</v>
      </c>
      <c r="CH41" s="336"/>
      <c r="CI41" s="1403">
        <v>0</v>
      </c>
      <c r="CJ41" s="662">
        <v>0</v>
      </c>
      <c r="CK41" s="662">
        <v>0</v>
      </c>
      <c r="CL41" s="1404">
        <v>0</v>
      </c>
      <c r="CM41" s="336"/>
      <c r="CN41" s="1403">
        <v>0</v>
      </c>
      <c r="CO41" s="662">
        <v>0</v>
      </c>
      <c r="CP41" s="662">
        <v>0</v>
      </c>
      <c r="CQ41" s="1404">
        <v>0</v>
      </c>
      <c r="CR41" s="1402"/>
    </row>
    <row r="42" spans="1:96" ht="13.5" customHeight="1">
      <c r="A42" s="317"/>
      <c r="B42" s="317" t="s">
        <v>90</v>
      </c>
      <c r="C42" s="317"/>
      <c r="D42" s="318"/>
      <c r="E42" s="318"/>
      <c r="F42" s="318"/>
      <c r="G42" s="318"/>
      <c r="H42" s="348">
        <v>0</v>
      </c>
      <c r="I42" s="348"/>
      <c r="J42" s="348"/>
      <c r="K42" s="348"/>
      <c r="L42" s="348"/>
      <c r="M42" s="348"/>
      <c r="N42" s="348"/>
      <c r="O42" s="348"/>
      <c r="P42" s="348"/>
      <c r="Q42" s="348"/>
      <c r="R42" s="348"/>
      <c r="S42" s="348"/>
      <c r="T42" s="348"/>
      <c r="U42" s="348"/>
      <c r="V42" s="348"/>
      <c r="W42" s="348"/>
      <c r="X42" s="348"/>
      <c r="Y42" s="348"/>
      <c r="Z42" s="348"/>
      <c r="AA42" s="348"/>
      <c r="AB42" s="348"/>
      <c r="AC42" s="348"/>
      <c r="AD42" s="348"/>
      <c r="AE42" s="348"/>
      <c r="AF42" s="348"/>
      <c r="AG42" s="348"/>
      <c r="AH42" s="348"/>
      <c r="AI42" s="663">
        <v>350</v>
      </c>
      <c r="AJ42" s="335">
        <f>+AI42</f>
        <v>350</v>
      </c>
      <c r="AK42" s="1401">
        <f>+AK40+AK41</f>
        <v>350</v>
      </c>
      <c r="AL42" s="336">
        <f>+AL40+AL41</f>
        <v>350</v>
      </c>
      <c r="AM42" s="336">
        <f>+AM40+AM41</f>
        <v>350</v>
      </c>
      <c r="AN42" s="1402">
        <f>+AN40+AN41</f>
        <v>350</v>
      </c>
      <c r="AO42" s="343">
        <f>+AN42</f>
        <v>350</v>
      </c>
      <c r="AP42" s="1401">
        <f>+AP40+AP41</f>
        <v>350</v>
      </c>
      <c r="AQ42" s="336">
        <f>+AQ40+AQ41</f>
        <v>350</v>
      </c>
      <c r="AR42" s="336">
        <f>+AR40+AR41</f>
        <v>350</v>
      </c>
      <c r="AS42" s="1402">
        <f>+AS40+AS41</f>
        <v>350</v>
      </c>
      <c r="AT42" s="343">
        <f>+AS42</f>
        <v>350</v>
      </c>
      <c r="AU42" s="1401">
        <f>+AU40+AU41</f>
        <v>350</v>
      </c>
      <c r="AV42" s="336">
        <f>+AV40+AV41</f>
        <v>350</v>
      </c>
      <c r="AW42" s="336">
        <f>+AW40+AW41</f>
        <v>350</v>
      </c>
      <c r="AX42" s="1402">
        <f>+AX40+AX41</f>
        <v>350</v>
      </c>
      <c r="AY42" s="343">
        <f>+AX42</f>
        <v>350</v>
      </c>
      <c r="AZ42" s="1401">
        <f>+AZ40+AZ41</f>
        <v>350</v>
      </c>
      <c r="BA42" s="336">
        <f>+BA40+BA41</f>
        <v>350</v>
      </c>
      <c r="BB42" s="336">
        <f>+BB40+BB41</f>
        <v>350</v>
      </c>
      <c r="BC42" s="1402">
        <f>+BC40+BC41</f>
        <v>350</v>
      </c>
      <c r="BD42" s="343">
        <f>+BC42</f>
        <v>350</v>
      </c>
      <c r="BE42" s="1401">
        <f>+BE40+BE41</f>
        <v>350</v>
      </c>
      <c r="BF42" s="336">
        <f>+BF40+BF41</f>
        <v>350</v>
      </c>
      <c r="BG42" s="336">
        <f>+BG40+BG41</f>
        <v>350</v>
      </c>
      <c r="BH42" s="1402">
        <f>+BH40+BH41</f>
        <v>350</v>
      </c>
      <c r="BI42" s="343">
        <f>+BH42</f>
        <v>350</v>
      </c>
      <c r="BJ42" s="1401">
        <f>+BJ40+BJ41</f>
        <v>350</v>
      </c>
      <c r="BK42" s="336">
        <f>+BK40+BK41</f>
        <v>350</v>
      </c>
      <c r="BL42" s="336">
        <f>+BL40+BL41</f>
        <v>350</v>
      </c>
      <c r="BM42" s="1402">
        <f>+BM40+BM41</f>
        <v>350</v>
      </c>
      <c r="BN42" s="343">
        <f>+BM42</f>
        <v>350</v>
      </c>
      <c r="BO42" s="1401">
        <f>+BO40+BO41</f>
        <v>350</v>
      </c>
      <c r="BP42" s="336">
        <f>+BP40+BP41</f>
        <v>350</v>
      </c>
      <c r="BQ42" s="662">
        <v>350</v>
      </c>
      <c r="BR42" s="1404">
        <v>350</v>
      </c>
      <c r="BS42" s="343">
        <f>+BR42</f>
        <v>350</v>
      </c>
      <c r="BT42" s="1403">
        <v>350</v>
      </c>
      <c r="BU42" s="662">
        <v>350</v>
      </c>
      <c r="BV42" s="662">
        <v>350</v>
      </c>
      <c r="BW42" s="1404">
        <v>350</v>
      </c>
      <c r="BX42" s="343">
        <f>+BW42</f>
        <v>350</v>
      </c>
      <c r="BY42" s="1403">
        <v>350</v>
      </c>
      <c r="BZ42" s="662">
        <v>350</v>
      </c>
      <c r="CA42" s="662">
        <v>350</v>
      </c>
      <c r="CB42" s="1404">
        <v>350</v>
      </c>
      <c r="CC42" s="343">
        <f>+CB42</f>
        <v>350</v>
      </c>
      <c r="CD42" s="1401">
        <f>+CD40+CD41</f>
        <v>350</v>
      </c>
      <c r="CE42" s="336">
        <f>+CE40+CE41</f>
        <v>350</v>
      </c>
      <c r="CF42" s="336">
        <f>+CF40+CF41</f>
        <v>350</v>
      </c>
      <c r="CG42" s="1402">
        <f>+CG40+CG41</f>
        <v>350</v>
      </c>
      <c r="CH42" s="343">
        <f>+CG42</f>
        <v>350</v>
      </c>
      <c r="CI42" s="1401">
        <f>+CI40+CI41</f>
        <v>350</v>
      </c>
      <c r="CJ42" s="336">
        <f>+CJ40+CJ41</f>
        <v>350</v>
      </c>
      <c r="CK42" s="336">
        <f>+CK40+CK41</f>
        <v>350</v>
      </c>
      <c r="CL42" s="1402">
        <f>+CL40+CL41</f>
        <v>350</v>
      </c>
      <c r="CM42" s="343">
        <f>+CL42</f>
        <v>350</v>
      </c>
      <c r="CN42" s="1401">
        <f>+CN40+CN41</f>
        <v>350</v>
      </c>
      <c r="CO42" s="336">
        <f>+CO40+CO41</f>
        <v>350</v>
      </c>
      <c r="CP42" s="336">
        <f>+CP40+CP41</f>
        <v>350</v>
      </c>
      <c r="CQ42" s="1402">
        <f>+CQ40+CQ41</f>
        <v>350</v>
      </c>
      <c r="CR42" s="1451">
        <f>+CQ42</f>
        <v>350</v>
      </c>
    </row>
    <row r="43" spans="1:96" ht="13.5" customHeight="1">
      <c r="A43" s="317"/>
      <c r="B43" s="317" t="s">
        <v>91</v>
      </c>
      <c r="C43" s="317"/>
      <c r="D43" s="318"/>
      <c r="E43" s="318"/>
      <c r="F43" s="318"/>
      <c r="G43" s="318"/>
      <c r="H43" s="335"/>
      <c r="I43" s="335"/>
      <c r="J43" s="335"/>
      <c r="K43" s="335"/>
      <c r="L43" s="335"/>
      <c r="M43" s="335"/>
      <c r="N43" s="335"/>
      <c r="O43" s="335"/>
      <c r="P43" s="335"/>
      <c r="Q43" s="335"/>
      <c r="R43" s="335"/>
      <c r="S43" s="335"/>
      <c r="T43" s="335"/>
      <c r="U43" s="335"/>
      <c r="V43" s="335"/>
      <c r="W43" s="335"/>
      <c r="X43" s="335"/>
      <c r="Y43" s="335"/>
      <c r="Z43" s="335"/>
      <c r="AA43" s="335"/>
      <c r="AB43" s="335"/>
      <c r="AC43" s="335"/>
      <c r="AD43" s="335"/>
      <c r="AE43" s="335"/>
      <c r="AF43" s="335"/>
      <c r="AG43" s="335"/>
      <c r="AH43" s="335"/>
      <c r="AI43" s="335"/>
      <c r="AJ43" s="335"/>
      <c r="AK43" s="1401">
        <f>+AVERAGE(AK40,AK42)</f>
        <v>350</v>
      </c>
      <c r="AL43" s="336">
        <f>+AVERAGE(AL40,AL42)</f>
        <v>350</v>
      </c>
      <c r="AM43" s="336">
        <f>+AVERAGE(AM40,AM42)</f>
        <v>350</v>
      </c>
      <c r="AN43" s="1402">
        <f>+AVERAGE(AN40,AN42)</f>
        <v>350</v>
      </c>
      <c r="AO43" s="336"/>
      <c r="AP43" s="1401">
        <f>+AVERAGE(AP40,AP42)</f>
        <v>350</v>
      </c>
      <c r="AQ43" s="336">
        <f>+AVERAGE(AQ40,AQ42)</f>
        <v>350</v>
      </c>
      <c r="AR43" s="336">
        <f>+AVERAGE(AR40,AR42)</f>
        <v>350</v>
      </c>
      <c r="AS43" s="1402">
        <f>+AVERAGE(AS40,AS42)</f>
        <v>350</v>
      </c>
      <c r="AT43" s="336"/>
      <c r="AU43" s="1401">
        <f>+AVERAGE(AU40,AU42)</f>
        <v>350</v>
      </c>
      <c r="AV43" s="336">
        <f>+AVERAGE(AV40,AV42)</f>
        <v>350</v>
      </c>
      <c r="AW43" s="336">
        <f>+AVERAGE(AW40,AW42)</f>
        <v>350</v>
      </c>
      <c r="AX43" s="1402">
        <f>+AVERAGE(AX40,AX42)</f>
        <v>350</v>
      </c>
      <c r="AY43" s="336"/>
      <c r="AZ43" s="1401">
        <f>+AVERAGE(AZ40,AZ42)</f>
        <v>350</v>
      </c>
      <c r="BA43" s="336">
        <f>+AVERAGE(BA40,BA42)</f>
        <v>350</v>
      </c>
      <c r="BB43" s="336">
        <f>+AVERAGE(BB40,BB42)</f>
        <v>350</v>
      </c>
      <c r="BC43" s="1402">
        <f>+AVERAGE(BC40,BC42)</f>
        <v>350</v>
      </c>
      <c r="BD43" s="336"/>
      <c r="BE43" s="1401">
        <f>+AVERAGE(BE40,BE42)</f>
        <v>350</v>
      </c>
      <c r="BF43" s="336">
        <f>+AVERAGE(BF40,BF42)</f>
        <v>350</v>
      </c>
      <c r="BG43" s="336">
        <f>+AVERAGE(BG40,BG42)</f>
        <v>350</v>
      </c>
      <c r="BH43" s="1402">
        <f>+AVERAGE(BH40,BH42)</f>
        <v>350</v>
      </c>
      <c r="BI43" s="336"/>
      <c r="BJ43" s="1401">
        <f>+AVERAGE(BJ40,BJ42)</f>
        <v>350</v>
      </c>
      <c r="BK43" s="336">
        <f>+AVERAGE(BK40,BK42)</f>
        <v>350</v>
      </c>
      <c r="BL43" s="336">
        <f>+AVERAGE(BL40,BL42)</f>
        <v>350</v>
      </c>
      <c r="BM43" s="1402">
        <f>+AVERAGE(BM40,BM42)</f>
        <v>350</v>
      </c>
      <c r="BN43" s="336"/>
      <c r="BO43" s="1401">
        <f>+AVERAGE(BO40,BO42)</f>
        <v>350</v>
      </c>
      <c r="BP43" s="336">
        <f>+AVERAGE(BP40,BP42)</f>
        <v>350</v>
      </c>
      <c r="BQ43" s="336">
        <f>+AVERAGE(BQ40,BQ42)</f>
        <v>350</v>
      </c>
      <c r="BR43" s="1402">
        <f>+AVERAGE(BR40,BR42)</f>
        <v>350</v>
      </c>
      <c r="BS43" s="336"/>
      <c r="BT43" s="1401">
        <f>+AVERAGE(BT40,BT42)</f>
        <v>350</v>
      </c>
      <c r="BU43" s="336">
        <f>+AVERAGE(BU40,BU42)</f>
        <v>350</v>
      </c>
      <c r="BV43" s="336">
        <f>+AVERAGE(BV40,BV42)</f>
        <v>350</v>
      </c>
      <c r="BW43" s="1402">
        <f>+AVERAGE(BW40,BW42)</f>
        <v>350</v>
      </c>
      <c r="BX43" s="336"/>
      <c r="BY43" s="1401">
        <f>+AVERAGE(BY40,BY42)</f>
        <v>350</v>
      </c>
      <c r="BZ43" s="336">
        <f>+AVERAGE(BZ40,BZ42)</f>
        <v>350</v>
      </c>
      <c r="CA43" s="336">
        <f>+AVERAGE(CA40,CA42)</f>
        <v>350</v>
      </c>
      <c r="CB43" s="1402">
        <f>+AVERAGE(CB40,CB42)</f>
        <v>350</v>
      </c>
      <c r="CC43" s="336"/>
      <c r="CD43" s="1401">
        <f>+AVERAGE(CD40,CD42)</f>
        <v>350</v>
      </c>
      <c r="CE43" s="336">
        <f>+AVERAGE(CE40,CE42)</f>
        <v>350</v>
      </c>
      <c r="CF43" s="336">
        <f>+AVERAGE(CF40,CF42)</f>
        <v>350</v>
      </c>
      <c r="CG43" s="1402">
        <f>+AVERAGE(CG40,CG42)</f>
        <v>350</v>
      </c>
      <c r="CH43" s="336"/>
      <c r="CI43" s="1401">
        <f>+AVERAGE(CI40,CI42)</f>
        <v>350</v>
      </c>
      <c r="CJ43" s="336">
        <f>+AVERAGE(CJ40,CJ42)</f>
        <v>350</v>
      </c>
      <c r="CK43" s="336">
        <f>+AVERAGE(CK40,CK42)</f>
        <v>350</v>
      </c>
      <c r="CL43" s="1402">
        <f>+AVERAGE(CL40,CL42)</f>
        <v>350</v>
      </c>
      <c r="CM43" s="336"/>
      <c r="CN43" s="1401">
        <f>+AVERAGE(CN40,CN42)</f>
        <v>350</v>
      </c>
      <c r="CO43" s="336">
        <f>+AVERAGE(CO40,CO42)</f>
        <v>350</v>
      </c>
      <c r="CP43" s="336">
        <f>+AVERAGE(CP40,CP42)</f>
        <v>350</v>
      </c>
      <c r="CQ43" s="1402">
        <f>+AVERAGE(CQ40,CQ42)</f>
        <v>350</v>
      </c>
      <c r="CR43" s="1402"/>
    </row>
    <row r="44" spans="1:96" ht="13.5" customHeight="1">
      <c r="A44" s="317"/>
      <c r="B44" s="317" t="s">
        <v>92</v>
      </c>
      <c r="C44" s="317"/>
      <c r="D44" s="318"/>
      <c r="E44" s="318"/>
      <c r="F44" s="318"/>
      <c r="G44" s="318"/>
      <c r="H44" s="335"/>
      <c r="I44" s="335"/>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1401">
        <f>+AK43*$G39/4</f>
        <v>5.8187500000000005</v>
      </c>
      <c r="AL44" s="336">
        <f>+AL43*$G39/4</f>
        <v>5.8187500000000005</v>
      </c>
      <c r="AM44" s="336">
        <f>+AM43*$G39/4</f>
        <v>5.8187500000000005</v>
      </c>
      <c r="AN44" s="1402">
        <f>+AN43*$G39/4</f>
        <v>5.8187500000000005</v>
      </c>
      <c r="AO44" s="336"/>
      <c r="AP44" s="1401">
        <f>+AP43*$G39/4</f>
        <v>5.8187500000000005</v>
      </c>
      <c r="AQ44" s="336">
        <f>+AQ43*$G39/4</f>
        <v>5.8187500000000005</v>
      </c>
      <c r="AR44" s="336">
        <f>+AR43*$G39/4</f>
        <v>5.8187500000000005</v>
      </c>
      <c r="AS44" s="1402">
        <f>+AS43*$G39/4</f>
        <v>5.8187500000000005</v>
      </c>
      <c r="AT44" s="336"/>
      <c r="AU44" s="1401">
        <f>+AU43*$G39/4</f>
        <v>5.8187500000000005</v>
      </c>
      <c r="AV44" s="336">
        <f>+AV43*$G39/4</f>
        <v>5.8187500000000005</v>
      </c>
      <c r="AW44" s="336">
        <f>+AW43*$G39/4</f>
        <v>5.8187500000000005</v>
      </c>
      <c r="AX44" s="1402">
        <f>+AX43*$G39/4</f>
        <v>5.8187500000000005</v>
      </c>
      <c r="AY44" s="336"/>
      <c r="AZ44" s="1401">
        <f>+AZ43*$G39/4</f>
        <v>5.8187500000000005</v>
      </c>
      <c r="BA44" s="336">
        <f>+BA43*$G39/4</f>
        <v>5.8187500000000005</v>
      </c>
      <c r="BB44" s="336">
        <f>+BB43*$G39/4</f>
        <v>5.8187500000000005</v>
      </c>
      <c r="BC44" s="1402">
        <f>+BC43*$G39/4</f>
        <v>5.8187500000000005</v>
      </c>
      <c r="BD44" s="336"/>
      <c r="BE44" s="1401">
        <f>+BE43*$G39/4</f>
        <v>5.8187500000000005</v>
      </c>
      <c r="BF44" s="336">
        <f>+BF43*$G39/4</f>
        <v>5.8187500000000005</v>
      </c>
      <c r="BG44" s="336">
        <f>+BG43*$G39/4</f>
        <v>5.8187500000000005</v>
      </c>
      <c r="BH44" s="1402">
        <f>+BH43*$G39/4</f>
        <v>5.8187500000000005</v>
      </c>
      <c r="BI44" s="336"/>
      <c r="BJ44" s="1401">
        <f>+BJ43*$G39/4</f>
        <v>5.8187500000000005</v>
      </c>
      <c r="BK44" s="336">
        <f>+BK43*$G39/4</f>
        <v>5.8187500000000005</v>
      </c>
      <c r="BL44" s="336">
        <f>+BL43*$G39/4</f>
        <v>5.8187500000000005</v>
      </c>
      <c r="BM44" s="1402">
        <f>+BM43*$G39/4</f>
        <v>5.8187500000000005</v>
      </c>
      <c r="BN44" s="336"/>
      <c r="BO44" s="1401">
        <f>+BO43*$G39/4</f>
        <v>5.8187500000000005</v>
      </c>
      <c r="BP44" s="336">
        <f>+BP43*$G39/4</f>
        <v>5.8187500000000005</v>
      </c>
      <c r="BQ44" s="336">
        <f>+BQ43*$G39/4</f>
        <v>5.8187500000000005</v>
      </c>
      <c r="BR44" s="1402">
        <f>+BR43*$G39/4</f>
        <v>5.8187500000000005</v>
      </c>
      <c r="BS44" s="336"/>
      <c r="BT44" s="1401">
        <f>+BT43*$G39/4</f>
        <v>5.8187500000000005</v>
      </c>
      <c r="BU44" s="336">
        <f>+BU43*$G39/4</f>
        <v>5.8187500000000005</v>
      </c>
      <c r="BV44" s="336">
        <f>+BV43*$G39/4</f>
        <v>5.8187500000000005</v>
      </c>
      <c r="BW44" s="1402">
        <f>+BW43*$G39/4</f>
        <v>5.8187500000000005</v>
      </c>
      <c r="BX44" s="336"/>
      <c r="BY44" s="1401">
        <f>+BY43*$G39/4</f>
        <v>5.8187500000000005</v>
      </c>
      <c r="BZ44" s="336">
        <f>+BZ43*$G39/4</f>
        <v>5.8187500000000005</v>
      </c>
      <c r="CA44" s="336">
        <f>+CA43*$G39/4</f>
        <v>5.8187500000000005</v>
      </c>
      <c r="CB44" s="1402">
        <f>+CB43*$G39/4</f>
        <v>5.8187500000000005</v>
      </c>
      <c r="CC44" s="336"/>
      <c r="CD44" s="1401">
        <f>+CD43*$G39/4</f>
        <v>5.8187500000000005</v>
      </c>
      <c r="CE44" s="336">
        <f>+CE43*$G39/4</f>
        <v>5.8187500000000005</v>
      </c>
      <c r="CF44" s="336">
        <f>+CF43*$G39/4</f>
        <v>5.8187500000000005</v>
      </c>
      <c r="CG44" s="1402">
        <f>+CG43*$G39/4</f>
        <v>5.8187500000000005</v>
      </c>
      <c r="CH44" s="336"/>
      <c r="CI44" s="1401">
        <f>+CI43*$G39/4</f>
        <v>5.8187500000000005</v>
      </c>
      <c r="CJ44" s="336">
        <f>+CJ43*$G39/4</f>
        <v>5.8187500000000005</v>
      </c>
      <c r="CK44" s="336">
        <f>+CK43*$G39/4</f>
        <v>5.8187500000000005</v>
      </c>
      <c r="CL44" s="1402">
        <f>+CL43*$G39/4</f>
        <v>5.8187500000000005</v>
      </c>
      <c r="CM44" s="336"/>
      <c r="CN44" s="1401">
        <f>+CN43*$G39/4</f>
        <v>5.8187500000000005</v>
      </c>
      <c r="CO44" s="336">
        <f>+CO43*$G39/4</f>
        <v>5.8187500000000005</v>
      </c>
      <c r="CP44" s="336">
        <f>+CP43*$G39/4</f>
        <v>5.8187500000000005</v>
      </c>
      <c r="CQ44" s="1402">
        <f>+CQ43*$G39/4</f>
        <v>5.8187500000000005</v>
      </c>
      <c r="CR44" s="1402"/>
    </row>
    <row r="45" spans="1:96" ht="13.5" customHeight="1">
      <c r="A45" s="317"/>
      <c r="B45" s="317" t="s">
        <v>93</v>
      </c>
      <c r="C45" s="317"/>
      <c r="D45" s="318"/>
      <c r="E45" s="318"/>
      <c r="F45" s="318"/>
      <c r="G45" s="318"/>
      <c r="H45" s="318"/>
      <c r="I45" s="318"/>
      <c r="J45" s="318"/>
      <c r="K45" s="318"/>
      <c r="L45" s="318"/>
      <c r="M45" s="318"/>
      <c r="N45" s="318"/>
      <c r="O45" s="318"/>
      <c r="P45" s="318"/>
      <c r="Q45" s="318"/>
      <c r="R45" s="318"/>
      <c r="S45" s="318"/>
      <c r="T45" s="318"/>
      <c r="U45" s="318"/>
      <c r="V45" s="318"/>
      <c r="W45" s="318"/>
      <c r="X45" s="318"/>
      <c r="Y45" s="318"/>
      <c r="Z45" s="318"/>
      <c r="AA45" s="318"/>
      <c r="AB45" s="318"/>
      <c r="AC45" s="318"/>
      <c r="AD45" s="318"/>
      <c r="AE45" s="318"/>
      <c r="AF45" s="318"/>
      <c r="AG45" s="318"/>
      <c r="AH45" s="318"/>
      <c r="AI45" s="335"/>
      <c r="AJ45" s="318"/>
      <c r="AK45" s="1405"/>
      <c r="AL45" s="336">
        <f>+AK44+AL44</f>
        <v>11.637500000000001</v>
      </c>
      <c r="AM45" s="319"/>
      <c r="AN45" s="1402">
        <f>+AM44+AN44</f>
        <v>11.637500000000001</v>
      </c>
      <c r="AO45" s="319"/>
      <c r="AP45" s="1405"/>
      <c r="AQ45" s="336">
        <f>+AP44+AQ44</f>
        <v>11.637500000000001</v>
      </c>
      <c r="AR45" s="319"/>
      <c r="AS45" s="1402">
        <f>+AR44+AS44</f>
        <v>11.637500000000001</v>
      </c>
      <c r="AT45" s="336"/>
      <c r="AU45" s="1405"/>
      <c r="AV45" s="336">
        <f>+AU44+AV44</f>
        <v>11.637500000000001</v>
      </c>
      <c r="AW45" s="319"/>
      <c r="AX45" s="1402">
        <f>+AW44+AX44</f>
        <v>11.637500000000001</v>
      </c>
      <c r="AY45" s="336"/>
      <c r="AZ45" s="1405"/>
      <c r="BA45" s="336">
        <f>+AZ44+BA44</f>
        <v>11.637500000000001</v>
      </c>
      <c r="BB45" s="319"/>
      <c r="BC45" s="1402">
        <f>+BB44+BC44</f>
        <v>11.637500000000001</v>
      </c>
      <c r="BD45" s="336"/>
      <c r="BE45" s="1405"/>
      <c r="BF45" s="336">
        <f>+BE44+BF44</f>
        <v>11.637500000000001</v>
      </c>
      <c r="BG45" s="319"/>
      <c r="BH45" s="1402">
        <f>+BG44+BH44</f>
        <v>11.637500000000001</v>
      </c>
      <c r="BI45" s="336"/>
      <c r="BJ45" s="1405"/>
      <c r="BK45" s="336">
        <f>+BJ44+BK44</f>
        <v>11.637500000000001</v>
      </c>
      <c r="BL45" s="319"/>
      <c r="BM45" s="1402">
        <f>+BL44+BM44</f>
        <v>11.637500000000001</v>
      </c>
      <c r="BN45" s="336"/>
      <c r="BO45" s="1405"/>
      <c r="BP45" s="336">
        <f>+BO44+BP44</f>
        <v>11.637500000000001</v>
      </c>
      <c r="BQ45" s="319"/>
      <c r="BR45" s="1402">
        <f>+BQ44+BR44</f>
        <v>11.637500000000001</v>
      </c>
      <c r="BS45" s="336"/>
      <c r="BT45" s="1405"/>
      <c r="BU45" s="336">
        <f>+BT44+BU44</f>
        <v>11.637500000000001</v>
      </c>
      <c r="BV45" s="319"/>
      <c r="BW45" s="1402">
        <f>+BV44+BW44</f>
        <v>11.637500000000001</v>
      </c>
      <c r="BX45" s="336"/>
      <c r="BY45" s="1405"/>
      <c r="BZ45" s="336">
        <f>+BY44+BZ44</f>
        <v>11.637500000000001</v>
      </c>
      <c r="CA45" s="319"/>
      <c r="CB45" s="1402">
        <f>+CA44+CB44</f>
        <v>11.637500000000001</v>
      </c>
      <c r="CC45" s="336"/>
      <c r="CD45" s="1405"/>
      <c r="CE45" s="336">
        <f>+CD44+CE44</f>
        <v>11.637500000000001</v>
      </c>
      <c r="CF45" s="319"/>
      <c r="CG45" s="1402">
        <f>+CF44+CG44</f>
        <v>11.637500000000001</v>
      </c>
      <c r="CH45" s="336"/>
      <c r="CI45" s="1405"/>
      <c r="CJ45" s="336">
        <f>+CI44+CJ44</f>
        <v>11.637500000000001</v>
      </c>
      <c r="CK45" s="319"/>
      <c r="CL45" s="1402">
        <f>+CK44+CL44</f>
        <v>11.637500000000001</v>
      </c>
      <c r="CM45" s="336"/>
      <c r="CN45" s="1405"/>
      <c r="CO45" s="336">
        <f>+CN44+CO44</f>
        <v>11.637500000000001</v>
      </c>
      <c r="CP45" s="319"/>
      <c r="CQ45" s="1402">
        <f>+CP44+CQ44</f>
        <v>11.637500000000001</v>
      </c>
      <c r="CR45" s="1402"/>
    </row>
    <row r="46" spans="1:96" ht="6.2" hidden="1" customHeight="1" outlineLevel="1">
      <c r="A46" s="317"/>
      <c r="B46" s="317"/>
      <c r="C46" s="317"/>
      <c r="D46" s="318"/>
      <c r="E46" s="318"/>
      <c r="F46" s="318"/>
      <c r="G46" s="318"/>
      <c r="H46" s="318"/>
      <c r="I46" s="318"/>
      <c r="J46" s="318"/>
      <c r="K46" s="318"/>
      <c r="L46" s="318"/>
      <c r="M46" s="318"/>
      <c r="N46" s="318"/>
      <c r="O46" s="318"/>
      <c r="P46" s="318"/>
      <c r="Q46" s="318"/>
      <c r="R46" s="318"/>
      <c r="S46" s="318"/>
      <c r="T46" s="318"/>
      <c r="U46" s="318"/>
      <c r="V46" s="318"/>
      <c r="W46" s="318"/>
      <c r="X46" s="318"/>
      <c r="Y46" s="318"/>
      <c r="Z46" s="318"/>
      <c r="AA46" s="318"/>
      <c r="AB46" s="318"/>
      <c r="AC46" s="318"/>
      <c r="AD46" s="318"/>
      <c r="AE46" s="318"/>
      <c r="AF46" s="318"/>
      <c r="AG46" s="318"/>
      <c r="AH46" s="318"/>
      <c r="AI46" s="318"/>
      <c r="AJ46" s="318"/>
      <c r="AK46" s="1405"/>
      <c r="AL46" s="319"/>
      <c r="AM46" s="319"/>
      <c r="AN46" s="1406"/>
      <c r="AO46" s="319"/>
      <c r="AP46" s="1405"/>
      <c r="AQ46" s="319"/>
      <c r="AR46" s="319"/>
      <c r="AS46" s="1406"/>
      <c r="AT46" s="319"/>
      <c r="AU46" s="1405"/>
      <c r="AV46" s="319"/>
      <c r="AW46" s="319"/>
      <c r="AX46" s="1406"/>
      <c r="AY46" s="319"/>
      <c r="AZ46" s="1405"/>
      <c r="BA46" s="319"/>
      <c r="BB46" s="319"/>
      <c r="BC46" s="1406"/>
      <c r="BD46" s="319"/>
      <c r="BE46" s="1405"/>
      <c r="BF46" s="319"/>
      <c r="BG46" s="319"/>
      <c r="BH46" s="1406"/>
      <c r="BI46" s="319"/>
      <c r="BJ46" s="1405"/>
      <c r="BK46" s="319"/>
      <c r="BL46" s="319"/>
      <c r="BM46" s="1406"/>
      <c r="BN46" s="319"/>
      <c r="BO46" s="1405"/>
      <c r="BP46" s="319"/>
      <c r="BQ46" s="319"/>
      <c r="BR46" s="1406"/>
      <c r="BS46" s="319"/>
      <c r="BT46" s="1405"/>
      <c r="BU46" s="319"/>
      <c r="BV46" s="319"/>
      <c r="BW46" s="1406"/>
      <c r="BX46" s="319"/>
      <c r="BY46" s="1405"/>
      <c r="BZ46" s="319"/>
      <c r="CA46" s="319"/>
      <c r="CB46" s="1406"/>
      <c r="CC46" s="319"/>
      <c r="CD46" s="1405"/>
      <c r="CE46" s="319"/>
      <c r="CF46" s="319"/>
      <c r="CG46" s="1406"/>
      <c r="CH46" s="319"/>
      <c r="CI46" s="1405"/>
      <c r="CJ46" s="319"/>
      <c r="CK46" s="319"/>
      <c r="CL46" s="1406"/>
      <c r="CM46" s="319"/>
      <c r="CN46" s="1405"/>
      <c r="CO46" s="319"/>
      <c r="CP46" s="319"/>
      <c r="CQ46" s="1406"/>
      <c r="CR46" s="1406"/>
    </row>
    <row r="47" spans="1:96" ht="13.5" hidden="1" customHeight="1" outlineLevel="1">
      <c r="A47" s="334" t="s">
        <v>99</v>
      </c>
      <c r="B47" s="317"/>
      <c r="C47" s="317"/>
      <c r="D47" s="318"/>
      <c r="E47" s="318"/>
      <c r="F47" s="318"/>
      <c r="G47" s="347">
        <v>7.4999999999999997E-2</v>
      </c>
      <c r="H47" s="339">
        <v>44635</v>
      </c>
      <c r="I47" s="318"/>
      <c r="J47" s="318"/>
      <c r="K47" s="318"/>
      <c r="L47" s="318"/>
      <c r="M47" s="318"/>
      <c r="N47" s="318"/>
      <c r="O47" s="318"/>
      <c r="P47" s="318"/>
      <c r="Q47" s="318"/>
      <c r="R47" s="318"/>
      <c r="S47" s="318"/>
      <c r="T47" s="318"/>
      <c r="U47" s="318"/>
      <c r="V47" s="318"/>
      <c r="W47" s="318"/>
      <c r="X47" s="318"/>
      <c r="Y47" s="318"/>
      <c r="Z47" s="318"/>
      <c r="AA47" s="318"/>
      <c r="AB47" s="318"/>
      <c r="AC47" s="318"/>
      <c r="AD47" s="318"/>
      <c r="AE47" s="318"/>
      <c r="AF47" s="318"/>
      <c r="AG47" s="318"/>
      <c r="AH47" s="318"/>
      <c r="AI47" s="318"/>
      <c r="AJ47" s="318"/>
      <c r="AK47" s="1405"/>
      <c r="AL47" s="319"/>
      <c r="AM47" s="319"/>
      <c r="AN47" s="1406"/>
      <c r="AO47" s="319"/>
      <c r="AP47" s="1405"/>
      <c r="AQ47" s="319"/>
      <c r="AR47" s="319"/>
      <c r="AS47" s="1406"/>
      <c r="AT47" s="319"/>
      <c r="AU47" s="1405"/>
      <c r="AV47" s="319"/>
      <c r="AW47" s="319"/>
      <c r="AX47" s="1406"/>
      <c r="AY47" s="319"/>
      <c r="AZ47" s="1405"/>
      <c r="BA47" s="319"/>
      <c r="BB47" s="319"/>
      <c r="BC47" s="1406"/>
      <c r="BD47" s="319"/>
      <c r="BE47" s="1405"/>
      <c r="BF47" s="319"/>
      <c r="BG47" s="319"/>
      <c r="BH47" s="1406"/>
      <c r="BI47" s="319"/>
      <c r="BJ47" s="1405"/>
      <c r="BK47" s="319"/>
      <c r="BL47" s="319"/>
      <c r="BM47" s="1406"/>
      <c r="BN47" s="319"/>
      <c r="BO47" s="1405"/>
      <c r="BP47" s="319"/>
      <c r="BQ47" s="319"/>
      <c r="BR47" s="1406"/>
      <c r="BS47" s="319"/>
      <c r="BT47" s="1405"/>
      <c r="BU47" s="319"/>
      <c r="BV47" s="319"/>
      <c r="BW47" s="1406"/>
      <c r="BX47" s="319"/>
      <c r="BY47" s="1405"/>
      <c r="BZ47" s="319"/>
      <c r="CA47" s="319"/>
      <c r="CB47" s="1406"/>
      <c r="CC47" s="319"/>
      <c r="CD47" s="1405"/>
      <c r="CE47" s="319"/>
      <c r="CF47" s="319"/>
      <c r="CG47" s="1406"/>
      <c r="CH47" s="319"/>
      <c r="CI47" s="1405"/>
      <c r="CJ47" s="319"/>
      <c r="CK47" s="319"/>
      <c r="CL47" s="1406"/>
      <c r="CM47" s="319"/>
      <c r="CN47" s="1405"/>
      <c r="CO47" s="319"/>
      <c r="CP47" s="319"/>
      <c r="CQ47" s="1406"/>
      <c r="CR47" s="1406"/>
    </row>
    <row r="48" spans="1:96" ht="13.5" hidden="1" customHeight="1" outlineLevel="1">
      <c r="A48" s="317"/>
      <c r="B48" s="317" t="s">
        <v>87</v>
      </c>
      <c r="C48" s="317"/>
      <c r="D48" s="318"/>
      <c r="E48" s="318"/>
      <c r="F48" s="318"/>
      <c r="G48" s="318"/>
      <c r="H48" s="335"/>
      <c r="I48" s="335"/>
      <c r="J48" s="335"/>
      <c r="K48" s="335"/>
      <c r="L48" s="335"/>
      <c r="M48" s="335"/>
      <c r="N48" s="335"/>
      <c r="O48" s="335"/>
      <c r="P48" s="335"/>
      <c r="Q48" s="335"/>
      <c r="R48" s="335"/>
      <c r="S48" s="335"/>
      <c r="T48" s="335"/>
      <c r="U48" s="335"/>
      <c r="V48" s="335"/>
      <c r="W48" s="335"/>
      <c r="X48" s="335"/>
      <c r="Y48" s="335"/>
      <c r="Z48" s="335"/>
      <c r="AA48" s="335"/>
      <c r="AB48" s="335"/>
      <c r="AC48" s="335"/>
      <c r="AD48" s="335"/>
      <c r="AE48" s="335"/>
      <c r="AF48" s="335"/>
      <c r="AG48" s="335"/>
      <c r="AH48" s="335"/>
      <c r="AI48" s="335"/>
      <c r="AJ48" s="335"/>
      <c r="AK48" s="1401">
        <f>+AJ50</f>
        <v>0</v>
      </c>
      <c r="AL48" s="336">
        <f>+AK50</f>
        <v>0</v>
      </c>
      <c r="AM48" s="336">
        <f>+AL50</f>
        <v>0</v>
      </c>
      <c r="AN48" s="1402">
        <f>+AM50</f>
        <v>0</v>
      </c>
      <c r="AO48" s="336"/>
      <c r="AP48" s="1401">
        <f>+AO50</f>
        <v>0</v>
      </c>
      <c r="AQ48" s="336">
        <f>+AP50</f>
        <v>0</v>
      </c>
      <c r="AR48" s="336">
        <f>+AQ50</f>
        <v>0</v>
      </c>
      <c r="AS48" s="1402">
        <f>+AR50</f>
        <v>0</v>
      </c>
      <c r="AT48" s="336"/>
      <c r="AU48" s="1401">
        <f>+AT50</f>
        <v>0</v>
      </c>
      <c r="AV48" s="336">
        <f>+AU50</f>
        <v>0</v>
      </c>
      <c r="AW48" s="336">
        <f>+AV50</f>
        <v>0</v>
      </c>
      <c r="AX48" s="1402">
        <f>+AW50</f>
        <v>0</v>
      </c>
      <c r="AY48" s="336"/>
      <c r="AZ48" s="1401">
        <f>+AY50</f>
        <v>0</v>
      </c>
      <c r="BA48" s="336">
        <f>+AZ50</f>
        <v>400</v>
      </c>
      <c r="BB48" s="336">
        <f>+BA50</f>
        <v>400</v>
      </c>
      <c r="BC48" s="1402">
        <f>+BB50</f>
        <v>400</v>
      </c>
      <c r="BD48" s="336"/>
      <c r="BE48" s="1401">
        <f>+BD50</f>
        <v>400</v>
      </c>
      <c r="BF48" s="336">
        <f>+BE50</f>
        <v>400</v>
      </c>
      <c r="BG48" s="336">
        <f>+BF50</f>
        <v>400</v>
      </c>
      <c r="BH48" s="1402">
        <f>+BG50</f>
        <v>400</v>
      </c>
      <c r="BI48" s="336"/>
      <c r="BJ48" s="1401">
        <f>+BI50</f>
        <v>400</v>
      </c>
      <c r="BK48" s="336">
        <f>+BJ50</f>
        <v>400</v>
      </c>
      <c r="BL48" s="336">
        <f>+BK50</f>
        <v>400</v>
      </c>
      <c r="BM48" s="1402">
        <f>+BL50</f>
        <v>400</v>
      </c>
      <c r="BN48" s="336"/>
      <c r="BO48" s="1401">
        <f>+BN50</f>
        <v>400</v>
      </c>
      <c r="BP48" s="336">
        <f>+BO50</f>
        <v>400</v>
      </c>
      <c r="BQ48" s="336">
        <f>+BP50</f>
        <v>400</v>
      </c>
      <c r="BR48" s="1402">
        <f>+BQ50</f>
        <v>400</v>
      </c>
      <c r="BS48" s="336"/>
      <c r="BT48" s="1401">
        <f>+BS50</f>
        <v>400</v>
      </c>
      <c r="BU48" s="336">
        <f>+BT50</f>
        <v>400</v>
      </c>
      <c r="BV48" s="336">
        <f>+BU50</f>
        <v>400</v>
      </c>
      <c r="BW48" s="1402">
        <f>+BV50</f>
        <v>400</v>
      </c>
      <c r="BX48" s="336"/>
      <c r="BY48" s="1401">
        <f>+BX50</f>
        <v>400</v>
      </c>
      <c r="BZ48" s="336">
        <f>+BY50</f>
        <v>400</v>
      </c>
      <c r="CA48" s="336">
        <f>+BZ50</f>
        <v>400</v>
      </c>
      <c r="CB48" s="1402">
        <f>+CA50</f>
        <v>0</v>
      </c>
      <c r="CC48" s="336"/>
      <c r="CD48" s="1401">
        <f>+CC50</f>
        <v>0</v>
      </c>
      <c r="CE48" s="336">
        <f>+CD50</f>
        <v>0</v>
      </c>
      <c r="CF48" s="336">
        <f>+CE50</f>
        <v>0</v>
      </c>
      <c r="CG48" s="1402">
        <f>+CF50</f>
        <v>0</v>
      </c>
      <c r="CH48" s="336"/>
      <c r="CI48" s="1401">
        <f>+CH50</f>
        <v>0</v>
      </c>
      <c r="CJ48" s="336">
        <f>+CI50</f>
        <v>0</v>
      </c>
      <c r="CK48" s="336">
        <f>+CJ50</f>
        <v>0</v>
      </c>
      <c r="CL48" s="1402">
        <f>+CK50</f>
        <v>0</v>
      </c>
      <c r="CM48" s="336"/>
      <c r="CN48" s="1401">
        <f>+CM50</f>
        <v>0</v>
      </c>
      <c r="CO48" s="336">
        <f>+CN50</f>
        <v>0</v>
      </c>
      <c r="CP48" s="336">
        <f>+CO50</f>
        <v>0</v>
      </c>
      <c r="CQ48" s="1402">
        <f>+CP50</f>
        <v>0</v>
      </c>
      <c r="CR48" s="1402"/>
    </row>
    <row r="49" spans="1:96" ht="13.5" hidden="1" customHeight="1" outlineLevel="1">
      <c r="A49" s="317"/>
      <c r="B49" s="317" t="s">
        <v>89</v>
      </c>
      <c r="C49" s="317"/>
      <c r="D49" s="318"/>
      <c r="E49" s="318"/>
      <c r="F49" s="318"/>
      <c r="G49" s="318"/>
      <c r="H49" s="335"/>
      <c r="I49" s="335"/>
      <c r="J49" s="335"/>
      <c r="K49" s="335"/>
      <c r="L49" s="335"/>
      <c r="M49" s="335"/>
      <c r="N49" s="335"/>
      <c r="O49" s="335"/>
      <c r="P49" s="335"/>
      <c r="Q49" s="335"/>
      <c r="R49" s="335"/>
      <c r="S49" s="335"/>
      <c r="T49" s="335"/>
      <c r="U49" s="335"/>
      <c r="V49" s="335"/>
      <c r="W49" s="335"/>
      <c r="X49" s="335"/>
      <c r="Y49" s="335"/>
      <c r="Z49" s="335"/>
      <c r="AA49" s="335"/>
      <c r="AB49" s="335"/>
      <c r="AC49" s="335"/>
      <c r="AD49" s="335"/>
      <c r="AE49" s="335"/>
      <c r="AF49" s="335"/>
      <c r="AG49" s="335"/>
      <c r="AH49" s="335"/>
      <c r="AI49" s="663">
        <v>0</v>
      </c>
      <c r="AJ49" s="335"/>
      <c r="AK49" s="1403">
        <v>0</v>
      </c>
      <c r="AL49" s="662">
        <v>0</v>
      </c>
      <c r="AM49" s="662">
        <v>0</v>
      </c>
      <c r="AN49" s="1404">
        <v>0</v>
      </c>
      <c r="AO49" s="336"/>
      <c r="AP49" s="1403">
        <v>0</v>
      </c>
      <c r="AQ49" s="662">
        <v>0</v>
      </c>
      <c r="AR49" s="662">
        <v>0</v>
      </c>
      <c r="AS49" s="1404">
        <v>0</v>
      </c>
      <c r="AT49" s="336"/>
      <c r="AU49" s="1403">
        <v>0</v>
      </c>
      <c r="AV49" s="662">
        <v>0</v>
      </c>
      <c r="AW49" s="662">
        <v>0</v>
      </c>
      <c r="AX49" s="1404">
        <v>0</v>
      </c>
      <c r="AY49" s="336"/>
      <c r="AZ49" s="1403">
        <v>0</v>
      </c>
      <c r="BA49" s="662">
        <v>0</v>
      </c>
      <c r="BB49" s="662">
        <v>0</v>
      </c>
      <c r="BC49" s="1404">
        <v>0</v>
      </c>
      <c r="BD49" s="336"/>
      <c r="BE49" s="1403">
        <v>0</v>
      </c>
      <c r="BF49" s="662">
        <v>0</v>
      </c>
      <c r="BG49" s="662">
        <v>0</v>
      </c>
      <c r="BH49" s="1404">
        <v>0</v>
      </c>
      <c r="BI49" s="336"/>
      <c r="BJ49" s="1403">
        <v>0</v>
      </c>
      <c r="BK49" s="662">
        <v>0</v>
      </c>
      <c r="BL49" s="662">
        <v>0</v>
      </c>
      <c r="BM49" s="1404">
        <v>0</v>
      </c>
      <c r="BN49" s="336"/>
      <c r="BO49" s="1403">
        <v>0</v>
      </c>
      <c r="BP49" s="662">
        <v>0</v>
      </c>
      <c r="BQ49" s="662">
        <v>0</v>
      </c>
      <c r="BR49" s="1404">
        <v>0</v>
      </c>
      <c r="BS49" s="336"/>
      <c r="BT49" s="1403">
        <v>0</v>
      </c>
      <c r="BU49" s="662">
        <v>0</v>
      </c>
      <c r="BV49" s="662">
        <v>0</v>
      </c>
      <c r="BW49" s="1404">
        <v>0</v>
      </c>
      <c r="BX49" s="336"/>
      <c r="BY49" s="1403">
        <v>0</v>
      </c>
      <c r="BZ49" s="662">
        <v>0</v>
      </c>
      <c r="CA49" s="662">
        <f>CA50-CA48</f>
        <v>-400</v>
      </c>
      <c r="CB49" s="1404">
        <v>0</v>
      </c>
      <c r="CC49" s="336"/>
      <c r="CD49" s="1403">
        <v>0</v>
      </c>
      <c r="CE49" s="662">
        <v>0</v>
      </c>
      <c r="CF49" s="662">
        <v>0</v>
      </c>
      <c r="CG49" s="1404">
        <v>0</v>
      </c>
      <c r="CH49" s="336"/>
      <c r="CI49" s="1403">
        <v>0</v>
      </c>
      <c r="CJ49" s="662">
        <v>0</v>
      </c>
      <c r="CK49" s="662">
        <v>0</v>
      </c>
      <c r="CL49" s="1404">
        <v>0</v>
      </c>
      <c r="CM49" s="336"/>
      <c r="CN49" s="1403">
        <v>0</v>
      </c>
      <c r="CO49" s="662">
        <v>0</v>
      </c>
      <c r="CP49" s="662">
        <v>0</v>
      </c>
      <c r="CQ49" s="1404">
        <v>0</v>
      </c>
      <c r="CR49" s="1402"/>
    </row>
    <row r="50" spans="1:96" ht="13.5" hidden="1" customHeight="1" outlineLevel="1">
      <c r="A50" s="317"/>
      <c r="B50" s="317" t="s">
        <v>90</v>
      </c>
      <c r="C50" s="317"/>
      <c r="D50" s="318"/>
      <c r="E50" s="318"/>
      <c r="F50" s="318"/>
      <c r="G50" s="318"/>
      <c r="H50" s="348">
        <v>0</v>
      </c>
      <c r="I50" s="348"/>
      <c r="J50" s="348"/>
      <c r="K50" s="348"/>
      <c r="L50" s="348"/>
      <c r="M50" s="348"/>
      <c r="N50" s="348"/>
      <c r="O50" s="348"/>
      <c r="P50" s="348"/>
      <c r="Q50" s="348"/>
      <c r="R50" s="348"/>
      <c r="S50" s="348"/>
      <c r="T50" s="348"/>
      <c r="U50" s="348"/>
      <c r="V50" s="348"/>
      <c r="W50" s="348"/>
      <c r="X50" s="348"/>
      <c r="Y50" s="348"/>
      <c r="Z50" s="348"/>
      <c r="AA50" s="348"/>
      <c r="AB50" s="348"/>
      <c r="AC50" s="348"/>
      <c r="AD50" s="348"/>
      <c r="AE50" s="348"/>
      <c r="AF50" s="348"/>
      <c r="AG50" s="348"/>
      <c r="AH50" s="348"/>
      <c r="AI50" s="663">
        <v>0</v>
      </c>
      <c r="AJ50" s="335">
        <f>+AI50</f>
        <v>0</v>
      </c>
      <c r="AK50" s="1401">
        <f>+AK48+AK49</f>
        <v>0</v>
      </c>
      <c r="AL50" s="336">
        <f>+AL48+AL49</f>
        <v>0</v>
      </c>
      <c r="AM50" s="336">
        <f>+AM48+AM49</f>
        <v>0</v>
      </c>
      <c r="AN50" s="1402">
        <f>+AN48+AN49</f>
        <v>0</v>
      </c>
      <c r="AO50" s="343">
        <f>+AN50</f>
        <v>0</v>
      </c>
      <c r="AP50" s="1401">
        <f>+AP48+AP49</f>
        <v>0</v>
      </c>
      <c r="AQ50" s="336">
        <f>+AQ48+AQ49</f>
        <v>0</v>
      </c>
      <c r="AR50" s="336">
        <f>+AR48+AR49</f>
        <v>0</v>
      </c>
      <c r="AS50" s="1402">
        <f>+AS48+AS49</f>
        <v>0</v>
      </c>
      <c r="AT50" s="343">
        <f>+AS50</f>
        <v>0</v>
      </c>
      <c r="AU50" s="1401">
        <f>+AU48+AU49</f>
        <v>0</v>
      </c>
      <c r="AV50" s="336">
        <f>+AV48+AV49</f>
        <v>0</v>
      </c>
      <c r="AW50" s="336">
        <f>+AW48+AW49</f>
        <v>0</v>
      </c>
      <c r="AX50" s="1402">
        <f>+AX48+AX49</f>
        <v>0</v>
      </c>
      <c r="AY50" s="343">
        <f>+AX50</f>
        <v>0</v>
      </c>
      <c r="AZ50" s="1403">
        <v>400</v>
      </c>
      <c r="BA50" s="336">
        <f>+BA48+BA49</f>
        <v>400</v>
      </c>
      <c r="BB50" s="336">
        <f>+BB48+BB49</f>
        <v>400</v>
      </c>
      <c r="BC50" s="1402">
        <f>+BC48+BC49</f>
        <v>400</v>
      </c>
      <c r="BD50" s="343">
        <f>+BC50</f>
        <v>400</v>
      </c>
      <c r="BE50" s="1401">
        <f>+BE48+BE49</f>
        <v>400</v>
      </c>
      <c r="BF50" s="336">
        <f>+BF48+BF49</f>
        <v>400</v>
      </c>
      <c r="BG50" s="336">
        <f>+BG48+BG49</f>
        <v>400</v>
      </c>
      <c r="BH50" s="1402">
        <f>+BH48+BH49</f>
        <v>400</v>
      </c>
      <c r="BI50" s="343">
        <f>+BH50</f>
        <v>400</v>
      </c>
      <c r="BJ50" s="1401">
        <f>+BJ48+BJ49</f>
        <v>400</v>
      </c>
      <c r="BK50" s="336">
        <f>+BK48+BK49</f>
        <v>400</v>
      </c>
      <c r="BL50" s="336">
        <f>+BL48+BL49</f>
        <v>400</v>
      </c>
      <c r="BM50" s="1402">
        <f>+BM48+BM49</f>
        <v>400</v>
      </c>
      <c r="BN50" s="343">
        <f>+BM50</f>
        <v>400</v>
      </c>
      <c r="BO50" s="1401">
        <f>+BO48+BO49</f>
        <v>400</v>
      </c>
      <c r="BP50" s="336">
        <f>+BP48+BP49</f>
        <v>400</v>
      </c>
      <c r="BQ50" s="662">
        <v>400</v>
      </c>
      <c r="BR50" s="1404">
        <v>400</v>
      </c>
      <c r="BS50" s="343">
        <f>+BR50</f>
        <v>400</v>
      </c>
      <c r="BT50" s="1403">
        <v>400</v>
      </c>
      <c r="BU50" s="662">
        <v>400</v>
      </c>
      <c r="BV50" s="662">
        <v>400</v>
      </c>
      <c r="BW50" s="1404">
        <v>400</v>
      </c>
      <c r="BX50" s="343">
        <f>+BW50</f>
        <v>400</v>
      </c>
      <c r="BY50" s="1403">
        <v>400</v>
      </c>
      <c r="BZ50" s="662">
        <v>400</v>
      </c>
      <c r="CA50" s="662">
        <v>0</v>
      </c>
      <c r="CB50" s="1402">
        <v>0</v>
      </c>
      <c r="CC50" s="343">
        <f>+CB50</f>
        <v>0</v>
      </c>
      <c r="CD50" s="1401">
        <f>+CD48+CD49</f>
        <v>0</v>
      </c>
      <c r="CE50" s="336">
        <f>+CE48+CE49</f>
        <v>0</v>
      </c>
      <c r="CF50" s="336">
        <f>+CF48+CF49</f>
        <v>0</v>
      </c>
      <c r="CG50" s="1402">
        <f>+CG48+CG49</f>
        <v>0</v>
      </c>
      <c r="CH50" s="343">
        <f>+CG50</f>
        <v>0</v>
      </c>
      <c r="CI50" s="1401">
        <f>+CI48+CI49</f>
        <v>0</v>
      </c>
      <c r="CJ50" s="336">
        <f>+CJ48+CJ49</f>
        <v>0</v>
      </c>
      <c r="CK50" s="336">
        <f>+CK48+CK49</f>
        <v>0</v>
      </c>
      <c r="CL50" s="1402">
        <f>+CL48+CL49</f>
        <v>0</v>
      </c>
      <c r="CM50" s="343">
        <f>+CL50</f>
        <v>0</v>
      </c>
      <c r="CN50" s="1401">
        <f>+CN48+CN49</f>
        <v>0</v>
      </c>
      <c r="CO50" s="336">
        <f>+CO48+CO49</f>
        <v>0</v>
      </c>
      <c r="CP50" s="336">
        <f>+CP48+CP49</f>
        <v>0</v>
      </c>
      <c r="CQ50" s="1402">
        <f>+CQ48+CQ49</f>
        <v>0</v>
      </c>
      <c r="CR50" s="1451">
        <f>+CQ50</f>
        <v>0</v>
      </c>
    </row>
    <row r="51" spans="1:96" ht="13.5" hidden="1" customHeight="1" outlineLevel="1">
      <c r="A51" s="317"/>
      <c r="B51" s="317" t="s">
        <v>91</v>
      </c>
      <c r="C51" s="317"/>
      <c r="D51" s="318"/>
      <c r="E51" s="318"/>
      <c r="F51" s="318"/>
      <c r="G51" s="318"/>
      <c r="H51" s="335"/>
      <c r="I51" s="335"/>
      <c r="J51" s="335"/>
      <c r="K51" s="335"/>
      <c r="L51" s="335"/>
      <c r="M51" s="335"/>
      <c r="N51" s="335"/>
      <c r="O51" s="335"/>
      <c r="P51" s="335"/>
      <c r="Q51" s="335"/>
      <c r="R51" s="335"/>
      <c r="S51" s="335"/>
      <c r="T51" s="335"/>
      <c r="U51" s="335"/>
      <c r="V51" s="335"/>
      <c r="W51" s="335"/>
      <c r="X51" s="335"/>
      <c r="Y51" s="335"/>
      <c r="Z51" s="335"/>
      <c r="AA51" s="335"/>
      <c r="AB51" s="335"/>
      <c r="AC51" s="335"/>
      <c r="AD51" s="335"/>
      <c r="AE51" s="335"/>
      <c r="AF51" s="335"/>
      <c r="AG51" s="335"/>
      <c r="AH51" s="335"/>
      <c r="AI51" s="335"/>
      <c r="AJ51" s="335"/>
      <c r="AK51" s="1401">
        <f>+AVERAGE(AK48,AK50)</f>
        <v>0</v>
      </c>
      <c r="AL51" s="336">
        <f>+AVERAGE(AL48,AL50)</f>
        <v>0</v>
      </c>
      <c r="AM51" s="336">
        <f>+AVERAGE(AM48,AM50)</f>
        <v>0</v>
      </c>
      <c r="AN51" s="1402">
        <f>+AVERAGE(AN48,AN50)</f>
        <v>0</v>
      </c>
      <c r="AO51" s="336"/>
      <c r="AP51" s="1401">
        <f>+AVERAGE(AP48,AP50)</f>
        <v>0</v>
      </c>
      <c r="AQ51" s="336">
        <f>+AVERAGE(AQ48,AQ50)</f>
        <v>0</v>
      </c>
      <c r="AR51" s="336">
        <f>+AVERAGE(AR48,AR50)</f>
        <v>0</v>
      </c>
      <c r="AS51" s="1402">
        <f>+AVERAGE(AS48,AS50)</f>
        <v>0</v>
      </c>
      <c r="AT51" s="336"/>
      <c r="AU51" s="1401">
        <f>+AVERAGE(AU48,AU50)</f>
        <v>0</v>
      </c>
      <c r="AV51" s="336">
        <f>+AVERAGE(AV48,AV50)</f>
        <v>0</v>
      </c>
      <c r="AW51" s="336">
        <f>+AVERAGE(AW48,AW50)</f>
        <v>0</v>
      </c>
      <c r="AX51" s="1402">
        <f>+AVERAGE(AX48,AX50)</f>
        <v>0</v>
      </c>
      <c r="AY51" s="336"/>
      <c r="AZ51" s="1403">
        <v>93</v>
      </c>
      <c r="BA51" s="336">
        <f>+AVERAGE(BA48,BA50)</f>
        <v>400</v>
      </c>
      <c r="BB51" s="336">
        <f>+AVERAGE(BB48,BB50)</f>
        <v>400</v>
      </c>
      <c r="BC51" s="1402">
        <f>+AVERAGE(BC48,BC50)</f>
        <v>400</v>
      </c>
      <c r="BD51" s="336"/>
      <c r="BE51" s="1401">
        <f>+AVERAGE(BE48,BE50)</f>
        <v>400</v>
      </c>
      <c r="BF51" s="336">
        <f>+AVERAGE(BF48,BF50)</f>
        <v>400</v>
      </c>
      <c r="BG51" s="336">
        <f>+AVERAGE(BG48,BG50)</f>
        <v>400</v>
      </c>
      <c r="BH51" s="1402">
        <f>+AVERAGE(BH48,BH50)</f>
        <v>400</v>
      </c>
      <c r="BI51" s="336"/>
      <c r="BJ51" s="1401">
        <f>+AVERAGE(BJ48,BJ50)</f>
        <v>400</v>
      </c>
      <c r="BK51" s="336">
        <f>+AVERAGE(BK48,BK50)</f>
        <v>400</v>
      </c>
      <c r="BL51" s="336">
        <f>+AVERAGE(BL48,BL50)</f>
        <v>400</v>
      </c>
      <c r="BM51" s="1402">
        <f>+AVERAGE(BM48,BM50)</f>
        <v>400</v>
      </c>
      <c r="BN51" s="336"/>
      <c r="BO51" s="1401">
        <f>+AVERAGE(BO48,BO50)</f>
        <v>400</v>
      </c>
      <c r="BP51" s="336">
        <f>+AVERAGE(BP48,BP50)</f>
        <v>400</v>
      </c>
      <c r="BQ51" s="336">
        <f>+AVERAGE(BQ48,BQ50)</f>
        <v>400</v>
      </c>
      <c r="BR51" s="1402">
        <f>+AVERAGE(BR48,BR50)</f>
        <v>400</v>
      </c>
      <c r="BS51" s="336"/>
      <c r="BT51" s="1401">
        <f>+AVERAGE(BT48,BT50)</f>
        <v>400</v>
      </c>
      <c r="BU51" s="336">
        <f>+AVERAGE(BU48,BU50)</f>
        <v>400</v>
      </c>
      <c r="BV51" s="336">
        <f>+AVERAGE(BV48,BV50)</f>
        <v>400</v>
      </c>
      <c r="BW51" s="1402">
        <f>+AVERAGE(BW48,BW50)</f>
        <v>400</v>
      </c>
      <c r="BX51" s="336"/>
      <c r="BY51" s="1401">
        <f>+AVERAGE(BY48,BY50)</f>
        <v>400</v>
      </c>
      <c r="BZ51" s="336">
        <f>+AVERAGE(BZ48,BZ50)</f>
        <v>400</v>
      </c>
      <c r="CA51" s="336">
        <f>+AVERAGE(CA48,CA50)</f>
        <v>200</v>
      </c>
      <c r="CB51" s="1402">
        <f>+AVERAGE(CB48,CB50)</f>
        <v>0</v>
      </c>
      <c r="CC51" s="336"/>
      <c r="CD51" s="1401">
        <f>+AVERAGE(CD48,CD50)</f>
        <v>0</v>
      </c>
      <c r="CE51" s="336">
        <f>+AVERAGE(CE48,CE50)</f>
        <v>0</v>
      </c>
      <c r="CF51" s="336">
        <f>+AVERAGE(CF48,CF50)</f>
        <v>0</v>
      </c>
      <c r="CG51" s="1402">
        <f>+AVERAGE(CG48,CG50)</f>
        <v>0</v>
      </c>
      <c r="CH51" s="336"/>
      <c r="CI51" s="1401">
        <f>+AVERAGE(CI48,CI50)</f>
        <v>0</v>
      </c>
      <c r="CJ51" s="336">
        <f>+AVERAGE(CJ48,CJ50)</f>
        <v>0</v>
      </c>
      <c r="CK51" s="336">
        <f>+AVERAGE(CK48,CK50)</f>
        <v>0</v>
      </c>
      <c r="CL51" s="1402">
        <f>+AVERAGE(CL48,CL50)</f>
        <v>0</v>
      </c>
      <c r="CM51" s="336"/>
      <c r="CN51" s="1401">
        <f>+AVERAGE(CN48,CN50)</f>
        <v>0</v>
      </c>
      <c r="CO51" s="336">
        <f>+AVERAGE(CO48,CO50)</f>
        <v>0</v>
      </c>
      <c r="CP51" s="336">
        <f>+AVERAGE(CP48,CP50)</f>
        <v>0</v>
      </c>
      <c r="CQ51" s="1402">
        <f>+AVERAGE(CQ48,CQ50)</f>
        <v>0</v>
      </c>
      <c r="CR51" s="1402"/>
    </row>
    <row r="52" spans="1:96" ht="13.5" hidden="1" customHeight="1" outlineLevel="1">
      <c r="A52" s="317"/>
      <c r="B52" s="317" t="s">
        <v>92</v>
      </c>
      <c r="C52" s="317"/>
      <c r="D52" s="318"/>
      <c r="E52" s="318"/>
      <c r="F52" s="318"/>
      <c r="G52" s="318"/>
      <c r="H52" s="335"/>
      <c r="I52" s="335"/>
      <c r="J52" s="335"/>
      <c r="K52" s="335"/>
      <c r="L52" s="335"/>
      <c r="M52" s="335"/>
      <c r="N52" s="335"/>
      <c r="O52" s="335"/>
      <c r="P52" s="335"/>
      <c r="Q52" s="335"/>
      <c r="R52" s="335"/>
      <c r="S52" s="335"/>
      <c r="T52" s="335"/>
      <c r="U52" s="335"/>
      <c r="V52" s="335"/>
      <c r="W52" s="335"/>
      <c r="X52" s="335"/>
      <c r="Y52" s="335"/>
      <c r="Z52" s="335"/>
      <c r="AA52" s="335"/>
      <c r="AB52" s="335"/>
      <c r="AC52" s="335"/>
      <c r="AD52" s="335"/>
      <c r="AE52" s="335"/>
      <c r="AF52" s="335"/>
      <c r="AG52" s="335"/>
      <c r="AH52" s="335"/>
      <c r="AI52" s="335"/>
      <c r="AJ52" s="335"/>
      <c r="AK52" s="1401">
        <f>+AK51*$G47/4</f>
        <v>0</v>
      </c>
      <c r="AL52" s="336">
        <f>+AL51*$G47/4</f>
        <v>0</v>
      </c>
      <c r="AM52" s="336">
        <f>+AM51*$G47/4</f>
        <v>0</v>
      </c>
      <c r="AN52" s="1402">
        <f>+AN51*$G47/4</f>
        <v>0</v>
      </c>
      <c r="AO52" s="336"/>
      <c r="AP52" s="1401">
        <f>+AP51*$G47/4</f>
        <v>0</v>
      </c>
      <c r="AQ52" s="336">
        <f>+AQ51*$G47/4</f>
        <v>0</v>
      </c>
      <c r="AR52" s="336">
        <f>+AR51*$G47/4</f>
        <v>0</v>
      </c>
      <c r="AS52" s="1402">
        <f>+AS51*$G47/4</f>
        <v>0</v>
      </c>
      <c r="AT52" s="336"/>
      <c r="AU52" s="1401">
        <f>+AU51*$G47/4</f>
        <v>0</v>
      </c>
      <c r="AV52" s="336">
        <f>+AV51*$G47/4</f>
        <v>0</v>
      </c>
      <c r="AW52" s="336">
        <f>+AW51*$G47/4</f>
        <v>0</v>
      </c>
      <c r="AX52" s="1402">
        <f>+AX51*$G47/4</f>
        <v>0</v>
      </c>
      <c r="AY52" s="336"/>
      <c r="AZ52" s="1401">
        <f>+AZ51*$G47/4</f>
        <v>1.7437499999999999</v>
      </c>
      <c r="BA52" s="336">
        <f>+BA51*$G47/4</f>
        <v>7.5</v>
      </c>
      <c r="BB52" s="336">
        <f>+BB51*$G47/4</f>
        <v>7.5</v>
      </c>
      <c r="BC52" s="1402">
        <f>+BC51*$G47/4</f>
        <v>7.5</v>
      </c>
      <c r="BD52" s="336"/>
      <c r="BE52" s="1401">
        <f>+BE51*$G47/4</f>
        <v>7.5</v>
      </c>
      <c r="BF52" s="336">
        <f>+BF51*$G47/4</f>
        <v>7.5</v>
      </c>
      <c r="BG52" s="336">
        <f>+BG51*$G47/4</f>
        <v>7.5</v>
      </c>
      <c r="BH52" s="1402">
        <f>+BH51*$G47/4</f>
        <v>7.5</v>
      </c>
      <c r="BI52" s="336"/>
      <c r="BJ52" s="1401">
        <f>+BJ51*$G47/4</f>
        <v>7.5</v>
      </c>
      <c r="BK52" s="336">
        <f>+BK51*$G47/4</f>
        <v>7.5</v>
      </c>
      <c r="BL52" s="336">
        <f>+BL51*$G47/4</f>
        <v>7.5</v>
      </c>
      <c r="BM52" s="1402">
        <f>+BM51*$G47/4</f>
        <v>7.5</v>
      </c>
      <c r="BN52" s="336"/>
      <c r="BO52" s="1401">
        <f>+BO51*$G47/4</f>
        <v>7.5</v>
      </c>
      <c r="BP52" s="336">
        <f>+BP51*$G47/4</f>
        <v>7.5</v>
      </c>
      <c r="BQ52" s="336">
        <f>+BQ51*$G47/4</f>
        <v>7.5</v>
      </c>
      <c r="BR52" s="1402">
        <f>+BR51*$G47/4</f>
        <v>7.5</v>
      </c>
      <c r="BS52" s="336"/>
      <c r="BT52" s="1401">
        <f>+BT51*$G47/4</f>
        <v>7.5</v>
      </c>
      <c r="BU52" s="336">
        <f>+BU51*$G47/4</f>
        <v>7.5</v>
      </c>
      <c r="BV52" s="336">
        <f>+BV51*$G47/4</f>
        <v>7.5</v>
      </c>
      <c r="BW52" s="1402">
        <f>+BW51*$G47/4</f>
        <v>7.5</v>
      </c>
      <c r="BX52" s="336"/>
      <c r="BY52" s="1401">
        <f>+BY51*$G47/4</f>
        <v>7.5</v>
      </c>
      <c r="BZ52" s="336">
        <f>+BZ51*$G47/4</f>
        <v>7.5</v>
      </c>
      <c r="CA52" s="336">
        <f>+CA51*$G47/4</f>
        <v>3.75</v>
      </c>
      <c r="CB52" s="1402">
        <f>+CB51*$G47/4</f>
        <v>0</v>
      </c>
      <c r="CC52" s="336"/>
      <c r="CD52" s="1401">
        <f>+CD51*$G47/4</f>
        <v>0</v>
      </c>
      <c r="CE52" s="336">
        <f>+CE51*$G47/4</f>
        <v>0</v>
      </c>
      <c r="CF52" s="336">
        <f>+CF51*$G47/4</f>
        <v>0</v>
      </c>
      <c r="CG52" s="1402">
        <f>+CG51*$G47/4</f>
        <v>0</v>
      </c>
      <c r="CH52" s="336"/>
      <c r="CI52" s="1401">
        <f>+CI51*$G47/4</f>
        <v>0</v>
      </c>
      <c r="CJ52" s="336">
        <f>+CJ51*$G47/4</f>
        <v>0</v>
      </c>
      <c r="CK52" s="336">
        <f>+CK51*$G47/4</f>
        <v>0</v>
      </c>
      <c r="CL52" s="1402">
        <f>+CL51*$G47/4</f>
        <v>0</v>
      </c>
      <c r="CM52" s="336"/>
      <c r="CN52" s="1401">
        <f>+CN51*$G47/4</f>
        <v>0</v>
      </c>
      <c r="CO52" s="336">
        <f>+CO51*$G47/4</f>
        <v>0</v>
      </c>
      <c r="CP52" s="336">
        <f>+CP51*$G47/4</f>
        <v>0</v>
      </c>
      <c r="CQ52" s="1402">
        <f>+CQ51*$G47/4</f>
        <v>0</v>
      </c>
      <c r="CR52" s="1402"/>
    </row>
    <row r="53" spans="1:96" ht="13.5" hidden="1" customHeight="1" outlineLevel="1">
      <c r="A53" s="317"/>
      <c r="B53" s="317" t="s">
        <v>93</v>
      </c>
      <c r="C53" s="317"/>
      <c r="D53" s="318"/>
      <c r="E53" s="318"/>
      <c r="F53" s="318"/>
      <c r="G53" s="318"/>
      <c r="H53" s="318"/>
      <c r="I53" s="318"/>
      <c r="J53" s="318"/>
      <c r="K53" s="318"/>
      <c r="L53" s="318"/>
      <c r="M53" s="318"/>
      <c r="N53" s="318"/>
      <c r="O53" s="318"/>
      <c r="P53" s="318"/>
      <c r="Q53" s="318"/>
      <c r="R53" s="318"/>
      <c r="S53" s="318"/>
      <c r="T53" s="318"/>
      <c r="U53" s="318"/>
      <c r="V53" s="318"/>
      <c r="W53" s="318"/>
      <c r="X53" s="318"/>
      <c r="Y53" s="318"/>
      <c r="Z53" s="318"/>
      <c r="AA53" s="318"/>
      <c r="AB53" s="318"/>
      <c r="AC53" s="318"/>
      <c r="AD53" s="318"/>
      <c r="AE53" s="318"/>
      <c r="AF53" s="318"/>
      <c r="AG53" s="318"/>
      <c r="AH53" s="318"/>
      <c r="AI53" s="335"/>
      <c r="AJ53" s="318"/>
      <c r="AK53" s="1405"/>
      <c r="AL53" s="336">
        <f>+AK52+AL52</f>
        <v>0</v>
      </c>
      <c r="AM53" s="319"/>
      <c r="AN53" s="1402">
        <f>+AM52+AN52</f>
        <v>0</v>
      </c>
      <c r="AO53" s="319"/>
      <c r="AP53" s="1405"/>
      <c r="AQ53" s="336">
        <f>+AP52+AQ52</f>
        <v>0</v>
      </c>
      <c r="AR53" s="319"/>
      <c r="AS53" s="1402">
        <f>+AR52+AS52</f>
        <v>0</v>
      </c>
      <c r="AT53" s="336"/>
      <c r="AU53" s="1405"/>
      <c r="AV53" s="336">
        <f>+AU52+AV52</f>
        <v>0</v>
      </c>
      <c r="AW53" s="319"/>
      <c r="AX53" s="1402">
        <f>+AW52+AX52</f>
        <v>0</v>
      </c>
      <c r="AY53" s="336"/>
      <c r="AZ53" s="1401">
        <f>+AX52+AZ52</f>
        <v>1.7437499999999999</v>
      </c>
      <c r="BA53" s="336"/>
      <c r="BB53" s="336">
        <f>+BA52+BB52</f>
        <v>15</v>
      </c>
      <c r="BC53" s="1402"/>
      <c r="BD53" s="336"/>
      <c r="BE53" s="1401">
        <f>+BC52+BE52</f>
        <v>15</v>
      </c>
      <c r="BF53" s="336"/>
      <c r="BG53" s="336">
        <f>+BF52+BG52</f>
        <v>15</v>
      </c>
      <c r="BH53" s="1402"/>
      <c r="BI53" s="336"/>
      <c r="BJ53" s="1401">
        <f>+BH52+BJ52</f>
        <v>15</v>
      </c>
      <c r="BK53" s="336"/>
      <c r="BL53" s="336">
        <f>+BK52+BL52</f>
        <v>15</v>
      </c>
      <c r="BM53" s="1402"/>
      <c r="BN53" s="336"/>
      <c r="BO53" s="1401">
        <f>+BM52+BO52</f>
        <v>15</v>
      </c>
      <c r="BP53" s="336"/>
      <c r="BQ53" s="336">
        <f>+BP52+BQ52</f>
        <v>15</v>
      </c>
      <c r="BR53" s="1402"/>
      <c r="BS53" s="336"/>
      <c r="BT53" s="1401">
        <f>+BR52+BT52</f>
        <v>15</v>
      </c>
      <c r="BU53" s="336"/>
      <c r="BV53" s="336">
        <f>+BU52+BV52</f>
        <v>15</v>
      </c>
      <c r="BW53" s="1402"/>
      <c r="BX53" s="336"/>
      <c r="BY53" s="1401">
        <f>+BW52+BY52</f>
        <v>15</v>
      </c>
      <c r="BZ53" s="336"/>
      <c r="CA53" s="336">
        <f>+BZ52+CA52</f>
        <v>11.25</v>
      </c>
      <c r="CB53" s="1402"/>
      <c r="CC53" s="336"/>
      <c r="CD53" s="1401">
        <f>+CB52+CD52</f>
        <v>0</v>
      </c>
      <c r="CE53" s="336"/>
      <c r="CF53" s="336">
        <f>+CE52+CF52</f>
        <v>0</v>
      </c>
      <c r="CG53" s="1402"/>
      <c r="CH53" s="336"/>
      <c r="CI53" s="1401">
        <f>+CG52+CI52</f>
        <v>0</v>
      </c>
      <c r="CJ53" s="336"/>
      <c r="CK53" s="336">
        <f>+CJ52+CK52</f>
        <v>0</v>
      </c>
      <c r="CL53" s="1402"/>
      <c r="CM53" s="336"/>
      <c r="CN53" s="1401">
        <f>+CL52+CN52</f>
        <v>0</v>
      </c>
      <c r="CO53" s="336"/>
      <c r="CP53" s="336">
        <f>+CO52+CP52</f>
        <v>0</v>
      </c>
      <c r="CQ53" s="1402"/>
      <c r="CR53" s="1402"/>
    </row>
    <row r="54" spans="1:96" ht="6.2" customHeight="1" collapsed="1">
      <c r="A54" s="317"/>
      <c r="B54" s="317"/>
      <c r="C54" s="317"/>
      <c r="D54" s="318"/>
      <c r="E54" s="318"/>
      <c r="F54" s="318"/>
      <c r="G54" s="318"/>
      <c r="H54" s="318"/>
      <c r="I54" s="318"/>
      <c r="J54" s="318"/>
      <c r="K54" s="318"/>
      <c r="L54" s="318"/>
      <c r="M54" s="318"/>
      <c r="N54" s="318"/>
      <c r="O54" s="318"/>
      <c r="P54" s="318"/>
      <c r="Q54" s="318"/>
      <c r="R54" s="318"/>
      <c r="S54" s="318"/>
      <c r="T54" s="318"/>
      <c r="U54" s="318"/>
      <c r="V54" s="318"/>
      <c r="W54" s="318"/>
      <c r="X54" s="318"/>
      <c r="Y54" s="318"/>
      <c r="Z54" s="318"/>
      <c r="AA54" s="318"/>
      <c r="AB54" s="318"/>
      <c r="AC54" s="318"/>
      <c r="AD54" s="318"/>
      <c r="AE54" s="318"/>
      <c r="AF54" s="318"/>
      <c r="AG54" s="318"/>
      <c r="AH54" s="318"/>
      <c r="AI54" s="318"/>
      <c r="AJ54" s="318"/>
      <c r="AK54" s="1405"/>
      <c r="AL54" s="319"/>
      <c r="AM54" s="319"/>
      <c r="AN54" s="1406"/>
      <c r="AO54" s="319"/>
      <c r="AP54" s="1405"/>
      <c r="AQ54" s="319"/>
      <c r="AR54" s="319"/>
      <c r="AS54" s="1406"/>
      <c r="AT54" s="319"/>
      <c r="AU54" s="1405"/>
      <c r="AV54" s="319"/>
      <c r="AW54" s="319"/>
      <c r="AX54" s="1406"/>
      <c r="AY54" s="319"/>
      <c r="AZ54" s="1405"/>
      <c r="BA54" s="319"/>
      <c r="BB54" s="319"/>
      <c r="BC54" s="1406"/>
      <c r="BD54" s="319"/>
      <c r="BE54" s="1405"/>
      <c r="BF54" s="319"/>
      <c r="BG54" s="319"/>
      <c r="BH54" s="1406"/>
      <c r="BI54" s="319"/>
      <c r="BJ54" s="1405"/>
      <c r="BK54" s="319"/>
      <c r="BL54" s="319"/>
      <c r="BM54" s="1406"/>
      <c r="BN54" s="319"/>
      <c r="BO54" s="1405"/>
      <c r="BP54" s="319"/>
      <c r="BQ54" s="319"/>
      <c r="BR54" s="1406"/>
      <c r="BS54" s="319"/>
      <c r="BT54" s="1405"/>
      <c r="BU54" s="319"/>
      <c r="BV54" s="319"/>
      <c r="BW54" s="1406"/>
      <c r="BX54" s="319"/>
      <c r="BY54" s="1405"/>
      <c r="BZ54" s="319"/>
      <c r="CA54" s="319"/>
      <c r="CB54" s="1406"/>
      <c r="CC54" s="319"/>
      <c r="CD54" s="1405"/>
      <c r="CE54" s="319"/>
      <c r="CF54" s="319"/>
      <c r="CG54" s="1406"/>
      <c r="CH54" s="319"/>
      <c r="CI54" s="1405"/>
      <c r="CJ54" s="319"/>
      <c r="CK54" s="319"/>
      <c r="CL54" s="1406"/>
      <c r="CM54" s="319"/>
      <c r="CN54" s="1405"/>
      <c r="CO54" s="319"/>
      <c r="CP54" s="319"/>
      <c r="CQ54" s="1406"/>
      <c r="CR54" s="1406"/>
    </row>
    <row r="55" spans="1:96" ht="13.5" customHeight="1">
      <c r="A55" s="334" t="s">
        <v>100</v>
      </c>
      <c r="B55" s="317"/>
      <c r="C55" s="317"/>
      <c r="D55" s="318"/>
      <c r="E55" s="318"/>
      <c r="F55" s="318"/>
      <c r="G55" s="347">
        <v>7.3749999999999996E-2</v>
      </c>
      <c r="H55" s="339">
        <v>43909</v>
      </c>
      <c r="I55" s="318"/>
      <c r="J55" s="318"/>
      <c r="K55" s="318"/>
      <c r="L55" s="318"/>
      <c r="M55" s="318"/>
      <c r="N55" s="318"/>
      <c r="O55" s="318"/>
      <c r="P55" s="318"/>
      <c r="Q55" s="318"/>
      <c r="R55" s="318"/>
      <c r="S55" s="318"/>
      <c r="T55" s="318"/>
      <c r="U55" s="318"/>
      <c r="V55" s="318"/>
      <c r="W55" s="318"/>
      <c r="X55" s="318"/>
      <c r="Y55" s="318"/>
      <c r="Z55" s="318"/>
      <c r="AA55" s="318"/>
      <c r="AB55" s="318"/>
      <c r="AC55" s="318"/>
      <c r="AD55" s="318"/>
      <c r="AE55" s="318"/>
      <c r="AF55" s="318"/>
      <c r="AG55" s="318"/>
      <c r="AH55" s="318"/>
      <c r="AI55" s="318"/>
      <c r="AJ55" s="318"/>
      <c r="AK55" s="1405"/>
      <c r="AL55" s="319"/>
      <c r="AM55" s="319"/>
      <c r="AN55" s="1406"/>
      <c r="AO55" s="319"/>
      <c r="AP55" s="1405"/>
      <c r="AQ55" s="319"/>
      <c r="AR55" s="319"/>
      <c r="AS55" s="1406"/>
      <c r="AT55" s="319"/>
      <c r="AU55" s="1405"/>
      <c r="AV55" s="319"/>
      <c r="AW55" s="319"/>
      <c r="AX55" s="1406"/>
      <c r="AY55" s="319"/>
      <c r="AZ55" s="1405"/>
      <c r="BA55" s="319"/>
      <c r="BB55" s="319"/>
      <c r="BC55" s="1406"/>
      <c r="BD55" s="319"/>
      <c r="BE55" s="1405"/>
      <c r="BF55" s="319"/>
      <c r="BG55" s="319"/>
      <c r="BH55" s="1406"/>
      <c r="BI55" s="319"/>
      <c r="BJ55" s="1405"/>
      <c r="BK55" s="319"/>
      <c r="BL55" s="319"/>
      <c r="BM55" s="1406"/>
      <c r="BN55" s="319"/>
      <c r="BO55" s="1405"/>
      <c r="BP55" s="319"/>
      <c r="BQ55" s="319"/>
      <c r="BR55" s="1406"/>
      <c r="BS55" s="319"/>
      <c r="BT55" s="1405"/>
      <c r="BU55" s="319"/>
      <c r="BV55" s="319"/>
      <c r="BW55" s="1406"/>
      <c r="BX55" s="319"/>
      <c r="BY55" s="1405"/>
      <c r="BZ55" s="319"/>
      <c r="CA55" s="319"/>
      <c r="CB55" s="1406"/>
      <c r="CC55" s="319"/>
      <c r="CD55" s="1405"/>
      <c r="CE55" s="319"/>
      <c r="CF55" s="319"/>
      <c r="CG55" s="1406"/>
      <c r="CH55" s="319"/>
      <c r="CI55" s="1405"/>
      <c r="CJ55" s="319"/>
      <c r="CK55" s="319"/>
      <c r="CL55" s="1406"/>
      <c r="CM55" s="319"/>
      <c r="CN55" s="1405"/>
      <c r="CO55" s="319"/>
      <c r="CP55" s="319"/>
      <c r="CQ55" s="1406"/>
      <c r="CR55" s="1406"/>
    </row>
    <row r="56" spans="1:96" ht="13.5" customHeight="1">
      <c r="A56" s="317"/>
      <c r="B56" s="317" t="s">
        <v>87</v>
      </c>
      <c r="C56" s="317"/>
      <c r="D56" s="318"/>
      <c r="E56" s="318"/>
      <c r="F56" s="318"/>
      <c r="G56" s="318"/>
      <c r="H56" s="335"/>
      <c r="I56" s="335"/>
      <c r="J56" s="335"/>
      <c r="K56" s="335"/>
      <c r="L56" s="335"/>
      <c r="M56" s="335"/>
      <c r="N56" s="335"/>
      <c r="O56" s="335"/>
      <c r="P56" s="335"/>
      <c r="Q56" s="335"/>
      <c r="R56" s="335"/>
      <c r="S56" s="335"/>
      <c r="T56" s="335"/>
      <c r="U56" s="335"/>
      <c r="V56" s="335"/>
      <c r="W56" s="335"/>
      <c r="X56" s="335"/>
      <c r="Y56" s="335"/>
      <c r="Z56" s="335"/>
      <c r="AA56" s="335"/>
      <c r="AB56" s="335"/>
      <c r="AC56" s="335"/>
      <c r="AD56" s="335"/>
      <c r="AE56" s="335"/>
      <c r="AF56" s="335"/>
      <c r="AG56" s="335"/>
      <c r="AH56" s="335"/>
      <c r="AI56" s="335"/>
      <c r="AJ56" s="335"/>
      <c r="AK56" s="1401"/>
      <c r="AL56" s="336"/>
      <c r="AM56" s="336"/>
      <c r="AN56" s="1402"/>
      <c r="AO56" s="336"/>
      <c r="AP56" s="1401">
        <f>+AO58</f>
        <v>0</v>
      </c>
      <c r="AQ56" s="336">
        <f>+AP58</f>
        <v>600</v>
      </c>
      <c r="AR56" s="336">
        <f>+AQ58</f>
        <v>600</v>
      </c>
      <c r="AS56" s="1402">
        <f>+AR58</f>
        <v>600</v>
      </c>
      <c r="AT56" s="336"/>
      <c r="AU56" s="1401">
        <f>+AT58</f>
        <v>600</v>
      </c>
      <c r="AV56" s="336">
        <f>+AU58</f>
        <v>600</v>
      </c>
      <c r="AW56" s="336">
        <f>+AV58</f>
        <v>600</v>
      </c>
      <c r="AX56" s="1402">
        <f>+AW58</f>
        <v>600</v>
      </c>
      <c r="AY56" s="336"/>
      <c r="AZ56" s="1401">
        <f>+AY58</f>
        <v>600</v>
      </c>
      <c r="BA56" s="336">
        <f>+AZ58</f>
        <v>600</v>
      </c>
      <c r="BB56" s="336">
        <f>+BA58</f>
        <v>600</v>
      </c>
      <c r="BC56" s="1402">
        <f>+BB58</f>
        <v>600</v>
      </c>
      <c r="BD56" s="336"/>
      <c r="BE56" s="1401">
        <f>+BD58</f>
        <v>600</v>
      </c>
      <c r="BF56" s="336">
        <f>+BE58</f>
        <v>600</v>
      </c>
      <c r="BG56" s="336">
        <f>+BF58</f>
        <v>600</v>
      </c>
      <c r="BH56" s="1402">
        <f>+BG58</f>
        <v>600</v>
      </c>
      <c r="BI56" s="336"/>
      <c r="BJ56" s="1401">
        <f>+BI58</f>
        <v>600</v>
      </c>
      <c r="BK56" s="336">
        <f>+BJ58</f>
        <v>600</v>
      </c>
      <c r="BL56" s="336">
        <f>+BK58</f>
        <v>600</v>
      </c>
      <c r="BM56" s="1402">
        <f>+BL58</f>
        <v>600</v>
      </c>
      <c r="BN56" s="336"/>
      <c r="BO56" s="1401">
        <f>+BN58</f>
        <v>600</v>
      </c>
      <c r="BP56" s="336">
        <f>+BO58</f>
        <v>600</v>
      </c>
      <c r="BQ56" s="336">
        <f>+BP58</f>
        <v>600</v>
      </c>
      <c r="BR56" s="1402">
        <f>+BQ58</f>
        <v>600</v>
      </c>
      <c r="BS56" s="336"/>
      <c r="BT56" s="1401">
        <f>+BS58</f>
        <v>600</v>
      </c>
      <c r="BU56" s="336">
        <f>+BT58</f>
        <v>600</v>
      </c>
      <c r="BV56" s="336">
        <f>+BU58</f>
        <v>450</v>
      </c>
      <c r="BW56" s="1402">
        <f>+BV58</f>
        <v>439</v>
      </c>
      <c r="BX56" s="336"/>
      <c r="BY56" s="1401">
        <f>+BX58</f>
        <v>432</v>
      </c>
      <c r="BZ56" s="336">
        <f>+BY58</f>
        <v>432</v>
      </c>
      <c r="CA56" s="336">
        <f>+BZ58</f>
        <v>432</v>
      </c>
      <c r="CB56" s="1402">
        <f>+CA58</f>
        <v>432</v>
      </c>
      <c r="CC56" s="336"/>
      <c r="CD56" s="1401">
        <f>+CC58</f>
        <v>432</v>
      </c>
      <c r="CE56" s="336">
        <f>+CD58</f>
        <v>432</v>
      </c>
      <c r="CF56" s="336">
        <f>+CE58</f>
        <v>432</v>
      </c>
      <c r="CG56" s="1402">
        <f>+CF58</f>
        <v>432</v>
      </c>
      <c r="CH56" s="336"/>
      <c r="CI56" s="1401">
        <f>+CH58</f>
        <v>432</v>
      </c>
      <c r="CJ56" s="336">
        <f>+CI58</f>
        <v>432</v>
      </c>
      <c r="CK56" s="336">
        <f>+CJ58</f>
        <v>432</v>
      </c>
      <c r="CL56" s="1402">
        <f>+CK58</f>
        <v>432</v>
      </c>
      <c r="CM56" s="336"/>
      <c r="CN56" s="1401">
        <f>+CM58</f>
        <v>432</v>
      </c>
      <c r="CO56" s="336">
        <f>+CN58</f>
        <v>432</v>
      </c>
      <c r="CP56" s="336">
        <f>+CO58</f>
        <v>432</v>
      </c>
      <c r="CQ56" s="1402">
        <f>+CP58</f>
        <v>432</v>
      </c>
      <c r="CR56" s="1402"/>
    </row>
    <row r="57" spans="1:96" ht="13.5" customHeight="1">
      <c r="A57" s="317"/>
      <c r="B57" s="317" t="s">
        <v>89</v>
      </c>
      <c r="C57" s="317"/>
      <c r="D57" s="318"/>
      <c r="E57" s="318"/>
      <c r="F57" s="318"/>
      <c r="G57" s="318"/>
      <c r="H57" s="335"/>
      <c r="I57" s="335"/>
      <c r="J57" s="335"/>
      <c r="K57" s="335"/>
      <c r="L57" s="335"/>
      <c r="M57" s="335"/>
      <c r="N57" s="335"/>
      <c r="O57" s="335"/>
      <c r="P57" s="335"/>
      <c r="Q57" s="335"/>
      <c r="R57" s="335"/>
      <c r="S57" s="335"/>
      <c r="T57" s="335"/>
      <c r="U57" s="335"/>
      <c r="V57" s="335"/>
      <c r="W57" s="335"/>
      <c r="X57" s="335"/>
      <c r="Y57" s="335"/>
      <c r="Z57" s="335"/>
      <c r="AA57" s="335"/>
      <c r="AB57" s="335"/>
      <c r="AC57" s="335"/>
      <c r="AD57" s="335"/>
      <c r="AE57" s="335"/>
      <c r="AF57" s="335"/>
      <c r="AG57" s="335"/>
      <c r="AH57" s="335"/>
      <c r="AI57" s="663">
        <v>0</v>
      </c>
      <c r="AJ57" s="335"/>
      <c r="AK57" s="1401"/>
      <c r="AL57" s="336"/>
      <c r="AM57" s="336"/>
      <c r="AN57" s="1402"/>
      <c r="AO57" s="336"/>
      <c r="AP57" s="1403">
        <v>0</v>
      </c>
      <c r="AQ57" s="662">
        <v>0</v>
      </c>
      <c r="AR57" s="662">
        <v>0</v>
      </c>
      <c r="AS57" s="1404">
        <v>0</v>
      </c>
      <c r="AT57" s="336"/>
      <c r="AU57" s="1403">
        <v>0</v>
      </c>
      <c r="AV57" s="662">
        <v>0</v>
      </c>
      <c r="AW57" s="662">
        <v>0</v>
      </c>
      <c r="AX57" s="1404">
        <v>0</v>
      </c>
      <c r="AY57" s="336"/>
      <c r="AZ57" s="1403">
        <v>0</v>
      </c>
      <c r="BA57" s="662">
        <v>0</v>
      </c>
      <c r="BB57" s="662">
        <v>0</v>
      </c>
      <c r="BC57" s="1404">
        <v>0</v>
      </c>
      <c r="BD57" s="336"/>
      <c r="BE57" s="1403">
        <v>0</v>
      </c>
      <c r="BF57" s="662">
        <v>0</v>
      </c>
      <c r="BG57" s="662">
        <v>0</v>
      </c>
      <c r="BH57" s="1404">
        <v>0</v>
      </c>
      <c r="BI57" s="336"/>
      <c r="BJ57" s="1403">
        <v>0</v>
      </c>
      <c r="BK57" s="662">
        <v>0</v>
      </c>
      <c r="BL57" s="662">
        <v>0</v>
      </c>
      <c r="BM57" s="1404">
        <v>0</v>
      </c>
      <c r="BN57" s="336"/>
      <c r="BO57" s="1403">
        <v>0</v>
      </c>
      <c r="BP57" s="662">
        <v>0</v>
      </c>
      <c r="BQ57" s="662">
        <v>0</v>
      </c>
      <c r="BR57" s="1404">
        <v>0</v>
      </c>
      <c r="BS57" s="336"/>
      <c r="BT57" s="1440">
        <f>BT58-BT56</f>
        <v>0</v>
      </c>
      <c r="BU57" s="742">
        <f>BU58-BU56</f>
        <v>-150</v>
      </c>
      <c r="BV57" s="742">
        <f>BV58-BV56</f>
        <v>-11</v>
      </c>
      <c r="BW57" s="1441">
        <f>BW58-BW56</f>
        <v>-7</v>
      </c>
      <c r="BX57" s="336"/>
      <c r="BY57" s="1440">
        <f>BY58-BY56</f>
        <v>0</v>
      </c>
      <c r="BZ57" s="742">
        <f>BZ58-BZ56</f>
        <v>0</v>
      </c>
      <c r="CA57" s="662">
        <v>0</v>
      </c>
      <c r="CB57" s="1404">
        <v>0</v>
      </c>
      <c r="CC57" s="336"/>
      <c r="CD57" s="1403">
        <v>0</v>
      </c>
      <c r="CE57" s="662">
        <v>0</v>
      </c>
      <c r="CF57" s="662">
        <v>0</v>
      </c>
      <c r="CG57" s="1404">
        <v>0</v>
      </c>
      <c r="CH57" s="336"/>
      <c r="CI57" s="1403">
        <v>0</v>
      </c>
      <c r="CJ57" s="662">
        <v>0</v>
      </c>
      <c r="CK57" s="662">
        <v>0</v>
      </c>
      <c r="CL57" s="1404">
        <v>0</v>
      </c>
      <c r="CM57" s="336"/>
      <c r="CN57" s="1403">
        <v>0</v>
      </c>
      <c r="CO57" s="662">
        <v>0</v>
      </c>
      <c r="CP57" s="662">
        <v>0</v>
      </c>
      <c r="CQ57" s="1404">
        <v>0</v>
      </c>
      <c r="CR57" s="1402"/>
    </row>
    <row r="58" spans="1:96" ht="13.5" customHeight="1">
      <c r="A58" s="317"/>
      <c r="B58" s="317" t="s">
        <v>90</v>
      </c>
      <c r="C58" s="317"/>
      <c r="D58" s="318"/>
      <c r="E58" s="318"/>
      <c r="F58" s="318"/>
      <c r="G58" s="318"/>
      <c r="H58" s="348">
        <v>0</v>
      </c>
      <c r="I58" s="348"/>
      <c r="J58" s="348"/>
      <c r="K58" s="348"/>
      <c r="L58" s="348"/>
      <c r="M58" s="348"/>
      <c r="N58" s="348"/>
      <c r="O58" s="348"/>
      <c r="P58" s="348"/>
      <c r="Q58" s="348"/>
      <c r="R58" s="348"/>
      <c r="S58" s="348"/>
      <c r="T58" s="348"/>
      <c r="U58" s="348"/>
      <c r="V58" s="348"/>
      <c r="W58" s="348"/>
      <c r="X58" s="348"/>
      <c r="Y58" s="348"/>
      <c r="Z58" s="348"/>
      <c r="AA58" s="348"/>
      <c r="AB58" s="348"/>
      <c r="AC58" s="348"/>
      <c r="AD58" s="348"/>
      <c r="AE58" s="348"/>
      <c r="AF58" s="348"/>
      <c r="AG58" s="348"/>
      <c r="AH58" s="348"/>
      <c r="AI58" s="335"/>
      <c r="AJ58" s="335"/>
      <c r="AK58" s="1401"/>
      <c r="AL58" s="336"/>
      <c r="AM58" s="336"/>
      <c r="AN58" s="1402"/>
      <c r="AO58" s="343"/>
      <c r="AP58" s="1403">
        <v>600</v>
      </c>
      <c r="AQ58" s="336">
        <f>+AQ56+AQ57</f>
        <v>600</v>
      </c>
      <c r="AR58" s="336">
        <f>+AR56+AR57</f>
        <v>600</v>
      </c>
      <c r="AS58" s="1402">
        <f>+AS56+AS57</f>
        <v>600</v>
      </c>
      <c r="AT58" s="343">
        <f>+AS58</f>
        <v>600</v>
      </c>
      <c r="AU58" s="1401">
        <f>+AU56+AU57</f>
        <v>600</v>
      </c>
      <c r="AV58" s="336">
        <f>+AV56+AV57</f>
        <v>600</v>
      </c>
      <c r="AW58" s="336">
        <f>+AW56+AW57</f>
        <v>600</v>
      </c>
      <c r="AX58" s="1402">
        <f>+AX56+AX57</f>
        <v>600</v>
      </c>
      <c r="AY58" s="343">
        <f>+AX58</f>
        <v>600</v>
      </c>
      <c r="AZ58" s="1401">
        <f>+AZ56+AZ57</f>
        <v>600</v>
      </c>
      <c r="BA58" s="336">
        <f>+BA56+BA57</f>
        <v>600</v>
      </c>
      <c r="BB58" s="336">
        <f>+BB56+BB57</f>
        <v>600</v>
      </c>
      <c r="BC58" s="1402">
        <f>+BC56+BC57</f>
        <v>600</v>
      </c>
      <c r="BD58" s="343">
        <f>+BC58</f>
        <v>600</v>
      </c>
      <c r="BE58" s="1401">
        <f>+BE56+BE57</f>
        <v>600</v>
      </c>
      <c r="BF58" s="336">
        <f>+BF56+BF57</f>
        <v>600</v>
      </c>
      <c r="BG58" s="336">
        <f>+BG56+BG57</f>
        <v>600</v>
      </c>
      <c r="BH58" s="1402">
        <f>+BH56+BH57</f>
        <v>600</v>
      </c>
      <c r="BI58" s="343">
        <f>+BH58</f>
        <v>600</v>
      </c>
      <c r="BJ58" s="1401">
        <f>+BJ56+BJ57</f>
        <v>600</v>
      </c>
      <c r="BK58" s="336">
        <f>+BK56+BK57</f>
        <v>600</v>
      </c>
      <c r="BL58" s="336">
        <f>+BL56+BL57</f>
        <v>600</v>
      </c>
      <c r="BM58" s="1402">
        <f>+BM56+BM57</f>
        <v>600</v>
      </c>
      <c r="BN58" s="343">
        <f>+BM58</f>
        <v>600</v>
      </c>
      <c r="BO58" s="1401">
        <f>+BO56+BO57</f>
        <v>600</v>
      </c>
      <c r="BP58" s="336">
        <f>+BP56+BP57</f>
        <v>600</v>
      </c>
      <c r="BQ58" s="662">
        <v>600</v>
      </c>
      <c r="BR58" s="1404">
        <v>600</v>
      </c>
      <c r="BS58" s="343">
        <f>+BR58</f>
        <v>600</v>
      </c>
      <c r="BT58" s="1403">
        <v>600</v>
      </c>
      <c r="BU58" s="662">
        <v>450</v>
      </c>
      <c r="BV58" s="662">
        <v>439</v>
      </c>
      <c r="BW58" s="1404">
        <v>432</v>
      </c>
      <c r="BX58" s="343">
        <f>+BW58</f>
        <v>432</v>
      </c>
      <c r="BY58" s="1403">
        <v>432</v>
      </c>
      <c r="BZ58" s="662">
        <v>432</v>
      </c>
      <c r="CA58" s="662">
        <v>432</v>
      </c>
      <c r="CB58" s="1404">
        <v>432</v>
      </c>
      <c r="CC58" s="343">
        <f>+CB58</f>
        <v>432</v>
      </c>
      <c r="CD58" s="1401">
        <f>+CD56+CD57</f>
        <v>432</v>
      </c>
      <c r="CE58" s="336">
        <f>+CE56+CE57</f>
        <v>432</v>
      </c>
      <c r="CF58" s="336">
        <f>+CF56+CF57</f>
        <v>432</v>
      </c>
      <c r="CG58" s="1402">
        <f>+CG56+CG57</f>
        <v>432</v>
      </c>
      <c r="CH58" s="343">
        <f>+CG58</f>
        <v>432</v>
      </c>
      <c r="CI58" s="1401">
        <f>+CI56+CI57</f>
        <v>432</v>
      </c>
      <c r="CJ58" s="336">
        <f>+CJ56+CJ57</f>
        <v>432</v>
      </c>
      <c r="CK58" s="336">
        <f>+CK56+CK57</f>
        <v>432</v>
      </c>
      <c r="CL58" s="1402">
        <f>+CL56+CL57</f>
        <v>432</v>
      </c>
      <c r="CM58" s="343">
        <f>+CL58</f>
        <v>432</v>
      </c>
      <c r="CN58" s="1401">
        <f>+CN56+CN57</f>
        <v>432</v>
      </c>
      <c r="CO58" s="336">
        <f>+CO56+CO57</f>
        <v>432</v>
      </c>
      <c r="CP58" s="336">
        <f>+CP56+CP57</f>
        <v>432</v>
      </c>
      <c r="CQ58" s="1402">
        <f>+CQ56+CQ57</f>
        <v>432</v>
      </c>
      <c r="CR58" s="1451">
        <f>+CQ58</f>
        <v>432</v>
      </c>
    </row>
    <row r="59" spans="1:96" ht="13.5" customHeight="1">
      <c r="A59" s="317"/>
      <c r="B59" s="317" t="s">
        <v>91</v>
      </c>
      <c r="C59" s="317"/>
      <c r="D59" s="318"/>
      <c r="E59" s="318"/>
      <c r="F59" s="318"/>
      <c r="G59" s="318"/>
      <c r="H59" s="335"/>
      <c r="I59" s="335"/>
      <c r="J59" s="335"/>
      <c r="K59" s="335"/>
      <c r="L59" s="335"/>
      <c r="M59" s="335"/>
      <c r="N59" s="335"/>
      <c r="O59" s="335"/>
      <c r="P59" s="335"/>
      <c r="Q59" s="335"/>
      <c r="R59" s="335"/>
      <c r="S59" s="335"/>
      <c r="T59" s="335"/>
      <c r="U59" s="335"/>
      <c r="V59" s="335"/>
      <c r="W59" s="335"/>
      <c r="X59" s="335"/>
      <c r="Y59" s="335"/>
      <c r="Z59" s="335"/>
      <c r="AA59" s="335"/>
      <c r="AB59" s="335"/>
      <c r="AC59" s="335"/>
      <c r="AD59" s="335"/>
      <c r="AE59" s="335"/>
      <c r="AF59" s="335"/>
      <c r="AG59" s="335"/>
      <c r="AH59" s="335"/>
      <c r="AI59" s="335"/>
      <c r="AJ59" s="335"/>
      <c r="AK59" s="1401"/>
      <c r="AL59" s="336"/>
      <c r="AM59" s="336"/>
      <c r="AN59" s="1402"/>
      <c r="AO59" s="336"/>
      <c r="AP59" s="1401">
        <f>+AVERAGE(AP56,AP58)</f>
        <v>300</v>
      </c>
      <c r="AQ59" s="336">
        <f>+AVERAGE(AQ56,AQ58)</f>
        <v>600</v>
      </c>
      <c r="AR59" s="336">
        <f>+AVERAGE(AR56,AR58)</f>
        <v>600</v>
      </c>
      <c r="AS59" s="1402">
        <f>+AVERAGE(AS56,AS58)</f>
        <v>600</v>
      </c>
      <c r="AT59" s="336"/>
      <c r="AU59" s="1401">
        <f>+AVERAGE(AU56,AU58)</f>
        <v>600</v>
      </c>
      <c r="AV59" s="336">
        <f>+AVERAGE(AV56,AV58)</f>
        <v>600</v>
      </c>
      <c r="AW59" s="336">
        <f>+AVERAGE(AW56,AW58)</f>
        <v>600</v>
      </c>
      <c r="AX59" s="1402">
        <f>+AVERAGE(AX56,AX58)</f>
        <v>600</v>
      </c>
      <c r="AY59" s="336"/>
      <c r="AZ59" s="1401">
        <f>+AVERAGE(AZ56,AZ58)</f>
        <v>600</v>
      </c>
      <c r="BA59" s="336">
        <f>+AVERAGE(BA56,BA58)</f>
        <v>600</v>
      </c>
      <c r="BB59" s="336">
        <f>+AVERAGE(BB56,BB58)</f>
        <v>600</v>
      </c>
      <c r="BC59" s="1402">
        <f>+AVERAGE(BC56,BC58)</f>
        <v>600</v>
      </c>
      <c r="BD59" s="336"/>
      <c r="BE59" s="1401">
        <f>+AVERAGE(BE56,BE58)</f>
        <v>600</v>
      </c>
      <c r="BF59" s="336">
        <f>+AVERAGE(BF56,BF58)</f>
        <v>600</v>
      </c>
      <c r="BG59" s="336">
        <f>+AVERAGE(BG56,BG58)</f>
        <v>600</v>
      </c>
      <c r="BH59" s="1402">
        <f>+AVERAGE(BH56,BH58)</f>
        <v>600</v>
      </c>
      <c r="BI59" s="336"/>
      <c r="BJ59" s="1401">
        <f>+AVERAGE(BJ56,BJ58)</f>
        <v>600</v>
      </c>
      <c r="BK59" s="336">
        <f>+AVERAGE(BK56,BK58)</f>
        <v>600</v>
      </c>
      <c r="BL59" s="336">
        <f>+AVERAGE(BL56,BL58)</f>
        <v>600</v>
      </c>
      <c r="BM59" s="1402">
        <f>+AVERAGE(BM56,BM58)</f>
        <v>600</v>
      </c>
      <c r="BN59" s="336"/>
      <c r="BO59" s="1401">
        <f>+AVERAGE(BO56,BO58)</f>
        <v>600</v>
      </c>
      <c r="BP59" s="336">
        <f>+AVERAGE(BP56,BP58)</f>
        <v>600</v>
      </c>
      <c r="BQ59" s="336">
        <f>+AVERAGE(BQ56,BQ58)</f>
        <v>600</v>
      </c>
      <c r="BR59" s="1402">
        <f>+AVERAGE(BR56,BR58)</f>
        <v>600</v>
      </c>
      <c r="BS59" s="336"/>
      <c r="BT59" s="1401">
        <f>+AVERAGE(BT56,BT58)</f>
        <v>600</v>
      </c>
      <c r="BU59" s="336">
        <f>+AVERAGE(BU56,BU58)</f>
        <v>525</v>
      </c>
      <c r="BV59" s="336">
        <f>+AVERAGE(BV56,BV58)</f>
        <v>444.5</v>
      </c>
      <c r="BW59" s="1402">
        <f>+AVERAGE(BW56,BW58)</f>
        <v>435.5</v>
      </c>
      <c r="BX59" s="336"/>
      <c r="BY59" s="1401">
        <f>+AVERAGE(BY56,BY58)</f>
        <v>432</v>
      </c>
      <c r="BZ59" s="336">
        <f>+AVERAGE(BZ56,BZ58)</f>
        <v>432</v>
      </c>
      <c r="CA59" s="336">
        <f>+AVERAGE(CA56,CA58)</f>
        <v>432</v>
      </c>
      <c r="CB59" s="1402">
        <f>+AVERAGE(CB56,CB58)</f>
        <v>432</v>
      </c>
      <c r="CC59" s="336"/>
      <c r="CD59" s="1401">
        <f>+AVERAGE(CD56,CD58)</f>
        <v>432</v>
      </c>
      <c r="CE59" s="336">
        <f>+AVERAGE(CE56,CE58)</f>
        <v>432</v>
      </c>
      <c r="CF59" s="336">
        <f>+AVERAGE(CF56,CF58)</f>
        <v>432</v>
      </c>
      <c r="CG59" s="1402">
        <f>+AVERAGE(CG56,CG58)</f>
        <v>432</v>
      </c>
      <c r="CH59" s="336"/>
      <c r="CI59" s="1401">
        <f>+AVERAGE(CI56,CI58)</f>
        <v>432</v>
      </c>
      <c r="CJ59" s="336">
        <f>+AVERAGE(CJ56,CJ58)</f>
        <v>432</v>
      </c>
      <c r="CK59" s="336">
        <f>+AVERAGE(CK56,CK58)</f>
        <v>432</v>
      </c>
      <c r="CL59" s="1402">
        <f>+AVERAGE(CL56,CL58)</f>
        <v>432</v>
      </c>
      <c r="CM59" s="336"/>
      <c r="CN59" s="1401">
        <f>+AVERAGE(CN56,CN58)</f>
        <v>432</v>
      </c>
      <c r="CO59" s="336">
        <f>+AVERAGE(CO56,CO58)</f>
        <v>432</v>
      </c>
      <c r="CP59" s="336">
        <f>+AVERAGE(CP56,CP58)</f>
        <v>432</v>
      </c>
      <c r="CQ59" s="1402">
        <f>+AVERAGE(CQ56,CQ58)</f>
        <v>432</v>
      </c>
      <c r="CR59" s="1402"/>
    </row>
    <row r="60" spans="1:96" ht="13.5" customHeight="1">
      <c r="A60" s="317"/>
      <c r="B60" s="317" t="s">
        <v>92</v>
      </c>
      <c r="C60" s="317"/>
      <c r="D60" s="318"/>
      <c r="E60" s="318"/>
      <c r="F60" s="318"/>
      <c r="G60" s="318"/>
      <c r="H60" s="335"/>
      <c r="I60" s="335"/>
      <c r="J60" s="335"/>
      <c r="K60" s="335"/>
      <c r="L60" s="335"/>
      <c r="M60" s="335"/>
      <c r="N60" s="335"/>
      <c r="O60" s="335"/>
      <c r="P60" s="335"/>
      <c r="Q60" s="335"/>
      <c r="R60" s="335"/>
      <c r="S60" s="335"/>
      <c r="T60" s="335"/>
      <c r="U60" s="335"/>
      <c r="V60" s="335"/>
      <c r="W60" s="335"/>
      <c r="X60" s="335"/>
      <c r="Y60" s="335"/>
      <c r="Z60" s="335"/>
      <c r="AA60" s="335"/>
      <c r="AB60" s="335"/>
      <c r="AC60" s="335"/>
      <c r="AD60" s="335"/>
      <c r="AE60" s="335"/>
      <c r="AF60" s="335"/>
      <c r="AG60" s="335"/>
      <c r="AH60" s="335"/>
      <c r="AI60" s="335"/>
      <c r="AJ60" s="335"/>
      <c r="AK60" s="1401"/>
      <c r="AL60" s="336"/>
      <c r="AM60" s="336"/>
      <c r="AN60" s="1402"/>
      <c r="AO60" s="336"/>
      <c r="AP60" s="1401">
        <f>+AP59*$G55/4</f>
        <v>5.53125</v>
      </c>
      <c r="AQ60" s="336">
        <f>+AQ59*$G55/4</f>
        <v>11.0625</v>
      </c>
      <c r="AR60" s="336">
        <f>+AR59*$G55/4</f>
        <v>11.0625</v>
      </c>
      <c r="AS60" s="1402">
        <f>+AS59*$G55/4</f>
        <v>11.0625</v>
      </c>
      <c r="AT60" s="336"/>
      <c r="AU60" s="1401">
        <f>+AU59*$G55/4</f>
        <v>11.0625</v>
      </c>
      <c r="AV60" s="336">
        <f>+AV59*$G55/4</f>
        <v>11.0625</v>
      </c>
      <c r="AW60" s="336">
        <f>+AW59*$G55/4</f>
        <v>11.0625</v>
      </c>
      <c r="AX60" s="1402">
        <f>+AX59*$G55/4</f>
        <v>11.0625</v>
      </c>
      <c r="AY60" s="336"/>
      <c r="AZ60" s="1401">
        <f>+AZ59*$G55/4</f>
        <v>11.0625</v>
      </c>
      <c r="BA60" s="336">
        <f>+BA59*$G55/4</f>
        <v>11.0625</v>
      </c>
      <c r="BB60" s="336">
        <f>+BB59*$G55/4</f>
        <v>11.0625</v>
      </c>
      <c r="BC60" s="1402">
        <f>+BC59*$G55/4</f>
        <v>11.0625</v>
      </c>
      <c r="BD60" s="336"/>
      <c r="BE60" s="1401">
        <f>+BE59*$G55/4</f>
        <v>11.0625</v>
      </c>
      <c r="BF60" s="336">
        <f>+BF59*$G55/4</f>
        <v>11.0625</v>
      </c>
      <c r="BG60" s="336">
        <f>+BG59*$G55/4</f>
        <v>11.0625</v>
      </c>
      <c r="BH60" s="1402">
        <f>+BH59*$G55/4</f>
        <v>11.0625</v>
      </c>
      <c r="BI60" s="336"/>
      <c r="BJ60" s="1401">
        <f>+BJ59*$G55/4</f>
        <v>11.0625</v>
      </c>
      <c r="BK60" s="336">
        <f>+BK59*$G55/4</f>
        <v>11.0625</v>
      </c>
      <c r="BL60" s="336">
        <f>+BL59*$G55/4</f>
        <v>11.0625</v>
      </c>
      <c r="BM60" s="1402">
        <f>+BM59*$G55/4</f>
        <v>11.0625</v>
      </c>
      <c r="BN60" s="336"/>
      <c r="BO60" s="1401">
        <f>+BO59*$G55/4</f>
        <v>11.0625</v>
      </c>
      <c r="BP60" s="336">
        <f>+BP59*$G55/4</f>
        <v>11.0625</v>
      </c>
      <c r="BQ60" s="336">
        <f>+BQ59*$G55/4</f>
        <v>11.0625</v>
      </c>
      <c r="BR60" s="1402">
        <f>+BR59*$G55/4</f>
        <v>11.0625</v>
      </c>
      <c r="BS60" s="336"/>
      <c r="BT60" s="1401">
        <f>+BT59*$G55/4</f>
        <v>11.0625</v>
      </c>
      <c r="BU60" s="336">
        <f>+BU59*$G55/4</f>
        <v>9.6796875</v>
      </c>
      <c r="BV60" s="336">
        <f>+BV59*$G55/4</f>
        <v>8.1954687499999999</v>
      </c>
      <c r="BW60" s="1402">
        <f>+BW59*$G55/4</f>
        <v>8.0295312499999998</v>
      </c>
      <c r="BX60" s="336"/>
      <c r="BY60" s="1401">
        <f>+BY59*$G55/4</f>
        <v>7.9649999999999999</v>
      </c>
      <c r="BZ60" s="336">
        <f>+BZ59*$G55/4</f>
        <v>7.9649999999999999</v>
      </c>
      <c r="CA60" s="336">
        <f>+CA59*$G55/4</f>
        <v>7.9649999999999999</v>
      </c>
      <c r="CB60" s="1402">
        <f>+CB59*$G55/4</f>
        <v>7.9649999999999999</v>
      </c>
      <c r="CC60" s="336"/>
      <c r="CD60" s="1401">
        <f>+CD59*$G55/4</f>
        <v>7.9649999999999999</v>
      </c>
      <c r="CE60" s="336">
        <f>+CE59*$G55/4</f>
        <v>7.9649999999999999</v>
      </c>
      <c r="CF60" s="336">
        <f>+CF59*$G55/4</f>
        <v>7.9649999999999999</v>
      </c>
      <c r="CG60" s="1402">
        <f>+CG59*$G55/4</f>
        <v>7.9649999999999999</v>
      </c>
      <c r="CH60" s="336"/>
      <c r="CI60" s="1401">
        <f>+CI59*$G55/4</f>
        <v>7.9649999999999999</v>
      </c>
      <c r="CJ60" s="336">
        <f>+CJ59*$G55/4</f>
        <v>7.9649999999999999</v>
      </c>
      <c r="CK60" s="336">
        <f>+CK59*$G55/4</f>
        <v>7.9649999999999999</v>
      </c>
      <c r="CL60" s="1402">
        <f>+CL59*$G55/4</f>
        <v>7.9649999999999999</v>
      </c>
      <c r="CM60" s="336"/>
      <c r="CN60" s="1401">
        <f>+CN59*$G55/4</f>
        <v>7.9649999999999999</v>
      </c>
      <c r="CO60" s="336">
        <f>+CO59*$G55/4</f>
        <v>7.9649999999999999</v>
      </c>
      <c r="CP60" s="336">
        <f>+CP59*$G55/4</f>
        <v>7.9649999999999999</v>
      </c>
      <c r="CQ60" s="1402">
        <f>+CQ59*$G55/4</f>
        <v>7.9649999999999999</v>
      </c>
      <c r="CR60" s="1402"/>
    </row>
    <row r="61" spans="1:96" ht="13.5" customHeight="1">
      <c r="A61" s="317"/>
      <c r="B61" s="317" t="s">
        <v>93</v>
      </c>
      <c r="C61" s="317"/>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8"/>
      <c r="AG61" s="318"/>
      <c r="AH61" s="318"/>
      <c r="AI61" s="335"/>
      <c r="AJ61" s="318"/>
      <c r="AK61" s="1405"/>
      <c r="AL61" s="336"/>
      <c r="AM61" s="319"/>
      <c r="AN61" s="1402"/>
      <c r="AO61" s="319"/>
      <c r="AP61" s="1405"/>
      <c r="AQ61" s="336">
        <f>+AP60+AQ60</f>
        <v>16.59375</v>
      </c>
      <c r="AR61" s="319"/>
      <c r="AS61" s="1402">
        <f>+AR60+AS60</f>
        <v>22.125</v>
      </c>
      <c r="AT61" s="336"/>
      <c r="AU61" s="1405"/>
      <c r="AV61" s="336">
        <f>+AU60+AV60</f>
        <v>22.125</v>
      </c>
      <c r="AW61" s="319"/>
      <c r="AX61" s="1402">
        <f>+AW60+AX60</f>
        <v>22.125</v>
      </c>
      <c r="AY61" s="336"/>
      <c r="AZ61" s="1405"/>
      <c r="BA61" s="336">
        <f>+AZ60+BA60</f>
        <v>22.125</v>
      </c>
      <c r="BB61" s="319"/>
      <c r="BC61" s="1402">
        <f>+BB60+BC60</f>
        <v>22.125</v>
      </c>
      <c r="BD61" s="336"/>
      <c r="BE61" s="1405"/>
      <c r="BF61" s="336">
        <f>+BE60+BF60</f>
        <v>22.125</v>
      </c>
      <c r="BG61" s="319"/>
      <c r="BH61" s="1402">
        <f>+BG60+BH60</f>
        <v>22.125</v>
      </c>
      <c r="BI61" s="336"/>
      <c r="BJ61" s="1405"/>
      <c r="BK61" s="336">
        <f>+BJ60+BK60</f>
        <v>22.125</v>
      </c>
      <c r="BL61" s="319"/>
      <c r="BM61" s="1402">
        <f>+BL60+BM60</f>
        <v>22.125</v>
      </c>
      <c r="BN61" s="336"/>
      <c r="BO61" s="1405"/>
      <c r="BP61" s="336">
        <f>+BO60+BP60</f>
        <v>22.125</v>
      </c>
      <c r="BQ61" s="319"/>
      <c r="BR61" s="1402">
        <f>+BQ60+BR60</f>
        <v>22.125</v>
      </c>
      <c r="BS61" s="336"/>
      <c r="BT61" s="1405"/>
      <c r="BU61" s="336">
        <f>+BT60+BU60</f>
        <v>20.7421875</v>
      </c>
      <c r="BV61" s="319"/>
      <c r="BW61" s="1402">
        <f>+BV60+BW60</f>
        <v>16.225000000000001</v>
      </c>
      <c r="BX61" s="336"/>
      <c r="BY61" s="1405"/>
      <c r="BZ61" s="336">
        <f>+BY60+BZ60</f>
        <v>15.93</v>
      </c>
      <c r="CA61" s="319"/>
      <c r="CB61" s="1402">
        <f>+CA60+CB60</f>
        <v>15.93</v>
      </c>
      <c r="CC61" s="336"/>
      <c r="CD61" s="1405"/>
      <c r="CE61" s="336">
        <f>+CD60+CE60</f>
        <v>15.93</v>
      </c>
      <c r="CF61" s="319"/>
      <c r="CG61" s="1402">
        <f>+CF60+CG60</f>
        <v>15.93</v>
      </c>
      <c r="CH61" s="336"/>
      <c r="CI61" s="1405"/>
      <c r="CJ61" s="336">
        <f>+CI60+CJ60</f>
        <v>15.93</v>
      </c>
      <c r="CK61" s="319"/>
      <c r="CL61" s="1402">
        <f>+CK60+CL60</f>
        <v>15.93</v>
      </c>
      <c r="CM61" s="336"/>
      <c r="CN61" s="1405"/>
      <c r="CO61" s="336">
        <f>+CN60+CO60</f>
        <v>15.93</v>
      </c>
      <c r="CP61" s="319"/>
      <c r="CQ61" s="1402">
        <f>+CP60+CQ60</f>
        <v>15.93</v>
      </c>
      <c r="CR61" s="1402"/>
    </row>
    <row r="62" spans="1:96" ht="6.2" hidden="1" customHeight="1" outlineLevel="1">
      <c r="A62" s="317"/>
      <c r="B62" s="317"/>
      <c r="C62" s="317"/>
      <c r="D62" s="318"/>
      <c r="E62" s="318"/>
      <c r="F62" s="318"/>
      <c r="G62" s="318"/>
      <c r="H62" s="318"/>
      <c r="I62" s="318"/>
      <c r="J62" s="318"/>
      <c r="K62" s="318"/>
      <c r="L62" s="318"/>
      <c r="M62" s="318"/>
      <c r="N62" s="318"/>
      <c r="O62" s="318"/>
      <c r="P62" s="318"/>
      <c r="Q62" s="318"/>
      <c r="R62" s="318"/>
      <c r="S62" s="318"/>
      <c r="T62" s="318"/>
      <c r="U62" s="318"/>
      <c r="V62" s="318"/>
      <c r="W62" s="318"/>
      <c r="X62" s="318"/>
      <c r="Y62" s="318"/>
      <c r="Z62" s="318"/>
      <c r="AA62" s="318"/>
      <c r="AB62" s="318"/>
      <c r="AC62" s="318"/>
      <c r="AD62" s="318"/>
      <c r="AE62" s="318"/>
      <c r="AF62" s="318"/>
      <c r="AG62" s="318"/>
      <c r="AH62" s="318"/>
      <c r="AI62" s="318"/>
      <c r="AJ62" s="318"/>
      <c r="AK62" s="1405"/>
      <c r="AL62" s="319"/>
      <c r="AM62" s="319"/>
      <c r="AN62" s="1406"/>
      <c r="AO62" s="319"/>
      <c r="AP62" s="1405"/>
      <c r="AQ62" s="319"/>
      <c r="AR62" s="319"/>
      <c r="AS62" s="1406"/>
      <c r="AT62" s="319"/>
      <c r="AU62" s="1405"/>
      <c r="AV62" s="319"/>
      <c r="AW62" s="319"/>
      <c r="AX62" s="1406"/>
      <c r="AY62" s="319"/>
      <c r="AZ62" s="1405"/>
      <c r="BA62" s="319"/>
      <c r="BB62" s="319"/>
      <c r="BC62" s="1406"/>
      <c r="BD62" s="319"/>
      <c r="BE62" s="1405"/>
      <c r="BF62" s="319"/>
      <c r="BG62" s="319"/>
      <c r="BH62" s="1406"/>
      <c r="BI62" s="319"/>
      <c r="BJ62" s="1405"/>
      <c r="BK62" s="319"/>
      <c r="BL62" s="319"/>
      <c r="BM62" s="1406"/>
      <c r="BN62" s="319"/>
      <c r="BO62" s="1405"/>
      <c r="BP62" s="319"/>
      <c r="BQ62" s="319"/>
      <c r="BR62" s="1406"/>
      <c r="BS62" s="319"/>
      <c r="BT62" s="1405"/>
      <c r="BU62" s="319"/>
      <c r="BV62" s="319"/>
      <c r="BW62" s="1406"/>
      <c r="BX62" s="319"/>
      <c r="BY62" s="1405"/>
      <c r="BZ62" s="319"/>
      <c r="CA62" s="319"/>
      <c r="CB62" s="1406"/>
      <c r="CC62" s="319"/>
      <c r="CD62" s="1405"/>
      <c r="CE62" s="319"/>
      <c r="CF62" s="319"/>
      <c r="CG62" s="1406"/>
      <c r="CH62" s="319"/>
      <c r="CI62" s="1405"/>
      <c r="CJ62" s="319"/>
      <c r="CK62" s="319"/>
      <c r="CL62" s="1406"/>
      <c r="CM62" s="319"/>
      <c r="CN62" s="1405"/>
      <c r="CO62" s="319"/>
      <c r="CP62" s="319"/>
      <c r="CQ62" s="1406"/>
      <c r="CR62" s="1406"/>
    </row>
    <row r="63" spans="1:96" ht="13.5" hidden="1" customHeight="1" outlineLevel="1">
      <c r="A63" s="334" t="s">
        <v>101</v>
      </c>
      <c r="B63" s="317"/>
      <c r="C63" s="317"/>
      <c r="D63" s="318"/>
      <c r="E63" s="318"/>
      <c r="F63" s="318"/>
      <c r="G63" s="347">
        <v>7.0000000000000007E-2</v>
      </c>
      <c r="H63" s="339">
        <v>43444</v>
      </c>
      <c r="I63" s="318"/>
      <c r="J63" s="318"/>
      <c r="K63" s="318"/>
      <c r="L63" s="318"/>
      <c r="M63" s="318"/>
      <c r="N63" s="318"/>
      <c r="O63" s="318"/>
      <c r="P63" s="318"/>
      <c r="Q63" s="318"/>
      <c r="R63" s="318"/>
      <c r="S63" s="318"/>
      <c r="T63" s="318"/>
      <c r="U63" s="318"/>
      <c r="V63" s="318"/>
      <c r="W63" s="318"/>
      <c r="X63" s="318"/>
      <c r="Y63" s="318"/>
      <c r="Z63" s="318"/>
      <c r="AA63" s="318"/>
      <c r="AB63" s="318"/>
      <c r="AC63" s="318"/>
      <c r="AD63" s="318"/>
      <c r="AE63" s="318"/>
      <c r="AF63" s="318"/>
      <c r="AG63" s="318"/>
      <c r="AH63" s="318"/>
      <c r="AI63" s="318"/>
      <c r="AJ63" s="318"/>
      <c r="AK63" s="1405"/>
      <c r="AL63" s="319"/>
      <c r="AM63" s="319"/>
      <c r="AN63" s="1406"/>
      <c r="AO63" s="319"/>
      <c r="AP63" s="1405"/>
      <c r="AQ63" s="319"/>
      <c r="AR63" s="319"/>
      <c r="AS63" s="1406"/>
      <c r="AT63" s="319"/>
      <c r="AU63" s="1405"/>
      <c r="AV63" s="319"/>
      <c r="AW63" s="319"/>
      <c r="AX63" s="1406"/>
      <c r="AY63" s="319"/>
      <c r="AZ63" s="1405"/>
      <c r="BA63" s="319"/>
      <c r="BB63" s="319"/>
      <c r="BC63" s="1406"/>
      <c r="BD63" s="319"/>
      <c r="BE63" s="1405"/>
      <c r="BF63" s="319"/>
      <c r="BG63" s="319"/>
      <c r="BH63" s="1406"/>
      <c r="BI63" s="319"/>
      <c r="BJ63" s="1405"/>
      <c r="BK63" s="319"/>
      <c r="BL63" s="319"/>
      <c r="BM63" s="1406"/>
      <c r="BN63" s="319"/>
      <c r="BO63" s="1405"/>
      <c r="BP63" s="319"/>
      <c r="BQ63" s="319"/>
      <c r="BR63" s="1406"/>
      <c r="BS63" s="319"/>
      <c r="BT63" s="1405"/>
      <c r="BU63" s="319"/>
      <c r="BV63" s="319"/>
      <c r="BW63" s="1406"/>
      <c r="BX63" s="319"/>
      <c r="BY63" s="1405"/>
      <c r="BZ63" s="319"/>
      <c r="CA63" s="319"/>
      <c r="CB63" s="1406"/>
      <c r="CC63" s="319"/>
      <c r="CD63" s="1405"/>
      <c r="CE63" s="319"/>
      <c r="CF63" s="319"/>
      <c r="CG63" s="1406"/>
      <c r="CH63" s="319"/>
      <c r="CI63" s="1405"/>
      <c r="CJ63" s="319"/>
      <c r="CK63" s="319"/>
      <c r="CL63" s="1406"/>
      <c r="CM63" s="319"/>
      <c r="CN63" s="1405"/>
      <c r="CO63" s="319"/>
      <c r="CP63" s="319"/>
      <c r="CQ63" s="1406"/>
      <c r="CR63" s="1406"/>
    </row>
    <row r="64" spans="1:96" ht="13.5" hidden="1" customHeight="1" outlineLevel="1">
      <c r="A64" s="317"/>
      <c r="B64" s="317" t="s">
        <v>87</v>
      </c>
      <c r="C64" s="317"/>
      <c r="D64" s="318"/>
      <c r="E64" s="318"/>
      <c r="F64" s="318"/>
      <c r="G64" s="318"/>
      <c r="H64" s="335"/>
      <c r="I64" s="335"/>
      <c r="J64" s="335"/>
      <c r="K64" s="335"/>
      <c r="L64" s="335"/>
      <c r="M64" s="335"/>
      <c r="N64" s="335"/>
      <c r="O64" s="335"/>
      <c r="P64" s="335"/>
      <c r="Q64" s="335"/>
      <c r="R64" s="335"/>
      <c r="S64" s="335"/>
      <c r="T64" s="335"/>
      <c r="U64" s="335"/>
      <c r="V64" s="335"/>
      <c r="W64" s="335"/>
      <c r="X64" s="335"/>
      <c r="Y64" s="335"/>
      <c r="Z64" s="335"/>
      <c r="AA64" s="335"/>
      <c r="AB64" s="335"/>
      <c r="AC64" s="335"/>
      <c r="AD64" s="335"/>
      <c r="AE64" s="335"/>
      <c r="AF64" s="335"/>
      <c r="AG64" s="335"/>
      <c r="AH64" s="335"/>
      <c r="AI64" s="335"/>
      <c r="AJ64" s="335"/>
      <c r="AK64" s="1401">
        <f>+AJ66</f>
        <v>500</v>
      </c>
      <c r="AL64" s="336">
        <f>+AK66</f>
        <v>500</v>
      </c>
      <c r="AM64" s="336">
        <f>+AL66</f>
        <v>500</v>
      </c>
      <c r="AN64" s="1402">
        <f>+AM66</f>
        <v>500</v>
      </c>
      <c r="AO64" s="336"/>
      <c r="AP64" s="1401">
        <f>+AO66</f>
        <v>500</v>
      </c>
      <c r="AQ64" s="336">
        <f>+AP66</f>
        <v>500</v>
      </c>
      <c r="AR64" s="336">
        <f>+AQ66</f>
        <v>500</v>
      </c>
      <c r="AS64" s="1402">
        <f>+AR66</f>
        <v>500</v>
      </c>
      <c r="AT64" s="336"/>
      <c r="AU64" s="1401">
        <f>+AT66</f>
        <v>500</v>
      </c>
      <c r="AV64" s="336">
        <f>+AU66</f>
        <v>500</v>
      </c>
      <c r="AW64" s="336">
        <f>+AV66</f>
        <v>500</v>
      </c>
      <c r="AX64" s="1402">
        <f>+AW66</f>
        <v>500</v>
      </c>
      <c r="AY64" s="336"/>
      <c r="AZ64" s="1401">
        <f>+AY66</f>
        <v>500</v>
      </c>
      <c r="BA64" s="336">
        <f>+AZ66</f>
        <v>500</v>
      </c>
      <c r="BB64" s="336">
        <f>+BA66</f>
        <v>500</v>
      </c>
      <c r="BC64" s="1402">
        <f>+BB66</f>
        <v>500</v>
      </c>
      <c r="BD64" s="336"/>
      <c r="BE64" s="1401">
        <f>+BD66</f>
        <v>500</v>
      </c>
      <c r="BF64" s="336">
        <f>+BE66</f>
        <v>500</v>
      </c>
      <c r="BG64" s="336">
        <f>+BF66</f>
        <v>500</v>
      </c>
      <c r="BH64" s="1402">
        <f>+BG66</f>
        <v>500</v>
      </c>
      <c r="BI64" s="336"/>
      <c r="BJ64" s="1401">
        <f>+BI66</f>
        <v>500</v>
      </c>
      <c r="BK64" s="336">
        <f>+BJ66</f>
        <v>500</v>
      </c>
      <c r="BL64" s="336">
        <f>+BK66</f>
        <v>500</v>
      </c>
      <c r="BM64" s="1402">
        <f>+BL66</f>
        <v>500</v>
      </c>
      <c r="BN64" s="336"/>
      <c r="BO64" s="1401">
        <f>+BN66</f>
        <v>500</v>
      </c>
      <c r="BP64" s="336">
        <f>+BO66</f>
        <v>500</v>
      </c>
      <c r="BQ64" s="336">
        <f>+BP66</f>
        <v>500</v>
      </c>
      <c r="BR64" s="1402">
        <f>+BQ66</f>
        <v>500</v>
      </c>
      <c r="BS64" s="336"/>
      <c r="BT64" s="1401">
        <f>+BS66</f>
        <v>500</v>
      </c>
      <c r="BU64" s="336">
        <f>+BT66</f>
        <v>487</v>
      </c>
      <c r="BV64" s="336">
        <f>+BU66</f>
        <v>161</v>
      </c>
      <c r="BW64" s="1402">
        <f>+BV66</f>
        <v>161</v>
      </c>
      <c r="BX64" s="336"/>
      <c r="BY64" s="1401">
        <f>+BX66</f>
        <v>161</v>
      </c>
      <c r="BZ64" s="336">
        <f>+BY66</f>
        <v>161</v>
      </c>
      <c r="CA64" s="336">
        <f>+BZ66</f>
        <v>161</v>
      </c>
      <c r="CB64" s="1402">
        <f>+CA66</f>
        <v>0</v>
      </c>
      <c r="CC64" s="336"/>
      <c r="CD64" s="1401">
        <f>+CC66</f>
        <v>0</v>
      </c>
      <c r="CE64" s="336">
        <f>+CD66</f>
        <v>0</v>
      </c>
      <c r="CF64" s="336">
        <f>+CE66</f>
        <v>0</v>
      </c>
      <c r="CG64" s="1402">
        <f>+CF66</f>
        <v>0</v>
      </c>
      <c r="CH64" s="336"/>
      <c r="CI64" s="1401">
        <f>+CH66</f>
        <v>0</v>
      </c>
      <c r="CJ64" s="336">
        <f>+CI66</f>
        <v>0</v>
      </c>
      <c r="CK64" s="336">
        <f>+CJ66</f>
        <v>0</v>
      </c>
      <c r="CL64" s="1402">
        <f>+CK66</f>
        <v>0</v>
      </c>
      <c r="CM64" s="336"/>
      <c r="CN64" s="1401">
        <f>+CM66</f>
        <v>0</v>
      </c>
      <c r="CO64" s="336">
        <f>+CN66</f>
        <v>0</v>
      </c>
      <c r="CP64" s="336">
        <f>+CO66</f>
        <v>0</v>
      </c>
      <c r="CQ64" s="1402">
        <f>+CP66</f>
        <v>0</v>
      </c>
      <c r="CR64" s="1402"/>
    </row>
    <row r="65" spans="1:96" ht="13.5" hidden="1" customHeight="1" outlineLevel="1">
      <c r="A65" s="317"/>
      <c r="B65" s="317" t="s">
        <v>89</v>
      </c>
      <c r="C65" s="317"/>
      <c r="D65" s="318"/>
      <c r="E65" s="318"/>
      <c r="F65" s="318"/>
      <c r="G65" s="318"/>
      <c r="H65" s="335"/>
      <c r="I65" s="335"/>
      <c r="J65" s="335"/>
      <c r="K65" s="335"/>
      <c r="L65" s="335"/>
      <c r="M65" s="335"/>
      <c r="N65" s="335"/>
      <c r="O65" s="335"/>
      <c r="P65" s="335"/>
      <c r="Q65" s="335"/>
      <c r="R65" s="335"/>
      <c r="S65" s="335"/>
      <c r="T65" s="335"/>
      <c r="U65" s="335"/>
      <c r="V65" s="335"/>
      <c r="W65" s="335"/>
      <c r="X65" s="335"/>
      <c r="Y65" s="335"/>
      <c r="Z65" s="335"/>
      <c r="AA65" s="335"/>
      <c r="AB65" s="335"/>
      <c r="AC65" s="335"/>
      <c r="AD65" s="335"/>
      <c r="AE65" s="335"/>
      <c r="AF65" s="335"/>
      <c r="AG65" s="335"/>
      <c r="AH65" s="335"/>
      <c r="AI65" s="663">
        <v>0</v>
      </c>
      <c r="AJ65" s="335"/>
      <c r="AK65" s="1403">
        <v>0</v>
      </c>
      <c r="AL65" s="662">
        <v>0</v>
      </c>
      <c r="AM65" s="662">
        <v>0</v>
      </c>
      <c r="AN65" s="1404">
        <v>0</v>
      </c>
      <c r="AO65" s="336"/>
      <c r="AP65" s="1403">
        <v>0</v>
      </c>
      <c r="AQ65" s="662">
        <v>0</v>
      </c>
      <c r="AR65" s="662">
        <v>0</v>
      </c>
      <c r="AS65" s="1404">
        <v>0</v>
      </c>
      <c r="AT65" s="336"/>
      <c r="AU65" s="1403">
        <v>0</v>
      </c>
      <c r="AV65" s="662">
        <v>0</v>
      </c>
      <c r="AW65" s="662">
        <v>0</v>
      </c>
      <c r="AX65" s="1404">
        <v>0</v>
      </c>
      <c r="AY65" s="336"/>
      <c r="AZ65" s="1403">
        <v>0</v>
      </c>
      <c r="BA65" s="662">
        <v>0</v>
      </c>
      <c r="BB65" s="662">
        <v>0</v>
      </c>
      <c r="BC65" s="1404">
        <v>0</v>
      </c>
      <c r="BD65" s="336"/>
      <c r="BE65" s="1403">
        <v>0</v>
      </c>
      <c r="BF65" s="662">
        <v>0</v>
      </c>
      <c r="BG65" s="662">
        <v>0</v>
      </c>
      <c r="BH65" s="1404">
        <v>0</v>
      </c>
      <c r="BI65" s="336"/>
      <c r="BJ65" s="1403">
        <v>0</v>
      </c>
      <c r="BK65" s="662">
        <v>0</v>
      </c>
      <c r="BL65" s="662">
        <v>0</v>
      </c>
      <c r="BM65" s="1404">
        <v>0</v>
      </c>
      <c r="BN65" s="336"/>
      <c r="BO65" s="1403">
        <v>0</v>
      </c>
      <c r="BP65" s="662">
        <v>0</v>
      </c>
      <c r="BQ65" s="662">
        <v>0</v>
      </c>
      <c r="BR65" s="1404">
        <v>0</v>
      </c>
      <c r="BS65" s="336"/>
      <c r="BT65" s="1403">
        <v>0</v>
      </c>
      <c r="BU65" s="742">
        <f>BU66-BU64</f>
        <v>-326</v>
      </c>
      <c r="BV65" s="742">
        <f>BV66-BV64</f>
        <v>0</v>
      </c>
      <c r="BW65" s="1441">
        <f>BW66-BW64</f>
        <v>0</v>
      </c>
      <c r="BX65" s="336"/>
      <c r="BY65" s="1440">
        <f>BY66-BY64</f>
        <v>0</v>
      </c>
      <c r="BZ65" s="742">
        <f>BZ66-BZ64</f>
        <v>0</v>
      </c>
      <c r="CA65" s="662">
        <f>CA66-CA64</f>
        <v>-161</v>
      </c>
      <c r="CB65" s="1404">
        <v>0</v>
      </c>
      <c r="CC65" s="336"/>
      <c r="CD65" s="1403">
        <v>0</v>
      </c>
      <c r="CE65" s="662">
        <v>0</v>
      </c>
      <c r="CF65" s="662">
        <v>0</v>
      </c>
      <c r="CG65" s="1404">
        <v>0</v>
      </c>
      <c r="CH65" s="336"/>
      <c r="CI65" s="1403">
        <v>0</v>
      </c>
      <c r="CJ65" s="662">
        <v>0</v>
      </c>
      <c r="CK65" s="662">
        <v>0</v>
      </c>
      <c r="CL65" s="1404">
        <v>0</v>
      </c>
      <c r="CM65" s="336"/>
      <c r="CN65" s="1403">
        <v>0</v>
      </c>
      <c r="CO65" s="662">
        <v>0</v>
      </c>
      <c r="CP65" s="662">
        <v>0</v>
      </c>
      <c r="CQ65" s="1404">
        <v>0</v>
      </c>
      <c r="CR65" s="1402"/>
    </row>
    <row r="66" spans="1:96" ht="13.5" hidden="1" customHeight="1" outlineLevel="1">
      <c r="A66" s="317"/>
      <c r="B66" s="317" t="s">
        <v>90</v>
      </c>
      <c r="C66" s="317"/>
      <c r="D66" s="318"/>
      <c r="E66" s="318"/>
      <c r="F66" s="318"/>
      <c r="G66" s="318"/>
      <c r="H66" s="348">
        <v>0</v>
      </c>
      <c r="I66" s="348"/>
      <c r="J66" s="348"/>
      <c r="K66" s="348"/>
      <c r="L66" s="348"/>
      <c r="M66" s="348"/>
      <c r="N66" s="348"/>
      <c r="O66" s="348"/>
      <c r="P66" s="348"/>
      <c r="Q66" s="348"/>
      <c r="R66" s="348"/>
      <c r="S66" s="348"/>
      <c r="T66" s="348"/>
      <c r="U66" s="348"/>
      <c r="V66" s="348"/>
      <c r="W66" s="348"/>
      <c r="X66" s="348"/>
      <c r="Y66" s="348"/>
      <c r="Z66" s="348"/>
      <c r="AA66" s="348"/>
      <c r="AB66" s="348"/>
      <c r="AC66" s="348"/>
      <c r="AD66" s="348"/>
      <c r="AE66" s="348"/>
      <c r="AF66" s="348"/>
      <c r="AG66" s="348"/>
      <c r="AH66" s="348"/>
      <c r="AI66" s="663">
        <v>500</v>
      </c>
      <c r="AJ66" s="335">
        <f>+AI66</f>
        <v>500</v>
      </c>
      <c r="AK66" s="1401">
        <f>+AK64+AK65</f>
        <v>500</v>
      </c>
      <c r="AL66" s="336">
        <f>+AL64+AL65</f>
        <v>500</v>
      </c>
      <c r="AM66" s="336">
        <f>+AM64+AM65</f>
        <v>500</v>
      </c>
      <c r="AN66" s="1402">
        <f>+AN64+AN65</f>
        <v>500</v>
      </c>
      <c r="AO66" s="343">
        <f>+AN66</f>
        <v>500</v>
      </c>
      <c r="AP66" s="1401">
        <f>+AP64+AP65</f>
        <v>500</v>
      </c>
      <c r="AQ66" s="336">
        <f>+AQ64+AQ65</f>
        <v>500</v>
      </c>
      <c r="AR66" s="336">
        <f>+AR64+AR65</f>
        <v>500</v>
      </c>
      <c r="AS66" s="1402">
        <f>+AS64+AS65</f>
        <v>500</v>
      </c>
      <c r="AT66" s="343">
        <f>+AS66</f>
        <v>500</v>
      </c>
      <c r="AU66" s="1401">
        <f>+AU64+AU65</f>
        <v>500</v>
      </c>
      <c r="AV66" s="336">
        <f>+AV64+AV65</f>
        <v>500</v>
      </c>
      <c r="AW66" s="336">
        <f>+AW64+AW65</f>
        <v>500</v>
      </c>
      <c r="AX66" s="1402">
        <f>+AX64+AX65</f>
        <v>500</v>
      </c>
      <c r="AY66" s="343">
        <f>+AX66</f>
        <v>500</v>
      </c>
      <c r="AZ66" s="1401">
        <f>+AZ64+AZ65</f>
        <v>500</v>
      </c>
      <c r="BA66" s="336">
        <f>+BA64+BA65</f>
        <v>500</v>
      </c>
      <c r="BB66" s="336">
        <f>+BB64+BB65</f>
        <v>500</v>
      </c>
      <c r="BC66" s="1402">
        <f>+BC64+BC65</f>
        <v>500</v>
      </c>
      <c r="BD66" s="343">
        <f>+BC66</f>
        <v>500</v>
      </c>
      <c r="BE66" s="1401">
        <f>+BE64+BE65</f>
        <v>500</v>
      </c>
      <c r="BF66" s="336">
        <f>+BF64+BF65</f>
        <v>500</v>
      </c>
      <c r="BG66" s="336">
        <f>+BG64+BG65</f>
        <v>500</v>
      </c>
      <c r="BH66" s="1402">
        <f>+BH64+BH65</f>
        <v>500</v>
      </c>
      <c r="BI66" s="343">
        <f>+BH66</f>
        <v>500</v>
      </c>
      <c r="BJ66" s="1401">
        <f>+BJ64+BJ65</f>
        <v>500</v>
      </c>
      <c r="BK66" s="336">
        <f>+BK64+BK65</f>
        <v>500</v>
      </c>
      <c r="BL66" s="336">
        <f>+BL64+BL65</f>
        <v>500</v>
      </c>
      <c r="BM66" s="1402">
        <f>+BM64+BM65</f>
        <v>500</v>
      </c>
      <c r="BN66" s="343">
        <f>+BM66</f>
        <v>500</v>
      </c>
      <c r="BO66" s="1401">
        <f>+BO64+BO65</f>
        <v>500</v>
      </c>
      <c r="BP66" s="336">
        <f>+BP64+BP65</f>
        <v>500</v>
      </c>
      <c r="BQ66" s="662">
        <v>500</v>
      </c>
      <c r="BR66" s="1404">
        <v>500</v>
      </c>
      <c r="BS66" s="343">
        <f>+BR66</f>
        <v>500</v>
      </c>
      <c r="BT66" s="1403">
        <v>487</v>
      </c>
      <c r="BU66" s="662">
        <v>161</v>
      </c>
      <c r="BV66" s="662">
        <v>161</v>
      </c>
      <c r="BW66" s="1404">
        <v>161</v>
      </c>
      <c r="BX66" s="343">
        <f>+BW66</f>
        <v>161</v>
      </c>
      <c r="BY66" s="1403">
        <v>161</v>
      </c>
      <c r="BZ66" s="662">
        <v>161</v>
      </c>
      <c r="CA66" s="662">
        <v>0</v>
      </c>
      <c r="CB66" s="1402">
        <v>0</v>
      </c>
      <c r="CC66" s="343">
        <f>+CB66</f>
        <v>0</v>
      </c>
      <c r="CD66" s="1401">
        <f>+CD64+CD65</f>
        <v>0</v>
      </c>
      <c r="CE66" s="336">
        <f>+CE64+CE65</f>
        <v>0</v>
      </c>
      <c r="CF66" s="336">
        <f>+CF64+CF65</f>
        <v>0</v>
      </c>
      <c r="CG66" s="1402">
        <f>+CG64+CG65</f>
        <v>0</v>
      </c>
      <c r="CH66" s="343">
        <f>+CG66</f>
        <v>0</v>
      </c>
      <c r="CI66" s="1401">
        <f>+CI64+CI65</f>
        <v>0</v>
      </c>
      <c r="CJ66" s="336">
        <f>+CJ64+CJ65</f>
        <v>0</v>
      </c>
      <c r="CK66" s="336">
        <f>+CK64+CK65</f>
        <v>0</v>
      </c>
      <c r="CL66" s="1402">
        <f>+CL64+CL65</f>
        <v>0</v>
      </c>
      <c r="CM66" s="343">
        <f>+CL66</f>
        <v>0</v>
      </c>
      <c r="CN66" s="1401">
        <f>+CN64+CN65</f>
        <v>0</v>
      </c>
      <c r="CO66" s="336">
        <f>+CO64+CO65</f>
        <v>0</v>
      </c>
      <c r="CP66" s="336">
        <f>+CP64+CP65</f>
        <v>0</v>
      </c>
      <c r="CQ66" s="1402">
        <f>+CQ64+CQ65</f>
        <v>0</v>
      </c>
      <c r="CR66" s="1451">
        <f>+CQ66</f>
        <v>0</v>
      </c>
    </row>
    <row r="67" spans="1:96" ht="13.5" hidden="1" customHeight="1" outlineLevel="1">
      <c r="A67" s="317"/>
      <c r="B67" s="317" t="s">
        <v>91</v>
      </c>
      <c r="C67" s="317"/>
      <c r="D67" s="318"/>
      <c r="E67" s="318"/>
      <c r="F67" s="318"/>
      <c r="G67" s="318"/>
      <c r="H67" s="335"/>
      <c r="I67" s="335"/>
      <c r="J67" s="335"/>
      <c r="K67" s="335"/>
      <c r="L67" s="335"/>
      <c r="M67" s="335"/>
      <c r="N67" s="335"/>
      <c r="O67" s="335"/>
      <c r="P67" s="335"/>
      <c r="Q67" s="335"/>
      <c r="R67" s="335"/>
      <c r="S67" s="335"/>
      <c r="T67" s="335"/>
      <c r="U67" s="335"/>
      <c r="V67" s="335"/>
      <c r="W67" s="335"/>
      <c r="X67" s="335"/>
      <c r="Y67" s="335"/>
      <c r="Z67" s="335"/>
      <c r="AA67" s="335"/>
      <c r="AB67" s="335"/>
      <c r="AC67" s="335"/>
      <c r="AD67" s="335"/>
      <c r="AE67" s="335"/>
      <c r="AF67" s="335"/>
      <c r="AG67" s="335"/>
      <c r="AH67" s="335"/>
      <c r="AI67" s="335"/>
      <c r="AJ67" s="335"/>
      <c r="AK67" s="1401">
        <f>+AVERAGE(AK64,AK66)</f>
        <v>500</v>
      </c>
      <c r="AL67" s="336">
        <f>+AVERAGE(AL64,AL66)</f>
        <v>500</v>
      </c>
      <c r="AM67" s="336">
        <f>+AVERAGE(AM64,AM66)</f>
        <v>500</v>
      </c>
      <c r="AN67" s="1402">
        <f>+AVERAGE(AN64,AN66)</f>
        <v>500</v>
      </c>
      <c r="AO67" s="336"/>
      <c r="AP67" s="1401">
        <f>+AVERAGE(AP64,AP66)</f>
        <v>500</v>
      </c>
      <c r="AQ67" s="336">
        <f>+AVERAGE(AQ64,AQ66)</f>
        <v>500</v>
      </c>
      <c r="AR67" s="336">
        <f>+AVERAGE(AR64,AR66)</f>
        <v>500</v>
      </c>
      <c r="AS67" s="1402">
        <f>+AVERAGE(AS64,AS66)</f>
        <v>500</v>
      </c>
      <c r="AT67" s="336"/>
      <c r="AU67" s="1401">
        <f>+AVERAGE(AU64,AU66)</f>
        <v>500</v>
      </c>
      <c r="AV67" s="336">
        <f>+AVERAGE(AV64,AV66)</f>
        <v>500</v>
      </c>
      <c r="AW67" s="336">
        <f>+AVERAGE(AW64,AW66)</f>
        <v>500</v>
      </c>
      <c r="AX67" s="1402">
        <f>+AVERAGE(AX64,AX66)</f>
        <v>500</v>
      </c>
      <c r="AY67" s="336"/>
      <c r="AZ67" s="1401">
        <f>+AVERAGE(AZ64,AZ66)</f>
        <v>500</v>
      </c>
      <c r="BA67" s="336">
        <f>+AVERAGE(BA64,BA66)</f>
        <v>500</v>
      </c>
      <c r="BB67" s="336">
        <f>+AVERAGE(BB64,BB66)</f>
        <v>500</v>
      </c>
      <c r="BC67" s="1402">
        <f>+AVERAGE(BC64,BC66)</f>
        <v>500</v>
      </c>
      <c r="BD67" s="336"/>
      <c r="BE67" s="1401">
        <f>+AVERAGE(BE64,BE66)</f>
        <v>500</v>
      </c>
      <c r="BF67" s="336">
        <f>+AVERAGE(BF64,BF66)</f>
        <v>500</v>
      </c>
      <c r="BG67" s="336">
        <f>+AVERAGE(BG64,BG66)</f>
        <v>500</v>
      </c>
      <c r="BH67" s="1402">
        <f>+AVERAGE(BH64,BH66)</f>
        <v>500</v>
      </c>
      <c r="BI67" s="336"/>
      <c r="BJ67" s="1401">
        <f>+AVERAGE(BJ64,BJ66)</f>
        <v>500</v>
      </c>
      <c r="BK67" s="336">
        <f>+AVERAGE(BK64,BK66)</f>
        <v>500</v>
      </c>
      <c r="BL67" s="336">
        <f>+AVERAGE(BL64,BL66)</f>
        <v>500</v>
      </c>
      <c r="BM67" s="1402">
        <f>+AVERAGE(BM64,BM66)</f>
        <v>500</v>
      </c>
      <c r="BN67" s="336"/>
      <c r="BO67" s="1401">
        <f>+AVERAGE(BO64,BO66)</f>
        <v>500</v>
      </c>
      <c r="BP67" s="336">
        <f>+AVERAGE(BP64,BP66)</f>
        <v>500</v>
      </c>
      <c r="BQ67" s="336">
        <f>+AVERAGE(BQ64,BQ66)</f>
        <v>500</v>
      </c>
      <c r="BR67" s="1402">
        <f>+AVERAGE(BR64,BR66)</f>
        <v>500</v>
      </c>
      <c r="BS67" s="336"/>
      <c r="BT67" s="1401">
        <f>+AVERAGE(BT64,BT66)</f>
        <v>493.5</v>
      </c>
      <c r="BU67" s="336">
        <f>+AVERAGE(BU64,BU66)</f>
        <v>324</v>
      </c>
      <c r="BV67" s="336">
        <f>+AVERAGE(BV64,BV66)</f>
        <v>161</v>
      </c>
      <c r="BW67" s="1402">
        <f>+AVERAGE(BW64,BW66)</f>
        <v>161</v>
      </c>
      <c r="BX67" s="336"/>
      <c r="BY67" s="1401">
        <f>+AVERAGE(BY64,BY66)</f>
        <v>161</v>
      </c>
      <c r="BZ67" s="336">
        <f>+AVERAGE(BZ64,BZ66)</f>
        <v>161</v>
      </c>
      <c r="CA67" s="336">
        <f>+AVERAGE(CA64,CA66)</f>
        <v>80.5</v>
      </c>
      <c r="CB67" s="1402">
        <f>+AVERAGE(CB64,CB66)</f>
        <v>0</v>
      </c>
      <c r="CC67" s="336"/>
      <c r="CD67" s="1401">
        <f>+AVERAGE(CD64,CD66)</f>
        <v>0</v>
      </c>
      <c r="CE67" s="336">
        <f>+AVERAGE(CE64,CE66)</f>
        <v>0</v>
      </c>
      <c r="CF67" s="336">
        <f>+AVERAGE(CF64,CF66)</f>
        <v>0</v>
      </c>
      <c r="CG67" s="1402">
        <f>+AVERAGE(CG64,CG66)</f>
        <v>0</v>
      </c>
      <c r="CH67" s="336"/>
      <c r="CI67" s="1401">
        <f>+AVERAGE(CI64,CI66)</f>
        <v>0</v>
      </c>
      <c r="CJ67" s="336">
        <f>+AVERAGE(CJ64,CJ66)</f>
        <v>0</v>
      </c>
      <c r="CK67" s="336">
        <f>+AVERAGE(CK64,CK66)</f>
        <v>0</v>
      </c>
      <c r="CL67" s="1402">
        <f>+AVERAGE(CL64,CL66)</f>
        <v>0</v>
      </c>
      <c r="CM67" s="336"/>
      <c r="CN67" s="1401">
        <f>+AVERAGE(CN64,CN66)</f>
        <v>0</v>
      </c>
      <c r="CO67" s="336">
        <f>+AVERAGE(CO64,CO66)</f>
        <v>0</v>
      </c>
      <c r="CP67" s="336">
        <f>+AVERAGE(CP64,CP66)</f>
        <v>0</v>
      </c>
      <c r="CQ67" s="1402">
        <f>+AVERAGE(CQ64,CQ66)</f>
        <v>0</v>
      </c>
      <c r="CR67" s="1402"/>
    </row>
    <row r="68" spans="1:96" ht="13.5" hidden="1" customHeight="1" outlineLevel="1">
      <c r="A68" s="317"/>
      <c r="B68" s="317" t="s">
        <v>92</v>
      </c>
      <c r="C68" s="317"/>
      <c r="D68" s="318"/>
      <c r="E68" s="318"/>
      <c r="F68" s="318"/>
      <c r="G68" s="318"/>
      <c r="H68" s="335"/>
      <c r="I68" s="335"/>
      <c r="J68" s="335"/>
      <c r="K68" s="335"/>
      <c r="L68" s="335"/>
      <c r="M68" s="335"/>
      <c r="N68" s="335"/>
      <c r="O68" s="335"/>
      <c r="P68" s="335"/>
      <c r="Q68" s="335"/>
      <c r="R68" s="335"/>
      <c r="S68" s="335"/>
      <c r="T68" s="335"/>
      <c r="U68" s="335"/>
      <c r="V68" s="335"/>
      <c r="W68" s="335"/>
      <c r="X68" s="335"/>
      <c r="Y68" s="335"/>
      <c r="Z68" s="335"/>
      <c r="AA68" s="335"/>
      <c r="AB68" s="335"/>
      <c r="AC68" s="335"/>
      <c r="AD68" s="335"/>
      <c r="AE68" s="335"/>
      <c r="AF68" s="335"/>
      <c r="AG68" s="335"/>
      <c r="AH68" s="335"/>
      <c r="AI68" s="335"/>
      <c r="AJ68" s="335"/>
      <c r="AK68" s="1401">
        <f>+AK67*$G63/4</f>
        <v>8.75</v>
      </c>
      <c r="AL68" s="336">
        <f>+AL67*$G63/4</f>
        <v>8.75</v>
      </c>
      <c r="AM68" s="336">
        <f>+AM67*$G63/4</f>
        <v>8.75</v>
      </c>
      <c r="AN68" s="1402">
        <f>+AN67*$G63/4</f>
        <v>8.75</v>
      </c>
      <c r="AO68" s="336"/>
      <c r="AP68" s="1401">
        <f>+AP67*$G63/4</f>
        <v>8.75</v>
      </c>
      <c r="AQ68" s="336">
        <f>+AQ67*$G63/4</f>
        <v>8.75</v>
      </c>
      <c r="AR68" s="336">
        <f>+AR67*$G63/4</f>
        <v>8.75</v>
      </c>
      <c r="AS68" s="1402">
        <f>+AS67*$G63/4</f>
        <v>8.75</v>
      </c>
      <c r="AT68" s="336"/>
      <c r="AU68" s="1401">
        <f>+AU67*$G63/4</f>
        <v>8.75</v>
      </c>
      <c r="AV68" s="336">
        <f>+AV67*$G63/4</f>
        <v>8.75</v>
      </c>
      <c r="AW68" s="336">
        <f>+AW67*$G63/4</f>
        <v>8.75</v>
      </c>
      <c r="AX68" s="1402">
        <f>+AX67*$G63/4</f>
        <v>8.75</v>
      </c>
      <c r="AY68" s="336"/>
      <c r="AZ68" s="1401">
        <f>+AZ67*$G63/4</f>
        <v>8.75</v>
      </c>
      <c r="BA68" s="336">
        <f>+BA67*$G63/4</f>
        <v>8.75</v>
      </c>
      <c r="BB68" s="336">
        <f>+BB67*$G63/4</f>
        <v>8.75</v>
      </c>
      <c r="BC68" s="1402">
        <f>+BC67*$G63/4</f>
        <v>8.75</v>
      </c>
      <c r="BD68" s="336"/>
      <c r="BE68" s="1401">
        <f>+BE67*$G63/4</f>
        <v>8.75</v>
      </c>
      <c r="BF68" s="336">
        <f>+BF67*$G63/4</f>
        <v>8.75</v>
      </c>
      <c r="BG68" s="336">
        <f>+BG67*$G63/4</f>
        <v>8.75</v>
      </c>
      <c r="BH68" s="1402">
        <f>+BH67*$G63/4</f>
        <v>8.75</v>
      </c>
      <c r="BI68" s="336"/>
      <c r="BJ68" s="1401">
        <f>+BJ67*$G63/4</f>
        <v>8.75</v>
      </c>
      <c r="BK68" s="336">
        <f>+BK67*$G63/4</f>
        <v>8.75</v>
      </c>
      <c r="BL68" s="336">
        <f>+BL67*$G63/4</f>
        <v>8.75</v>
      </c>
      <c r="BM68" s="1402">
        <f>+BM67*$G63/4</f>
        <v>8.75</v>
      </c>
      <c r="BN68" s="336"/>
      <c r="BO68" s="1401">
        <f>+BO67*$G63/4</f>
        <v>8.75</v>
      </c>
      <c r="BP68" s="336">
        <f>+BP67*$G63/4</f>
        <v>8.75</v>
      </c>
      <c r="BQ68" s="336">
        <f>+BQ67*$G63/4</f>
        <v>8.75</v>
      </c>
      <c r="BR68" s="1402">
        <f>+BR67*$G63/4</f>
        <v>8.75</v>
      </c>
      <c r="BS68" s="336"/>
      <c r="BT68" s="1401">
        <f>+BT67*$G63/4</f>
        <v>8.6362500000000004</v>
      </c>
      <c r="BU68" s="336">
        <f>+BU67*$G63/4</f>
        <v>5.6700000000000008</v>
      </c>
      <c r="BV68" s="336">
        <f>+BV67*$G63/4</f>
        <v>2.8175000000000003</v>
      </c>
      <c r="BW68" s="1402">
        <f>+BW67*$G63/4</f>
        <v>2.8175000000000003</v>
      </c>
      <c r="BX68" s="336"/>
      <c r="BY68" s="1401">
        <f>+BY67*$G63/4</f>
        <v>2.8175000000000003</v>
      </c>
      <c r="BZ68" s="336">
        <f>+BZ67*$G63/4</f>
        <v>2.8175000000000003</v>
      </c>
      <c r="CA68" s="336">
        <f>+CA67*$G63/4</f>
        <v>1.4087500000000002</v>
      </c>
      <c r="CB68" s="1402">
        <f>+CB67*$G63/4</f>
        <v>0</v>
      </c>
      <c r="CC68" s="336"/>
      <c r="CD68" s="1401">
        <f>+CD67*$G63/4</f>
        <v>0</v>
      </c>
      <c r="CE68" s="336">
        <f>+CE67*$G63/4</f>
        <v>0</v>
      </c>
      <c r="CF68" s="336">
        <f>+CF67*$G63/4</f>
        <v>0</v>
      </c>
      <c r="CG68" s="1402">
        <f>+CG67*$G63/4</f>
        <v>0</v>
      </c>
      <c r="CH68" s="336"/>
      <c r="CI68" s="1401">
        <f>+CI67*$G63/4</f>
        <v>0</v>
      </c>
      <c r="CJ68" s="336">
        <f>+CJ67*$G63/4</f>
        <v>0</v>
      </c>
      <c r="CK68" s="336">
        <f>+CK67*$G63/4</f>
        <v>0</v>
      </c>
      <c r="CL68" s="1402">
        <f>+CL67*$G63/4</f>
        <v>0</v>
      </c>
      <c r="CM68" s="336"/>
      <c r="CN68" s="1401">
        <f>+CN67*$G63/4</f>
        <v>0</v>
      </c>
      <c r="CO68" s="336">
        <f>+CO67*$G63/4</f>
        <v>0</v>
      </c>
      <c r="CP68" s="336">
        <f>+CP67*$G63/4</f>
        <v>0</v>
      </c>
      <c r="CQ68" s="1402">
        <f>+CQ67*$G63/4</f>
        <v>0</v>
      </c>
      <c r="CR68" s="1402"/>
    </row>
    <row r="69" spans="1:96" ht="13.5" hidden="1" customHeight="1" outlineLevel="1">
      <c r="A69" s="317"/>
      <c r="B69" s="317" t="s">
        <v>93</v>
      </c>
      <c r="C69" s="317"/>
      <c r="D69" s="318"/>
      <c r="E69" s="318"/>
      <c r="F69" s="318"/>
      <c r="G69" s="318"/>
      <c r="H69" s="318"/>
      <c r="I69" s="318"/>
      <c r="J69" s="318"/>
      <c r="K69" s="318"/>
      <c r="L69" s="318"/>
      <c r="M69" s="318"/>
      <c r="N69" s="318"/>
      <c r="O69" s="318"/>
      <c r="P69" s="318"/>
      <c r="Q69" s="318"/>
      <c r="R69" s="318"/>
      <c r="S69" s="318"/>
      <c r="T69" s="318"/>
      <c r="U69" s="318"/>
      <c r="V69" s="318"/>
      <c r="W69" s="318"/>
      <c r="X69" s="318"/>
      <c r="Y69" s="318"/>
      <c r="Z69" s="318"/>
      <c r="AA69" s="318"/>
      <c r="AB69" s="318"/>
      <c r="AC69" s="318"/>
      <c r="AD69" s="318"/>
      <c r="AE69" s="318"/>
      <c r="AF69" s="318"/>
      <c r="AG69" s="318"/>
      <c r="AH69" s="318"/>
      <c r="AI69" s="335"/>
      <c r="AJ69" s="318"/>
      <c r="AK69" s="1401">
        <f>+AK68+AL68</f>
        <v>17.5</v>
      </c>
      <c r="AL69" s="336"/>
      <c r="AM69" s="336">
        <f>+AM68+AN68</f>
        <v>17.5</v>
      </c>
      <c r="AN69" s="1402"/>
      <c r="AO69" s="319"/>
      <c r="AP69" s="1401">
        <f>+AP68+AQ68</f>
        <v>17.5</v>
      </c>
      <c r="AQ69" s="336"/>
      <c r="AR69" s="336">
        <f>+AR68+AS68</f>
        <v>17.5</v>
      </c>
      <c r="AS69" s="1402"/>
      <c r="AT69" s="336"/>
      <c r="AU69" s="1401">
        <f>+AU68+AV68</f>
        <v>17.5</v>
      </c>
      <c r="AV69" s="336"/>
      <c r="AW69" s="336">
        <f>+AW68+AX68</f>
        <v>17.5</v>
      </c>
      <c r="AX69" s="1402"/>
      <c r="AY69" s="336"/>
      <c r="AZ69" s="1401">
        <f>+AZ68+BA68</f>
        <v>17.5</v>
      </c>
      <c r="BA69" s="336"/>
      <c r="BB69" s="336">
        <f>+BB68+BC68</f>
        <v>17.5</v>
      </c>
      <c r="BC69" s="1402"/>
      <c r="BD69" s="336"/>
      <c r="BE69" s="1401">
        <f>+BE68+BF68</f>
        <v>17.5</v>
      </c>
      <c r="BF69" s="336"/>
      <c r="BG69" s="336">
        <f>+BG68+BH68</f>
        <v>17.5</v>
      </c>
      <c r="BH69" s="1402"/>
      <c r="BI69" s="336"/>
      <c r="BJ69" s="1401">
        <f>+BJ68+BK68</f>
        <v>17.5</v>
      </c>
      <c r="BK69" s="336"/>
      <c r="BL69" s="336">
        <f>+BL68+BM68</f>
        <v>17.5</v>
      </c>
      <c r="BM69" s="1402"/>
      <c r="BN69" s="336"/>
      <c r="BO69" s="1401">
        <f>+BO68+BP68</f>
        <v>17.5</v>
      </c>
      <c r="BP69" s="336"/>
      <c r="BQ69" s="336">
        <f>+BQ68+BR68</f>
        <v>17.5</v>
      </c>
      <c r="BR69" s="1402"/>
      <c r="BS69" s="336"/>
      <c r="BT69" s="1401">
        <f>+BT68+BU68</f>
        <v>14.306250000000002</v>
      </c>
      <c r="BU69" s="336"/>
      <c r="BV69" s="336">
        <f>+BV68+BW68</f>
        <v>5.6350000000000007</v>
      </c>
      <c r="BW69" s="1402"/>
      <c r="BX69" s="336"/>
      <c r="BY69" s="1401">
        <f>+BY68+BZ68</f>
        <v>5.6350000000000007</v>
      </c>
      <c r="BZ69" s="336"/>
      <c r="CA69" s="336">
        <f>+CA68+CB68</f>
        <v>1.4087500000000002</v>
      </c>
      <c r="CB69" s="1402"/>
      <c r="CC69" s="336"/>
      <c r="CD69" s="1401">
        <f>+CD68+CE68</f>
        <v>0</v>
      </c>
      <c r="CE69" s="336"/>
      <c r="CF69" s="336">
        <f>+CF68+CG68</f>
        <v>0</v>
      </c>
      <c r="CG69" s="1402"/>
      <c r="CH69" s="336"/>
      <c r="CI69" s="1401">
        <f>+CI68+CJ68</f>
        <v>0</v>
      </c>
      <c r="CJ69" s="336"/>
      <c r="CK69" s="336">
        <f>+CK68+CL68</f>
        <v>0</v>
      </c>
      <c r="CL69" s="1402"/>
      <c r="CM69" s="336"/>
      <c r="CN69" s="1401">
        <f>+CN68+CO68</f>
        <v>0</v>
      </c>
      <c r="CO69" s="336"/>
      <c r="CP69" s="336">
        <f>+CP68+CQ68</f>
        <v>0</v>
      </c>
      <c r="CQ69" s="1402"/>
      <c r="CR69" s="1402"/>
    </row>
    <row r="70" spans="1:96" ht="6.2" customHeight="1" collapsed="1">
      <c r="A70" s="317"/>
      <c r="B70" s="317"/>
      <c r="C70" s="317"/>
      <c r="D70" s="318"/>
      <c r="E70" s="318"/>
      <c r="F70" s="318"/>
      <c r="G70" s="318"/>
      <c r="H70" s="318"/>
      <c r="I70" s="318"/>
      <c r="J70" s="318"/>
      <c r="K70" s="318"/>
      <c r="L70" s="318"/>
      <c r="M70" s="318"/>
      <c r="N70" s="318"/>
      <c r="O70" s="318"/>
      <c r="P70" s="318"/>
      <c r="Q70" s="318"/>
      <c r="R70" s="318"/>
      <c r="S70" s="318"/>
      <c r="T70" s="318"/>
      <c r="U70" s="318"/>
      <c r="V70" s="318"/>
      <c r="W70" s="318"/>
      <c r="X70" s="318"/>
      <c r="Y70" s="318"/>
      <c r="Z70" s="318"/>
      <c r="AA70" s="318"/>
      <c r="AB70" s="318"/>
      <c r="AC70" s="318"/>
      <c r="AD70" s="318"/>
      <c r="AE70" s="318"/>
      <c r="AF70" s="318"/>
      <c r="AG70" s="318"/>
      <c r="AH70" s="318"/>
      <c r="AI70" s="318"/>
      <c r="AJ70" s="318"/>
      <c r="AK70" s="1405"/>
      <c r="AL70" s="319"/>
      <c r="AM70" s="319"/>
      <c r="AN70" s="1406"/>
      <c r="AO70" s="319"/>
      <c r="AP70" s="1405"/>
      <c r="AQ70" s="319"/>
      <c r="AR70" s="319"/>
      <c r="AS70" s="1406"/>
      <c r="AT70" s="319"/>
      <c r="AU70" s="1405"/>
      <c r="AV70" s="319"/>
      <c r="AW70" s="319"/>
      <c r="AX70" s="1406"/>
      <c r="AY70" s="319"/>
      <c r="AZ70" s="1405"/>
      <c r="BA70" s="319"/>
      <c r="BB70" s="319"/>
      <c r="BC70" s="1406"/>
      <c r="BD70" s="319"/>
      <c r="BE70" s="1405"/>
      <c r="BF70" s="319"/>
      <c r="BG70" s="319"/>
      <c r="BH70" s="1406"/>
      <c r="BI70" s="319"/>
      <c r="BJ70" s="1405"/>
      <c r="BK70" s="319"/>
      <c r="BL70" s="319"/>
      <c r="BM70" s="1406"/>
      <c r="BN70" s="319"/>
      <c r="BO70" s="1405"/>
      <c r="BP70" s="319"/>
      <c r="BQ70" s="319"/>
      <c r="BR70" s="1406"/>
      <c r="BS70" s="319"/>
      <c r="BT70" s="1405"/>
      <c r="BU70" s="319"/>
      <c r="BV70" s="319"/>
      <c r="BW70" s="1406"/>
      <c r="BX70" s="319"/>
      <c r="BY70" s="1405"/>
      <c r="BZ70" s="319"/>
      <c r="CA70" s="319"/>
      <c r="CB70" s="1406"/>
      <c r="CC70" s="319"/>
      <c r="CD70" s="1405"/>
      <c r="CE70" s="319"/>
      <c r="CF70" s="319"/>
      <c r="CG70" s="1406"/>
      <c r="CH70" s="319"/>
      <c r="CI70" s="1405"/>
      <c r="CJ70" s="319"/>
      <c r="CK70" s="319"/>
      <c r="CL70" s="1406"/>
      <c r="CM70" s="319"/>
      <c r="CN70" s="1405"/>
      <c r="CO70" s="319"/>
      <c r="CP70" s="319"/>
      <c r="CQ70" s="1406"/>
      <c r="CR70" s="1406"/>
    </row>
    <row r="71" spans="1:96" ht="13.5" hidden="1" customHeight="1" outlineLevel="1">
      <c r="A71" s="334" t="s">
        <v>102</v>
      </c>
      <c r="B71" s="317"/>
      <c r="C71" s="317"/>
      <c r="D71" s="318"/>
      <c r="E71" s="318"/>
      <c r="F71" s="318"/>
      <c r="G71" s="347">
        <v>6.0499999999999998E-2</v>
      </c>
      <c r="H71" s="339">
        <v>42876</v>
      </c>
      <c r="I71" s="318"/>
      <c r="J71" s="318"/>
      <c r="K71" s="318"/>
      <c r="L71" s="318"/>
      <c r="M71" s="318"/>
      <c r="N71" s="318"/>
      <c r="O71" s="318"/>
      <c r="P71" s="318"/>
      <c r="Q71" s="318"/>
      <c r="R71" s="318"/>
      <c r="S71" s="318"/>
      <c r="T71" s="318"/>
      <c r="U71" s="318"/>
      <c r="V71" s="318"/>
      <c r="W71" s="318"/>
      <c r="X71" s="318"/>
      <c r="Y71" s="318"/>
      <c r="Z71" s="318"/>
      <c r="AA71" s="318"/>
      <c r="AB71" s="318"/>
      <c r="AC71" s="318"/>
      <c r="AD71" s="318"/>
      <c r="AE71" s="318"/>
      <c r="AF71" s="318"/>
      <c r="AG71" s="318"/>
      <c r="AH71" s="318"/>
      <c r="AI71" s="318"/>
      <c r="AJ71" s="318"/>
      <c r="AK71" s="1405"/>
      <c r="AL71" s="319"/>
      <c r="AM71" s="319"/>
      <c r="AN71" s="1406"/>
      <c r="AO71" s="319"/>
      <c r="AP71" s="1405"/>
      <c r="AQ71" s="319"/>
      <c r="AR71" s="319"/>
      <c r="AS71" s="1406"/>
      <c r="AT71" s="319"/>
      <c r="AU71" s="1405"/>
      <c r="AV71" s="319"/>
      <c r="AW71" s="319"/>
      <c r="AX71" s="1406"/>
      <c r="AY71" s="319"/>
      <c r="AZ71" s="1405"/>
      <c r="BA71" s="319"/>
      <c r="BB71" s="319"/>
      <c r="BC71" s="1406"/>
      <c r="BD71" s="319"/>
      <c r="BE71" s="1405"/>
      <c r="BF71" s="319"/>
      <c r="BG71" s="319"/>
      <c r="BH71" s="1406"/>
      <c r="BI71" s="319"/>
      <c r="BJ71" s="1405"/>
      <c r="BK71" s="319"/>
      <c r="BL71" s="319"/>
      <c r="BM71" s="1406"/>
      <c r="BN71" s="319"/>
      <c r="BO71" s="1405"/>
      <c r="BP71" s="319"/>
      <c r="BQ71" s="319"/>
      <c r="BR71" s="1406"/>
      <c r="BS71" s="319"/>
      <c r="BT71" s="1405"/>
      <c r="BU71" s="319"/>
      <c r="BV71" s="319"/>
      <c r="BW71" s="1406"/>
      <c r="BX71" s="319"/>
      <c r="BY71" s="1405"/>
      <c r="BZ71" s="319"/>
      <c r="CA71" s="319"/>
      <c r="CB71" s="1406"/>
      <c r="CC71" s="319"/>
      <c r="CD71" s="1405"/>
      <c r="CE71" s="319"/>
      <c r="CF71" s="319"/>
      <c r="CG71" s="1406"/>
      <c r="CH71" s="319"/>
      <c r="CI71" s="1405"/>
      <c r="CJ71" s="319"/>
      <c r="CK71" s="319"/>
      <c r="CL71" s="1406"/>
      <c r="CM71" s="319"/>
      <c r="CN71" s="1405"/>
      <c r="CO71" s="319"/>
      <c r="CP71" s="319"/>
      <c r="CQ71" s="1406"/>
      <c r="CR71" s="1406"/>
    </row>
    <row r="72" spans="1:96" ht="13.5" hidden="1" customHeight="1" outlineLevel="1">
      <c r="A72" s="317"/>
      <c r="B72" s="317" t="s">
        <v>87</v>
      </c>
      <c r="C72" s="317"/>
      <c r="D72" s="318"/>
      <c r="E72" s="318"/>
      <c r="F72" s="318"/>
      <c r="G72" s="318"/>
      <c r="H72" s="335"/>
      <c r="I72" s="335"/>
      <c r="J72" s="335"/>
      <c r="K72" s="335"/>
      <c r="L72" s="335"/>
      <c r="M72" s="335"/>
      <c r="N72" s="335"/>
      <c r="O72" s="335"/>
      <c r="P72" s="335"/>
      <c r="Q72" s="335"/>
      <c r="R72" s="335"/>
      <c r="S72" s="335"/>
      <c r="T72" s="335"/>
      <c r="U72" s="335"/>
      <c r="V72" s="335"/>
      <c r="W72" s="335"/>
      <c r="X72" s="335"/>
      <c r="Y72" s="335"/>
      <c r="Z72" s="335"/>
      <c r="AA72" s="335"/>
      <c r="AB72" s="335"/>
      <c r="AC72" s="335"/>
      <c r="AD72" s="335"/>
      <c r="AE72" s="335"/>
      <c r="AF72" s="335"/>
      <c r="AG72" s="335"/>
      <c r="AH72" s="335"/>
      <c r="AI72" s="335"/>
      <c r="AJ72" s="335"/>
      <c r="AK72" s="1401">
        <f>+AJ74</f>
        <v>450</v>
      </c>
      <c r="AL72" s="336">
        <f>+AK74</f>
        <v>450</v>
      </c>
      <c r="AM72" s="336">
        <f>+AL74</f>
        <v>450</v>
      </c>
      <c r="AN72" s="1402">
        <f>+AM74</f>
        <v>450</v>
      </c>
      <c r="AO72" s="336"/>
      <c r="AP72" s="1401">
        <f>+AO74</f>
        <v>450</v>
      </c>
      <c r="AQ72" s="336">
        <f>+AP74</f>
        <v>450</v>
      </c>
      <c r="AR72" s="336">
        <f>+AQ74</f>
        <v>450</v>
      </c>
      <c r="AS72" s="1402">
        <f>+AR74</f>
        <v>450</v>
      </c>
      <c r="AT72" s="336"/>
      <c r="AU72" s="1401">
        <f>+AT74</f>
        <v>450</v>
      </c>
      <c r="AV72" s="336">
        <f>+AU74</f>
        <v>450</v>
      </c>
      <c r="AW72" s="336">
        <f>+AV74</f>
        <v>450</v>
      </c>
      <c r="AX72" s="1402">
        <f>+AW74</f>
        <v>450</v>
      </c>
      <c r="AY72" s="336"/>
      <c r="AZ72" s="1401">
        <f>+AY74</f>
        <v>450</v>
      </c>
      <c r="BA72" s="336">
        <f>+AZ74</f>
        <v>450</v>
      </c>
      <c r="BB72" s="336">
        <f>+BA74</f>
        <v>450</v>
      </c>
      <c r="BC72" s="1402">
        <f>+BB74</f>
        <v>450</v>
      </c>
      <c r="BD72" s="336"/>
      <c r="BE72" s="1401">
        <f>+BD74</f>
        <v>450</v>
      </c>
      <c r="BF72" s="336">
        <f>+BE74</f>
        <v>450</v>
      </c>
      <c r="BG72" s="336">
        <f>+BF74</f>
        <v>450</v>
      </c>
      <c r="BH72" s="1402">
        <f>+BG74</f>
        <v>450</v>
      </c>
      <c r="BI72" s="336"/>
      <c r="BJ72" s="1401">
        <f>+BI74</f>
        <v>450</v>
      </c>
      <c r="BK72" s="336">
        <f>+BJ74</f>
        <v>450</v>
      </c>
      <c r="BL72" s="336">
        <f>+BK74</f>
        <v>450</v>
      </c>
      <c r="BM72" s="1402">
        <f>+BL74</f>
        <v>450</v>
      </c>
      <c r="BN72" s="336"/>
      <c r="BO72" s="1401">
        <f>+BN74</f>
        <v>450</v>
      </c>
      <c r="BP72" s="336">
        <f>+BO74</f>
        <v>450</v>
      </c>
      <c r="BQ72" s="336">
        <f>+BP74</f>
        <v>450</v>
      </c>
      <c r="BR72" s="1402">
        <f>+BQ74</f>
        <v>450</v>
      </c>
      <c r="BS72" s="336"/>
      <c r="BT72" s="1401">
        <f>+BS74</f>
        <v>450</v>
      </c>
      <c r="BU72" s="336">
        <f>+BT74</f>
        <v>444</v>
      </c>
      <c r="BV72" s="336">
        <f>+BU74</f>
        <v>0</v>
      </c>
      <c r="BW72" s="1402">
        <f>+BV74</f>
        <v>0</v>
      </c>
      <c r="BX72" s="336"/>
      <c r="BY72" s="1401">
        <f>+BX74</f>
        <v>0</v>
      </c>
      <c r="BZ72" s="336">
        <f>+BY74</f>
        <v>0</v>
      </c>
      <c r="CA72" s="336">
        <f>+BZ74</f>
        <v>0</v>
      </c>
      <c r="CB72" s="1402">
        <f>+CA74</f>
        <v>0</v>
      </c>
      <c r="CC72" s="336"/>
      <c r="CD72" s="1401">
        <f>+CC74</f>
        <v>0</v>
      </c>
      <c r="CE72" s="336">
        <f>+CD74</f>
        <v>0</v>
      </c>
      <c r="CF72" s="336">
        <f>+CE74</f>
        <v>0</v>
      </c>
      <c r="CG72" s="1402">
        <f>+CF74</f>
        <v>0</v>
      </c>
      <c r="CH72" s="336"/>
      <c r="CI72" s="1401">
        <f>+CH74</f>
        <v>0</v>
      </c>
      <c r="CJ72" s="336">
        <f>+CI74</f>
        <v>0</v>
      </c>
      <c r="CK72" s="336">
        <f>+CJ74</f>
        <v>0</v>
      </c>
      <c r="CL72" s="1402">
        <f>+CK74</f>
        <v>0</v>
      </c>
      <c r="CM72" s="336"/>
      <c r="CN72" s="1401">
        <f>+CM74</f>
        <v>0</v>
      </c>
      <c r="CO72" s="336">
        <f>+CN74</f>
        <v>0</v>
      </c>
      <c r="CP72" s="336">
        <f>+CO74</f>
        <v>0</v>
      </c>
      <c r="CQ72" s="1402">
        <f>+CP74</f>
        <v>0</v>
      </c>
      <c r="CR72" s="1402"/>
    </row>
    <row r="73" spans="1:96" ht="13.5" hidden="1" customHeight="1" outlineLevel="1">
      <c r="A73" s="317"/>
      <c r="B73" s="317" t="s">
        <v>89</v>
      </c>
      <c r="C73" s="317"/>
      <c r="D73" s="318"/>
      <c r="E73" s="318"/>
      <c r="F73" s="318"/>
      <c r="G73" s="318"/>
      <c r="H73" s="335"/>
      <c r="I73" s="335"/>
      <c r="J73" s="335"/>
      <c r="K73" s="335"/>
      <c r="L73" s="335"/>
      <c r="M73" s="335"/>
      <c r="N73" s="335"/>
      <c r="O73" s="335"/>
      <c r="P73" s="335"/>
      <c r="Q73" s="335"/>
      <c r="R73" s="335"/>
      <c r="S73" s="335"/>
      <c r="T73" s="335"/>
      <c r="U73" s="335"/>
      <c r="V73" s="335"/>
      <c r="W73" s="335"/>
      <c r="X73" s="335"/>
      <c r="Y73" s="335"/>
      <c r="Z73" s="335"/>
      <c r="AA73" s="335"/>
      <c r="AB73" s="335"/>
      <c r="AC73" s="335"/>
      <c r="AD73" s="335"/>
      <c r="AE73" s="335"/>
      <c r="AF73" s="335"/>
      <c r="AG73" s="335"/>
      <c r="AH73" s="335"/>
      <c r="AI73" s="663">
        <v>0</v>
      </c>
      <c r="AJ73" s="335"/>
      <c r="AK73" s="1403">
        <v>0</v>
      </c>
      <c r="AL73" s="662">
        <v>0</v>
      </c>
      <c r="AM73" s="662">
        <v>0</v>
      </c>
      <c r="AN73" s="1404">
        <v>0</v>
      </c>
      <c r="AO73" s="336"/>
      <c r="AP73" s="1403">
        <v>0</v>
      </c>
      <c r="AQ73" s="662">
        <v>0</v>
      </c>
      <c r="AR73" s="662">
        <v>0</v>
      </c>
      <c r="AS73" s="1404">
        <v>0</v>
      </c>
      <c r="AT73" s="336"/>
      <c r="AU73" s="1403">
        <v>0</v>
      </c>
      <c r="AV73" s="662">
        <v>0</v>
      </c>
      <c r="AW73" s="662">
        <v>0</v>
      </c>
      <c r="AX73" s="1404">
        <v>0</v>
      </c>
      <c r="AY73" s="336"/>
      <c r="AZ73" s="1403">
        <v>0</v>
      </c>
      <c r="BA73" s="662">
        <v>0</v>
      </c>
      <c r="BB73" s="662">
        <v>0</v>
      </c>
      <c r="BC73" s="1404">
        <v>0</v>
      </c>
      <c r="BD73" s="336"/>
      <c r="BE73" s="1403">
        <v>0</v>
      </c>
      <c r="BF73" s="662">
        <v>0</v>
      </c>
      <c r="BG73" s="662">
        <v>0</v>
      </c>
      <c r="BH73" s="1404">
        <v>0</v>
      </c>
      <c r="BI73" s="336"/>
      <c r="BJ73" s="1403">
        <v>0</v>
      </c>
      <c r="BK73" s="662">
        <v>0</v>
      </c>
      <c r="BL73" s="662">
        <v>0</v>
      </c>
      <c r="BM73" s="1404">
        <v>0</v>
      </c>
      <c r="BN73" s="336"/>
      <c r="BO73" s="1403">
        <v>0</v>
      </c>
      <c r="BP73" s="662">
        <v>0</v>
      </c>
      <c r="BQ73" s="662">
        <v>0</v>
      </c>
      <c r="BR73" s="1404">
        <v>0</v>
      </c>
      <c r="BS73" s="336"/>
      <c r="BT73" s="1403">
        <v>0</v>
      </c>
      <c r="BU73" s="662">
        <f>BU74-BU72</f>
        <v>-444</v>
      </c>
      <c r="BV73" s="662">
        <v>0</v>
      </c>
      <c r="BW73" s="1404">
        <v>0</v>
      </c>
      <c r="BX73" s="336"/>
      <c r="BY73" s="1403">
        <f>BY74-BY72</f>
        <v>0</v>
      </c>
      <c r="BZ73" s="662">
        <f>BZ74-BZ72</f>
        <v>0</v>
      </c>
      <c r="CA73" s="662">
        <v>0</v>
      </c>
      <c r="CB73" s="1404">
        <v>0</v>
      </c>
      <c r="CC73" s="336"/>
      <c r="CD73" s="1403">
        <v>0</v>
      </c>
      <c r="CE73" s="662">
        <v>0</v>
      </c>
      <c r="CF73" s="662">
        <v>0</v>
      </c>
      <c r="CG73" s="1404">
        <v>0</v>
      </c>
      <c r="CH73" s="336"/>
      <c r="CI73" s="1403">
        <v>0</v>
      </c>
      <c r="CJ73" s="662">
        <v>0</v>
      </c>
      <c r="CK73" s="662">
        <v>0</v>
      </c>
      <c r="CL73" s="1404">
        <v>0</v>
      </c>
      <c r="CM73" s="336"/>
      <c r="CN73" s="1403">
        <v>0</v>
      </c>
      <c r="CO73" s="662">
        <v>0</v>
      </c>
      <c r="CP73" s="662">
        <v>0</v>
      </c>
      <c r="CQ73" s="1404">
        <v>0</v>
      </c>
      <c r="CR73" s="1402"/>
    </row>
    <row r="74" spans="1:96" ht="13.5" hidden="1" customHeight="1" outlineLevel="1">
      <c r="A74" s="317"/>
      <c r="B74" s="317" t="s">
        <v>90</v>
      </c>
      <c r="C74" s="317"/>
      <c r="D74" s="318"/>
      <c r="E74" s="318"/>
      <c r="F74" s="318"/>
      <c r="G74" s="318"/>
      <c r="H74" s="348">
        <v>0</v>
      </c>
      <c r="I74" s="348"/>
      <c r="J74" s="348"/>
      <c r="K74" s="348"/>
      <c r="L74" s="348"/>
      <c r="M74" s="348"/>
      <c r="N74" s="348"/>
      <c r="O74" s="348"/>
      <c r="P74" s="348"/>
      <c r="Q74" s="348"/>
      <c r="R74" s="348"/>
      <c r="S74" s="348"/>
      <c r="T74" s="348"/>
      <c r="U74" s="348"/>
      <c r="V74" s="348"/>
      <c r="W74" s="348"/>
      <c r="X74" s="348"/>
      <c r="Y74" s="348"/>
      <c r="Z74" s="348"/>
      <c r="AA74" s="348"/>
      <c r="AB74" s="348"/>
      <c r="AC74" s="348"/>
      <c r="AD74" s="348"/>
      <c r="AE74" s="348"/>
      <c r="AF74" s="348"/>
      <c r="AG74" s="348"/>
      <c r="AH74" s="348"/>
      <c r="AI74" s="663">
        <v>450</v>
      </c>
      <c r="AJ74" s="335">
        <f>+AI74</f>
        <v>450</v>
      </c>
      <c r="AK74" s="1401">
        <f>+AK72+AK73</f>
        <v>450</v>
      </c>
      <c r="AL74" s="336">
        <f>+AL72+AL73</f>
        <v>450</v>
      </c>
      <c r="AM74" s="336">
        <f>+AM72+AM73</f>
        <v>450</v>
      </c>
      <c r="AN74" s="1402">
        <f>+AN72+AN73</f>
        <v>450</v>
      </c>
      <c r="AO74" s="343">
        <f>+AN74</f>
        <v>450</v>
      </c>
      <c r="AP74" s="1401">
        <f>+AP72+AP73</f>
        <v>450</v>
      </c>
      <c r="AQ74" s="336">
        <f>+AQ72+AQ73</f>
        <v>450</v>
      </c>
      <c r="AR74" s="336">
        <f>+AR72+AR73</f>
        <v>450</v>
      </c>
      <c r="AS74" s="1402">
        <f>+AS72+AS73</f>
        <v>450</v>
      </c>
      <c r="AT74" s="343">
        <f>+AS74</f>
        <v>450</v>
      </c>
      <c r="AU74" s="1401">
        <f>+AU72+AU73</f>
        <v>450</v>
      </c>
      <c r="AV74" s="336">
        <f>+AV72+AV73</f>
        <v>450</v>
      </c>
      <c r="AW74" s="336">
        <f>+AW72+AW73</f>
        <v>450</v>
      </c>
      <c r="AX74" s="1402">
        <f>+AX72+AX73</f>
        <v>450</v>
      </c>
      <c r="AY74" s="343">
        <f>+AX74</f>
        <v>450</v>
      </c>
      <c r="AZ74" s="1401">
        <f>+AZ72+AZ73</f>
        <v>450</v>
      </c>
      <c r="BA74" s="336">
        <f>+BA72+BA73</f>
        <v>450</v>
      </c>
      <c r="BB74" s="336">
        <f>+BB72+BB73</f>
        <v>450</v>
      </c>
      <c r="BC74" s="1402">
        <f>+BC72+BC73</f>
        <v>450</v>
      </c>
      <c r="BD74" s="343">
        <f>+BC74</f>
        <v>450</v>
      </c>
      <c r="BE74" s="1401">
        <f>+BE72+BE73</f>
        <v>450</v>
      </c>
      <c r="BF74" s="336">
        <f>+BF72+BF73</f>
        <v>450</v>
      </c>
      <c r="BG74" s="336">
        <f>+BG72+BG73</f>
        <v>450</v>
      </c>
      <c r="BH74" s="1402">
        <f>+BH72+BH73</f>
        <v>450</v>
      </c>
      <c r="BI74" s="343">
        <f>+BH74</f>
        <v>450</v>
      </c>
      <c r="BJ74" s="1401">
        <f>+BJ72+BJ73</f>
        <v>450</v>
      </c>
      <c r="BK74" s="336">
        <f>+BK72+BK73</f>
        <v>450</v>
      </c>
      <c r="BL74" s="336">
        <f>+BL72+BL73</f>
        <v>450</v>
      </c>
      <c r="BM74" s="1402">
        <f>+BM72+BM73</f>
        <v>450</v>
      </c>
      <c r="BN74" s="343">
        <f>+BM74</f>
        <v>450</v>
      </c>
      <c r="BO74" s="1401">
        <f>+BO72+BO73</f>
        <v>450</v>
      </c>
      <c r="BP74" s="336">
        <f>+BP72+BP73</f>
        <v>450</v>
      </c>
      <c r="BQ74" s="662">
        <v>450</v>
      </c>
      <c r="BR74" s="1404">
        <v>450</v>
      </c>
      <c r="BS74" s="343">
        <f>+BR74</f>
        <v>450</v>
      </c>
      <c r="BT74" s="1403">
        <v>444</v>
      </c>
      <c r="BU74" s="662">
        <v>0</v>
      </c>
      <c r="BV74" s="336">
        <f>+BV72+BV73</f>
        <v>0</v>
      </c>
      <c r="BW74" s="1402">
        <f>+BW72+BW73</f>
        <v>0</v>
      </c>
      <c r="BX74" s="343">
        <f>+BW74</f>
        <v>0</v>
      </c>
      <c r="BY74" s="1403">
        <v>0</v>
      </c>
      <c r="BZ74" s="662">
        <v>0</v>
      </c>
      <c r="CA74" s="336">
        <f>+CA72+CA73</f>
        <v>0</v>
      </c>
      <c r="CB74" s="1402">
        <f>+CB72+CB73</f>
        <v>0</v>
      </c>
      <c r="CC74" s="343">
        <f>+CB74</f>
        <v>0</v>
      </c>
      <c r="CD74" s="1401">
        <f>+CD72+CD73</f>
        <v>0</v>
      </c>
      <c r="CE74" s="336">
        <f>+CE72+CE73</f>
        <v>0</v>
      </c>
      <c r="CF74" s="336">
        <f>+CF72+CF73</f>
        <v>0</v>
      </c>
      <c r="CG74" s="1402">
        <f>+CG72+CG73</f>
        <v>0</v>
      </c>
      <c r="CH74" s="343">
        <f>+CG74</f>
        <v>0</v>
      </c>
      <c r="CI74" s="1401">
        <f>+CI72+CI73</f>
        <v>0</v>
      </c>
      <c r="CJ74" s="336">
        <f>+CJ72+CJ73</f>
        <v>0</v>
      </c>
      <c r="CK74" s="336">
        <f>+CK72+CK73</f>
        <v>0</v>
      </c>
      <c r="CL74" s="1402">
        <f>+CL72+CL73</f>
        <v>0</v>
      </c>
      <c r="CM74" s="343">
        <f>+CL74</f>
        <v>0</v>
      </c>
      <c r="CN74" s="1401">
        <f>+CN72+CN73</f>
        <v>0</v>
      </c>
      <c r="CO74" s="336">
        <f>+CO72+CO73</f>
        <v>0</v>
      </c>
      <c r="CP74" s="336">
        <f>+CP72+CP73</f>
        <v>0</v>
      </c>
      <c r="CQ74" s="1402">
        <f>+CQ72+CQ73</f>
        <v>0</v>
      </c>
      <c r="CR74" s="1451">
        <f>+CQ74</f>
        <v>0</v>
      </c>
    </row>
    <row r="75" spans="1:96" ht="13.5" hidden="1" customHeight="1" outlineLevel="1">
      <c r="A75" s="317"/>
      <c r="B75" s="317" t="s">
        <v>91</v>
      </c>
      <c r="C75" s="317"/>
      <c r="D75" s="318"/>
      <c r="E75" s="318"/>
      <c r="F75" s="318"/>
      <c r="G75" s="318"/>
      <c r="H75" s="335"/>
      <c r="I75" s="335"/>
      <c r="J75" s="335"/>
      <c r="K75" s="335"/>
      <c r="L75" s="335"/>
      <c r="M75" s="335"/>
      <c r="N75" s="335"/>
      <c r="O75" s="335"/>
      <c r="P75" s="335"/>
      <c r="Q75" s="335"/>
      <c r="R75" s="335"/>
      <c r="S75" s="335"/>
      <c r="T75" s="335"/>
      <c r="U75" s="335"/>
      <c r="V75" s="335"/>
      <c r="W75" s="335"/>
      <c r="X75" s="335"/>
      <c r="Y75" s="335"/>
      <c r="Z75" s="335"/>
      <c r="AA75" s="335"/>
      <c r="AB75" s="335"/>
      <c r="AC75" s="335"/>
      <c r="AD75" s="335"/>
      <c r="AE75" s="335"/>
      <c r="AF75" s="335"/>
      <c r="AG75" s="335"/>
      <c r="AH75" s="335"/>
      <c r="AI75" s="335"/>
      <c r="AJ75" s="335"/>
      <c r="AK75" s="1401">
        <f>+AVERAGE(AK72,AK74)</f>
        <v>450</v>
      </c>
      <c r="AL75" s="336">
        <f>+AVERAGE(AL72,AL74)</f>
        <v>450</v>
      </c>
      <c r="AM75" s="336">
        <f>+AVERAGE(AM72,AM74)</f>
        <v>450</v>
      </c>
      <c r="AN75" s="1402">
        <f>+AVERAGE(AN72,AN74)</f>
        <v>450</v>
      </c>
      <c r="AO75" s="336"/>
      <c r="AP75" s="1401">
        <f>+AVERAGE(AP72,AP74)</f>
        <v>450</v>
      </c>
      <c r="AQ75" s="336">
        <f>+AVERAGE(AQ72,AQ74)</f>
        <v>450</v>
      </c>
      <c r="AR75" s="336">
        <f>+AVERAGE(AR72,AR74)</f>
        <v>450</v>
      </c>
      <c r="AS75" s="1402">
        <f>+AVERAGE(AS72,AS74)</f>
        <v>450</v>
      </c>
      <c r="AT75" s="336"/>
      <c r="AU75" s="1401">
        <f>+AVERAGE(AU72,AU74)</f>
        <v>450</v>
      </c>
      <c r="AV75" s="336">
        <f>+AVERAGE(AV72,AV74)</f>
        <v>450</v>
      </c>
      <c r="AW75" s="336">
        <f>+AVERAGE(AW72,AW74)</f>
        <v>450</v>
      </c>
      <c r="AX75" s="1402">
        <f>+AVERAGE(AX72,AX74)</f>
        <v>450</v>
      </c>
      <c r="AY75" s="336"/>
      <c r="AZ75" s="1401">
        <f>+AVERAGE(AZ72,AZ74)</f>
        <v>450</v>
      </c>
      <c r="BA75" s="336">
        <f>+AVERAGE(BA72,BA74)</f>
        <v>450</v>
      </c>
      <c r="BB75" s="336">
        <f>+AVERAGE(BB72,BB74)</f>
        <v>450</v>
      </c>
      <c r="BC75" s="1402">
        <f>+AVERAGE(BC72,BC74)</f>
        <v>450</v>
      </c>
      <c r="BD75" s="336"/>
      <c r="BE75" s="1401">
        <f>+AVERAGE(BE72,BE74)</f>
        <v>450</v>
      </c>
      <c r="BF75" s="336">
        <f>+AVERAGE(BF72,BF74)</f>
        <v>450</v>
      </c>
      <c r="BG75" s="336">
        <f>+AVERAGE(BG72,BG74)</f>
        <v>450</v>
      </c>
      <c r="BH75" s="1402">
        <f>+AVERAGE(BH72,BH74)</f>
        <v>450</v>
      </c>
      <c r="BI75" s="336"/>
      <c r="BJ75" s="1401">
        <f>+AVERAGE(BJ72,BJ74)</f>
        <v>450</v>
      </c>
      <c r="BK75" s="336">
        <f>+AVERAGE(BK72,BK74)</f>
        <v>450</v>
      </c>
      <c r="BL75" s="336">
        <f>+AVERAGE(BL72,BL74)</f>
        <v>450</v>
      </c>
      <c r="BM75" s="1402">
        <f>+AVERAGE(BM72,BM74)</f>
        <v>450</v>
      </c>
      <c r="BN75" s="336"/>
      <c r="BO75" s="1401">
        <f>+AVERAGE(BO72,BO74)</f>
        <v>450</v>
      </c>
      <c r="BP75" s="336">
        <f>+AVERAGE(BP72,BP74)</f>
        <v>450</v>
      </c>
      <c r="BQ75" s="336">
        <f>+AVERAGE(BQ72,BQ74)</f>
        <v>450</v>
      </c>
      <c r="BR75" s="1402">
        <f>+AVERAGE(BR72,BR74)</f>
        <v>450</v>
      </c>
      <c r="BS75" s="336"/>
      <c r="BT75" s="1401">
        <f>+AVERAGE(BT72,BT74)</f>
        <v>447</v>
      </c>
      <c r="BU75" s="336">
        <f>+AVERAGE(BU72,BU74)</f>
        <v>222</v>
      </c>
      <c r="BV75" s="336">
        <f>+AVERAGE(BV72,BV74)</f>
        <v>0</v>
      </c>
      <c r="BW75" s="1402">
        <f>+AVERAGE(BW72,BW74)</f>
        <v>0</v>
      </c>
      <c r="BX75" s="336"/>
      <c r="BY75" s="1401">
        <f>+AVERAGE(BY72,BY74)</f>
        <v>0</v>
      </c>
      <c r="BZ75" s="336">
        <f>+AVERAGE(BZ72,BZ74)</f>
        <v>0</v>
      </c>
      <c r="CA75" s="336">
        <f>+AVERAGE(CA72,CA74)</f>
        <v>0</v>
      </c>
      <c r="CB75" s="1402">
        <f>+AVERAGE(CB72,CB74)</f>
        <v>0</v>
      </c>
      <c r="CC75" s="336"/>
      <c r="CD75" s="1401">
        <f>+AVERAGE(CD72,CD74)</f>
        <v>0</v>
      </c>
      <c r="CE75" s="336">
        <f>+AVERAGE(CE72,CE74)</f>
        <v>0</v>
      </c>
      <c r="CF75" s="336">
        <f>+AVERAGE(CF72,CF74)</f>
        <v>0</v>
      </c>
      <c r="CG75" s="1402">
        <f>+AVERAGE(CG72,CG74)</f>
        <v>0</v>
      </c>
      <c r="CH75" s="336"/>
      <c r="CI75" s="1401">
        <f>+AVERAGE(CI72,CI74)</f>
        <v>0</v>
      </c>
      <c r="CJ75" s="336">
        <f>+AVERAGE(CJ72,CJ74)</f>
        <v>0</v>
      </c>
      <c r="CK75" s="336">
        <f>+AVERAGE(CK72,CK74)</f>
        <v>0</v>
      </c>
      <c r="CL75" s="1402">
        <f>+AVERAGE(CL72,CL74)</f>
        <v>0</v>
      </c>
      <c r="CM75" s="336"/>
      <c r="CN75" s="1401">
        <f>+AVERAGE(CN72,CN74)</f>
        <v>0</v>
      </c>
      <c r="CO75" s="336">
        <f>+AVERAGE(CO72,CO74)</f>
        <v>0</v>
      </c>
      <c r="CP75" s="336">
        <f>+AVERAGE(CP72,CP74)</f>
        <v>0</v>
      </c>
      <c r="CQ75" s="1402">
        <f>+AVERAGE(CQ72,CQ74)</f>
        <v>0</v>
      </c>
      <c r="CR75" s="1402"/>
    </row>
    <row r="76" spans="1:96" ht="13.5" hidden="1" customHeight="1" outlineLevel="1">
      <c r="A76" s="317"/>
      <c r="B76" s="317" t="s">
        <v>92</v>
      </c>
      <c r="C76" s="317"/>
      <c r="D76" s="318"/>
      <c r="E76" s="318"/>
      <c r="F76" s="318"/>
      <c r="G76" s="318"/>
      <c r="H76" s="335"/>
      <c r="I76" s="335"/>
      <c r="J76" s="335"/>
      <c r="K76" s="335"/>
      <c r="L76" s="335"/>
      <c r="M76" s="335"/>
      <c r="N76" s="335"/>
      <c r="O76" s="335"/>
      <c r="P76" s="335"/>
      <c r="Q76" s="335"/>
      <c r="R76" s="335"/>
      <c r="S76" s="335"/>
      <c r="T76" s="335"/>
      <c r="U76" s="335"/>
      <c r="V76" s="335"/>
      <c r="W76" s="335"/>
      <c r="X76" s="335"/>
      <c r="Y76" s="335"/>
      <c r="Z76" s="335"/>
      <c r="AA76" s="335"/>
      <c r="AB76" s="335"/>
      <c r="AC76" s="335"/>
      <c r="AD76" s="335"/>
      <c r="AE76" s="335"/>
      <c r="AF76" s="335"/>
      <c r="AG76" s="335"/>
      <c r="AH76" s="335"/>
      <c r="AI76" s="335"/>
      <c r="AJ76" s="335"/>
      <c r="AK76" s="1401">
        <f>+AK75*$G71/4</f>
        <v>6.8062499999999995</v>
      </c>
      <c r="AL76" s="336">
        <f>+AL75*$G71/4</f>
        <v>6.8062499999999995</v>
      </c>
      <c r="AM76" s="336">
        <f>+AM75*$G71/4</f>
        <v>6.8062499999999995</v>
      </c>
      <c r="AN76" s="1402">
        <f>+AN75*$G71/4</f>
        <v>6.8062499999999995</v>
      </c>
      <c r="AO76" s="336"/>
      <c r="AP76" s="1401">
        <f>+AP75*$G71/4</f>
        <v>6.8062499999999995</v>
      </c>
      <c r="AQ76" s="336">
        <f>+AQ75*$G71/4</f>
        <v>6.8062499999999995</v>
      </c>
      <c r="AR76" s="336">
        <f>+AR75*$G71/4</f>
        <v>6.8062499999999995</v>
      </c>
      <c r="AS76" s="1402">
        <f>+AS75*$G71/4</f>
        <v>6.8062499999999995</v>
      </c>
      <c r="AT76" s="336"/>
      <c r="AU76" s="1401">
        <f>+AU75*$G71/4</f>
        <v>6.8062499999999995</v>
      </c>
      <c r="AV76" s="336">
        <f>+AV75*$G71/4</f>
        <v>6.8062499999999995</v>
      </c>
      <c r="AW76" s="336">
        <f>+AW75*$G71/4</f>
        <v>6.8062499999999995</v>
      </c>
      <c r="AX76" s="1402">
        <f>+AX75*$G71/4</f>
        <v>6.8062499999999995</v>
      </c>
      <c r="AY76" s="336"/>
      <c r="AZ76" s="1401">
        <f>+AZ75*$G71/4</f>
        <v>6.8062499999999995</v>
      </c>
      <c r="BA76" s="336">
        <f>+BA75*$G71/4</f>
        <v>6.8062499999999995</v>
      </c>
      <c r="BB76" s="336">
        <f>+BB75*$G71/4</f>
        <v>6.8062499999999995</v>
      </c>
      <c r="BC76" s="1402">
        <f>+BC75*$G71/4</f>
        <v>6.8062499999999995</v>
      </c>
      <c r="BD76" s="336"/>
      <c r="BE76" s="1401">
        <f>+BE75*$G71/4</f>
        <v>6.8062499999999995</v>
      </c>
      <c r="BF76" s="336">
        <f>+BF75*$G71/4</f>
        <v>6.8062499999999995</v>
      </c>
      <c r="BG76" s="336">
        <f>+BG75*$G71/4</f>
        <v>6.8062499999999995</v>
      </c>
      <c r="BH76" s="1402">
        <f>+BH75*$G71/4</f>
        <v>6.8062499999999995</v>
      </c>
      <c r="BI76" s="336"/>
      <c r="BJ76" s="1401">
        <f>+BJ75*$G71/4</f>
        <v>6.8062499999999995</v>
      </c>
      <c r="BK76" s="336">
        <f>+BK75*$G71/4</f>
        <v>6.8062499999999995</v>
      </c>
      <c r="BL76" s="336">
        <f>+BL75*$G71/4</f>
        <v>6.8062499999999995</v>
      </c>
      <c r="BM76" s="1402">
        <f>+BM75*$G71/4</f>
        <v>6.8062499999999995</v>
      </c>
      <c r="BN76" s="336"/>
      <c r="BO76" s="1401">
        <f>+BO75*$G71/4</f>
        <v>6.8062499999999995</v>
      </c>
      <c r="BP76" s="336">
        <f>+BP75*$G71/4</f>
        <v>6.8062499999999995</v>
      </c>
      <c r="BQ76" s="336">
        <f>+BQ75*$G71/4</f>
        <v>6.8062499999999995</v>
      </c>
      <c r="BR76" s="1402">
        <f>+BR75*$G71/4</f>
        <v>6.8062499999999995</v>
      </c>
      <c r="BS76" s="336"/>
      <c r="BT76" s="1401">
        <f>+BT75*$G71/4</f>
        <v>6.7608749999999995</v>
      </c>
      <c r="BU76" s="336">
        <f>+BU75*$G71/4</f>
        <v>3.3577499999999998</v>
      </c>
      <c r="BV76" s="336">
        <f>+BV75*$G71/4</f>
        <v>0</v>
      </c>
      <c r="BW76" s="1402">
        <f>+BW75*$G71/4</f>
        <v>0</v>
      </c>
      <c r="BX76" s="336"/>
      <c r="BY76" s="1401">
        <f>+BY75*$G71/4</f>
        <v>0</v>
      </c>
      <c r="BZ76" s="336">
        <f>+BZ75*$G71/4</f>
        <v>0</v>
      </c>
      <c r="CA76" s="336">
        <f>+CA75*$G71/4</f>
        <v>0</v>
      </c>
      <c r="CB76" s="1402">
        <f>+CB75*$G71/4</f>
        <v>0</v>
      </c>
      <c r="CC76" s="336"/>
      <c r="CD76" s="1401">
        <f>+CD75*$G71/4</f>
        <v>0</v>
      </c>
      <c r="CE76" s="336">
        <f>+CE75*$G71/4</f>
        <v>0</v>
      </c>
      <c r="CF76" s="336">
        <f>+CF75*$G71/4</f>
        <v>0</v>
      </c>
      <c r="CG76" s="1402">
        <f>+CG75*$G71/4</f>
        <v>0</v>
      </c>
      <c r="CH76" s="336"/>
      <c r="CI76" s="1401">
        <f>+CI75*$G71/4</f>
        <v>0</v>
      </c>
      <c r="CJ76" s="336">
        <f>+CJ75*$G71/4</f>
        <v>0</v>
      </c>
      <c r="CK76" s="336">
        <f>+CK75*$G71/4</f>
        <v>0</v>
      </c>
      <c r="CL76" s="1402">
        <f>+CL75*$G71/4</f>
        <v>0</v>
      </c>
      <c r="CM76" s="336"/>
      <c r="CN76" s="1401">
        <f>+CN75*$G71/4</f>
        <v>0</v>
      </c>
      <c r="CO76" s="336">
        <f>+CO75*$G71/4</f>
        <v>0</v>
      </c>
      <c r="CP76" s="336">
        <f>+CP75*$G71/4</f>
        <v>0</v>
      </c>
      <c r="CQ76" s="1402">
        <f>+CQ75*$G71/4</f>
        <v>0</v>
      </c>
      <c r="CR76" s="1402"/>
    </row>
    <row r="77" spans="1:96" ht="13.5" hidden="1" customHeight="1" outlineLevel="1">
      <c r="A77" s="317"/>
      <c r="B77" s="317" t="s">
        <v>93</v>
      </c>
      <c r="C77" s="317"/>
      <c r="D77" s="318"/>
      <c r="E77" s="318"/>
      <c r="F77" s="318"/>
      <c r="G77" s="318"/>
      <c r="H77" s="318"/>
      <c r="I77" s="318"/>
      <c r="J77" s="318"/>
      <c r="K77" s="318"/>
      <c r="L77" s="318"/>
      <c r="M77" s="318"/>
      <c r="N77" s="318"/>
      <c r="O77" s="318"/>
      <c r="P77" s="318"/>
      <c r="Q77" s="318"/>
      <c r="R77" s="318"/>
      <c r="S77" s="318"/>
      <c r="T77" s="318"/>
      <c r="U77" s="318"/>
      <c r="V77" s="318"/>
      <c r="W77" s="318"/>
      <c r="X77" s="318"/>
      <c r="Y77" s="318"/>
      <c r="Z77" s="318"/>
      <c r="AA77" s="318"/>
      <c r="AB77" s="318"/>
      <c r="AC77" s="318"/>
      <c r="AD77" s="318"/>
      <c r="AE77" s="318"/>
      <c r="AF77" s="318"/>
      <c r="AG77" s="318"/>
      <c r="AH77" s="318"/>
      <c r="AI77" s="335"/>
      <c r="AJ77" s="318"/>
      <c r="AK77" s="1405"/>
      <c r="AL77" s="336">
        <f>+AK76+AL76</f>
        <v>13.612499999999999</v>
      </c>
      <c r="AM77" s="319"/>
      <c r="AN77" s="1402">
        <f>+AM76+AN76</f>
        <v>13.612499999999999</v>
      </c>
      <c r="AO77" s="319"/>
      <c r="AP77" s="1405"/>
      <c r="AQ77" s="336">
        <f>+AP76+AQ76</f>
        <v>13.612499999999999</v>
      </c>
      <c r="AR77" s="319"/>
      <c r="AS77" s="1402">
        <f>+AR76+AS76</f>
        <v>13.612499999999999</v>
      </c>
      <c r="AT77" s="336"/>
      <c r="AU77" s="1405"/>
      <c r="AV77" s="336">
        <f>+AU76+AV76</f>
        <v>13.612499999999999</v>
      </c>
      <c r="AW77" s="319"/>
      <c r="AX77" s="1402">
        <f>+AW76+AX76</f>
        <v>13.612499999999999</v>
      </c>
      <c r="AY77" s="336"/>
      <c r="AZ77" s="1405"/>
      <c r="BA77" s="336">
        <f>+AZ76+BA76</f>
        <v>13.612499999999999</v>
      </c>
      <c r="BB77" s="319"/>
      <c r="BC77" s="1402">
        <f>+BB76+BC76</f>
        <v>13.612499999999999</v>
      </c>
      <c r="BD77" s="336"/>
      <c r="BE77" s="1405"/>
      <c r="BF77" s="336">
        <f>+BE76+BF76</f>
        <v>13.612499999999999</v>
      </c>
      <c r="BG77" s="319"/>
      <c r="BH77" s="1402">
        <f>+BG76+BH76</f>
        <v>13.612499999999999</v>
      </c>
      <c r="BI77" s="336"/>
      <c r="BJ77" s="1405"/>
      <c r="BK77" s="336">
        <f>+BJ76+BK76</f>
        <v>13.612499999999999</v>
      </c>
      <c r="BL77" s="319"/>
      <c r="BM77" s="1402">
        <f>+BL76+BM76</f>
        <v>13.612499999999999</v>
      </c>
      <c r="BN77" s="336"/>
      <c r="BO77" s="1405"/>
      <c r="BP77" s="336">
        <f>+BO76+BP76</f>
        <v>13.612499999999999</v>
      </c>
      <c r="BQ77" s="319"/>
      <c r="BR77" s="1402">
        <f>+BQ76+BR76</f>
        <v>13.612499999999999</v>
      </c>
      <c r="BS77" s="336"/>
      <c r="BT77" s="1405"/>
      <c r="BU77" s="336">
        <f>+BT76+BU76</f>
        <v>10.118625</v>
      </c>
      <c r="BV77" s="319"/>
      <c r="BW77" s="1402">
        <f>+BV76+BW76</f>
        <v>0</v>
      </c>
      <c r="BX77" s="336"/>
      <c r="BY77" s="1405"/>
      <c r="BZ77" s="336">
        <f>+BY76+BZ76</f>
        <v>0</v>
      </c>
      <c r="CA77" s="319"/>
      <c r="CB77" s="1402">
        <f>+CA76+CB76</f>
        <v>0</v>
      </c>
      <c r="CC77" s="336"/>
      <c r="CD77" s="1405"/>
      <c r="CE77" s="336">
        <f>+CD76+CE76</f>
        <v>0</v>
      </c>
      <c r="CF77" s="319"/>
      <c r="CG77" s="1402">
        <f>+CF76+CG76</f>
        <v>0</v>
      </c>
      <c r="CH77" s="336"/>
      <c r="CI77" s="1405"/>
      <c r="CJ77" s="336">
        <f>+CI76+CJ76</f>
        <v>0</v>
      </c>
      <c r="CK77" s="319"/>
      <c r="CL77" s="1402">
        <f>+CK76+CL76</f>
        <v>0</v>
      </c>
      <c r="CM77" s="336"/>
      <c r="CN77" s="1405"/>
      <c r="CO77" s="336">
        <f>+CN76+CO76</f>
        <v>0</v>
      </c>
      <c r="CP77" s="319"/>
      <c r="CQ77" s="1402">
        <f>+CP76+CQ76</f>
        <v>0</v>
      </c>
      <c r="CR77" s="1402"/>
    </row>
    <row r="78" spans="1:96" ht="6.2" hidden="1" customHeight="1" outlineLevel="1">
      <c r="A78" s="317"/>
      <c r="B78" s="317"/>
      <c r="C78" s="317"/>
      <c r="D78" s="318"/>
      <c r="E78" s="318"/>
      <c r="F78" s="318"/>
      <c r="G78" s="318"/>
      <c r="H78" s="318"/>
      <c r="I78" s="318"/>
      <c r="J78" s="318"/>
      <c r="K78" s="318"/>
      <c r="L78" s="318"/>
      <c r="M78" s="318"/>
      <c r="N78" s="318"/>
      <c r="O78" s="318"/>
      <c r="P78" s="318"/>
      <c r="Q78" s="318"/>
      <c r="R78" s="318"/>
      <c r="S78" s="318"/>
      <c r="T78" s="318"/>
      <c r="U78" s="318"/>
      <c r="V78" s="318"/>
      <c r="W78" s="318"/>
      <c r="X78" s="318"/>
      <c r="Y78" s="318"/>
      <c r="Z78" s="318"/>
      <c r="AA78" s="318"/>
      <c r="AB78" s="318"/>
      <c r="AC78" s="318"/>
      <c r="AD78" s="318"/>
      <c r="AE78" s="318"/>
      <c r="AF78" s="318"/>
      <c r="AG78" s="318"/>
      <c r="AH78" s="318"/>
      <c r="AI78" s="318"/>
      <c r="AJ78" s="318"/>
      <c r="AK78" s="1405"/>
      <c r="AL78" s="319"/>
      <c r="AM78" s="319"/>
      <c r="AN78" s="1406"/>
      <c r="AO78" s="319"/>
      <c r="AP78" s="1405"/>
      <c r="AQ78" s="319"/>
      <c r="AR78" s="319"/>
      <c r="AS78" s="1406"/>
      <c r="AT78" s="319"/>
      <c r="AU78" s="1405"/>
      <c r="AV78" s="319"/>
      <c r="AW78" s="319"/>
      <c r="AX78" s="1406"/>
      <c r="AY78" s="319"/>
      <c r="AZ78" s="1405"/>
      <c r="BA78" s="319"/>
      <c r="BB78" s="319"/>
      <c r="BC78" s="1406"/>
      <c r="BD78" s="319"/>
      <c r="BE78" s="1405"/>
      <c r="BF78" s="319"/>
      <c r="BG78" s="319"/>
      <c r="BH78" s="1406"/>
      <c r="BI78" s="319"/>
      <c r="BJ78" s="1405"/>
      <c r="BK78" s="319"/>
      <c r="BL78" s="319"/>
      <c r="BM78" s="1406"/>
      <c r="BN78" s="319"/>
      <c r="BO78" s="1405"/>
      <c r="BP78" s="319"/>
      <c r="BQ78" s="319"/>
      <c r="BR78" s="1406"/>
      <c r="BS78" s="319"/>
      <c r="BT78" s="1405"/>
      <c r="BU78" s="319"/>
      <c r="BV78" s="319"/>
      <c r="BW78" s="1406"/>
      <c r="BX78" s="319"/>
      <c r="BY78" s="1405"/>
      <c r="BZ78" s="319"/>
      <c r="CA78" s="319"/>
      <c r="CB78" s="1406"/>
      <c r="CC78" s="319"/>
      <c r="CD78" s="1405"/>
      <c r="CE78" s="319"/>
      <c r="CF78" s="319"/>
      <c r="CG78" s="1406"/>
      <c r="CH78" s="319"/>
      <c r="CI78" s="1405"/>
      <c r="CJ78" s="319"/>
      <c r="CK78" s="319"/>
      <c r="CL78" s="1406"/>
      <c r="CM78" s="319"/>
      <c r="CN78" s="1405"/>
      <c r="CO78" s="319"/>
      <c r="CP78" s="319"/>
      <c r="CQ78" s="1406"/>
      <c r="CR78" s="1406"/>
    </row>
    <row r="79" spans="1:96" ht="13.5" hidden="1" customHeight="1" outlineLevel="1">
      <c r="A79" s="334" t="s">
        <v>103</v>
      </c>
      <c r="B79" s="317"/>
      <c r="C79" s="317"/>
      <c r="D79" s="318"/>
      <c r="E79" s="318"/>
      <c r="F79" s="318"/>
      <c r="G79" s="347">
        <v>5.6500000000000002E-2</v>
      </c>
      <c r="H79" s="339">
        <v>41415</v>
      </c>
      <c r="I79" s="318"/>
      <c r="J79" s="318"/>
      <c r="K79" s="318"/>
      <c r="L79" s="318"/>
      <c r="M79" s="318"/>
      <c r="N79" s="318"/>
      <c r="O79" s="318"/>
      <c r="P79" s="318"/>
      <c r="Q79" s="318"/>
      <c r="R79" s="318"/>
      <c r="S79" s="318"/>
      <c r="T79" s="318"/>
      <c r="U79" s="318"/>
      <c r="V79" s="318"/>
      <c r="W79" s="318"/>
      <c r="X79" s="318"/>
      <c r="Y79" s="318"/>
      <c r="Z79" s="318"/>
      <c r="AA79" s="318"/>
      <c r="AB79" s="318"/>
      <c r="AC79" s="318"/>
      <c r="AD79" s="318"/>
      <c r="AE79" s="318"/>
      <c r="AF79" s="318"/>
      <c r="AG79" s="318"/>
      <c r="AH79" s="318"/>
      <c r="AI79" s="318"/>
      <c r="AJ79" s="318"/>
      <c r="AK79" s="1405"/>
      <c r="AL79" s="319"/>
      <c r="AM79" s="319"/>
      <c r="AN79" s="1406"/>
      <c r="AO79" s="319"/>
      <c r="AP79" s="1405"/>
      <c r="AQ79" s="319"/>
      <c r="AR79" s="319"/>
      <c r="AS79" s="1406"/>
      <c r="AT79" s="319"/>
      <c r="AU79" s="1405"/>
      <c r="AV79" s="319"/>
      <c r="AW79" s="319"/>
      <c r="AX79" s="1406"/>
      <c r="AY79" s="319"/>
      <c r="AZ79" s="1405"/>
      <c r="BA79" s="319"/>
      <c r="BB79" s="319"/>
      <c r="BC79" s="1406"/>
      <c r="BD79" s="319"/>
      <c r="BE79" s="1405"/>
      <c r="BF79" s="319"/>
      <c r="BG79" s="319"/>
      <c r="BH79" s="1406"/>
      <c r="BI79" s="319"/>
      <c r="BJ79" s="1405"/>
      <c r="BK79" s="319"/>
      <c r="BL79" s="319"/>
      <c r="BM79" s="1406"/>
      <c r="BN79" s="319"/>
      <c r="BO79" s="1405"/>
      <c r="BP79" s="319"/>
      <c r="BQ79" s="319"/>
      <c r="BR79" s="1406"/>
      <c r="BS79" s="319"/>
      <c r="BT79" s="1405"/>
      <c r="BU79" s="319"/>
      <c r="BV79" s="319"/>
      <c r="BW79" s="1406"/>
      <c r="BX79" s="319"/>
      <c r="BY79" s="1405"/>
      <c r="BZ79" s="319"/>
      <c r="CA79" s="319"/>
      <c r="CB79" s="1406"/>
      <c r="CC79" s="319"/>
      <c r="CD79" s="1405"/>
      <c r="CE79" s="319"/>
      <c r="CF79" s="319"/>
      <c r="CG79" s="1406"/>
      <c r="CH79" s="319"/>
      <c r="CI79" s="1405"/>
      <c r="CJ79" s="319"/>
      <c r="CK79" s="319"/>
      <c r="CL79" s="1406"/>
      <c r="CM79" s="319"/>
      <c r="CN79" s="1405"/>
      <c r="CO79" s="319"/>
      <c r="CP79" s="319"/>
      <c r="CQ79" s="1406"/>
      <c r="CR79" s="1406"/>
    </row>
    <row r="80" spans="1:96" ht="13.5" hidden="1" customHeight="1" outlineLevel="1">
      <c r="A80" s="317"/>
      <c r="B80" s="317" t="s">
        <v>87</v>
      </c>
      <c r="C80" s="317"/>
      <c r="D80" s="318"/>
      <c r="E80" s="318"/>
      <c r="F80" s="318"/>
      <c r="G80" s="318"/>
      <c r="H80" s="335"/>
      <c r="I80" s="335"/>
      <c r="J80" s="335"/>
      <c r="K80" s="335"/>
      <c r="L80" s="335"/>
      <c r="M80" s="335"/>
      <c r="N80" s="335"/>
      <c r="O80" s="335"/>
      <c r="P80" s="335"/>
      <c r="Q80" s="335"/>
      <c r="R80" s="335"/>
      <c r="S80" s="335"/>
      <c r="T80" s="335"/>
      <c r="U80" s="335"/>
      <c r="V80" s="335"/>
      <c r="W80" s="335"/>
      <c r="X80" s="335"/>
      <c r="Y80" s="335"/>
      <c r="Z80" s="335"/>
      <c r="AA80" s="335"/>
      <c r="AB80" s="335"/>
      <c r="AC80" s="335"/>
      <c r="AD80" s="335"/>
      <c r="AE80" s="335"/>
      <c r="AF80" s="335"/>
      <c r="AG80" s="335"/>
      <c r="AH80" s="335"/>
      <c r="AI80" s="335"/>
      <c r="AJ80" s="335"/>
      <c r="AK80" s="1401">
        <f>+AJ82</f>
        <v>300</v>
      </c>
      <c r="AL80" s="336">
        <f>+AK82</f>
        <v>300</v>
      </c>
      <c r="AM80" s="336">
        <f>+AL82</f>
        <v>300</v>
      </c>
      <c r="AN80" s="1402">
        <f>+AM82</f>
        <v>300</v>
      </c>
      <c r="AO80" s="336"/>
      <c r="AP80" s="1401">
        <f>+AO82</f>
        <v>300</v>
      </c>
      <c r="AQ80" s="336">
        <f>+AP82</f>
        <v>300</v>
      </c>
      <c r="AR80" s="336">
        <f>+AQ82</f>
        <v>300</v>
      </c>
      <c r="AS80" s="1402">
        <f>+AR82</f>
        <v>300</v>
      </c>
      <c r="AT80" s="336"/>
      <c r="AU80" s="1401">
        <f>+AT82</f>
        <v>300</v>
      </c>
      <c r="AV80" s="336">
        <f>+AU82</f>
        <v>300</v>
      </c>
      <c r="AW80" s="336">
        <f>+AV82</f>
        <v>300</v>
      </c>
      <c r="AX80" s="1402">
        <f>+AW82</f>
        <v>300</v>
      </c>
      <c r="AY80" s="336"/>
      <c r="AZ80" s="1401">
        <f>+AY82</f>
        <v>300</v>
      </c>
      <c r="BA80" s="336">
        <f>+AZ82</f>
        <v>300</v>
      </c>
      <c r="BB80" s="336">
        <f>+BA82</f>
        <v>0</v>
      </c>
      <c r="BC80" s="1402">
        <f>+BB82</f>
        <v>0</v>
      </c>
      <c r="BD80" s="336"/>
      <c r="BE80" s="1401">
        <f>+BD82</f>
        <v>0</v>
      </c>
      <c r="BF80" s="336">
        <f>+BE82</f>
        <v>0</v>
      </c>
      <c r="BG80" s="336">
        <f>+BF82</f>
        <v>0</v>
      </c>
      <c r="BH80" s="1402">
        <f>+BG82</f>
        <v>0</v>
      </c>
      <c r="BI80" s="336"/>
      <c r="BJ80" s="1401">
        <f>+BI82</f>
        <v>0</v>
      </c>
      <c r="BK80" s="336">
        <f>+BJ82</f>
        <v>0</v>
      </c>
      <c r="BL80" s="336">
        <f>+BK82</f>
        <v>0</v>
      </c>
      <c r="BM80" s="1402">
        <f>+BL82</f>
        <v>0</v>
      </c>
      <c r="BN80" s="336"/>
      <c r="BO80" s="1401">
        <f>+BN82</f>
        <v>0</v>
      </c>
      <c r="BP80" s="336">
        <f>+BO82</f>
        <v>0</v>
      </c>
      <c r="BQ80" s="336">
        <f>+BP82</f>
        <v>0</v>
      </c>
      <c r="BR80" s="1402">
        <f>+BQ82</f>
        <v>0</v>
      </c>
      <c r="BS80" s="336"/>
      <c r="BT80" s="1401">
        <f>+BS82</f>
        <v>0</v>
      </c>
      <c r="BU80" s="336">
        <f>+BT82</f>
        <v>0</v>
      </c>
      <c r="BV80" s="336">
        <f>+BU82</f>
        <v>0</v>
      </c>
      <c r="BW80" s="1402">
        <f>+BV82</f>
        <v>0</v>
      </c>
      <c r="BX80" s="336"/>
      <c r="BY80" s="1401">
        <f>+BX82</f>
        <v>0</v>
      </c>
      <c r="BZ80" s="336">
        <f>+BY82</f>
        <v>0</v>
      </c>
      <c r="CA80" s="336">
        <f>+BZ82</f>
        <v>0</v>
      </c>
      <c r="CB80" s="1402">
        <f>+CA82</f>
        <v>0</v>
      </c>
      <c r="CC80" s="336"/>
      <c r="CD80" s="1401">
        <f>+CC82</f>
        <v>0</v>
      </c>
      <c r="CE80" s="336">
        <f>+CD82</f>
        <v>0</v>
      </c>
      <c r="CF80" s="336">
        <f>+CE82</f>
        <v>0</v>
      </c>
      <c r="CG80" s="1402">
        <f>+CF82</f>
        <v>0</v>
      </c>
      <c r="CH80" s="336"/>
      <c r="CI80" s="1401">
        <f>+CH82</f>
        <v>0</v>
      </c>
      <c r="CJ80" s="336">
        <f>+CI82</f>
        <v>0</v>
      </c>
      <c r="CK80" s="336">
        <f>+CJ82</f>
        <v>0</v>
      </c>
      <c r="CL80" s="1402">
        <f>+CK82</f>
        <v>0</v>
      </c>
      <c r="CM80" s="336"/>
      <c r="CN80" s="1401">
        <f>+CM82</f>
        <v>0</v>
      </c>
      <c r="CO80" s="336">
        <f>+CN82</f>
        <v>0</v>
      </c>
      <c r="CP80" s="336">
        <f>+CO82</f>
        <v>0</v>
      </c>
      <c r="CQ80" s="1402">
        <f>+CP82</f>
        <v>0</v>
      </c>
      <c r="CR80" s="1402"/>
    </row>
    <row r="81" spans="1:96" ht="13.5" hidden="1" customHeight="1" outlineLevel="1">
      <c r="A81" s="317"/>
      <c r="B81" s="317" t="s">
        <v>89</v>
      </c>
      <c r="C81" s="317"/>
      <c r="D81" s="318"/>
      <c r="E81" s="318"/>
      <c r="F81" s="318"/>
      <c r="G81" s="318"/>
      <c r="H81" s="335"/>
      <c r="I81" s="335"/>
      <c r="J81" s="335"/>
      <c r="K81" s="335"/>
      <c r="L81" s="335"/>
      <c r="M81" s="335"/>
      <c r="N81" s="335"/>
      <c r="O81" s="335"/>
      <c r="P81" s="335"/>
      <c r="Q81" s="335"/>
      <c r="R81" s="335"/>
      <c r="S81" s="335"/>
      <c r="T81" s="335"/>
      <c r="U81" s="335"/>
      <c r="V81" s="335"/>
      <c r="W81" s="335"/>
      <c r="X81" s="335"/>
      <c r="Y81" s="335"/>
      <c r="Z81" s="335"/>
      <c r="AA81" s="335"/>
      <c r="AB81" s="335"/>
      <c r="AC81" s="335"/>
      <c r="AD81" s="335"/>
      <c r="AE81" s="335"/>
      <c r="AF81" s="335"/>
      <c r="AG81" s="335"/>
      <c r="AH81" s="335"/>
      <c r="AI81" s="663">
        <v>0</v>
      </c>
      <c r="AJ81" s="335"/>
      <c r="AK81" s="1403">
        <v>0</v>
      </c>
      <c r="AL81" s="662">
        <v>0</v>
      </c>
      <c r="AM81" s="662">
        <v>0</v>
      </c>
      <c r="AN81" s="1404">
        <v>0</v>
      </c>
      <c r="AO81" s="336"/>
      <c r="AP81" s="1403">
        <v>0</v>
      </c>
      <c r="AQ81" s="662">
        <v>0</v>
      </c>
      <c r="AR81" s="662">
        <v>0</v>
      </c>
      <c r="AS81" s="1404">
        <v>0</v>
      </c>
      <c r="AT81" s="336"/>
      <c r="AU81" s="1403">
        <v>0</v>
      </c>
      <c r="AV81" s="662">
        <v>0</v>
      </c>
      <c r="AW81" s="662">
        <v>0</v>
      </c>
      <c r="AX81" s="1404">
        <v>0</v>
      </c>
      <c r="AY81" s="336"/>
      <c r="AZ81" s="1403">
        <v>0</v>
      </c>
      <c r="BA81" s="662">
        <v>-300</v>
      </c>
      <c r="BB81" s="662">
        <v>0</v>
      </c>
      <c r="BC81" s="1404">
        <v>0</v>
      </c>
      <c r="BD81" s="336"/>
      <c r="BE81" s="1403">
        <v>0</v>
      </c>
      <c r="BF81" s="662">
        <v>0</v>
      </c>
      <c r="BG81" s="662">
        <v>0</v>
      </c>
      <c r="BH81" s="1404">
        <v>0</v>
      </c>
      <c r="BI81" s="336"/>
      <c r="BJ81" s="1403">
        <v>0</v>
      </c>
      <c r="BK81" s="662">
        <v>0</v>
      </c>
      <c r="BL81" s="662">
        <v>0</v>
      </c>
      <c r="BM81" s="1404">
        <v>0</v>
      </c>
      <c r="BN81" s="336"/>
      <c r="BO81" s="1403">
        <v>0</v>
      </c>
      <c r="BP81" s="662">
        <v>0</v>
      </c>
      <c r="BQ81" s="662">
        <v>0</v>
      </c>
      <c r="BR81" s="1404">
        <v>0</v>
      </c>
      <c r="BS81" s="336"/>
      <c r="BT81" s="1403">
        <v>0</v>
      </c>
      <c r="BU81" s="662">
        <v>0</v>
      </c>
      <c r="BV81" s="662">
        <v>0</v>
      </c>
      <c r="BW81" s="1404">
        <v>0</v>
      </c>
      <c r="BX81" s="336"/>
      <c r="BY81" s="1403">
        <v>0</v>
      </c>
      <c r="BZ81" s="662">
        <v>0</v>
      </c>
      <c r="CA81" s="662">
        <v>0</v>
      </c>
      <c r="CB81" s="1404">
        <v>0</v>
      </c>
      <c r="CC81" s="336"/>
      <c r="CD81" s="1403">
        <v>0</v>
      </c>
      <c r="CE81" s="662">
        <v>0</v>
      </c>
      <c r="CF81" s="662">
        <v>0</v>
      </c>
      <c r="CG81" s="1404">
        <v>0</v>
      </c>
      <c r="CH81" s="336"/>
      <c r="CI81" s="1403">
        <v>0</v>
      </c>
      <c r="CJ81" s="662">
        <v>0</v>
      </c>
      <c r="CK81" s="662">
        <v>0</v>
      </c>
      <c r="CL81" s="1404">
        <v>0</v>
      </c>
      <c r="CM81" s="336"/>
      <c r="CN81" s="1403">
        <v>0</v>
      </c>
      <c r="CO81" s="662">
        <v>0</v>
      </c>
      <c r="CP81" s="662">
        <v>0</v>
      </c>
      <c r="CQ81" s="1404">
        <v>0</v>
      </c>
      <c r="CR81" s="1402"/>
    </row>
    <row r="82" spans="1:96" ht="13.5" hidden="1" customHeight="1" outlineLevel="1">
      <c r="A82" s="317"/>
      <c r="B82" s="317" t="s">
        <v>90</v>
      </c>
      <c r="C82" s="317"/>
      <c r="D82" s="318"/>
      <c r="E82" s="318"/>
      <c r="F82" s="318"/>
      <c r="G82" s="318"/>
      <c r="H82" s="348">
        <v>0</v>
      </c>
      <c r="I82" s="348"/>
      <c r="J82" s="348"/>
      <c r="K82" s="348"/>
      <c r="L82" s="348"/>
      <c r="M82" s="348"/>
      <c r="N82" s="348"/>
      <c r="O82" s="348"/>
      <c r="P82" s="348"/>
      <c r="Q82" s="348"/>
      <c r="R82" s="348"/>
      <c r="S82" s="348"/>
      <c r="T82" s="348"/>
      <c r="U82" s="348"/>
      <c r="V82" s="348"/>
      <c r="W82" s="348"/>
      <c r="X82" s="348"/>
      <c r="Y82" s="348"/>
      <c r="Z82" s="348"/>
      <c r="AA82" s="348"/>
      <c r="AB82" s="348"/>
      <c r="AC82" s="348"/>
      <c r="AD82" s="348"/>
      <c r="AE82" s="348"/>
      <c r="AF82" s="348"/>
      <c r="AG82" s="348"/>
      <c r="AH82" s="348"/>
      <c r="AI82" s="663">
        <v>300</v>
      </c>
      <c r="AJ82" s="335">
        <f>+AI82</f>
        <v>300</v>
      </c>
      <c r="AK82" s="1401">
        <f>+AK80+AK81</f>
        <v>300</v>
      </c>
      <c r="AL82" s="336">
        <f>+AL80+AL81</f>
        <v>300</v>
      </c>
      <c r="AM82" s="336">
        <f>+AM80+AM81</f>
        <v>300</v>
      </c>
      <c r="AN82" s="1402">
        <f>+AN80+AN81</f>
        <v>300</v>
      </c>
      <c r="AO82" s="343">
        <f>+AN82</f>
        <v>300</v>
      </c>
      <c r="AP82" s="1401">
        <f>+AP80+AP81</f>
        <v>300</v>
      </c>
      <c r="AQ82" s="336">
        <f>+AQ80+AQ81</f>
        <v>300</v>
      </c>
      <c r="AR82" s="336">
        <f>+AR80+AR81</f>
        <v>300</v>
      </c>
      <c r="AS82" s="1402">
        <f>+AS80+AS81</f>
        <v>300</v>
      </c>
      <c r="AT82" s="343">
        <f>+AS82</f>
        <v>300</v>
      </c>
      <c r="AU82" s="1401">
        <f>+AU80+AU81</f>
        <v>300</v>
      </c>
      <c r="AV82" s="336">
        <f>+AV80+AV81</f>
        <v>300</v>
      </c>
      <c r="AW82" s="336">
        <f>+AW80+AW81</f>
        <v>300</v>
      </c>
      <c r="AX82" s="1402">
        <f>+AX80+AX81</f>
        <v>300</v>
      </c>
      <c r="AY82" s="343">
        <f>+AX82</f>
        <v>300</v>
      </c>
      <c r="AZ82" s="1401">
        <f>+AZ80+AZ81</f>
        <v>300</v>
      </c>
      <c r="BA82" s="336">
        <f>+BA80+BA81</f>
        <v>0</v>
      </c>
      <c r="BB82" s="336">
        <f>+BB80+BB81</f>
        <v>0</v>
      </c>
      <c r="BC82" s="1402">
        <f>+BC80+BC81</f>
        <v>0</v>
      </c>
      <c r="BD82" s="343">
        <f>+BC82</f>
        <v>0</v>
      </c>
      <c r="BE82" s="1401">
        <f>+BE80+BE81</f>
        <v>0</v>
      </c>
      <c r="BF82" s="336">
        <f>+BF80+BF81</f>
        <v>0</v>
      </c>
      <c r="BG82" s="336">
        <f>+BG80+BG81</f>
        <v>0</v>
      </c>
      <c r="BH82" s="1402">
        <f>+BH80+BH81</f>
        <v>0</v>
      </c>
      <c r="BI82" s="343">
        <f>+BH82</f>
        <v>0</v>
      </c>
      <c r="BJ82" s="1401">
        <f>+BJ80+BJ81</f>
        <v>0</v>
      </c>
      <c r="BK82" s="336">
        <f>+BK80+BK81</f>
        <v>0</v>
      </c>
      <c r="BL82" s="336">
        <f>+BL80+BL81</f>
        <v>0</v>
      </c>
      <c r="BM82" s="1402">
        <f>+BM80+BM81</f>
        <v>0</v>
      </c>
      <c r="BN82" s="343">
        <f>+BM82</f>
        <v>0</v>
      </c>
      <c r="BO82" s="1401">
        <f>+BO80+BO81</f>
        <v>0</v>
      </c>
      <c r="BP82" s="336">
        <f>+BP80+BP81</f>
        <v>0</v>
      </c>
      <c r="BQ82" s="336">
        <f>+BQ80+BQ81</f>
        <v>0</v>
      </c>
      <c r="BR82" s="1402">
        <f>+BR80+BR81</f>
        <v>0</v>
      </c>
      <c r="BS82" s="343">
        <f>+BR82</f>
        <v>0</v>
      </c>
      <c r="BT82" s="1401">
        <f>+BT80+BT81</f>
        <v>0</v>
      </c>
      <c r="BU82" s="336">
        <f>+BU80+BU81</f>
        <v>0</v>
      </c>
      <c r="BV82" s="336">
        <f>+BV80+BV81</f>
        <v>0</v>
      </c>
      <c r="BW82" s="1402">
        <f>+BW80+BW81</f>
        <v>0</v>
      </c>
      <c r="BX82" s="343">
        <f>+BW82</f>
        <v>0</v>
      </c>
      <c r="BY82" s="1401">
        <f>+BY80+BY81</f>
        <v>0</v>
      </c>
      <c r="BZ82" s="336">
        <f>+BZ80+BZ81</f>
        <v>0</v>
      </c>
      <c r="CA82" s="336">
        <f>+CA80+CA81</f>
        <v>0</v>
      </c>
      <c r="CB82" s="1402">
        <f>+CB80+CB81</f>
        <v>0</v>
      </c>
      <c r="CC82" s="343">
        <f>+CB82</f>
        <v>0</v>
      </c>
      <c r="CD82" s="1401">
        <f>+CD80+CD81</f>
        <v>0</v>
      </c>
      <c r="CE82" s="336">
        <f>+CE80+CE81</f>
        <v>0</v>
      </c>
      <c r="CF82" s="336">
        <f>+CF80+CF81</f>
        <v>0</v>
      </c>
      <c r="CG82" s="1402">
        <f>+CG80+CG81</f>
        <v>0</v>
      </c>
      <c r="CH82" s="343">
        <f>+CG82</f>
        <v>0</v>
      </c>
      <c r="CI82" s="1401">
        <f>+CI80+CI81</f>
        <v>0</v>
      </c>
      <c r="CJ82" s="336">
        <f>+CJ80+CJ81</f>
        <v>0</v>
      </c>
      <c r="CK82" s="336">
        <f>+CK80+CK81</f>
        <v>0</v>
      </c>
      <c r="CL82" s="1402">
        <f>+CL80+CL81</f>
        <v>0</v>
      </c>
      <c r="CM82" s="343">
        <f>+CL82</f>
        <v>0</v>
      </c>
      <c r="CN82" s="1401">
        <f>+CN80+CN81</f>
        <v>0</v>
      </c>
      <c r="CO82" s="336">
        <f>+CO80+CO81</f>
        <v>0</v>
      </c>
      <c r="CP82" s="336">
        <f>+CP80+CP81</f>
        <v>0</v>
      </c>
      <c r="CQ82" s="1402">
        <f>+CQ80+CQ81</f>
        <v>0</v>
      </c>
      <c r="CR82" s="1451">
        <f>+CQ82</f>
        <v>0</v>
      </c>
    </row>
    <row r="83" spans="1:96" ht="13.5" hidden="1" customHeight="1" outlineLevel="1">
      <c r="A83" s="317"/>
      <c r="B83" s="317" t="s">
        <v>91</v>
      </c>
      <c r="C83" s="317"/>
      <c r="D83" s="318"/>
      <c r="E83" s="318"/>
      <c r="F83" s="318"/>
      <c r="G83" s="318"/>
      <c r="H83" s="335"/>
      <c r="I83" s="335"/>
      <c r="J83" s="335"/>
      <c r="K83" s="335"/>
      <c r="L83" s="335"/>
      <c r="M83" s="335"/>
      <c r="N83" s="335"/>
      <c r="O83" s="335"/>
      <c r="P83" s="335"/>
      <c r="Q83" s="335"/>
      <c r="R83" s="335"/>
      <c r="S83" s="335"/>
      <c r="T83" s="335"/>
      <c r="U83" s="335"/>
      <c r="V83" s="335"/>
      <c r="W83" s="335"/>
      <c r="X83" s="335"/>
      <c r="Y83" s="335"/>
      <c r="Z83" s="335"/>
      <c r="AA83" s="335"/>
      <c r="AB83" s="335"/>
      <c r="AC83" s="335"/>
      <c r="AD83" s="335"/>
      <c r="AE83" s="335"/>
      <c r="AF83" s="335"/>
      <c r="AG83" s="335"/>
      <c r="AH83" s="335"/>
      <c r="AI83" s="335"/>
      <c r="AJ83" s="335"/>
      <c r="AK83" s="1401">
        <f>+AVERAGE(AK80,AK82)</f>
        <v>300</v>
      </c>
      <c r="AL83" s="336">
        <f>+AVERAGE(AL80,AL82)</f>
        <v>300</v>
      </c>
      <c r="AM83" s="336">
        <f>+AVERAGE(AM80,AM82)</f>
        <v>300</v>
      </c>
      <c r="AN83" s="1402">
        <f>+AVERAGE(AN80,AN82)</f>
        <v>300</v>
      </c>
      <c r="AO83" s="336"/>
      <c r="AP83" s="1401">
        <f>+AVERAGE(AP80,AP82)</f>
        <v>300</v>
      </c>
      <c r="AQ83" s="336">
        <f>+AVERAGE(AQ80,AQ82)</f>
        <v>300</v>
      </c>
      <c r="AR83" s="336">
        <f>+AVERAGE(AR80,AR82)</f>
        <v>300</v>
      </c>
      <c r="AS83" s="1402">
        <f>+AVERAGE(AS80,AS82)</f>
        <v>300</v>
      </c>
      <c r="AT83" s="336"/>
      <c r="AU83" s="1401">
        <f>+AVERAGE(AU80,AU82)</f>
        <v>300</v>
      </c>
      <c r="AV83" s="336">
        <f>+AVERAGE(AV80,AV82)</f>
        <v>300</v>
      </c>
      <c r="AW83" s="336">
        <f>+AVERAGE(AW80,AW82)</f>
        <v>300</v>
      </c>
      <c r="AX83" s="1402">
        <f>+AVERAGE(AX80,AX82)</f>
        <v>300</v>
      </c>
      <c r="AY83" s="336"/>
      <c r="AZ83" s="1401">
        <f>+AVERAGE(AZ80,AZ82)</f>
        <v>300</v>
      </c>
      <c r="BA83" s="662">
        <v>0</v>
      </c>
      <c r="BB83" s="336">
        <f>+AVERAGE(BB80,BB82)</f>
        <v>0</v>
      </c>
      <c r="BC83" s="1402">
        <f>+AVERAGE(BC80,BC82)</f>
        <v>0</v>
      </c>
      <c r="BD83" s="336"/>
      <c r="BE83" s="1401">
        <f>+AVERAGE(BE80,BE82)</f>
        <v>0</v>
      </c>
      <c r="BF83" s="336">
        <f>+AVERAGE(BF80,BF82)</f>
        <v>0</v>
      </c>
      <c r="BG83" s="336">
        <f>+AVERAGE(BG80,BG82)</f>
        <v>0</v>
      </c>
      <c r="BH83" s="1402">
        <f>+AVERAGE(BH80,BH82)</f>
        <v>0</v>
      </c>
      <c r="BI83" s="336"/>
      <c r="BJ83" s="1401">
        <f>+AVERAGE(BJ80,BJ82)</f>
        <v>0</v>
      </c>
      <c r="BK83" s="336">
        <f>+AVERAGE(BK80,BK82)</f>
        <v>0</v>
      </c>
      <c r="BL83" s="336">
        <f>+AVERAGE(BL80,BL82)</f>
        <v>0</v>
      </c>
      <c r="BM83" s="1402">
        <f>+AVERAGE(BM80,BM82)</f>
        <v>0</v>
      </c>
      <c r="BN83" s="336"/>
      <c r="BO83" s="1401">
        <f>+AVERAGE(BO80,BO82)</f>
        <v>0</v>
      </c>
      <c r="BP83" s="336">
        <f>+AVERAGE(BP80,BP82)</f>
        <v>0</v>
      </c>
      <c r="BQ83" s="336">
        <f>+AVERAGE(BQ80,BQ82)</f>
        <v>0</v>
      </c>
      <c r="BR83" s="1402">
        <f>+AVERAGE(BR80,BR82)</f>
        <v>0</v>
      </c>
      <c r="BS83" s="336"/>
      <c r="BT83" s="1401">
        <f>+AVERAGE(BT80,BT82)</f>
        <v>0</v>
      </c>
      <c r="BU83" s="336">
        <f>+AVERAGE(BU80,BU82)</f>
        <v>0</v>
      </c>
      <c r="BV83" s="336">
        <f>+AVERAGE(BV80,BV82)</f>
        <v>0</v>
      </c>
      <c r="BW83" s="1402">
        <f>+AVERAGE(BW80,BW82)</f>
        <v>0</v>
      </c>
      <c r="BX83" s="336"/>
      <c r="BY83" s="1401">
        <f>+AVERAGE(BY80,BY82)</f>
        <v>0</v>
      </c>
      <c r="BZ83" s="336">
        <f>+AVERAGE(BZ80,BZ82)</f>
        <v>0</v>
      </c>
      <c r="CA83" s="336">
        <f>+AVERAGE(CA80,CA82)</f>
        <v>0</v>
      </c>
      <c r="CB83" s="1402">
        <f>+AVERAGE(CB80,CB82)</f>
        <v>0</v>
      </c>
      <c r="CC83" s="336"/>
      <c r="CD83" s="1401">
        <f>+AVERAGE(CD80,CD82)</f>
        <v>0</v>
      </c>
      <c r="CE83" s="336">
        <f>+AVERAGE(CE80,CE82)</f>
        <v>0</v>
      </c>
      <c r="CF83" s="336">
        <f>+AVERAGE(CF80,CF82)</f>
        <v>0</v>
      </c>
      <c r="CG83" s="1402">
        <f>+AVERAGE(CG80,CG82)</f>
        <v>0</v>
      </c>
      <c r="CH83" s="336"/>
      <c r="CI83" s="1401">
        <f>+AVERAGE(CI80,CI82)</f>
        <v>0</v>
      </c>
      <c r="CJ83" s="336">
        <f>+AVERAGE(CJ80,CJ82)</f>
        <v>0</v>
      </c>
      <c r="CK83" s="336">
        <f>+AVERAGE(CK80,CK82)</f>
        <v>0</v>
      </c>
      <c r="CL83" s="1402">
        <f>+AVERAGE(CL80,CL82)</f>
        <v>0</v>
      </c>
      <c r="CM83" s="336"/>
      <c r="CN83" s="1401">
        <f>+AVERAGE(CN80,CN82)</f>
        <v>0</v>
      </c>
      <c r="CO83" s="336">
        <f>+AVERAGE(CO80,CO82)</f>
        <v>0</v>
      </c>
      <c r="CP83" s="336">
        <f>+AVERAGE(CP80,CP82)</f>
        <v>0</v>
      </c>
      <c r="CQ83" s="1402">
        <f>+AVERAGE(CQ80,CQ82)</f>
        <v>0</v>
      </c>
      <c r="CR83" s="1402"/>
    </row>
    <row r="84" spans="1:96" ht="13.5" hidden="1" customHeight="1" outlineLevel="1">
      <c r="A84" s="317"/>
      <c r="B84" s="317" t="s">
        <v>92</v>
      </c>
      <c r="C84" s="317"/>
      <c r="D84" s="318"/>
      <c r="E84" s="318"/>
      <c r="F84" s="318"/>
      <c r="G84" s="318"/>
      <c r="H84" s="335"/>
      <c r="I84" s="335"/>
      <c r="J84" s="335"/>
      <c r="K84" s="335"/>
      <c r="L84" s="335"/>
      <c r="M84" s="335"/>
      <c r="N84" s="335"/>
      <c r="O84" s="335"/>
      <c r="P84" s="335"/>
      <c r="Q84" s="335"/>
      <c r="R84" s="335"/>
      <c r="S84" s="335"/>
      <c r="T84" s="335"/>
      <c r="U84" s="335"/>
      <c r="V84" s="335"/>
      <c r="W84" s="335"/>
      <c r="X84" s="335"/>
      <c r="Y84" s="335"/>
      <c r="Z84" s="335"/>
      <c r="AA84" s="335"/>
      <c r="AB84" s="335"/>
      <c r="AC84" s="335"/>
      <c r="AD84" s="335"/>
      <c r="AE84" s="335"/>
      <c r="AF84" s="335"/>
      <c r="AG84" s="335"/>
      <c r="AH84" s="335"/>
      <c r="AI84" s="335"/>
      <c r="AJ84" s="335"/>
      <c r="AK84" s="1401">
        <f>+AK83*$G79/4</f>
        <v>4.2374999999999998</v>
      </c>
      <c r="AL84" s="336">
        <f>+AL83*$G79/4</f>
        <v>4.2374999999999998</v>
      </c>
      <c r="AM84" s="336">
        <f>+AM83*$G79/4</f>
        <v>4.2374999999999998</v>
      </c>
      <c r="AN84" s="1402">
        <f>+AN83*$G79/4</f>
        <v>4.2374999999999998</v>
      </c>
      <c r="AO84" s="336"/>
      <c r="AP84" s="1401">
        <f>+AP83*$G79/4</f>
        <v>4.2374999999999998</v>
      </c>
      <c r="AQ84" s="336">
        <f>+AQ83*$G79/4</f>
        <v>4.2374999999999998</v>
      </c>
      <c r="AR84" s="336">
        <f>+AR83*$G79/4</f>
        <v>4.2374999999999998</v>
      </c>
      <c r="AS84" s="1402">
        <f>+AS83*$G79/4</f>
        <v>4.2374999999999998</v>
      </c>
      <c r="AT84" s="336"/>
      <c r="AU84" s="1401">
        <f>+AU83*$G79/4</f>
        <v>4.2374999999999998</v>
      </c>
      <c r="AV84" s="336">
        <f>+AV83*$G79/4</f>
        <v>4.2374999999999998</v>
      </c>
      <c r="AW84" s="336">
        <f>+AW83*$G79/4</f>
        <v>4.2374999999999998</v>
      </c>
      <c r="AX84" s="1402">
        <f>+AX83*$G79/4</f>
        <v>4.2374999999999998</v>
      </c>
      <c r="AY84" s="336"/>
      <c r="AZ84" s="1401">
        <f>+AZ83*$G79/4</f>
        <v>4.2374999999999998</v>
      </c>
      <c r="BA84" s="336">
        <f>+BA83*$G79/4</f>
        <v>0</v>
      </c>
      <c r="BB84" s="336">
        <f>+BB83*$G79/4</f>
        <v>0</v>
      </c>
      <c r="BC84" s="1402">
        <f>+BC83*$G79/4</f>
        <v>0</v>
      </c>
      <c r="BD84" s="336"/>
      <c r="BE84" s="1401">
        <f>+BE83*$G79/4</f>
        <v>0</v>
      </c>
      <c r="BF84" s="336">
        <f>+BF83*$G79/4</f>
        <v>0</v>
      </c>
      <c r="BG84" s="336">
        <f>+BG83*$G79/4</f>
        <v>0</v>
      </c>
      <c r="BH84" s="1402">
        <f>+BH83*$G79/4</f>
        <v>0</v>
      </c>
      <c r="BI84" s="336"/>
      <c r="BJ84" s="1401">
        <f>+BJ83*$G79/4</f>
        <v>0</v>
      </c>
      <c r="BK84" s="336">
        <f>+BK83*$G79/4</f>
        <v>0</v>
      </c>
      <c r="BL84" s="336">
        <f>+BL83*$G79/4</f>
        <v>0</v>
      </c>
      <c r="BM84" s="1402">
        <f>+BM83*$G79/4</f>
        <v>0</v>
      </c>
      <c r="BN84" s="336"/>
      <c r="BO84" s="1401">
        <f>+BO83*$G79/4</f>
        <v>0</v>
      </c>
      <c r="BP84" s="336">
        <f>+BP83*$G79/4</f>
        <v>0</v>
      </c>
      <c r="BQ84" s="336">
        <f>+BQ83*$G79/4</f>
        <v>0</v>
      </c>
      <c r="BR84" s="1402">
        <f>+BR83*$G79/4</f>
        <v>0</v>
      </c>
      <c r="BS84" s="336"/>
      <c r="BT84" s="1401">
        <f>+BT83*$G79/4</f>
        <v>0</v>
      </c>
      <c r="BU84" s="336">
        <f>+BU83*$G79/4</f>
        <v>0</v>
      </c>
      <c r="BV84" s="336">
        <f>+BV83*$G79/4</f>
        <v>0</v>
      </c>
      <c r="BW84" s="1402">
        <f>+BW83*$G79/4</f>
        <v>0</v>
      </c>
      <c r="BX84" s="336"/>
      <c r="BY84" s="1401">
        <f>+BY83*$G79/4</f>
        <v>0</v>
      </c>
      <c r="BZ84" s="336">
        <f>+BZ83*$G79/4</f>
        <v>0</v>
      </c>
      <c r="CA84" s="336">
        <f>+CA83*$G79/4</f>
        <v>0</v>
      </c>
      <c r="CB84" s="1402">
        <f>+CB83*$G79/4</f>
        <v>0</v>
      </c>
      <c r="CC84" s="336"/>
      <c r="CD84" s="1401">
        <f>+CD83*$G79/4</f>
        <v>0</v>
      </c>
      <c r="CE84" s="336">
        <f>+CE83*$G79/4</f>
        <v>0</v>
      </c>
      <c r="CF84" s="336">
        <f>+CF83*$G79/4</f>
        <v>0</v>
      </c>
      <c r="CG84" s="1402">
        <f>+CG83*$G79/4</f>
        <v>0</v>
      </c>
      <c r="CH84" s="336"/>
      <c r="CI84" s="1401">
        <f>+CI83*$G79/4</f>
        <v>0</v>
      </c>
      <c r="CJ84" s="336">
        <f>+CJ83*$G79/4</f>
        <v>0</v>
      </c>
      <c r="CK84" s="336">
        <f>+CK83*$G79/4</f>
        <v>0</v>
      </c>
      <c r="CL84" s="1402">
        <f>+CL83*$G79/4</f>
        <v>0</v>
      </c>
      <c r="CM84" s="336"/>
      <c r="CN84" s="1401">
        <f>+CN83*$G79/4</f>
        <v>0</v>
      </c>
      <c r="CO84" s="336">
        <f>+CO83*$G79/4</f>
        <v>0</v>
      </c>
      <c r="CP84" s="336">
        <f>+CP83*$G79/4</f>
        <v>0</v>
      </c>
      <c r="CQ84" s="1402">
        <f>+CQ83*$G79/4</f>
        <v>0</v>
      </c>
      <c r="CR84" s="1402"/>
    </row>
    <row r="85" spans="1:96" ht="13.5" hidden="1" customHeight="1" outlineLevel="1">
      <c r="A85" s="317"/>
      <c r="B85" s="317" t="s">
        <v>93</v>
      </c>
      <c r="C85" s="317"/>
      <c r="D85" s="318"/>
      <c r="E85" s="318"/>
      <c r="F85" s="318"/>
      <c r="G85" s="318"/>
      <c r="H85" s="318"/>
      <c r="I85" s="318"/>
      <c r="J85" s="318"/>
      <c r="K85" s="318"/>
      <c r="L85" s="318"/>
      <c r="M85" s="318"/>
      <c r="N85" s="318"/>
      <c r="O85" s="318"/>
      <c r="P85" s="318"/>
      <c r="Q85" s="318"/>
      <c r="R85" s="318"/>
      <c r="S85" s="318"/>
      <c r="T85" s="318"/>
      <c r="U85" s="318"/>
      <c r="V85" s="318"/>
      <c r="W85" s="318"/>
      <c r="X85" s="318"/>
      <c r="Y85" s="318"/>
      <c r="Z85" s="318"/>
      <c r="AA85" s="318"/>
      <c r="AB85" s="318"/>
      <c r="AC85" s="318"/>
      <c r="AD85" s="318"/>
      <c r="AE85" s="318"/>
      <c r="AF85" s="318"/>
      <c r="AG85" s="318"/>
      <c r="AH85" s="318"/>
      <c r="AI85" s="335"/>
      <c r="AJ85" s="318"/>
      <c r="AK85" s="1405"/>
      <c r="AL85" s="336">
        <f>+AK84+AL84</f>
        <v>8.4749999999999996</v>
      </c>
      <c r="AM85" s="319"/>
      <c r="AN85" s="1402">
        <f>+AM84+AN84</f>
        <v>8.4749999999999996</v>
      </c>
      <c r="AO85" s="319"/>
      <c r="AP85" s="1405"/>
      <c r="AQ85" s="336">
        <f>+AP84+AQ84</f>
        <v>8.4749999999999996</v>
      </c>
      <c r="AR85" s="319"/>
      <c r="AS85" s="1402">
        <f>+AR84+AS84</f>
        <v>8.4749999999999996</v>
      </c>
      <c r="AT85" s="336"/>
      <c r="AU85" s="1405"/>
      <c r="AV85" s="336">
        <f>+AU84+AV84</f>
        <v>8.4749999999999996</v>
      </c>
      <c r="AW85" s="319"/>
      <c r="AX85" s="1402">
        <f>+AW84+AX84</f>
        <v>8.4749999999999996</v>
      </c>
      <c r="AY85" s="336"/>
      <c r="AZ85" s="1405"/>
      <c r="BA85" s="336">
        <f>+AZ84+BA84</f>
        <v>4.2374999999999998</v>
      </c>
      <c r="BB85" s="319"/>
      <c r="BC85" s="1402">
        <f>+BB84+BC84</f>
        <v>0</v>
      </c>
      <c r="BD85" s="336"/>
      <c r="BE85" s="1405"/>
      <c r="BF85" s="336">
        <f>+BE84+BF84</f>
        <v>0</v>
      </c>
      <c r="BG85" s="319"/>
      <c r="BH85" s="1402">
        <f>+BG84+BH84</f>
        <v>0</v>
      </c>
      <c r="BI85" s="336"/>
      <c r="BJ85" s="1405"/>
      <c r="BK85" s="336">
        <f>+BJ84+BK84</f>
        <v>0</v>
      </c>
      <c r="BL85" s="319"/>
      <c r="BM85" s="1402">
        <f>+BL84+BM84</f>
        <v>0</v>
      </c>
      <c r="BN85" s="336"/>
      <c r="BO85" s="1405"/>
      <c r="BP85" s="336">
        <f>+BO84+BP84</f>
        <v>0</v>
      </c>
      <c r="BQ85" s="319"/>
      <c r="BR85" s="1402">
        <f>+BQ84+BR84</f>
        <v>0</v>
      </c>
      <c r="BS85" s="336"/>
      <c r="BT85" s="1405"/>
      <c r="BU85" s="336">
        <f>+BT84+BU84</f>
        <v>0</v>
      </c>
      <c r="BV85" s="319"/>
      <c r="BW85" s="1402">
        <f>+BV84+BW84</f>
        <v>0</v>
      </c>
      <c r="BX85" s="336"/>
      <c r="BY85" s="1405"/>
      <c r="BZ85" s="336">
        <f>+BY84+BZ84</f>
        <v>0</v>
      </c>
      <c r="CA85" s="319"/>
      <c r="CB85" s="1402">
        <f>+CA84+CB84</f>
        <v>0</v>
      </c>
      <c r="CC85" s="336"/>
      <c r="CD85" s="1405"/>
      <c r="CE85" s="336">
        <f>+CD84+CE84</f>
        <v>0</v>
      </c>
      <c r="CF85" s="319"/>
      <c r="CG85" s="1402">
        <f>+CF84+CG84</f>
        <v>0</v>
      </c>
      <c r="CH85" s="336"/>
      <c r="CI85" s="1405"/>
      <c r="CJ85" s="336">
        <f>+CI84+CJ84</f>
        <v>0</v>
      </c>
      <c r="CK85" s="319"/>
      <c r="CL85" s="1402">
        <f>+CK84+CL84</f>
        <v>0</v>
      </c>
      <c r="CM85" s="336"/>
      <c r="CN85" s="1405"/>
      <c r="CO85" s="336">
        <f>+CN84+CO84</f>
        <v>0</v>
      </c>
      <c r="CP85" s="319"/>
      <c r="CQ85" s="1402">
        <f>+CP84+CQ84</f>
        <v>0</v>
      </c>
      <c r="CR85" s="1402"/>
    </row>
    <row r="86" spans="1:96" ht="6.2" hidden="1" customHeight="1" outlineLevel="1">
      <c r="A86" s="317"/>
      <c r="B86" s="317"/>
      <c r="C86" s="317"/>
      <c r="D86" s="318"/>
      <c r="E86" s="318"/>
      <c r="F86" s="318"/>
      <c r="G86" s="318"/>
      <c r="H86" s="318"/>
      <c r="I86" s="318"/>
      <c r="J86" s="318"/>
      <c r="K86" s="318"/>
      <c r="L86" s="318"/>
      <c r="M86" s="318"/>
      <c r="N86" s="318"/>
      <c r="O86" s="318"/>
      <c r="P86" s="318"/>
      <c r="Q86" s="318"/>
      <c r="R86" s="318"/>
      <c r="S86" s="318"/>
      <c r="T86" s="318"/>
      <c r="U86" s="318"/>
      <c r="V86" s="318"/>
      <c r="W86" s="318"/>
      <c r="X86" s="318"/>
      <c r="Y86" s="318"/>
      <c r="Z86" s="318"/>
      <c r="AA86" s="318"/>
      <c r="AB86" s="318"/>
      <c r="AC86" s="318"/>
      <c r="AD86" s="318"/>
      <c r="AE86" s="318"/>
      <c r="AF86" s="318"/>
      <c r="AG86" s="318"/>
      <c r="AH86" s="318"/>
      <c r="AI86" s="335"/>
      <c r="AJ86" s="318"/>
      <c r="AK86" s="1405"/>
      <c r="AL86" s="336"/>
      <c r="AM86" s="319"/>
      <c r="AN86" s="1402"/>
      <c r="AO86" s="319"/>
      <c r="AP86" s="1405"/>
      <c r="AQ86" s="336"/>
      <c r="AR86" s="319"/>
      <c r="AS86" s="1402"/>
      <c r="AT86" s="336"/>
      <c r="AU86" s="1405"/>
      <c r="AV86" s="336"/>
      <c r="AW86" s="319"/>
      <c r="AX86" s="1402"/>
      <c r="AY86" s="336"/>
      <c r="AZ86" s="1405"/>
      <c r="BA86" s="336"/>
      <c r="BB86" s="319"/>
      <c r="BC86" s="1402"/>
      <c r="BD86" s="336"/>
      <c r="BE86" s="1405"/>
      <c r="BF86" s="336"/>
      <c r="BG86" s="319"/>
      <c r="BH86" s="1402"/>
      <c r="BI86" s="336"/>
      <c r="BJ86" s="1405"/>
      <c r="BK86" s="336"/>
      <c r="BL86" s="319"/>
      <c r="BM86" s="1402"/>
      <c r="BN86" s="336"/>
      <c r="BO86" s="1405"/>
      <c r="BP86" s="336"/>
      <c r="BQ86" s="319"/>
      <c r="BR86" s="1402"/>
      <c r="BS86" s="336"/>
      <c r="BT86" s="1405"/>
      <c r="BU86" s="336"/>
      <c r="BV86" s="319"/>
      <c r="BW86" s="1402"/>
      <c r="BX86" s="336"/>
      <c r="BY86" s="1405"/>
      <c r="BZ86" s="336"/>
      <c r="CA86" s="319"/>
      <c r="CB86" s="1402"/>
      <c r="CC86" s="336"/>
      <c r="CD86" s="1405"/>
      <c r="CE86" s="336"/>
      <c r="CF86" s="319"/>
      <c r="CG86" s="1402"/>
      <c r="CH86" s="336"/>
      <c r="CI86" s="1405"/>
      <c r="CJ86" s="336"/>
      <c r="CK86" s="319"/>
      <c r="CL86" s="1402"/>
      <c r="CM86" s="336"/>
      <c r="CN86" s="1405"/>
      <c r="CO86" s="336"/>
      <c r="CP86" s="319"/>
      <c r="CQ86" s="1402"/>
      <c r="CR86" s="1402"/>
    </row>
    <row r="87" spans="1:96" ht="13.5" hidden="1" customHeight="1" outlineLevel="1" collapsed="1">
      <c r="A87" s="334" t="s">
        <v>902</v>
      </c>
      <c r="B87" s="317"/>
      <c r="C87" s="317"/>
      <c r="D87" s="318"/>
      <c r="E87" s="318"/>
      <c r="F87" s="318"/>
      <c r="G87" s="347">
        <v>6.8750000000000006E-2</v>
      </c>
      <c r="H87" s="339">
        <v>44287</v>
      </c>
      <c r="I87" s="318"/>
      <c r="J87" s="318"/>
      <c r="K87" s="318"/>
      <c r="L87" s="318"/>
      <c r="M87" s="318"/>
      <c r="N87" s="318"/>
      <c r="O87" s="318"/>
      <c r="P87" s="318"/>
      <c r="Q87" s="318"/>
      <c r="R87" s="318"/>
      <c r="S87" s="318"/>
      <c r="T87" s="318"/>
      <c r="U87" s="318"/>
      <c r="V87" s="318"/>
      <c r="W87" s="318"/>
      <c r="X87" s="318"/>
      <c r="Y87" s="318"/>
      <c r="Z87" s="318"/>
      <c r="AA87" s="318"/>
      <c r="AB87" s="318"/>
      <c r="AC87" s="318"/>
      <c r="AD87" s="318"/>
      <c r="AE87" s="318"/>
      <c r="AF87" s="318"/>
      <c r="AG87" s="318"/>
      <c r="AH87" s="318"/>
      <c r="AI87" s="318"/>
      <c r="AJ87" s="318"/>
      <c r="AK87" s="1405"/>
      <c r="AL87" s="319"/>
      <c r="AM87" s="319"/>
      <c r="AN87" s="1406"/>
      <c r="AO87" s="319"/>
      <c r="AP87" s="1405"/>
      <c r="AQ87" s="319"/>
      <c r="AR87" s="319"/>
      <c r="AS87" s="1406"/>
      <c r="AT87" s="319"/>
      <c r="AU87" s="1405"/>
      <c r="AV87" s="319"/>
      <c r="AW87" s="319"/>
      <c r="AX87" s="1406"/>
      <c r="AY87" s="319"/>
      <c r="AZ87" s="1405"/>
      <c r="BA87" s="319"/>
      <c r="BB87" s="319"/>
      <c r="BC87" s="1406"/>
      <c r="BD87" s="319"/>
      <c r="BE87" s="1405"/>
      <c r="BF87" s="319"/>
      <c r="BG87" s="319"/>
      <c r="BH87" s="1406"/>
      <c r="BI87" s="319"/>
      <c r="BJ87" s="1405"/>
      <c r="BK87" s="319"/>
      <c r="BL87" s="319"/>
      <c r="BM87" s="1406"/>
      <c r="BN87" s="319"/>
      <c r="BO87" s="1405"/>
      <c r="BP87" s="319"/>
      <c r="BQ87" s="319"/>
      <c r="BR87" s="1406"/>
      <c r="BS87" s="319"/>
      <c r="BT87" s="1405"/>
      <c r="BU87" s="319"/>
      <c r="BV87" s="319"/>
      <c r="BW87" s="1406"/>
      <c r="BX87" s="319"/>
      <c r="BY87" s="1405"/>
      <c r="BZ87" s="319"/>
      <c r="CA87" s="319"/>
      <c r="CB87" s="1406"/>
      <c r="CC87" s="319"/>
      <c r="CD87" s="1405"/>
      <c r="CE87" s="319"/>
      <c r="CF87" s="319"/>
      <c r="CG87" s="1406"/>
      <c r="CH87" s="319"/>
      <c r="CI87" s="1405"/>
      <c r="CJ87" s="319"/>
      <c r="CK87" s="319"/>
      <c r="CL87" s="1406"/>
      <c r="CM87" s="319"/>
      <c r="CN87" s="1405"/>
      <c r="CO87" s="319"/>
      <c r="CP87" s="319"/>
      <c r="CQ87" s="1406"/>
      <c r="CR87" s="1406"/>
    </row>
    <row r="88" spans="1:96" ht="13.5" hidden="1" customHeight="1" outlineLevel="1">
      <c r="A88" s="317"/>
      <c r="B88" s="317" t="s">
        <v>87</v>
      </c>
      <c r="C88" s="317"/>
      <c r="D88" s="318"/>
      <c r="E88" s="318"/>
      <c r="F88" s="318"/>
      <c r="G88" s="318"/>
      <c r="H88" s="335"/>
      <c r="I88" s="335"/>
      <c r="J88" s="335"/>
      <c r="K88" s="335"/>
      <c r="L88" s="335"/>
      <c r="M88" s="335"/>
      <c r="N88" s="335"/>
      <c r="O88" s="335"/>
      <c r="P88" s="335"/>
      <c r="Q88" s="335"/>
      <c r="R88" s="335"/>
      <c r="S88" s="335"/>
      <c r="T88" s="335"/>
      <c r="U88" s="335"/>
      <c r="V88" s="335"/>
      <c r="W88" s="335"/>
      <c r="X88" s="335"/>
      <c r="Y88" s="335"/>
      <c r="Z88" s="335"/>
      <c r="AA88" s="335"/>
      <c r="AB88" s="335"/>
      <c r="AC88" s="335"/>
      <c r="AD88" s="335"/>
      <c r="AE88" s="335"/>
      <c r="AF88" s="335"/>
      <c r="AG88" s="335"/>
      <c r="AH88" s="335"/>
      <c r="AI88" s="335"/>
      <c r="AJ88" s="335"/>
      <c r="AK88" s="1401">
        <f>+AJ90</f>
        <v>0</v>
      </c>
      <c r="AL88" s="336">
        <f>+AK90</f>
        <v>0</v>
      </c>
      <c r="AM88" s="336">
        <f>+AL90</f>
        <v>0</v>
      </c>
      <c r="AN88" s="1402">
        <f>+AM90</f>
        <v>0</v>
      </c>
      <c r="AO88" s="336"/>
      <c r="AP88" s="1401">
        <f>+AO90</f>
        <v>0</v>
      </c>
      <c r="AQ88" s="336">
        <f>+AP90</f>
        <v>0</v>
      </c>
      <c r="AR88" s="336">
        <f>+AQ90</f>
        <v>0</v>
      </c>
      <c r="AS88" s="1402">
        <f>+AR90</f>
        <v>0</v>
      </c>
      <c r="AT88" s="336"/>
      <c r="AU88" s="1401">
        <f>+AT90</f>
        <v>0</v>
      </c>
      <c r="AV88" s="336">
        <f>+AU90</f>
        <v>0</v>
      </c>
      <c r="AW88" s="336">
        <f>+AV90</f>
        <v>0</v>
      </c>
      <c r="AX88" s="1402">
        <f>+AW90</f>
        <v>0</v>
      </c>
      <c r="AY88" s="336"/>
      <c r="AZ88" s="1401">
        <f>+AY90</f>
        <v>0</v>
      </c>
      <c r="BA88" s="336">
        <f>+AZ90</f>
        <v>0</v>
      </c>
      <c r="BB88" s="336">
        <f>+BA90</f>
        <v>0</v>
      </c>
      <c r="BC88" s="1402">
        <f>+BB90</f>
        <v>0</v>
      </c>
      <c r="BD88" s="336"/>
      <c r="BE88" s="1401">
        <f>+BD90</f>
        <v>0</v>
      </c>
      <c r="BF88" s="336">
        <f>+BE90</f>
        <v>275</v>
      </c>
      <c r="BG88" s="336">
        <f>+BF90</f>
        <v>275</v>
      </c>
      <c r="BH88" s="1402">
        <f>+BG90</f>
        <v>275</v>
      </c>
      <c r="BI88" s="336"/>
      <c r="BJ88" s="1401">
        <f>+BI90</f>
        <v>275</v>
      </c>
      <c r="BK88" s="336">
        <f>+BJ90</f>
        <v>275</v>
      </c>
      <c r="BL88" s="336">
        <f>+BK90</f>
        <v>275</v>
      </c>
      <c r="BM88" s="1402">
        <f>+BL90</f>
        <v>275</v>
      </c>
      <c r="BN88" s="336"/>
      <c r="BO88" s="1401">
        <f>+BN90</f>
        <v>275</v>
      </c>
      <c r="BP88" s="336">
        <f>+BO90</f>
        <v>275</v>
      </c>
      <c r="BQ88" s="336">
        <f>+BP90</f>
        <v>275</v>
      </c>
      <c r="BR88" s="1402">
        <f>+BQ90</f>
        <v>275</v>
      </c>
      <c r="BS88" s="336"/>
      <c r="BT88" s="1401">
        <f>+BS90</f>
        <v>275</v>
      </c>
      <c r="BU88" s="336">
        <f>+BT90</f>
        <v>275</v>
      </c>
      <c r="BV88" s="336">
        <f>+BU90</f>
        <v>251</v>
      </c>
      <c r="BW88" s="1402">
        <f>+BV90</f>
        <v>200</v>
      </c>
      <c r="BX88" s="336"/>
      <c r="BY88" s="1401">
        <f>+BX90</f>
        <v>200</v>
      </c>
      <c r="BZ88" s="336">
        <f>+BY90</f>
        <v>200</v>
      </c>
      <c r="CA88" s="336">
        <f>+BZ90</f>
        <v>200</v>
      </c>
      <c r="CB88" s="1402">
        <f>+CA90</f>
        <v>0</v>
      </c>
      <c r="CC88" s="336"/>
      <c r="CD88" s="1401">
        <f>+CC90</f>
        <v>0</v>
      </c>
      <c r="CE88" s="336">
        <f>+CD90</f>
        <v>0</v>
      </c>
      <c r="CF88" s="336">
        <f>+CE90</f>
        <v>0</v>
      </c>
      <c r="CG88" s="1402">
        <f>+CF90</f>
        <v>0</v>
      </c>
      <c r="CH88" s="336"/>
      <c r="CI88" s="1401">
        <f>+CH90</f>
        <v>0</v>
      </c>
      <c r="CJ88" s="336">
        <f>+CI90</f>
        <v>0</v>
      </c>
      <c r="CK88" s="336">
        <f>+CJ90</f>
        <v>0</v>
      </c>
      <c r="CL88" s="1402">
        <f>+CK90</f>
        <v>0</v>
      </c>
      <c r="CM88" s="336"/>
      <c r="CN88" s="1401">
        <f>+CM90</f>
        <v>0</v>
      </c>
      <c r="CO88" s="336">
        <f>+CN90</f>
        <v>0</v>
      </c>
      <c r="CP88" s="336">
        <f>+CO90</f>
        <v>0</v>
      </c>
      <c r="CQ88" s="1402">
        <f>+CP90</f>
        <v>0</v>
      </c>
      <c r="CR88" s="1402"/>
    </row>
    <row r="89" spans="1:96" ht="13.5" hidden="1" customHeight="1" outlineLevel="1">
      <c r="A89" s="317"/>
      <c r="B89" s="317" t="s">
        <v>89</v>
      </c>
      <c r="C89" s="317"/>
      <c r="D89" s="318"/>
      <c r="E89" s="318"/>
      <c r="F89" s="318"/>
      <c r="G89" s="318"/>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c r="AF89" s="335"/>
      <c r="AG89" s="335"/>
      <c r="AH89" s="335"/>
      <c r="AI89" s="663">
        <v>0</v>
      </c>
      <c r="AJ89" s="335"/>
      <c r="AK89" s="1403">
        <v>0</v>
      </c>
      <c r="AL89" s="662">
        <v>0</v>
      </c>
      <c r="AM89" s="662">
        <v>0</v>
      </c>
      <c r="AN89" s="1404">
        <v>0</v>
      </c>
      <c r="AO89" s="336"/>
      <c r="AP89" s="1403">
        <v>0</v>
      </c>
      <c r="AQ89" s="662">
        <v>0</v>
      </c>
      <c r="AR89" s="662">
        <v>0</v>
      </c>
      <c r="AS89" s="1404">
        <v>0</v>
      </c>
      <c r="AT89" s="336"/>
      <c r="AU89" s="1403">
        <v>0</v>
      </c>
      <c r="AV89" s="662">
        <v>0</v>
      </c>
      <c r="AW89" s="662">
        <v>0</v>
      </c>
      <c r="AX89" s="1404">
        <v>0</v>
      </c>
      <c r="AY89" s="336"/>
      <c r="AZ89" s="1403">
        <v>0</v>
      </c>
      <c r="BA89" s="662">
        <v>0</v>
      </c>
      <c r="BB89" s="662">
        <v>0</v>
      </c>
      <c r="BC89" s="1404">
        <v>0</v>
      </c>
      <c r="BD89" s="336"/>
      <c r="BE89" s="1403">
        <v>0</v>
      </c>
      <c r="BF89" s="662">
        <v>0</v>
      </c>
      <c r="BG89" s="662">
        <v>0</v>
      </c>
      <c r="BH89" s="1404">
        <v>0</v>
      </c>
      <c r="BI89" s="336"/>
      <c r="BJ89" s="1403">
        <v>0</v>
      </c>
      <c r="BK89" s="662">
        <v>0</v>
      </c>
      <c r="BL89" s="662">
        <v>0</v>
      </c>
      <c r="BM89" s="1404">
        <v>0</v>
      </c>
      <c r="BN89" s="336"/>
      <c r="BO89" s="1403">
        <v>0</v>
      </c>
      <c r="BP89" s="662">
        <v>0</v>
      </c>
      <c r="BQ89" s="662">
        <v>0</v>
      </c>
      <c r="BR89" s="1404">
        <v>0</v>
      </c>
      <c r="BS89" s="336"/>
      <c r="BT89" s="1403">
        <v>0</v>
      </c>
      <c r="BU89" s="742">
        <f>BU90-BU88</f>
        <v>-24</v>
      </c>
      <c r="BV89" s="757">
        <f>BV90-BV88</f>
        <v>-51</v>
      </c>
      <c r="BW89" s="1442">
        <f>BW90-BW88</f>
        <v>0</v>
      </c>
      <c r="BX89" s="336"/>
      <c r="BY89" s="1446">
        <f>BY90-BY88</f>
        <v>0</v>
      </c>
      <c r="BZ89" s="757">
        <f>BZ90-BZ88</f>
        <v>0</v>
      </c>
      <c r="CA89" s="662">
        <f>CA90-CA88</f>
        <v>-200</v>
      </c>
      <c r="CB89" s="1404">
        <v>0</v>
      </c>
      <c r="CC89" s="336"/>
      <c r="CD89" s="1403">
        <v>0</v>
      </c>
      <c r="CE89" s="662">
        <v>0</v>
      </c>
      <c r="CF89" s="662">
        <v>0</v>
      </c>
      <c r="CG89" s="1404">
        <v>0</v>
      </c>
      <c r="CH89" s="336"/>
      <c r="CI89" s="1403">
        <v>0</v>
      </c>
      <c r="CJ89" s="662">
        <v>0</v>
      </c>
      <c r="CK89" s="662">
        <v>0</v>
      </c>
      <c r="CL89" s="1404">
        <v>0</v>
      </c>
      <c r="CM89" s="336"/>
      <c r="CN89" s="1403">
        <v>0</v>
      </c>
      <c r="CO89" s="662">
        <v>0</v>
      </c>
      <c r="CP89" s="662">
        <v>0</v>
      </c>
      <c r="CQ89" s="1404">
        <v>0</v>
      </c>
      <c r="CR89" s="1402"/>
    </row>
    <row r="90" spans="1:96" ht="13.5" hidden="1" customHeight="1" outlineLevel="1">
      <c r="A90" s="317"/>
      <c r="B90" s="317" t="s">
        <v>90</v>
      </c>
      <c r="C90" s="317"/>
      <c r="D90" s="318"/>
      <c r="E90" s="318"/>
      <c r="F90" s="318"/>
      <c r="G90" s="318"/>
      <c r="H90" s="348">
        <v>0</v>
      </c>
      <c r="I90" s="348"/>
      <c r="J90" s="348"/>
      <c r="K90" s="348"/>
      <c r="L90" s="348"/>
      <c r="M90" s="348"/>
      <c r="N90" s="348"/>
      <c r="O90" s="348"/>
      <c r="P90" s="348"/>
      <c r="Q90" s="348"/>
      <c r="R90" s="348"/>
      <c r="S90" s="348"/>
      <c r="T90" s="348"/>
      <c r="U90" s="348"/>
      <c r="V90" s="348"/>
      <c r="W90" s="348"/>
      <c r="X90" s="348"/>
      <c r="Y90" s="348"/>
      <c r="Z90" s="348"/>
      <c r="AA90" s="348"/>
      <c r="AB90" s="348"/>
      <c r="AC90" s="348"/>
      <c r="AD90" s="348"/>
      <c r="AE90" s="348"/>
      <c r="AF90" s="348"/>
      <c r="AG90" s="348"/>
      <c r="AH90" s="348"/>
      <c r="AI90" s="663">
        <v>0</v>
      </c>
      <c r="AJ90" s="335">
        <f>+AI90</f>
        <v>0</v>
      </c>
      <c r="AK90" s="1401">
        <f>+AK88+AK89</f>
        <v>0</v>
      </c>
      <c r="AL90" s="336">
        <f>+AL88+AL89</f>
        <v>0</v>
      </c>
      <c r="AM90" s="336">
        <f>+AM88+AM89</f>
        <v>0</v>
      </c>
      <c r="AN90" s="1402">
        <f>+AN88+AN89</f>
        <v>0</v>
      </c>
      <c r="AO90" s="343">
        <f>+AN90</f>
        <v>0</v>
      </c>
      <c r="AP90" s="1401">
        <f>+AP88+AP89</f>
        <v>0</v>
      </c>
      <c r="AQ90" s="336">
        <f>+AQ88+AQ89</f>
        <v>0</v>
      </c>
      <c r="AR90" s="336">
        <f>+AR88+AR89</f>
        <v>0</v>
      </c>
      <c r="AS90" s="1402">
        <f>+AS88+AS89</f>
        <v>0</v>
      </c>
      <c r="AT90" s="343">
        <f>+AS90</f>
        <v>0</v>
      </c>
      <c r="AU90" s="1401">
        <f>+AU88+AU89</f>
        <v>0</v>
      </c>
      <c r="AV90" s="336">
        <f>+AV88+AV89</f>
        <v>0</v>
      </c>
      <c r="AW90" s="336">
        <f>+AW88+AW89</f>
        <v>0</v>
      </c>
      <c r="AX90" s="1402">
        <f>+AX88+AX89</f>
        <v>0</v>
      </c>
      <c r="AY90" s="343">
        <f>+AX90</f>
        <v>0</v>
      </c>
      <c r="AZ90" s="1401">
        <f>+AZ88+AZ89</f>
        <v>0</v>
      </c>
      <c r="BA90" s="336">
        <f>+BA88+BA89</f>
        <v>0</v>
      </c>
      <c r="BB90" s="336">
        <f>+BB88+BB89</f>
        <v>0</v>
      </c>
      <c r="BC90" s="1402">
        <f>+BC88+BC89</f>
        <v>0</v>
      </c>
      <c r="BD90" s="343">
        <f>+BC90</f>
        <v>0</v>
      </c>
      <c r="BE90" s="1403">
        <v>275</v>
      </c>
      <c r="BF90" s="336">
        <f>+BF88+BF89</f>
        <v>275</v>
      </c>
      <c r="BG90" s="336">
        <f>+BG88+BG89</f>
        <v>275</v>
      </c>
      <c r="BH90" s="1402">
        <f>+BH88+BH89</f>
        <v>275</v>
      </c>
      <c r="BI90" s="343">
        <f>+BH90</f>
        <v>275</v>
      </c>
      <c r="BJ90" s="1401">
        <f>+BJ88+BJ89</f>
        <v>275</v>
      </c>
      <c r="BK90" s="336">
        <f>+BK88+BK89</f>
        <v>275</v>
      </c>
      <c r="BL90" s="336">
        <f>+BL88+BL89</f>
        <v>275</v>
      </c>
      <c r="BM90" s="1402">
        <f>+BM88+BM89</f>
        <v>275</v>
      </c>
      <c r="BN90" s="343">
        <f>+BM90</f>
        <v>275</v>
      </c>
      <c r="BO90" s="1401">
        <f>+BO88+BO89</f>
        <v>275</v>
      </c>
      <c r="BP90" s="336">
        <f>+BP88+BP89</f>
        <v>275</v>
      </c>
      <c r="BQ90" s="662">
        <v>275</v>
      </c>
      <c r="BR90" s="1404">
        <v>275</v>
      </c>
      <c r="BS90" s="343">
        <f>+BR90</f>
        <v>275</v>
      </c>
      <c r="BT90" s="1403">
        <v>275</v>
      </c>
      <c r="BU90" s="662">
        <v>251</v>
      </c>
      <c r="BV90" s="662">
        <v>200</v>
      </c>
      <c r="BW90" s="1404">
        <v>200</v>
      </c>
      <c r="BX90" s="343">
        <f>+BW90</f>
        <v>200</v>
      </c>
      <c r="BY90" s="1403">
        <v>200</v>
      </c>
      <c r="BZ90" s="662">
        <v>200</v>
      </c>
      <c r="CA90" s="662">
        <v>0</v>
      </c>
      <c r="CB90" s="1402">
        <v>0</v>
      </c>
      <c r="CC90" s="343">
        <f>+CB90</f>
        <v>0</v>
      </c>
      <c r="CD90" s="1401">
        <f>+CD88+CD89</f>
        <v>0</v>
      </c>
      <c r="CE90" s="336">
        <f>+CE88+CE89</f>
        <v>0</v>
      </c>
      <c r="CF90" s="336">
        <f>+CF88+CF89</f>
        <v>0</v>
      </c>
      <c r="CG90" s="1402">
        <f>+CG88+CG89</f>
        <v>0</v>
      </c>
      <c r="CH90" s="343">
        <f>+CG90</f>
        <v>0</v>
      </c>
      <c r="CI90" s="1401">
        <f>+CI88+CI89</f>
        <v>0</v>
      </c>
      <c r="CJ90" s="336">
        <f>+CJ88+CJ89</f>
        <v>0</v>
      </c>
      <c r="CK90" s="336">
        <f>+CK88+CK89</f>
        <v>0</v>
      </c>
      <c r="CL90" s="1402">
        <f>+CL88+CL89</f>
        <v>0</v>
      </c>
      <c r="CM90" s="343">
        <f>+CL90</f>
        <v>0</v>
      </c>
      <c r="CN90" s="1401">
        <f>+CN88+CN89</f>
        <v>0</v>
      </c>
      <c r="CO90" s="336">
        <f>+CO88+CO89</f>
        <v>0</v>
      </c>
      <c r="CP90" s="336">
        <f>+CP88+CP89</f>
        <v>0</v>
      </c>
      <c r="CQ90" s="1402">
        <f>+CQ88+CQ89</f>
        <v>0</v>
      </c>
      <c r="CR90" s="1451">
        <f>+CQ90</f>
        <v>0</v>
      </c>
    </row>
    <row r="91" spans="1:96" ht="13.5" hidden="1" customHeight="1" outlineLevel="1">
      <c r="A91" s="317"/>
      <c r="B91" s="317" t="s">
        <v>91</v>
      </c>
      <c r="C91" s="317"/>
      <c r="D91" s="318"/>
      <c r="E91" s="318"/>
      <c r="F91" s="318"/>
      <c r="G91" s="318"/>
      <c r="H91" s="335"/>
      <c r="I91" s="335"/>
      <c r="J91" s="335"/>
      <c r="K91" s="335"/>
      <c r="L91" s="335"/>
      <c r="M91" s="335"/>
      <c r="N91" s="335"/>
      <c r="O91" s="335"/>
      <c r="P91" s="335"/>
      <c r="Q91" s="335"/>
      <c r="R91" s="335"/>
      <c r="S91" s="335"/>
      <c r="T91" s="335"/>
      <c r="U91" s="335"/>
      <c r="V91" s="335"/>
      <c r="W91" s="335"/>
      <c r="X91" s="335"/>
      <c r="Y91" s="335"/>
      <c r="Z91" s="335"/>
      <c r="AA91" s="335"/>
      <c r="AB91" s="335"/>
      <c r="AC91" s="335"/>
      <c r="AD91" s="335"/>
      <c r="AE91" s="335"/>
      <c r="AF91" s="335"/>
      <c r="AG91" s="335"/>
      <c r="AH91" s="335"/>
      <c r="AI91" s="335"/>
      <c r="AJ91" s="335"/>
      <c r="AK91" s="1401">
        <f>+AVERAGE(AK88,AK90)</f>
        <v>0</v>
      </c>
      <c r="AL91" s="336">
        <f>+AVERAGE(AL88,AL90)</f>
        <v>0</v>
      </c>
      <c r="AM91" s="336">
        <f>+AVERAGE(AM88,AM90)</f>
        <v>0</v>
      </c>
      <c r="AN91" s="1402">
        <f>+AVERAGE(AN88,AN90)</f>
        <v>0</v>
      </c>
      <c r="AO91" s="336"/>
      <c r="AP91" s="1401">
        <f>+AVERAGE(AP88,AP90)</f>
        <v>0</v>
      </c>
      <c r="AQ91" s="336">
        <f>+AVERAGE(AQ88,AQ90)</f>
        <v>0</v>
      </c>
      <c r="AR91" s="336">
        <f>+AVERAGE(AR88,AR90)</f>
        <v>0</v>
      </c>
      <c r="AS91" s="1402">
        <f>+AVERAGE(AS88,AS90)</f>
        <v>0</v>
      </c>
      <c r="AT91" s="336"/>
      <c r="AU91" s="1401">
        <f>+AVERAGE(AU88,AU90)</f>
        <v>0</v>
      </c>
      <c r="AV91" s="336">
        <f>+AVERAGE(AV88,AV90)</f>
        <v>0</v>
      </c>
      <c r="AW91" s="336">
        <f>+AVERAGE(AW88,AW90)</f>
        <v>0</v>
      </c>
      <c r="AX91" s="1402">
        <f>+AVERAGE(AX88,AX90)</f>
        <v>0</v>
      </c>
      <c r="AY91" s="336"/>
      <c r="AZ91" s="1401">
        <f>+AVERAGE(AZ88,AZ90)</f>
        <v>0</v>
      </c>
      <c r="BA91" s="662">
        <v>0</v>
      </c>
      <c r="BB91" s="336">
        <f>+AVERAGE(BB88,BB90)</f>
        <v>0</v>
      </c>
      <c r="BC91" s="1402">
        <f>+AVERAGE(BC88,BC90)</f>
        <v>0</v>
      </c>
      <c r="BD91" s="336"/>
      <c r="BE91" s="1401">
        <f>+AVERAGE(BE88,BE90)</f>
        <v>137.5</v>
      </c>
      <c r="BF91" s="336">
        <f>+AVERAGE(BF88,BF90)</f>
        <v>275</v>
      </c>
      <c r="BG91" s="336">
        <f>+AVERAGE(BG88,BG90)</f>
        <v>275</v>
      </c>
      <c r="BH91" s="1402">
        <f>+AVERAGE(BH88,BH90)</f>
        <v>275</v>
      </c>
      <c r="BI91" s="336"/>
      <c r="BJ91" s="1401">
        <f>+AVERAGE(BJ88,BJ90)</f>
        <v>275</v>
      </c>
      <c r="BK91" s="336">
        <f>+AVERAGE(BK88,BK90)</f>
        <v>275</v>
      </c>
      <c r="BL91" s="336">
        <f>+AVERAGE(BL88,BL90)</f>
        <v>275</v>
      </c>
      <c r="BM91" s="1402">
        <f>+AVERAGE(BM88,BM90)</f>
        <v>275</v>
      </c>
      <c r="BN91" s="336"/>
      <c r="BO91" s="1401">
        <f>+AVERAGE(BO88,BO90)</f>
        <v>275</v>
      </c>
      <c r="BP91" s="336">
        <f>+AVERAGE(BP88,BP90)</f>
        <v>275</v>
      </c>
      <c r="BQ91" s="336">
        <f>+AVERAGE(BQ88,BQ90)</f>
        <v>275</v>
      </c>
      <c r="BR91" s="1402">
        <f>+AVERAGE(BR88,BR90)</f>
        <v>275</v>
      </c>
      <c r="BS91" s="336"/>
      <c r="BT91" s="1401">
        <f>+AVERAGE(BT88,BT90)</f>
        <v>275</v>
      </c>
      <c r="BU91" s="336">
        <f>+AVERAGE(BU88,BU90)</f>
        <v>263</v>
      </c>
      <c r="BV91" s="336">
        <f>+AVERAGE(BV88,BV90)</f>
        <v>225.5</v>
      </c>
      <c r="BW91" s="1402">
        <f>+AVERAGE(BW88,BW90)</f>
        <v>200</v>
      </c>
      <c r="BX91" s="336"/>
      <c r="BY91" s="1401">
        <f>+AVERAGE(BY88,BY90)</f>
        <v>200</v>
      </c>
      <c r="BZ91" s="336">
        <f>+AVERAGE(BZ88,BZ90)</f>
        <v>200</v>
      </c>
      <c r="CA91" s="336">
        <f>+AVERAGE(CA88,CA90)</f>
        <v>100</v>
      </c>
      <c r="CB91" s="1402">
        <f>+AVERAGE(CB88,CB90)</f>
        <v>0</v>
      </c>
      <c r="CC91" s="336"/>
      <c r="CD91" s="1401">
        <f>+AVERAGE(CD88,CD90)</f>
        <v>0</v>
      </c>
      <c r="CE91" s="336">
        <f>+AVERAGE(CE88,CE90)</f>
        <v>0</v>
      </c>
      <c r="CF91" s="336">
        <f>+AVERAGE(CF88,CF90)</f>
        <v>0</v>
      </c>
      <c r="CG91" s="1402">
        <f>+AVERAGE(CG88,CG90)</f>
        <v>0</v>
      </c>
      <c r="CH91" s="336"/>
      <c r="CI91" s="1401">
        <f>+AVERAGE(CI88,CI90)</f>
        <v>0</v>
      </c>
      <c r="CJ91" s="336">
        <f>+AVERAGE(CJ88,CJ90)</f>
        <v>0</v>
      </c>
      <c r="CK91" s="336">
        <f>+AVERAGE(CK88,CK90)</f>
        <v>0</v>
      </c>
      <c r="CL91" s="1402">
        <f>+AVERAGE(CL88,CL90)</f>
        <v>0</v>
      </c>
      <c r="CM91" s="336"/>
      <c r="CN91" s="1401">
        <f>+AVERAGE(CN88,CN90)</f>
        <v>0</v>
      </c>
      <c r="CO91" s="336">
        <f>+AVERAGE(CO88,CO90)</f>
        <v>0</v>
      </c>
      <c r="CP91" s="336">
        <f>+AVERAGE(CP88,CP90)</f>
        <v>0</v>
      </c>
      <c r="CQ91" s="1402">
        <f>+AVERAGE(CQ88,CQ90)</f>
        <v>0</v>
      </c>
      <c r="CR91" s="1402"/>
    </row>
    <row r="92" spans="1:96" ht="13.5" hidden="1" customHeight="1" outlineLevel="1">
      <c r="A92" s="317"/>
      <c r="B92" s="317" t="s">
        <v>92</v>
      </c>
      <c r="C92" s="317"/>
      <c r="D92" s="318"/>
      <c r="E92" s="318"/>
      <c r="F92" s="318"/>
      <c r="G92" s="318"/>
      <c r="H92" s="335"/>
      <c r="I92" s="335"/>
      <c r="J92" s="335"/>
      <c r="K92" s="335"/>
      <c r="L92" s="335"/>
      <c r="M92" s="335"/>
      <c r="N92" s="335"/>
      <c r="O92" s="335"/>
      <c r="P92" s="335"/>
      <c r="Q92" s="335"/>
      <c r="R92" s="335"/>
      <c r="S92" s="335"/>
      <c r="T92" s="335"/>
      <c r="U92" s="335"/>
      <c r="V92" s="335"/>
      <c r="W92" s="335"/>
      <c r="X92" s="335"/>
      <c r="Y92" s="335"/>
      <c r="Z92" s="335"/>
      <c r="AA92" s="335"/>
      <c r="AB92" s="335"/>
      <c r="AC92" s="335"/>
      <c r="AD92" s="335"/>
      <c r="AE92" s="335"/>
      <c r="AF92" s="335"/>
      <c r="AG92" s="335"/>
      <c r="AH92" s="335"/>
      <c r="AI92" s="335"/>
      <c r="AJ92" s="335"/>
      <c r="AK92" s="1401">
        <f>+AK91*$G87/4</f>
        <v>0</v>
      </c>
      <c r="AL92" s="336">
        <f>+AL91*$G87/4</f>
        <v>0</v>
      </c>
      <c r="AM92" s="336">
        <f>+AM91*$G87/4</f>
        <v>0</v>
      </c>
      <c r="AN92" s="1402">
        <f>+AN91*$G87/4</f>
        <v>0</v>
      </c>
      <c r="AO92" s="336"/>
      <c r="AP92" s="1401">
        <f>+AP91*$G87/4</f>
        <v>0</v>
      </c>
      <c r="AQ92" s="336">
        <f>+AQ91*$G87/4</f>
        <v>0</v>
      </c>
      <c r="AR92" s="336">
        <f>+AR91*$G87/4</f>
        <v>0</v>
      </c>
      <c r="AS92" s="1402">
        <f>+AS91*$G87/4</f>
        <v>0</v>
      </c>
      <c r="AT92" s="336"/>
      <c r="AU92" s="1401">
        <f>+AU91*$G87/4</f>
        <v>0</v>
      </c>
      <c r="AV92" s="336">
        <f>+AV91*$G87/4</f>
        <v>0</v>
      </c>
      <c r="AW92" s="336">
        <f>+AW91*$G87/4</f>
        <v>0</v>
      </c>
      <c r="AX92" s="1402">
        <f>+AX91*$G87/4</f>
        <v>0</v>
      </c>
      <c r="AY92" s="336"/>
      <c r="AZ92" s="1401">
        <f>+AZ91*$G87/4</f>
        <v>0</v>
      </c>
      <c r="BA92" s="336">
        <f>+BA91*$G87/4</f>
        <v>0</v>
      </c>
      <c r="BB92" s="336">
        <f>+BB91*$G87/4</f>
        <v>0</v>
      </c>
      <c r="BC92" s="1402">
        <f>+BC91*$G87/4</f>
        <v>0</v>
      </c>
      <c r="BD92" s="336"/>
      <c r="BE92" s="1401">
        <f>+BE91*$G87/4</f>
        <v>2.36328125</v>
      </c>
      <c r="BF92" s="336">
        <f>+BF91*$G87/4</f>
        <v>4.7265625</v>
      </c>
      <c r="BG92" s="336">
        <f>+BG91*$G87/4</f>
        <v>4.7265625</v>
      </c>
      <c r="BH92" s="1402">
        <f>+BH91*$G87/4</f>
        <v>4.7265625</v>
      </c>
      <c r="BI92" s="336"/>
      <c r="BJ92" s="1401">
        <f>+BJ91*$G87/4</f>
        <v>4.7265625</v>
      </c>
      <c r="BK92" s="336">
        <f>+BK91*$G87/4</f>
        <v>4.7265625</v>
      </c>
      <c r="BL92" s="336">
        <f>+BL91*$G87/4</f>
        <v>4.7265625</v>
      </c>
      <c r="BM92" s="1402">
        <f>+BM91*$G87/4</f>
        <v>4.7265625</v>
      </c>
      <c r="BN92" s="336"/>
      <c r="BO92" s="1401">
        <f>+BO91*$G87/4</f>
        <v>4.7265625</v>
      </c>
      <c r="BP92" s="336">
        <f>+BP91*$G87/4</f>
        <v>4.7265625</v>
      </c>
      <c r="BQ92" s="336">
        <f>+BQ91*$G87/4</f>
        <v>4.7265625</v>
      </c>
      <c r="BR92" s="1402">
        <f>+BR91*$G87/4</f>
        <v>4.7265625</v>
      </c>
      <c r="BS92" s="336"/>
      <c r="BT92" s="1401">
        <f>+BT91*$G87/4</f>
        <v>4.7265625</v>
      </c>
      <c r="BU92" s="336">
        <f>+BU91*$G87/4</f>
        <v>4.5203125000000002</v>
      </c>
      <c r="BV92" s="336">
        <f>+BV91*$G87/4</f>
        <v>3.8757812500000002</v>
      </c>
      <c r="BW92" s="1402">
        <f>+BW91*$G87/4</f>
        <v>3.4375000000000004</v>
      </c>
      <c r="BX92" s="336"/>
      <c r="BY92" s="1401">
        <f>+BY91*$G87/4</f>
        <v>3.4375000000000004</v>
      </c>
      <c r="BZ92" s="336">
        <f>+BZ91*$G87/4</f>
        <v>3.4375000000000004</v>
      </c>
      <c r="CA92" s="336">
        <f>+CA91*$G87/4</f>
        <v>1.7187500000000002</v>
      </c>
      <c r="CB92" s="1402">
        <f>+CB91*$G87/4</f>
        <v>0</v>
      </c>
      <c r="CC92" s="336"/>
      <c r="CD92" s="1401">
        <f>+CD91*$G87/4</f>
        <v>0</v>
      </c>
      <c r="CE92" s="336">
        <f>+CE91*$G87/4</f>
        <v>0</v>
      </c>
      <c r="CF92" s="336">
        <f>+CF91*$G87/4</f>
        <v>0</v>
      </c>
      <c r="CG92" s="1402">
        <f>+CG91*$G87/4</f>
        <v>0</v>
      </c>
      <c r="CH92" s="336"/>
      <c r="CI92" s="1401">
        <f>+CI91*$G87/4</f>
        <v>0</v>
      </c>
      <c r="CJ92" s="336">
        <f>+CJ91*$G87/4</f>
        <v>0</v>
      </c>
      <c r="CK92" s="336">
        <f>+CK91*$G87/4</f>
        <v>0</v>
      </c>
      <c r="CL92" s="1402">
        <f>+CL91*$G87/4</f>
        <v>0</v>
      </c>
      <c r="CM92" s="336"/>
      <c r="CN92" s="1401">
        <f>+CN91*$G87/4</f>
        <v>0</v>
      </c>
      <c r="CO92" s="336">
        <f>+CO91*$G87/4</f>
        <v>0</v>
      </c>
      <c r="CP92" s="336">
        <f>+CP91*$G87/4</f>
        <v>0</v>
      </c>
      <c r="CQ92" s="1402">
        <f>+CQ91*$G87/4</f>
        <v>0</v>
      </c>
      <c r="CR92" s="1402"/>
    </row>
    <row r="93" spans="1:96" ht="13.5" hidden="1" customHeight="1" outlineLevel="1">
      <c r="A93" s="317"/>
      <c r="B93" s="317" t="s">
        <v>93</v>
      </c>
      <c r="C93" s="317"/>
      <c r="D93" s="318"/>
      <c r="E93" s="318"/>
      <c r="F93" s="318"/>
      <c r="G93" s="318"/>
      <c r="H93" s="318"/>
      <c r="I93" s="318"/>
      <c r="J93" s="318"/>
      <c r="K93" s="318"/>
      <c r="L93" s="318"/>
      <c r="M93" s="318"/>
      <c r="N93" s="318"/>
      <c r="O93" s="318"/>
      <c r="P93" s="318"/>
      <c r="Q93" s="318"/>
      <c r="R93" s="318"/>
      <c r="S93" s="318"/>
      <c r="T93" s="318"/>
      <c r="U93" s="318"/>
      <c r="V93" s="318"/>
      <c r="W93" s="318"/>
      <c r="X93" s="318"/>
      <c r="Y93" s="318"/>
      <c r="Z93" s="318"/>
      <c r="AA93" s="318"/>
      <c r="AB93" s="318"/>
      <c r="AC93" s="318"/>
      <c r="AD93" s="318"/>
      <c r="AE93" s="318"/>
      <c r="AF93" s="318"/>
      <c r="AG93" s="318"/>
      <c r="AH93" s="318"/>
      <c r="AI93" s="335"/>
      <c r="AJ93" s="318"/>
      <c r="AK93" s="1405"/>
      <c r="AL93" s="336">
        <f>+AK92+AL92</f>
        <v>0</v>
      </c>
      <c r="AM93" s="319"/>
      <c r="AN93" s="1402">
        <f>+AM92+AN92</f>
        <v>0</v>
      </c>
      <c r="AO93" s="319"/>
      <c r="AP93" s="1405"/>
      <c r="AQ93" s="336">
        <f>+AP92+AQ92</f>
        <v>0</v>
      </c>
      <c r="AR93" s="319"/>
      <c r="AS93" s="1402">
        <f>+AR92+AS92</f>
        <v>0</v>
      </c>
      <c r="AT93" s="336"/>
      <c r="AU93" s="1405"/>
      <c r="AV93" s="336">
        <f>+AU92+AV92</f>
        <v>0</v>
      </c>
      <c r="AW93" s="319"/>
      <c r="AX93" s="1402">
        <f>+AW92+AX92</f>
        <v>0</v>
      </c>
      <c r="AY93" s="336"/>
      <c r="AZ93" s="1405"/>
      <c r="BA93" s="336">
        <f>+AZ92+BA92</f>
        <v>0</v>
      </c>
      <c r="BB93" s="319"/>
      <c r="BC93" s="1402">
        <f>+BB92+BC92</f>
        <v>0</v>
      </c>
      <c r="BD93" s="336"/>
      <c r="BE93" s="1405"/>
      <c r="BF93" s="336">
        <f>+BE92+BF92</f>
        <v>7.08984375</v>
      </c>
      <c r="BG93" s="319"/>
      <c r="BH93" s="1402">
        <f>+BG92+BH92</f>
        <v>9.453125</v>
      </c>
      <c r="BI93" s="336"/>
      <c r="BJ93" s="1405"/>
      <c r="BK93" s="336">
        <f>+BJ92+BK92</f>
        <v>9.453125</v>
      </c>
      <c r="BL93" s="319"/>
      <c r="BM93" s="1402">
        <f>+BL92+BM92</f>
        <v>9.453125</v>
      </c>
      <c r="BN93" s="336"/>
      <c r="BO93" s="1405"/>
      <c r="BP93" s="336">
        <f>+BO92+BP92</f>
        <v>9.453125</v>
      </c>
      <c r="BQ93" s="319"/>
      <c r="BR93" s="1402">
        <f>+BQ92+BR92</f>
        <v>9.453125</v>
      </c>
      <c r="BS93" s="336"/>
      <c r="BT93" s="1405"/>
      <c r="BU93" s="336">
        <f>+BT92+BU92</f>
        <v>9.2468749999999993</v>
      </c>
      <c r="BV93" s="319"/>
      <c r="BW93" s="1402">
        <f>+BV92+BW92</f>
        <v>7.3132812500000011</v>
      </c>
      <c r="BX93" s="336"/>
      <c r="BY93" s="1405"/>
      <c r="BZ93" s="336">
        <f>+BY92+BZ92</f>
        <v>6.8750000000000009</v>
      </c>
      <c r="CA93" s="319"/>
      <c r="CB93" s="1402">
        <f>+CA92+CB92</f>
        <v>1.7187500000000002</v>
      </c>
      <c r="CC93" s="336"/>
      <c r="CD93" s="1405"/>
      <c r="CE93" s="336">
        <f>+CD92+CE92</f>
        <v>0</v>
      </c>
      <c r="CF93" s="319"/>
      <c r="CG93" s="1402">
        <f>+CF92+CG92</f>
        <v>0</v>
      </c>
      <c r="CH93" s="336"/>
      <c r="CI93" s="1405"/>
      <c r="CJ93" s="336">
        <f>+CI92+CJ92</f>
        <v>0</v>
      </c>
      <c r="CK93" s="319"/>
      <c r="CL93" s="1402">
        <f>+CK92+CL92</f>
        <v>0</v>
      </c>
      <c r="CM93" s="336"/>
      <c r="CN93" s="1405"/>
      <c r="CO93" s="336">
        <f>+CN92+CO92</f>
        <v>0</v>
      </c>
      <c r="CP93" s="319"/>
      <c r="CQ93" s="1402">
        <f>+CP92+CQ92</f>
        <v>0</v>
      </c>
      <c r="CR93" s="1402"/>
    </row>
    <row r="94" spans="1:96" ht="6.2" hidden="1" customHeight="1" outlineLevel="1">
      <c r="A94" s="317"/>
      <c r="B94" s="317"/>
      <c r="C94" s="317"/>
      <c r="D94" s="318"/>
      <c r="E94" s="318"/>
      <c r="F94" s="318"/>
      <c r="G94" s="318"/>
      <c r="H94" s="318"/>
      <c r="I94" s="318"/>
      <c r="J94" s="318"/>
      <c r="K94" s="318"/>
      <c r="L94" s="318"/>
      <c r="M94" s="318"/>
      <c r="N94" s="318"/>
      <c r="O94" s="318"/>
      <c r="P94" s="318"/>
      <c r="Q94" s="318"/>
      <c r="R94" s="318"/>
      <c r="S94" s="318"/>
      <c r="T94" s="318"/>
      <c r="U94" s="318"/>
      <c r="V94" s="318"/>
      <c r="W94" s="318"/>
      <c r="X94" s="318"/>
      <c r="Y94" s="318"/>
      <c r="Z94" s="318"/>
      <c r="AA94" s="318"/>
      <c r="AB94" s="318"/>
      <c r="AC94" s="318"/>
      <c r="AD94" s="318"/>
      <c r="AE94" s="318"/>
      <c r="AF94" s="318"/>
      <c r="AG94" s="318"/>
      <c r="AH94" s="318"/>
      <c r="AI94" s="335"/>
      <c r="AJ94" s="318"/>
      <c r="AK94" s="1405"/>
      <c r="AL94" s="336"/>
      <c r="AM94" s="319"/>
      <c r="AN94" s="1402"/>
      <c r="AO94" s="319"/>
      <c r="AP94" s="1405"/>
      <c r="AQ94" s="336"/>
      <c r="AR94" s="319"/>
      <c r="AS94" s="1402"/>
      <c r="AT94" s="336"/>
      <c r="AU94" s="1405"/>
      <c r="AV94" s="336"/>
      <c r="AW94" s="319"/>
      <c r="AX94" s="1402"/>
      <c r="AY94" s="336"/>
      <c r="AZ94" s="1405"/>
      <c r="BA94" s="336"/>
      <c r="BB94" s="319"/>
      <c r="BC94" s="1402"/>
      <c r="BD94" s="336"/>
      <c r="BE94" s="1405"/>
      <c r="BF94" s="336"/>
      <c r="BG94" s="319"/>
      <c r="BH94" s="1402"/>
      <c r="BI94" s="336"/>
      <c r="BJ94" s="1405"/>
      <c r="BK94" s="336"/>
      <c r="BL94" s="319"/>
      <c r="BM94" s="1402"/>
      <c r="BN94" s="336"/>
      <c r="BO94" s="1405"/>
      <c r="BP94" s="336"/>
      <c r="BQ94" s="319"/>
      <c r="BR94" s="1402"/>
      <c r="BS94" s="336"/>
      <c r="BT94" s="1405"/>
      <c r="BU94" s="336"/>
      <c r="BV94" s="319"/>
      <c r="BW94" s="1402"/>
      <c r="BX94" s="336"/>
      <c r="BY94" s="1405"/>
      <c r="BZ94" s="336"/>
      <c r="CA94" s="319"/>
      <c r="CB94" s="1402"/>
      <c r="CC94" s="336"/>
      <c r="CD94" s="1405"/>
      <c r="CE94" s="336"/>
      <c r="CF94" s="319"/>
      <c r="CG94" s="1402"/>
      <c r="CH94" s="336"/>
      <c r="CI94" s="1405"/>
      <c r="CJ94" s="336"/>
      <c r="CK94" s="319"/>
      <c r="CL94" s="1402"/>
      <c r="CM94" s="336"/>
      <c r="CN94" s="1405"/>
      <c r="CO94" s="336"/>
      <c r="CP94" s="319"/>
      <c r="CQ94" s="1402"/>
      <c r="CR94" s="1402"/>
    </row>
    <row r="95" spans="1:96" ht="13.5" customHeight="1" collapsed="1">
      <c r="A95" s="334" t="s">
        <v>1010</v>
      </c>
      <c r="B95" s="317"/>
      <c r="C95" s="317"/>
      <c r="D95" s="318"/>
      <c r="E95" s="318"/>
      <c r="F95" s="318"/>
      <c r="G95" s="347">
        <v>6.8750000000000006E-2</v>
      </c>
      <c r="H95" s="339">
        <v>45748</v>
      </c>
      <c r="I95" s="318"/>
      <c r="J95" s="318"/>
      <c r="K95" s="318"/>
      <c r="L95" s="318"/>
      <c r="M95" s="318"/>
      <c r="N95" s="318"/>
      <c r="O95" s="318"/>
      <c r="P95" s="318"/>
      <c r="Q95" s="318"/>
      <c r="R95" s="318"/>
      <c r="S95" s="318"/>
      <c r="T95" s="318"/>
      <c r="U95" s="318"/>
      <c r="V95" s="318"/>
      <c r="W95" s="318"/>
      <c r="X95" s="318"/>
      <c r="Y95" s="318"/>
      <c r="Z95" s="318"/>
      <c r="AA95" s="318"/>
      <c r="AB95" s="318"/>
      <c r="AC95" s="318"/>
      <c r="AD95" s="318"/>
      <c r="AE95" s="318"/>
      <c r="AF95" s="318"/>
      <c r="AG95" s="318"/>
      <c r="AH95" s="318"/>
      <c r="AI95" s="335"/>
      <c r="AJ95" s="318"/>
      <c r="AK95" s="1405"/>
      <c r="AL95" s="336"/>
      <c r="AM95" s="319"/>
      <c r="AN95" s="1402"/>
      <c r="AO95" s="319"/>
      <c r="AP95" s="1405"/>
      <c r="AQ95" s="336"/>
      <c r="AR95" s="319"/>
      <c r="AS95" s="1402"/>
      <c r="AT95" s="336"/>
      <c r="AU95" s="1405"/>
      <c r="AV95" s="336"/>
      <c r="AW95" s="319"/>
      <c r="AX95" s="1402"/>
      <c r="AY95" s="336"/>
      <c r="AZ95" s="1405"/>
      <c r="BA95" s="336"/>
      <c r="BB95" s="319"/>
      <c r="BC95" s="1402"/>
      <c r="BD95" s="336"/>
      <c r="BE95" s="1405"/>
      <c r="BF95" s="336"/>
      <c r="BG95" s="319"/>
      <c r="BH95" s="1402"/>
      <c r="BI95" s="336"/>
      <c r="BJ95" s="1405"/>
      <c r="BK95" s="336"/>
      <c r="BL95" s="319"/>
      <c r="BM95" s="1402"/>
      <c r="BN95" s="336"/>
      <c r="BO95" s="1405"/>
      <c r="BP95" s="336"/>
      <c r="BQ95" s="319"/>
      <c r="BR95" s="1402"/>
      <c r="BS95" s="336"/>
      <c r="BT95" s="1405"/>
      <c r="BU95" s="336"/>
      <c r="BV95" s="319"/>
      <c r="BW95" s="1402"/>
      <c r="BX95" s="336"/>
      <c r="BY95" s="1405"/>
      <c r="BZ95" s="336"/>
      <c r="CA95" s="319">
        <v>0</v>
      </c>
      <c r="CB95" s="1402"/>
      <c r="CC95" s="336"/>
      <c r="CD95" s="1405"/>
      <c r="CE95" s="336"/>
      <c r="CF95" s="319"/>
      <c r="CG95" s="1402"/>
      <c r="CH95" s="336"/>
      <c r="CI95" s="1405"/>
      <c r="CJ95" s="336"/>
      <c r="CK95" s="319"/>
      <c r="CL95" s="1402"/>
      <c r="CM95" s="336"/>
      <c r="CN95" s="1405"/>
      <c r="CO95" s="336"/>
      <c r="CP95" s="319"/>
      <c r="CQ95" s="1402"/>
      <c r="CR95" s="1402"/>
    </row>
    <row r="96" spans="1:96" ht="13.5" customHeight="1">
      <c r="A96" s="317"/>
      <c r="B96" s="317" t="s">
        <v>87</v>
      </c>
      <c r="C96" s="317"/>
      <c r="D96" s="318"/>
      <c r="E96" s="318"/>
      <c r="F96" s="318"/>
      <c r="G96" s="318"/>
      <c r="H96" s="335"/>
      <c r="I96" s="318"/>
      <c r="J96" s="318"/>
      <c r="K96" s="318"/>
      <c r="L96" s="318"/>
      <c r="M96" s="318"/>
      <c r="N96" s="318"/>
      <c r="O96" s="318"/>
      <c r="P96" s="318"/>
      <c r="Q96" s="318"/>
      <c r="R96" s="318"/>
      <c r="S96" s="318"/>
      <c r="T96" s="318"/>
      <c r="U96" s="318"/>
      <c r="V96" s="318"/>
      <c r="W96" s="318"/>
      <c r="X96" s="318"/>
      <c r="Y96" s="318"/>
      <c r="Z96" s="318"/>
      <c r="AA96" s="318"/>
      <c r="AB96" s="318"/>
      <c r="AC96" s="318"/>
      <c r="AD96" s="318"/>
      <c r="AE96" s="318"/>
      <c r="AF96" s="318"/>
      <c r="AG96" s="318"/>
      <c r="AH96" s="318"/>
      <c r="AI96" s="335"/>
      <c r="AJ96" s="318"/>
      <c r="AK96" s="1405"/>
      <c r="AL96" s="336"/>
      <c r="AM96" s="319"/>
      <c r="AN96" s="1402"/>
      <c r="AO96" s="319"/>
      <c r="AP96" s="1405"/>
      <c r="AQ96" s="336"/>
      <c r="AR96" s="319"/>
      <c r="AS96" s="1402"/>
      <c r="AT96" s="336"/>
      <c r="AU96" s="1405"/>
      <c r="AV96" s="336"/>
      <c r="AW96" s="319"/>
      <c r="AX96" s="1402"/>
      <c r="AY96" s="336"/>
      <c r="AZ96" s="1405"/>
      <c r="BA96" s="336"/>
      <c r="BB96" s="319"/>
      <c r="BC96" s="1402"/>
      <c r="BD96" s="336"/>
      <c r="BE96" s="1405"/>
      <c r="BF96" s="336"/>
      <c r="BG96" s="319"/>
      <c r="BH96" s="1402"/>
      <c r="BI96" s="336"/>
      <c r="BJ96" s="1405"/>
      <c r="BK96" s="336"/>
      <c r="BL96" s="319"/>
      <c r="BM96" s="1402"/>
      <c r="BN96" s="336"/>
      <c r="BO96" s="1405"/>
      <c r="BP96" s="336"/>
      <c r="BQ96" s="319"/>
      <c r="BR96" s="1402"/>
      <c r="BS96" s="336"/>
      <c r="BT96" s="1405"/>
      <c r="BU96" s="336"/>
      <c r="BV96" s="319"/>
      <c r="BW96" s="1402"/>
      <c r="BX96" s="336"/>
      <c r="BY96" s="1405"/>
      <c r="BZ96" s="336"/>
      <c r="CA96" s="336">
        <f>+BZ98</f>
        <v>0</v>
      </c>
      <c r="CB96" s="1402">
        <f>+CA98</f>
        <v>750</v>
      </c>
      <c r="CC96" s="336"/>
      <c r="CD96" s="1401">
        <f>+CC98</f>
        <v>750</v>
      </c>
      <c r="CE96" s="336">
        <f>+CD98</f>
        <v>750</v>
      </c>
      <c r="CF96" s="336">
        <f>+CE98</f>
        <v>750</v>
      </c>
      <c r="CG96" s="1402">
        <f>+CF98</f>
        <v>750</v>
      </c>
      <c r="CH96" s="336"/>
      <c r="CI96" s="1401">
        <f>+CH98</f>
        <v>750</v>
      </c>
      <c r="CJ96" s="336">
        <f>+CI98</f>
        <v>750</v>
      </c>
      <c r="CK96" s="336">
        <f>+CJ98</f>
        <v>750</v>
      </c>
      <c r="CL96" s="1402">
        <f>+CK98</f>
        <v>750</v>
      </c>
      <c r="CM96" s="336"/>
      <c r="CN96" s="1401">
        <f>+CM98</f>
        <v>750</v>
      </c>
      <c r="CO96" s="336">
        <f>+CN98</f>
        <v>750</v>
      </c>
      <c r="CP96" s="336">
        <f>+CO98</f>
        <v>750</v>
      </c>
      <c r="CQ96" s="1402">
        <f>+CP98</f>
        <v>750</v>
      </c>
      <c r="CR96" s="1402"/>
    </row>
    <row r="97" spans="1:96" ht="13.5" customHeight="1">
      <c r="A97" s="317"/>
      <c r="B97" s="317" t="s">
        <v>89</v>
      </c>
      <c r="C97" s="317"/>
      <c r="D97" s="318"/>
      <c r="E97" s="318"/>
      <c r="F97" s="318"/>
      <c r="G97" s="318"/>
      <c r="H97" s="335"/>
      <c r="I97" s="318"/>
      <c r="J97" s="318"/>
      <c r="K97" s="318"/>
      <c r="L97" s="318"/>
      <c r="M97" s="318"/>
      <c r="N97" s="318"/>
      <c r="O97" s="318"/>
      <c r="P97" s="318"/>
      <c r="Q97" s="318"/>
      <c r="R97" s="318"/>
      <c r="S97" s="318"/>
      <c r="T97" s="318"/>
      <c r="U97" s="318"/>
      <c r="V97" s="318"/>
      <c r="W97" s="318"/>
      <c r="X97" s="318"/>
      <c r="Y97" s="318"/>
      <c r="Z97" s="318"/>
      <c r="AA97" s="318"/>
      <c r="AB97" s="318"/>
      <c r="AC97" s="318"/>
      <c r="AD97" s="318"/>
      <c r="AE97" s="318"/>
      <c r="AF97" s="318"/>
      <c r="AG97" s="318"/>
      <c r="AH97" s="318"/>
      <c r="AI97" s="335"/>
      <c r="AJ97" s="318"/>
      <c r="AK97" s="1405"/>
      <c r="AL97" s="336"/>
      <c r="AM97" s="319"/>
      <c r="AN97" s="1402"/>
      <c r="AO97" s="319"/>
      <c r="AP97" s="1405"/>
      <c r="AQ97" s="336"/>
      <c r="AR97" s="319"/>
      <c r="AS97" s="1402"/>
      <c r="AT97" s="336"/>
      <c r="AU97" s="1405"/>
      <c r="AV97" s="336"/>
      <c r="AW97" s="319"/>
      <c r="AX97" s="1402"/>
      <c r="AY97" s="336"/>
      <c r="AZ97" s="1405"/>
      <c r="BA97" s="336"/>
      <c r="BB97" s="319"/>
      <c r="BC97" s="1402"/>
      <c r="BD97" s="336"/>
      <c r="BE97" s="1405"/>
      <c r="BF97" s="336"/>
      <c r="BG97" s="319"/>
      <c r="BH97" s="1402"/>
      <c r="BI97" s="336"/>
      <c r="BJ97" s="1405"/>
      <c r="BK97" s="336"/>
      <c r="BL97" s="319"/>
      <c r="BM97" s="1402"/>
      <c r="BN97" s="336"/>
      <c r="BO97" s="1405"/>
      <c r="BP97" s="336"/>
      <c r="BQ97" s="319"/>
      <c r="BR97" s="1402"/>
      <c r="BS97" s="336"/>
      <c r="BT97" s="1405"/>
      <c r="BU97" s="336"/>
      <c r="BV97" s="319"/>
      <c r="BW97" s="1402"/>
      <c r="BX97" s="336"/>
      <c r="BY97" s="1405"/>
      <c r="BZ97" s="336"/>
      <c r="CA97" s="662">
        <f>CA98-CA96</f>
        <v>750</v>
      </c>
      <c r="CB97" s="1404">
        <v>0</v>
      </c>
      <c r="CC97" s="336"/>
      <c r="CD97" s="1403">
        <v>0</v>
      </c>
      <c r="CE97" s="662">
        <v>0</v>
      </c>
      <c r="CF97" s="662">
        <v>0</v>
      </c>
      <c r="CG97" s="1404">
        <v>0</v>
      </c>
      <c r="CH97" s="336"/>
      <c r="CI97" s="1403">
        <v>0</v>
      </c>
      <c r="CJ97" s="662">
        <v>0</v>
      </c>
      <c r="CK97" s="662">
        <v>0</v>
      </c>
      <c r="CL97" s="1404">
        <v>0</v>
      </c>
      <c r="CM97" s="336"/>
      <c r="CN97" s="1403">
        <v>0</v>
      </c>
      <c r="CO97" s="662">
        <v>0</v>
      </c>
      <c r="CP97" s="662">
        <v>0</v>
      </c>
      <c r="CQ97" s="1404">
        <v>0</v>
      </c>
      <c r="CR97" s="1402"/>
    </row>
    <row r="98" spans="1:96" ht="13.5" customHeight="1">
      <c r="A98" s="317"/>
      <c r="B98" s="317" t="s">
        <v>90</v>
      </c>
      <c r="C98" s="317"/>
      <c r="D98" s="318"/>
      <c r="E98" s="318"/>
      <c r="F98" s="318"/>
      <c r="G98" s="318"/>
      <c r="H98" s="348">
        <v>0</v>
      </c>
      <c r="I98" s="318"/>
      <c r="J98" s="318"/>
      <c r="K98" s="318"/>
      <c r="L98" s="318"/>
      <c r="M98" s="318"/>
      <c r="N98" s="318"/>
      <c r="O98" s="318"/>
      <c r="P98" s="318"/>
      <c r="Q98" s="318"/>
      <c r="R98" s="318"/>
      <c r="S98" s="318"/>
      <c r="T98" s="318"/>
      <c r="U98" s="318"/>
      <c r="V98" s="318"/>
      <c r="W98" s="318"/>
      <c r="X98" s="318"/>
      <c r="Y98" s="318"/>
      <c r="Z98" s="318"/>
      <c r="AA98" s="318"/>
      <c r="AB98" s="318"/>
      <c r="AC98" s="318"/>
      <c r="AD98" s="318"/>
      <c r="AE98" s="318"/>
      <c r="AF98" s="318"/>
      <c r="AG98" s="318"/>
      <c r="AH98" s="318"/>
      <c r="AI98" s="335"/>
      <c r="AJ98" s="318"/>
      <c r="AK98" s="1405"/>
      <c r="AL98" s="336"/>
      <c r="AM98" s="319"/>
      <c r="AN98" s="1402"/>
      <c r="AO98" s="319"/>
      <c r="AP98" s="1405"/>
      <c r="AQ98" s="336"/>
      <c r="AR98" s="319"/>
      <c r="AS98" s="1402"/>
      <c r="AT98" s="336"/>
      <c r="AU98" s="1405"/>
      <c r="AV98" s="336"/>
      <c r="AW98" s="319"/>
      <c r="AX98" s="1402"/>
      <c r="AY98" s="336"/>
      <c r="AZ98" s="1405"/>
      <c r="BA98" s="336"/>
      <c r="BB98" s="319"/>
      <c r="BC98" s="1402"/>
      <c r="BD98" s="336"/>
      <c r="BE98" s="1405"/>
      <c r="BF98" s="336"/>
      <c r="BG98" s="319"/>
      <c r="BH98" s="1402"/>
      <c r="BI98" s="336"/>
      <c r="BJ98" s="1405"/>
      <c r="BK98" s="336"/>
      <c r="BL98" s="319"/>
      <c r="BM98" s="1402"/>
      <c r="BN98" s="336"/>
      <c r="BO98" s="1405"/>
      <c r="BP98" s="336"/>
      <c r="BQ98" s="319"/>
      <c r="BR98" s="1402"/>
      <c r="BS98" s="336"/>
      <c r="BT98" s="1405"/>
      <c r="BU98" s="336"/>
      <c r="BV98" s="319"/>
      <c r="BW98" s="1402"/>
      <c r="BX98" s="336"/>
      <c r="BY98" s="1405"/>
      <c r="BZ98" s="336"/>
      <c r="CA98" s="662">
        <v>750</v>
      </c>
      <c r="CB98" s="1404">
        <v>750</v>
      </c>
      <c r="CC98" s="343">
        <f>+CB98</f>
        <v>750</v>
      </c>
      <c r="CD98" s="1401">
        <f>+CD96+CD97</f>
        <v>750</v>
      </c>
      <c r="CE98" s="336">
        <f>+CE96+CE97</f>
        <v>750</v>
      </c>
      <c r="CF98" s="336">
        <f>+CF96+CF97</f>
        <v>750</v>
      </c>
      <c r="CG98" s="1402">
        <f>+CG96+CG97</f>
        <v>750</v>
      </c>
      <c r="CH98" s="343">
        <f>+CG98</f>
        <v>750</v>
      </c>
      <c r="CI98" s="1401">
        <f>+CI96+CI97</f>
        <v>750</v>
      </c>
      <c r="CJ98" s="336">
        <f>+CJ96+CJ97</f>
        <v>750</v>
      </c>
      <c r="CK98" s="336">
        <f>+CK96+CK97</f>
        <v>750</v>
      </c>
      <c r="CL98" s="1402">
        <f>+CL96+CL97</f>
        <v>750</v>
      </c>
      <c r="CM98" s="343">
        <f>+CL98</f>
        <v>750</v>
      </c>
      <c r="CN98" s="1401">
        <f>+CN96+CN97</f>
        <v>750</v>
      </c>
      <c r="CO98" s="336">
        <f>+CO96+CO97</f>
        <v>750</v>
      </c>
      <c r="CP98" s="336">
        <f>+CP96+CP97</f>
        <v>750</v>
      </c>
      <c r="CQ98" s="1402">
        <f>+CQ96+CQ97</f>
        <v>750</v>
      </c>
      <c r="CR98" s="343">
        <f>+CQ98</f>
        <v>750</v>
      </c>
    </row>
    <row r="99" spans="1:96" ht="13.5" customHeight="1">
      <c r="A99" s="317"/>
      <c r="B99" s="317" t="s">
        <v>91</v>
      </c>
      <c r="C99" s="317"/>
      <c r="D99" s="318"/>
      <c r="E99" s="318"/>
      <c r="F99" s="318"/>
      <c r="G99" s="318"/>
      <c r="H99" s="335"/>
      <c r="I99" s="318"/>
      <c r="J99" s="318"/>
      <c r="K99" s="318"/>
      <c r="L99" s="318"/>
      <c r="M99" s="318"/>
      <c r="N99" s="318"/>
      <c r="O99" s="318"/>
      <c r="P99" s="318"/>
      <c r="Q99" s="318"/>
      <c r="R99" s="318"/>
      <c r="S99" s="318"/>
      <c r="T99" s="318"/>
      <c r="U99" s="318"/>
      <c r="V99" s="318"/>
      <c r="W99" s="318"/>
      <c r="X99" s="318"/>
      <c r="Y99" s="318"/>
      <c r="Z99" s="318"/>
      <c r="AA99" s="318"/>
      <c r="AB99" s="318"/>
      <c r="AC99" s="318"/>
      <c r="AD99" s="318"/>
      <c r="AE99" s="318"/>
      <c r="AF99" s="318"/>
      <c r="AG99" s="318"/>
      <c r="AH99" s="318"/>
      <c r="AI99" s="335"/>
      <c r="AJ99" s="318"/>
      <c r="AK99" s="1405"/>
      <c r="AL99" s="336"/>
      <c r="AM99" s="319"/>
      <c r="AN99" s="1402"/>
      <c r="AO99" s="319"/>
      <c r="AP99" s="1405"/>
      <c r="AQ99" s="336"/>
      <c r="AR99" s="319"/>
      <c r="AS99" s="1402"/>
      <c r="AT99" s="336"/>
      <c r="AU99" s="1405"/>
      <c r="AV99" s="336"/>
      <c r="AW99" s="319"/>
      <c r="AX99" s="1402"/>
      <c r="AY99" s="336"/>
      <c r="AZ99" s="1405"/>
      <c r="BA99" s="336"/>
      <c r="BB99" s="319"/>
      <c r="BC99" s="1402"/>
      <c r="BD99" s="336"/>
      <c r="BE99" s="1405"/>
      <c r="BF99" s="336"/>
      <c r="BG99" s="319"/>
      <c r="BH99" s="1402"/>
      <c r="BI99" s="336"/>
      <c r="BJ99" s="1405"/>
      <c r="BK99" s="336"/>
      <c r="BL99" s="319"/>
      <c r="BM99" s="1402"/>
      <c r="BN99" s="336"/>
      <c r="BO99" s="1405"/>
      <c r="BP99" s="336"/>
      <c r="BQ99" s="319"/>
      <c r="BR99" s="1402"/>
      <c r="BS99" s="336"/>
      <c r="BT99" s="1405"/>
      <c r="BU99" s="336"/>
      <c r="BV99" s="319"/>
      <c r="BW99" s="1402"/>
      <c r="BX99" s="336"/>
      <c r="BY99" s="1405"/>
      <c r="BZ99" s="336"/>
      <c r="CA99" s="336">
        <f>+AVERAGE(CA96,CA98)</f>
        <v>375</v>
      </c>
      <c r="CB99" s="1402">
        <f>+AVERAGE(CB96,CB98)</f>
        <v>750</v>
      </c>
      <c r="CC99" s="336"/>
      <c r="CD99" s="1401">
        <f>+AVERAGE(CD96,CD98)</f>
        <v>750</v>
      </c>
      <c r="CE99" s="336">
        <f>+AVERAGE(CE96,CE98)</f>
        <v>750</v>
      </c>
      <c r="CF99" s="336">
        <f>+AVERAGE(CF96,CF98)</f>
        <v>750</v>
      </c>
      <c r="CG99" s="1402">
        <f>+AVERAGE(CG96,CG98)</f>
        <v>750</v>
      </c>
      <c r="CH99" s="336"/>
      <c r="CI99" s="1401">
        <f>+AVERAGE(CI96,CI98)</f>
        <v>750</v>
      </c>
      <c r="CJ99" s="336">
        <f>+AVERAGE(CJ96,CJ98)</f>
        <v>750</v>
      </c>
      <c r="CK99" s="336">
        <f>+AVERAGE(CK96,CK98)</f>
        <v>750</v>
      </c>
      <c r="CL99" s="1402">
        <f>+AVERAGE(CL96,CL98)</f>
        <v>750</v>
      </c>
      <c r="CM99" s="336"/>
      <c r="CN99" s="1401">
        <f>+AVERAGE(CN96,CN98)</f>
        <v>750</v>
      </c>
      <c r="CO99" s="336">
        <f>+AVERAGE(CO96,CO98)</f>
        <v>750</v>
      </c>
      <c r="CP99" s="336">
        <f>+AVERAGE(CP96,CP98)</f>
        <v>750</v>
      </c>
      <c r="CQ99" s="1402">
        <f>+AVERAGE(CQ96,CQ98)</f>
        <v>750</v>
      </c>
      <c r="CR99" s="1402"/>
    </row>
    <row r="100" spans="1:96" ht="13.5" customHeight="1">
      <c r="A100" s="317"/>
      <c r="B100" s="317" t="s">
        <v>92</v>
      </c>
      <c r="C100" s="317"/>
      <c r="D100" s="318"/>
      <c r="E100" s="318"/>
      <c r="F100" s="318"/>
      <c r="G100" s="318"/>
      <c r="H100" s="335"/>
      <c r="I100" s="318"/>
      <c r="J100" s="318"/>
      <c r="K100" s="318"/>
      <c r="L100" s="318"/>
      <c r="M100" s="318"/>
      <c r="N100" s="318"/>
      <c r="O100" s="318"/>
      <c r="P100" s="318"/>
      <c r="Q100" s="318"/>
      <c r="R100" s="318"/>
      <c r="S100" s="318"/>
      <c r="T100" s="318"/>
      <c r="U100" s="318"/>
      <c r="V100" s="318"/>
      <c r="W100" s="318"/>
      <c r="X100" s="318"/>
      <c r="Y100" s="318"/>
      <c r="Z100" s="318"/>
      <c r="AA100" s="318"/>
      <c r="AB100" s="318"/>
      <c r="AC100" s="318"/>
      <c r="AD100" s="318"/>
      <c r="AE100" s="318"/>
      <c r="AF100" s="318"/>
      <c r="AG100" s="318"/>
      <c r="AH100" s="318"/>
      <c r="AI100" s="335"/>
      <c r="AJ100" s="318"/>
      <c r="AK100" s="1405"/>
      <c r="AL100" s="336"/>
      <c r="AM100" s="319"/>
      <c r="AN100" s="1402"/>
      <c r="AO100" s="319"/>
      <c r="AP100" s="1405"/>
      <c r="AQ100" s="336"/>
      <c r="AR100" s="319"/>
      <c r="AS100" s="1402"/>
      <c r="AT100" s="336"/>
      <c r="AU100" s="1405"/>
      <c r="AV100" s="336"/>
      <c r="AW100" s="319"/>
      <c r="AX100" s="1402"/>
      <c r="AY100" s="336"/>
      <c r="AZ100" s="1405"/>
      <c r="BA100" s="336"/>
      <c r="BB100" s="319"/>
      <c r="BC100" s="1402"/>
      <c r="BD100" s="336"/>
      <c r="BE100" s="1405"/>
      <c r="BF100" s="336"/>
      <c r="BG100" s="319"/>
      <c r="BH100" s="1402"/>
      <c r="BI100" s="336"/>
      <c r="BJ100" s="1405"/>
      <c r="BK100" s="336"/>
      <c r="BL100" s="319"/>
      <c r="BM100" s="1402"/>
      <c r="BN100" s="336"/>
      <c r="BO100" s="1405"/>
      <c r="BP100" s="336"/>
      <c r="BQ100" s="319"/>
      <c r="BR100" s="1402"/>
      <c r="BS100" s="336"/>
      <c r="BT100" s="1405"/>
      <c r="BU100" s="336"/>
      <c r="BV100" s="319"/>
      <c r="BW100" s="1402"/>
      <c r="BX100" s="336"/>
      <c r="BY100" s="1405"/>
      <c r="BZ100" s="336"/>
      <c r="CA100" s="336">
        <f>+CA99*$G95/4</f>
        <v>6.4453125000000009</v>
      </c>
      <c r="CB100" s="1402">
        <f>+CB99*$G95/4</f>
        <v>12.890625000000002</v>
      </c>
      <c r="CC100" s="336"/>
      <c r="CD100" s="1401">
        <f>+CD99*$G95/4</f>
        <v>12.890625000000002</v>
      </c>
      <c r="CE100" s="336">
        <f>+CE99*$G95/4</f>
        <v>12.890625000000002</v>
      </c>
      <c r="CF100" s="336">
        <f>+CF99*$G95/4</f>
        <v>12.890625000000002</v>
      </c>
      <c r="CG100" s="1402">
        <f>+CG99*$G95/4</f>
        <v>12.890625000000002</v>
      </c>
      <c r="CH100" s="336"/>
      <c r="CI100" s="1401">
        <f>+CI99*$G95/4</f>
        <v>12.890625000000002</v>
      </c>
      <c r="CJ100" s="336">
        <f>+CJ99*$G95/4</f>
        <v>12.890625000000002</v>
      </c>
      <c r="CK100" s="336">
        <f>+CK99*$G95/4</f>
        <v>12.890625000000002</v>
      </c>
      <c r="CL100" s="1402">
        <f>+CL99*$G95/4</f>
        <v>12.890625000000002</v>
      </c>
      <c r="CM100" s="336"/>
      <c r="CN100" s="1401">
        <f>+CN99*$G95/4</f>
        <v>12.890625000000002</v>
      </c>
      <c r="CO100" s="336">
        <f>+CO99*$G95/4</f>
        <v>12.890625000000002</v>
      </c>
      <c r="CP100" s="336">
        <f>+CP99*$G95/4</f>
        <v>12.890625000000002</v>
      </c>
      <c r="CQ100" s="1402">
        <f>+CQ99*$G95/4</f>
        <v>12.890625000000002</v>
      </c>
      <c r="CR100" s="1402"/>
    </row>
    <row r="101" spans="1:96" ht="13.5" customHeight="1">
      <c r="A101" s="317"/>
      <c r="B101" s="317" t="s">
        <v>93</v>
      </c>
      <c r="C101" s="317"/>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318"/>
      <c r="AH101" s="318"/>
      <c r="AI101" s="335"/>
      <c r="AJ101" s="318"/>
      <c r="AK101" s="1405"/>
      <c r="AL101" s="336"/>
      <c r="AM101" s="319"/>
      <c r="AN101" s="1402"/>
      <c r="AO101" s="319"/>
      <c r="AP101" s="1405"/>
      <c r="AQ101" s="336"/>
      <c r="AR101" s="319"/>
      <c r="AS101" s="1402"/>
      <c r="AT101" s="336"/>
      <c r="AU101" s="1405"/>
      <c r="AV101" s="336"/>
      <c r="AW101" s="319"/>
      <c r="AX101" s="1402"/>
      <c r="AY101" s="336"/>
      <c r="AZ101" s="1405"/>
      <c r="BA101" s="336"/>
      <c r="BB101" s="319"/>
      <c r="BC101" s="1402"/>
      <c r="BD101" s="336"/>
      <c r="BE101" s="1405"/>
      <c r="BF101" s="336"/>
      <c r="BG101" s="319"/>
      <c r="BH101" s="1402"/>
      <c r="BI101" s="336"/>
      <c r="BJ101" s="1405"/>
      <c r="BK101" s="336"/>
      <c r="BL101" s="319"/>
      <c r="BM101" s="1402"/>
      <c r="BN101" s="336"/>
      <c r="BO101" s="1405"/>
      <c r="BP101" s="336"/>
      <c r="BQ101" s="319"/>
      <c r="BR101" s="1402"/>
      <c r="BS101" s="336"/>
      <c r="BT101" s="1405"/>
      <c r="BU101" s="336"/>
      <c r="BV101" s="319"/>
      <c r="BW101" s="1402"/>
      <c r="BX101" s="336"/>
      <c r="BY101" s="1405"/>
      <c r="BZ101" s="336"/>
      <c r="CA101" s="319"/>
      <c r="CB101" s="1402">
        <f>+CA100+CB100</f>
        <v>19.335937500000004</v>
      </c>
      <c r="CC101" s="336"/>
      <c r="CD101" s="1405"/>
      <c r="CE101" s="336">
        <f>+CD100+CE100</f>
        <v>25.781250000000004</v>
      </c>
      <c r="CF101" s="319"/>
      <c r="CG101" s="1402">
        <f>+CF100+CG100</f>
        <v>25.781250000000004</v>
      </c>
      <c r="CH101" s="336"/>
      <c r="CI101" s="1405"/>
      <c r="CJ101" s="336">
        <f>+CI100+CJ100</f>
        <v>25.781250000000004</v>
      </c>
      <c r="CK101" s="319"/>
      <c r="CL101" s="1402">
        <f>+CK100+CL100</f>
        <v>25.781250000000004</v>
      </c>
      <c r="CM101" s="336"/>
      <c r="CN101" s="1405"/>
      <c r="CO101" s="336">
        <f>+CN100+CO100</f>
        <v>25.781250000000004</v>
      </c>
      <c r="CP101" s="319"/>
      <c r="CQ101" s="1402">
        <f>+CP100+CQ100</f>
        <v>25.781250000000004</v>
      </c>
      <c r="CR101" s="1402"/>
    </row>
    <row r="102" spans="1:96" ht="6.2" customHeight="1">
      <c r="A102" s="317"/>
      <c r="B102" s="317"/>
      <c r="C102" s="317"/>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c r="AA102" s="318"/>
      <c r="AB102" s="318"/>
      <c r="AC102" s="318"/>
      <c r="AD102" s="318"/>
      <c r="AE102" s="318"/>
      <c r="AF102" s="318"/>
      <c r="AG102" s="318"/>
      <c r="AH102" s="318"/>
      <c r="AI102" s="335"/>
      <c r="AJ102" s="318"/>
      <c r="AK102" s="1405"/>
      <c r="AL102" s="336"/>
      <c r="AM102" s="319"/>
      <c r="AN102" s="1402"/>
      <c r="AO102" s="319"/>
      <c r="AP102" s="1405"/>
      <c r="AQ102" s="336"/>
      <c r="AR102" s="319"/>
      <c r="AS102" s="1402"/>
      <c r="AT102" s="336"/>
      <c r="AU102" s="1405"/>
      <c r="AV102" s="336"/>
      <c r="AW102" s="319"/>
      <c r="AX102" s="1402"/>
      <c r="AY102" s="336"/>
      <c r="AZ102" s="1405"/>
      <c r="BA102" s="336"/>
      <c r="BB102" s="319"/>
      <c r="BC102" s="1402"/>
      <c r="BD102" s="336"/>
      <c r="BE102" s="1405"/>
      <c r="BF102" s="336"/>
      <c r="BG102" s="319"/>
      <c r="BH102" s="1402"/>
      <c r="BI102" s="336"/>
      <c r="BJ102" s="1405"/>
      <c r="BK102" s="336"/>
      <c r="BL102" s="319"/>
      <c r="BM102" s="1402"/>
      <c r="BN102" s="336"/>
      <c r="BO102" s="1405"/>
      <c r="BP102" s="336"/>
      <c r="BQ102" s="319"/>
      <c r="BR102" s="1402"/>
      <c r="BS102" s="336"/>
      <c r="BT102" s="1405"/>
      <c r="BU102" s="336"/>
      <c r="BV102" s="319"/>
      <c r="BW102" s="1402"/>
      <c r="BX102" s="336"/>
      <c r="BY102" s="1405"/>
      <c r="BZ102" s="336"/>
      <c r="CA102" s="319"/>
      <c r="CB102" s="1402"/>
      <c r="CC102" s="336"/>
      <c r="CD102" s="1405"/>
      <c r="CE102" s="336"/>
      <c r="CF102" s="319"/>
      <c r="CG102" s="1402"/>
      <c r="CH102" s="336"/>
      <c r="CI102" s="1405"/>
      <c r="CJ102" s="336"/>
      <c r="CK102" s="319"/>
      <c r="CL102" s="1402"/>
      <c r="CM102" s="336"/>
      <c r="CN102" s="1405"/>
      <c r="CO102" s="336"/>
      <c r="CP102" s="319"/>
      <c r="CQ102" s="1402"/>
      <c r="CR102" s="1402"/>
    </row>
    <row r="103" spans="1:96" ht="13.5" customHeight="1">
      <c r="A103" s="334" t="s">
        <v>902</v>
      </c>
      <c r="B103" s="317"/>
      <c r="C103" s="317"/>
      <c r="D103" s="318"/>
      <c r="E103" s="318"/>
      <c r="F103" s="318"/>
      <c r="G103" s="347">
        <v>8.3750000000000005E-2</v>
      </c>
      <c r="H103" s="339">
        <v>44378</v>
      </c>
      <c r="I103" s="318"/>
      <c r="J103" s="318"/>
      <c r="K103" s="318"/>
      <c r="L103" s="318"/>
      <c r="M103" s="318"/>
      <c r="N103" s="318"/>
      <c r="O103" s="318"/>
      <c r="P103" s="318"/>
      <c r="Q103" s="318"/>
      <c r="R103" s="318"/>
      <c r="S103" s="318"/>
      <c r="T103" s="318"/>
      <c r="U103" s="318"/>
      <c r="V103" s="318"/>
      <c r="W103" s="318"/>
      <c r="X103" s="318"/>
      <c r="Y103" s="318"/>
      <c r="Z103" s="318"/>
      <c r="AA103" s="318"/>
      <c r="AB103" s="318"/>
      <c r="AC103" s="318"/>
      <c r="AD103" s="318"/>
      <c r="AE103" s="318"/>
      <c r="AF103" s="318"/>
      <c r="AG103" s="318"/>
      <c r="AH103" s="318"/>
      <c r="AI103" s="335"/>
      <c r="AJ103" s="318"/>
      <c r="AK103" s="1405"/>
      <c r="AL103" s="336"/>
      <c r="AM103" s="319"/>
      <c r="AN103" s="1402"/>
      <c r="AO103" s="319"/>
      <c r="AP103" s="1405"/>
      <c r="AQ103" s="336"/>
      <c r="AR103" s="319"/>
      <c r="AS103" s="1402"/>
      <c r="AT103" s="336"/>
      <c r="AU103" s="1405"/>
      <c r="AV103" s="336"/>
      <c r="AW103" s="319"/>
      <c r="AX103" s="1402"/>
      <c r="AY103" s="336"/>
      <c r="AZ103" s="1405"/>
      <c r="BA103" s="336"/>
      <c r="BB103" s="319"/>
      <c r="BC103" s="1402"/>
      <c r="BD103" s="336"/>
      <c r="BE103" s="1405"/>
      <c r="BF103" s="336"/>
      <c r="BG103" s="319"/>
      <c r="BH103" s="1402"/>
      <c r="BI103" s="336"/>
      <c r="BJ103" s="1405"/>
      <c r="BK103" s="336"/>
      <c r="BL103" s="319"/>
      <c r="BM103" s="1402"/>
      <c r="BN103" s="336"/>
      <c r="BO103" s="1405"/>
      <c r="BP103" s="336"/>
      <c r="BQ103" s="319"/>
      <c r="BR103" s="1402"/>
      <c r="BS103" s="336"/>
      <c r="BT103" s="1405"/>
      <c r="BU103" s="336"/>
      <c r="BV103" s="319"/>
      <c r="BW103" s="1402"/>
      <c r="BX103" s="336"/>
      <c r="BY103" s="1405"/>
      <c r="BZ103" s="336"/>
      <c r="CA103" s="319"/>
      <c r="CB103" s="1402"/>
      <c r="CC103" s="336"/>
      <c r="CD103" s="1405"/>
      <c r="CE103" s="336"/>
      <c r="CF103" s="319"/>
      <c r="CG103" s="1402"/>
      <c r="CH103" s="336"/>
      <c r="CI103" s="1405"/>
      <c r="CJ103" s="336"/>
      <c r="CK103" s="319"/>
      <c r="CL103" s="1402"/>
      <c r="CM103" s="336"/>
      <c r="CN103" s="1405"/>
      <c r="CO103" s="336"/>
      <c r="CP103" s="319"/>
      <c r="CQ103" s="1402"/>
      <c r="CR103" s="1402"/>
    </row>
    <row r="104" spans="1:96" ht="13.5" customHeight="1">
      <c r="A104" s="317"/>
      <c r="B104" s="317" t="s">
        <v>87</v>
      </c>
      <c r="C104" s="317"/>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c r="AA104" s="318"/>
      <c r="AB104" s="318"/>
      <c r="AC104" s="318"/>
      <c r="AD104" s="318"/>
      <c r="AE104" s="318"/>
      <c r="AF104" s="318"/>
      <c r="AG104" s="318"/>
      <c r="AH104" s="318"/>
      <c r="AI104" s="335"/>
      <c r="AJ104" s="318"/>
      <c r="AK104" s="1405"/>
      <c r="AL104" s="336"/>
      <c r="AM104" s="319"/>
      <c r="AN104" s="1402"/>
      <c r="AO104" s="319"/>
      <c r="AP104" s="1405"/>
      <c r="AQ104" s="336"/>
      <c r="AR104" s="319"/>
      <c r="AS104" s="1402"/>
      <c r="AT104" s="336"/>
      <c r="AU104" s="1405"/>
      <c r="AV104" s="336"/>
      <c r="AW104" s="319"/>
      <c r="AX104" s="1402"/>
      <c r="AY104" s="336"/>
      <c r="AZ104" s="1405"/>
      <c r="BA104" s="336"/>
      <c r="BB104" s="319"/>
      <c r="BC104" s="1402"/>
      <c r="BD104" s="336"/>
      <c r="BE104" s="1405"/>
      <c r="BF104" s="336"/>
      <c r="BG104" s="319"/>
      <c r="BH104" s="1402"/>
      <c r="BI104" s="336"/>
      <c r="BJ104" s="1405"/>
      <c r="BK104" s="336"/>
      <c r="BL104" s="319"/>
      <c r="BM104" s="1402"/>
      <c r="BN104" s="336"/>
      <c r="BO104" s="1405"/>
      <c r="BP104" s="336"/>
      <c r="BQ104" s="319"/>
      <c r="BR104" s="1402"/>
      <c r="BS104" s="336"/>
      <c r="BT104" s="1405"/>
      <c r="BU104" s="662">
        <v>980</v>
      </c>
      <c r="BV104" s="336">
        <f>+BU106</f>
        <v>980</v>
      </c>
      <c r="BW104" s="1402">
        <f>+BV106</f>
        <v>980</v>
      </c>
      <c r="BX104" s="336"/>
      <c r="BY104" s="1401">
        <f>+BX106</f>
        <v>980</v>
      </c>
      <c r="BZ104" s="336">
        <f>+BY106</f>
        <v>980</v>
      </c>
      <c r="CA104" s="336">
        <f>+BZ106</f>
        <v>980</v>
      </c>
      <c r="CB104" s="1402">
        <f>+CA106</f>
        <v>980</v>
      </c>
      <c r="CC104" s="336"/>
      <c r="CD104" s="1401">
        <f>+CC106</f>
        <v>780</v>
      </c>
      <c r="CE104" s="336">
        <f>+CD106</f>
        <v>780</v>
      </c>
      <c r="CF104" s="336">
        <f>+CE106</f>
        <v>780</v>
      </c>
      <c r="CG104" s="1402">
        <f>+CF106</f>
        <v>780</v>
      </c>
      <c r="CH104" s="336"/>
      <c r="CI104" s="1401">
        <f>+CH106</f>
        <v>780</v>
      </c>
      <c r="CJ104" s="336">
        <f>+CI106</f>
        <v>780</v>
      </c>
      <c r="CK104" s="336">
        <f>+CJ106</f>
        <v>780</v>
      </c>
      <c r="CL104" s="1402">
        <f>+CK106</f>
        <v>780</v>
      </c>
      <c r="CM104" s="336"/>
      <c r="CN104" s="1401">
        <f>+CM106</f>
        <v>780</v>
      </c>
      <c r="CO104" s="336">
        <f>+CN106</f>
        <v>780</v>
      </c>
      <c r="CP104" s="336">
        <f>+CO106</f>
        <v>780</v>
      </c>
      <c r="CQ104" s="1402">
        <f>+CP106</f>
        <v>780</v>
      </c>
      <c r="CR104" s="1402"/>
    </row>
    <row r="105" spans="1:96" ht="13.5" customHeight="1">
      <c r="A105" s="317"/>
      <c r="B105" s="317" t="s">
        <v>89</v>
      </c>
      <c r="C105" s="317"/>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c r="AA105" s="318"/>
      <c r="AB105" s="318"/>
      <c r="AC105" s="318"/>
      <c r="AD105" s="318"/>
      <c r="AE105" s="318"/>
      <c r="AF105" s="318"/>
      <c r="AG105" s="318"/>
      <c r="AH105" s="318"/>
      <c r="AI105" s="335"/>
      <c r="AJ105" s="318"/>
      <c r="AK105" s="1405"/>
      <c r="AL105" s="336"/>
      <c r="AM105" s="319"/>
      <c r="AN105" s="1402"/>
      <c r="AO105" s="319"/>
      <c r="AP105" s="1405"/>
      <c r="AQ105" s="336"/>
      <c r="AR105" s="319"/>
      <c r="AS105" s="1402"/>
      <c r="AT105" s="336"/>
      <c r="AU105" s="1405"/>
      <c r="AV105" s="336"/>
      <c r="AW105" s="319"/>
      <c r="AX105" s="1402"/>
      <c r="AY105" s="336"/>
      <c r="AZ105" s="1405"/>
      <c r="BA105" s="336"/>
      <c r="BB105" s="319"/>
      <c r="BC105" s="1402"/>
      <c r="BD105" s="336"/>
      <c r="BE105" s="1405"/>
      <c r="BF105" s="336"/>
      <c r="BG105" s="319"/>
      <c r="BH105" s="1402"/>
      <c r="BI105" s="336"/>
      <c r="BJ105" s="1405"/>
      <c r="BK105" s="336"/>
      <c r="BL105" s="319"/>
      <c r="BM105" s="1402"/>
      <c r="BN105" s="336"/>
      <c r="BO105" s="1405"/>
      <c r="BP105" s="336"/>
      <c r="BQ105" s="319"/>
      <c r="BR105" s="1402"/>
      <c r="BS105" s="336"/>
      <c r="BT105" s="1405"/>
      <c r="BU105" s="742">
        <f>BU106-BU104</f>
        <v>0</v>
      </c>
      <c r="BV105" s="742">
        <f>BV106-BV104</f>
        <v>0</v>
      </c>
      <c r="BW105" s="1441">
        <f>BW106-BW104</f>
        <v>0</v>
      </c>
      <c r="BX105" s="336"/>
      <c r="BY105" s="1440">
        <f>BY106-BY104</f>
        <v>0</v>
      </c>
      <c r="BZ105" s="742">
        <f>BZ106-BZ104</f>
        <v>0</v>
      </c>
      <c r="CA105" s="742">
        <f>CA106-CA104</f>
        <v>0</v>
      </c>
      <c r="CB105" s="1404">
        <f>CB106-CB104</f>
        <v>-200</v>
      </c>
      <c r="CC105" s="336"/>
      <c r="CD105" s="1403">
        <v>0</v>
      </c>
      <c r="CE105" s="662">
        <v>0</v>
      </c>
      <c r="CF105" s="662">
        <v>0</v>
      </c>
      <c r="CG105" s="1404">
        <v>0</v>
      </c>
      <c r="CH105" s="336"/>
      <c r="CI105" s="1403">
        <v>0</v>
      </c>
      <c r="CJ105" s="662">
        <v>0</v>
      </c>
      <c r="CK105" s="662">
        <v>0</v>
      </c>
      <c r="CL105" s="1404">
        <v>0</v>
      </c>
      <c r="CM105" s="336"/>
      <c r="CN105" s="1403">
        <v>0</v>
      </c>
      <c r="CO105" s="662">
        <v>0</v>
      </c>
      <c r="CP105" s="662">
        <v>0</v>
      </c>
      <c r="CQ105" s="1404">
        <v>0</v>
      </c>
      <c r="CR105" s="1402"/>
    </row>
    <row r="106" spans="1:96" ht="13.5" customHeight="1">
      <c r="A106" s="317"/>
      <c r="B106" s="317" t="s">
        <v>90</v>
      </c>
      <c r="C106" s="317"/>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c r="AA106" s="318"/>
      <c r="AB106" s="318"/>
      <c r="AC106" s="318"/>
      <c r="AD106" s="318"/>
      <c r="AE106" s="318"/>
      <c r="AF106" s="318"/>
      <c r="AG106" s="318"/>
      <c r="AH106" s="318"/>
      <c r="AI106" s="335"/>
      <c r="AJ106" s="318"/>
      <c r="AK106" s="1405"/>
      <c r="AL106" s="336"/>
      <c r="AM106" s="319"/>
      <c r="AN106" s="1402"/>
      <c r="AO106" s="319"/>
      <c r="AP106" s="1405"/>
      <c r="AQ106" s="336"/>
      <c r="AR106" s="319"/>
      <c r="AS106" s="1402"/>
      <c r="AT106" s="336"/>
      <c r="AU106" s="1405"/>
      <c r="AV106" s="336"/>
      <c r="AW106" s="319"/>
      <c r="AX106" s="1402"/>
      <c r="AY106" s="336"/>
      <c r="AZ106" s="1405"/>
      <c r="BA106" s="336"/>
      <c r="BB106" s="319"/>
      <c r="BC106" s="1402"/>
      <c r="BD106" s="336"/>
      <c r="BE106" s="1405"/>
      <c r="BF106" s="336"/>
      <c r="BG106" s="319"/>
      <c r="BH106" s="1402"/>
      <c r="BI106" s="336"/>
      <c r="BJ106" s="1405"/>
      <c r="BK106" s="336"/>
      <c r="BL106" s="319"/>
      <c r="BM106" s="1402"/>
      <c r="BN106" s="336"/>
      <c r="BO106" s="1405"/>
      <c r="BP106" s="336"/>
      <c r="BQ106" s="319"/>
      <c r="BR106" s="1402"/>
      <c r="BS106" s="336"/>
      <c r="BT106" s="1405"/>
      <c r="BU106" s="662">
        <v>980</v>
      </c>
      <c r="BV106" s="662">
        <v>980</v>
      </c>
      <c r="BW106" s="1404">
        <v>980</v>
      </c>
      <c r="BX106" s="343">
        <f>+BW106</f>
        <v>980</v>
      </c>
      <c r="BY106" s="1403">
        <v>980</v>
      </c>
      <c r="BZ106" s="662">
        <v>980</v>
      </c>
      <c r="CA106" s="662">
        <v>980</v>
      </c>
      <c r="CB106" s="1404">
        <v>780</v>
      </c>
      <c r="CC106" s="343">
        <f>+CB106</f>
        <v>780</v>
      </c>
      <c r="CD106" s="1401">
        <f>+CD104+CD105</f>
        <v>780</v>
      </c>
      <c r="CE106" s="336">
        <f>+CE104+CE105</f>
        <v>780</v>
      </c>
      <c r="CF106" s="336">
        <f>+CF104+CF105</f>
        <v>780</v>
      </c>
      <c r="CG106" s="1402">
        <f>+CG104+CG105</f>
        <v>780</v>
      </c>
      <c r="CH106" s="343">
        <f>+CG106</f>
        <v>780</v>
      </c>
      <c r="CI106" s="1401">
        <f>+CI104+CI105</f>
        <v>780</v>
      </c>
      <c r="CJ106" s="336">
        <f>+CJ104+CJ105</f>
        <v>780</v>
      </c>
      <c r="CK106" s="336">
        <f>+CK104+CK105</f>
        <v>780</v>
      </c>
      <c r="CL106" s="1402">
        <f>+CL104+CL105</f>
        <v>780</v>
      </c>
      <c r="CM106" s="343">
        <f>+CL106</f>
        <v>780</v>
      </c>
      <c r="CN106" s="1401">
        <f>+CN104+CN105</f>
        <v>780</v>
      </c>
      <c r="CO106" s="336">
        <f>+CO104+CO105</f>
        <v>780</v>
      </c>
      <c r="CP106" s="336">
        <f>+CP104+CP105</f>
        <v>780</v>
      </c>
      <c r="CQ106" s="1402">
        <f>+CQ104+CQ105</f>
        <v>780</v>
      </c>
      <c r="CR106" s="1451">
        <f>+CQ106</f>
        <v>780</v>
      </c>
    </row>
    <row r="107" spans="1:96" ht="13.5" customHeight="1">
      <c r="A107" s="317"/>
      <c r="B107" s="317" t="s">
        <v>91</v>
      </c>
      <c r="C107" s="317"/>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c r="AA107" s="318"/>
      <c r="AB107" s="318"/>
      <c r="AC107" s="318"/>
      <c r="AD107" s="318"/>
      <c r="AE107" s="318"/>
      <c r="AF107" s="318"/>
      <c r="AG107" s="318"/>
      <c r="AH107" s="318"/>
      <c r="AI107" s="335"/>
      <c r="AJ107" s="318"/>
      <c r="AK107" s="1405"/>
      <c r="AL107" s="336"/>
      <c r="AM107" s="319"/>
      <c r="AN107" s="1402"/>
      <c r="AO107" s="319"/>
      <c r="AP107" s="1405"/>
      <c r="AQ107" s="336"/>
      <c r="AR107" s="319"/>
      <c r="AS107" s="1402"/>
      <c r="AT107" s="336"/>
      <c r="AU107" s="1405"/>
      <c r="AV107" s="336"/>
      <c r="AW107" s="319"/>
      <c r="AX107" s="1402"/>
      <c r="AY107" s="336"/>
      <c r="AZ107" s="1405"/>
      <c r="BA107" s="336"/>
      <c r="BB107" s="319"/>
      <c r="BC107" s="1402"/>
      <c r="BD107" s="336"/>
      <c r="BE107" s="1405"/>
      <c r="BF107" s="336"/>
      <c r="BG107" s="319"/>
      <c r="BH107" s="1402"/>
      <c r="BI107" s="336"/>
      <c r="BJ107" s="1405"/>
      <c r="BK107" s="336"/>
      <c r="BL107" s="319"/>
      <c r="BM107" s="1402"/>
      <c r="BN107" s="336"/>
      <c r="BO107" s="1405"/>
      <c r="BP107" s="336"/>
      <c r="BQ107" s="319"/>
      <c r="BR107" s="1402"/>
      <c r="BS107" s="336"/>
      <c r="BT107" s="1405"/>
      <c r="BU107" s="336">
        <f>+AVERAGE(BU104,BU106)</f>
        <v>980</v>
      </c>
      <c r="BV107" s="336">
        <f>+AVERAGE(BV104,BV106)</f>
        <v>980</v>
      </c>
      <c r="BW107" s="1402">
        <f>+AVERAGE(BW104,BW106)</f>
        <v>980</v>
      </c>
      <c r="BX107" s="336"/>
      <c r="BY107" s="1401">
        <f>+AVERAGE(BY104,BY106)</f>
        <v>980</v>
      </c>
      <c r="BZ107" s="336">
        <f>+AVERAGE(BZ104,BZ106)</f>
        <v>980</v>
      </c>
      <c r="CA107" s="336">
        <f>+AVERAGE(CA104,CA106)</f>
        <v>980</v>
      </c>
      <c r="CB107" s="1402">
        <f>+AVERAGE(CB104,CB106)</f>
        <v>880</v>
      </c>
      <c r="CC107" s="336"/>
      <c r="CD107" s="1401">
        <f>+AVERAGE(CD104,CD106)</f>
        <v>780</v>
      </c>
      <c r="CE107" s="336">
        <f>+AVERAGE(CE104,CE106)</f>
        <v>780</v>
      </c>
      <c r="CF107" s="336">
        <f>+AVERAGE(CF104,CF106)</f>
        <v>780</v>
      </c>
      <c r="CG107" s="1402">
        <f>+AVERAGE(CG104,CG106)</f>
        <v>780</v>
      </c>
      <c r="CH107" s="336"/>
      <c r="CI107" s="1401">
        <f>+AVERAGE(CI104,CI106)</f>
        <v>780</v>
      </c>
      <c r="CJ107" s="336">
        <f>+AVERAGE(CJ104,CJ106)</f>
        <v>780</v>
      </c>
      <c r="CK107" s="336">
        <f>+AVERAGE(CK104,CK106)</f>
        <v>780</v>
      </c>
      <c r="CL107" s="1402">
        <f>+AVERAGE(CL104,CL106)</f>
        <v>780</v>
      </c>
      <c r="CM107" s="336"/>
      <c r="CN107" s="1401">
        <f>+AVERAGE(CN104,CN106)</f>
        <v>780</v>
      </c>
      <c r="CO107" s="336">
        <f>+AVERAGE(CO104,CO106)</f>
        <v>780</v>
      </c>
      <c r="CP107" s="336">
        <f>+AVERAGE(CP104,CP106)</f>
        <v>780</v>
      </c>
      <c r="CQ107" s="1402">
        <f>+AVERAGE(CQ104,CQ106)</f>
        <v>780</v>
      </c>
      <c r="CR107" s="1402"/>
    </row>
    <row r="108" spans="1:96" ht="13.5" customHeight="1">
      <c r="A108" s="317"/>
      <c r="B108" s="317" t="s">
        <v>92</v>
      </c>
      <c r="C108" s="317"/>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318"/>
      <c r="AG108" s="318"/>
      <c r="AH108" s="318"/>
      <c r="AI108" s="335"/>
      <c r="AJ108" s="318"/>
      <c r="AK108" s="1405"/>
      <c r="AL108" s="336"/>
      <c r="AM108" s="319"/>
      <c r="AN108" s="1402"/>
      <c r="AO108" s="319"/>
      <c r="AP108" s="1405"/>
      <c r="AQ108" s="336"/>
      <c r="AR108" s="319"/>
      <c r="AS108" s="1402"/>
      <c r="AT108" s="336"/>
      <c r="AU108" s="1405"/>
      <c r="AV108" s="336"/>
      <c r="AW108" s="319"/>
      <c r="AX108" s="1402"/>
      <c r="AY108" s="336"/>
      <c r="AZ108" s="1405"/>
      <c r="BA108" s="336"/>
      <c r="BB108" s="319"/>
      <c r="BC108" s="1402"/>
      <c r="BD108" s="336"/>
      <c r="BE108" s="1405"/>
      <c r="BF108" s="336"/>
      <c r="BG108" s="319"/>
      <c r="BH108" s="1402"/>
      <c r="BI108" s="336"/>
      <c r="BJ108" s="1405"/>
      <c r="BK108" s="336"/>
      <c r="BL108" s="319"/>
      <c r="BM108" s="1402"/>
      <c r="BN108" s="336"/>
      <c r="BO108" s="1405"/>
      <c r="BP108" s="336"/>
      <c r="BQ108" s="319"/>
      <c r="BR108" s="1402"/>
      <c r="BS108" s="336"/>
      <c r="BT108" s="1405"/>
      <c r="BU108" s="336">
        <f>+BU107*$G103/4</f>
        <v>20.518750000000001</v>
      </c>
      <c r="BV108" s="336">
        <f>+BV107*$G103/4</f>
        <v>20.518750000000001</v>
      </c>
      <c r="BW108" s="1402">
        <f>+BW107*$G103/4</f>
        <v>20.518750000000001</v>
      </c>
      <c r="BX108" s="336"/>
      <c r="BY108" s="1401">
        <f>+BY107*$G103/4</f>
        <v>20.518750000000001</v>
      </c>
      <c r="BZ108" s="336">
        <f>+BZ107*$G103/4</f>
        <v>20.518750000000001</v>
      </c>
      <c r="CA108" s="336">
        <f>+CA107*$G103/4</f>
        <v>20.518750000000001</v>
      </c>
      <c r="CB108" s="1402">
        <f>+CB107*$G103/4</f>
        <v>18.425000000000001</v>
      </c>
      <c r="CC108" s="336"/>
      <c r="CD108" s="1401">
        <f>+CD107*$G103/4</f>
        <v>16.331250000000001</v>
      </c>
      <c r="CE108" s="336">
        <f>+CE107*$G103/4</f>
        <v>16.331250000000001</v>
      </c>
      <c r="CF108" s="336">
        <f>+CF107*$G103/4</f>
        <v>16.331250000000001</v>
      </c>
      <c r="CG108" s="1402">
        <f>+CG107*$G103/4</f>
        <v>16.331250000000001</v>
      </c>
      <c r="CH108" s="336"/>
      <c r="CI108" s="1401">
        <f>+CI107*$G103/4</f>
        <v>16.331250000000001</v>
      </c>
      <c r="CJ108" s="336">
        <f>+CJ107*$G103/4</f>
        <v>16.331250000000001</v>
      </c>
      <c r="CK108" s="336">
        <f>+CK107*$G103/4</f>
        <v>16.331250000000001</v>
      </c>
      <c r="CL108" s="1402">
        <f>+CL107*$G103/4</f>
        <v>16.331250000000001</v>
      </c>
      <c r="CM108" s="336"/>
      <c r="CN108" s="1401">
        <f>+CN107*$G103/4</f>
        <v>16.331250000000001</v>
      </c>
      <c r="CO108" s="336">
        <f>+CO107*$G103/4</f>
        <v>16.331250000000001</v>
      </c>
      <c r="CP108" s="336">
        <f>+CP107*$G103/4</f>
        <v>16.331250000000001</v>
      </c>
      <c r="CQ108" s="1402">
        <f>+CQ107*$G103/4</f>
        <v>16.331250000000001</v>
      </c>
      <c r="CR108" s="1402"/>
    </row>
    <row r="109" spans="1:96" ht="13.5" customHeight="1">
      <c r="A109" s="317"/>
      <c r="B109" s="317" t="s">
        <v>93</v>
      </c>
      <c r="C109" s="317"/>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c r="AA109" s="318"/>
      <c r="AB109" s="318"/>
      <c r="AC109" s="318"/>
      <c r="AD109" s="318"/>
      <c r="AE109" s="318"/>
      <c r="AF109" s="318"/>
      <c r="AG109" s="318"/>
      <c r="AH109" s="318"/>
      <c r="AI109" s="335"/>
      <c r="AJ109" s="318"/>
      <c r="AK109" s="1405"/>
      <c r="AL109" s="336"/>
      <c r="AM109" s="319"/>
      <c r="AN109" s="1402"/>
      <c r="AO109" s="319"/>
      <c r="AP109" s="1405"/>
      <c r="AQ109" s="336"/>
      <c r="AR109" s="319"/>
      <c r="AS109" s="1402"/>
      <c r="AT109" s="336"/>
      <c r="AU109" s="1405"/>
      <c r="AV109" s="336"/>
      <c r="AW109" s="319"/>
      <c r="AX109" s="1402"/>
      <c r="AY109" s="336"/>
      <c r="AZ109" s="1405"/>
      <c r="BA109" s="336"/>
      <c r="BB109" s="319"/>
      <c r="BC109" s="1402"/>
      <c r="BD109" s="336"/>
      <c r="BE109" s="1405"/>
      <c r="BF109" s="336"/>
      <c r="BG109" s="319"/>
      <c r="BH109" s="1402"/>
      <c r="BI109" s="336"/>
      <c r="BJ109" s="1405"/>
      <c r="BK109" s="336"/>
      <c r="BL109" s="319"/>
      <c r="BM109" s="1402"/>
      <c r="BN109" s="336"/>
      <c r="BO109" s="1405"/>
      <c r="BP109" s="336"/>
      <c r="BQ109" s="319"/>
      <c r="BR109" s="1402"/>
      <c r="BS109" s="336"/>
      <c r="BT109" s="1405"/>
      <c r="BU109" s="336">
        <f>+BT108+BU108</f>
        <v>20.518750000000001</v>
      </c>
      <c r="BV109" s="319"/>
      <c r="BW109" s="1402">
        <f>+BV108+BW108</f>
        <v>41.037500000000001</v>
      </c>
      <c r="BX109" s="336"/>
      <c r="BY109" s="1405"/>
      <c r="BZ109" s="336">
        <f>+BY108+BZ108</f>
        <v>41.037500000000001</v>
      </c>
      <c r="CA109" s="319"/>
      <c r="CB109" s="1402">
        <f>+CA108+CB108</f>
        <v>38.943750000000001</v>
      </c>
      <c r="CC109" s="336"/>
      <c r="CD109" s="1405"/>
      <c r="CE109" s="336">
        <f>+CD108+CE108</f>
        <v>32.662500000000001</v>
      </c>
      <c r="CF109" s="319"/>
      <c r="CG109" s="1402">
        <f>+CF108+CG108</f>
        <v>32.662500000000001</v>
      </c>
      <c r="CH109" s="336"/>
      <c r="CI109" s="1405"/>
      <c r="CJ109" s="336">
        <f>+CI108+CJ108</f>
        <v>32.662500000000001</v>
      </c>
      <c r="CK109" s="319"/>
      <c r="CL109" s="1402">
        <f>+CK108+CL108</f>
        <v>32.662500000000001</v>
      </c>
      <c r="CM109" s="336"/>
      <c r="CN109" s="1405"/>
      <c r="CO109" s="336">
        <f>+CN108+CO108</f>
        <v>32.662500000000001</v>
      </c>
      <c r="CP109" s="319"/>
      <c r="CQ109" s="1402">
        <f>+CP108+CQ108</f>
        <v>32.662500000000001</v>
      </c>
      <c r="CR109" s="1402"/>
    </row>
    <row r="110" spans="1:96" ht="6.2" customHeight="1">
      <c r="A110" s="317"/>
      <c r="B110" s="317"/>
      <c r="C110" s="317"/>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c r="AA110" s="318"/>
      <c r="AB110" s="318"/>
      <c r="AC110" s="318"/>
      <c r="AD110" s="318"/>
      <c r="AE110" s="318"/>
      <c r="AF110" s="318"/>
      <c r="AG110" s="318"/>
      <c r="AH110" s="318"/>
      <c r="AI110" s="318"/>
      <c r="AJ110" s="318"/>
      <c r="AK110" s="1405"/>
      <c r="AL110" s="319"/>
      <c r="AM110" s="319"/>
      <c r="AN110" s="1406"/>
      <c r="AO110" s="319"/>
      <c r="AP110" s="1405"/>
      <c r="AQ110" s="319"/>
      <c r="AR110" s="319"/>
      <c r="AS110" s="1406"/>
      <c r="AT110" s="319"/>
      <c r="AU110" s="1405"/>
      <c r="AV110" s="319"/>
      <c r="AW110" s="319"/>
      <c r="AX110" s="1406"/>
      <c r="AY110" s="319"/>
      <c r="AZ110" s="1405"/>
      <c r="BA110" s="319"/>
      <c r="BB110" s="319"/>
      <c r="BC110" s="1406"/>
      <c r="BD110" s="319"/>
      <c r="BE110" s="1405"/>
      <c r="BF110" s="319"/>
      <c r="BG110" s="319"/>
      <c r="BH110" s="1406"/>
      <c r="BI110" s="319"/>
      <c r="BJ110" s="1405"/>
      <c r="BK110" s="319"/>
      <c r="BL110" s="319"/>
      <c r="BM110" s="1406"/>
      <c r="BN110" s="319"/>
      <c r="BO110" s="1405"/>
      <c r="BP110" s="319"/>
      <c r="BQ110" s="319"/>
      <c r="BR110" s="1406"/>
      <c r="BS110" s="319"/>
      <c r="BT110" s="1405"/>
      <c r="BU110" s="319"/>
      <c r="BV110" s="319"/>
      <c r="BW110" s="1406"/>
      <c r="BX110" s="319"/>
      <c r="BY110" s="1405"/>
      <c r="BZ110" s="319"/>
      <c r="CA110" s="319"/>
      <c r="CB110" s="1406"/>
      <c r="CC110" s="319"/>
      <c r="CD110" s="1405"/>
      <c r="CE110" s="319"/>
      <c r="CF110" s="319"/>
      <c r="CG110" s="1406"/>
      <c r="CH110" s="319"/>
      <c r="CI110" s="1405"/>
      <c r="CJ110" s="319"/>
      <c r="CK110" s="319"/>
      <c r="CL110" s="1406"/>
      <c r="CM110" s="319"/>
      <c r="CN110" s="1405"/>
      <c r="CO110" s="319"/>
      <c r="CP110" s="319"/>
      <c r="CQ110" s="1406"/>
      <c r="CR110" s="1406"/>
    </row>
    <row r="111" spans="1:96" ht="13.5" hidden="1" customHeight="1" outlineLevel="1">
      <c r="A111" s="334" t="s">
        <v>104</v>
      </c>
      <c r="B111" s="317"/>
      <c r="C111" s="317"/>
      <c r="D111" s="318"/>
      <c r="E111" s="318"/>
      <c r="F111" s="318"/>
      <c r="G111" s="347">
        <v>0.01</v>
      </c>
      <c r="H111" s="339">
        <v>42369</v>
      </c>
      <c r="I111" s="318"/>
      <c r="J111" s="318"/>
      <c r="K111" s="318"/>
      <c r="L111" s="318"/>
      <c r="M111" s="318"/>
      <c r="N111" s="318"/>
      <c r="O111" s="318"/>
      <c r="P111" s="318"/>
      <c r="Q111" s="318"/>
      <c r="R111" s="318"/>
      <c r="S111" s="318"/>
      <c r="T111" s="318"/>
      <c r="U111" s="318"/>
      <c r="V111" s="318"/>
      <c r="W111" s="318"/>
      <c r="X111" s="318"/>
      <c r="Y111" s="318"/>
      <c r="Z111" s="318"/>
      <c r="AA111" s="318"/>
      <c r="AB111" s="318"/>
      <c r="AC111" s="318"/>
      <c r="AD111" s="318"/>
      <c r="AE111" s="318"/>
      <c r="AF111" s="318"/>
      <c r="AG111" s="318"/>
      <c r="AH111" s="318"/>
      <c r="AI111" s="318"/>
      <c r="AJ111" s="318"/>
      <c r="AK111" s="1405"/>
      <c r="AL111" s="319"/>
      <c r="AM111" s="319"/>
      <c r="AN111" s="1406"/>
      <c r="AO111" s="319"/>
      <c r="AP111" s="1405"/>
      <c r="AQ111" s="319"/>
      <c r="AR111" s="319"/>
      <c r="AS111" s="1406"/>
      <c r="AT111" s="319"/>
      <c r="AU111" s="1405"/>
      <c r="AV111" s="319"/>
      <c r="AW111" s="319"/>
      <c r="AX111" s="1406"/>
      <c r="AY111" s="319"/>
      <c r="AZ111" s="1405"/>
      <c r="BA111" s="319"/>
      <c r="BB111" s="319"/>
      <c r="BC111" s="1406"/>
      <c r="BD111" s="319"/>
      <c r="BE111" s="1405"/>
      <c r="BF111" s="319"/>
      <c r="BG111" s="319"/>
      <c r="BH111" s="1406"/>
      <c r="BI111" s="319"/>
      <c r="BJ111" s="1405"/>
      <c r="BK111" s="319"/>
      <c r="BL111" s="319"/>
      <c r="BM111" s="1406"/>
      <c r="BN111" s="319"/>
      <c r="BO111" s="1405"/>
      <c r="BP111" s="319"/>
      <c r="BQ111" s="319"/>
      <c r="BR111" s="1406"/>
      <c r="BS111" s="319"/>
      <c r="BT111" s="1405"/>
      <c r="BU111" s="319"/>
      <c r="BV111" s="319"/>
      <c r="BW111" s="1406"/>
      <c r="BX111" s="319"/>
      <c r="BY111" s="1405"/>
      <c r="BZ111" s="319"/>
      <c r="CA111" s="319"/>
      <c r="CB111" s="1406"/>
      <c r="CC111" s="319"/>
      <c r="CD111" s="1405"/>
      <c r="CE111" s="319"/>
      <c r="CF111" s="319"/>
      <c r="CG111" s="1406"/>
      <c r="CH111" s="319"/>
      <c r="CI111" s="1405"/>
      <c r="CJ111" s="319"/>
      <c r="CK111" s="319"/>
      <c r="CL111" s="1406"/>
      <c r="CM111" s="319"/>
      <c r="CN111" s="1405"/>
      <c r="CO111" s="319"/>
      <c r="CP111" s="319"/>
      <c r="CQ111" s="1406"/>
      <c r="CR111" s="1406"/>
    </row>
    <row r="112" spans="1:96" ht="13.5" hidden="1" customHeight="1" outlineLevel="1">
      <c r="A112" s="349"/>
      <c r="B112" s="327" t="s">
        <v>81</v>
      </c>
      <c r="C112" s="327"/>
      <c r="D112" s="329"/>
      <c r="E112" s="329"/>
      <c r="F112" s="329"/>
      <c r="G112" s="350"/>
      <c r="H112" s="351"/>
      <c r="I112" s="329"/>
      <c r="J112" s="329"/>
      <c r="K112" s="329"/>
      <c r="L112" s="329"/>
      <c r="M112" s="329"/>
      <c r="N112" s="329"/>
      <c r="O112" s="329"/>
      <c r="P112" s="329"/>
      <c r="Q112" s="329"/>
      <c r="R112" s="329"/>
      <c r="S112" s="329"/>
      <c r="T112" s="329"/>
      <c r="U112" s="329"/>
      <c r="V112" s="329"/>
      <c r="W112" s="329"/>
      <c r="X112" s="329"/>
      <c r="Y112" s="329"/>
      <c r="Z112" s="329"/>
      <c r="AA112" s="329"/>
      <c r="AB112" s="329"/>
      <c r="AC112" s="329"/>
      <c r="AD112" s="329"/>
      <c r="AE112" s="329"/>
      <c r="AF112" s="329"/>
      <c r="AG112" s="329"/>
      <c r="AH112" s="329"/>
      <c r="AI112" s="329"/>
      <c r="AJ112" s="329"/>
      <c r="AK112" s="1407">
        <v>1.25</v>
      </c>
      <c r="AL112" s="332">
        <f>AVERAGE(AK8:AL8)</f>
        <v>1.2097</v>
      </c>
      <c r="AM112" s="332">
        <f>AVERAGE(AL8:AM8)</f>
        <v>1.1173</v>
      </c>
      <c r="AN112" s="1408">
        <f>AVERAGE(AM8:AN8)</f>
        <v>1.0608</v>
      </c>
      <c r="AO112" s="352"/>
      <c r="AP112" s="1436">
        <f>AVERAGE(AN8,AP8)</f>
        <v>1.0314000000000001</v>
      </c>
      <c r="AQ112" s="332">
        <f>AVERAGE(AP8:AQ8)</f>
        <v>1.0385499999999999</v>
      </c>
      <c r="AR112" s="332">
        <f>AVERAGE(AQ8:AR8)</f>
        <v>1.0442</v>
      </c>
      <c r="AS112" s="1408">
        <f>AVERAGE(AR8:AS8)</f>
        <v>1.0258</v>
      </c>
      <c r="AT112" s="352"/>
      <c r="AU112" s="1436">
        <f>AVERAGE(AS8,AU8)</f>
        <v>1.0258</v>
      </c>
      <c r="AV112" s="332">
        <f>AVERAGE(AU8:AV8)</f>
        <v>1.0258</v>
      </c>
      <c r="AW112" s="332">
        <f>AVERAGE(AV8:AW8)</f>
        <v>1.0258</v>
      </c>
      <c r="AX112" s="1408">
        <f>AVERAGE(AW8:AX8)</f>
        <v>1.0258</v>
      </c>
      <c r="AY112" s="352"/>
      <c r="AZ112" s="1436">
        <f>AVERAGE(AX8,AZ8)</f>
        <v>1.0258</v>
      </c>
      <c r="BA112" s="332">
        <f>AVERAGE(AZ8:BA8)</f>
        <v>1.0258</v>
      </c>
      <c r="BB112" s="332">
        <f>AVERAGE(BA8:BB8)</f>
        <v>1.0258</v>
      </c>
      <c r="BC112" s="1408">
        <f>AVERAGE(BB8:BC8)</f>
        <v>1.0258</v>
      </c>
      <c r="BD112" s="352"/>
      <c r="BE112" s="1436">
        <f>AVERAGE(BC8,BE8)</f>
        <v>1.0258</v>
      </c>
      <c r="BF112" s="332">
        <f>AVERAGE(BE8:BF8)</f>
        <v>1.0379</v>
      </c>
      <c r="BG112" s="332">
        <f>AVERAGE(BF8:BG8)</f>
        <v>1.05</v>
      </c>
      <c r="BH112" s="1408">
        <f>AVERAGE(BG8:BH8)</f>
        <v>1.05</v>
      </c>
      <c r="BI112" s="352"/>
      <c r="BJ112" s="1436">
        <f>AVERAGE(BH8,BJ8)</f>
        <v>1.05</v>
      </c>
      <c r="BK112" s="332">
        <f>AVERAGE(BJ8:BK8)</f>
        <v>1.05</v>
      </c>
      <c r="BL112" s="332">
        <f>AVERAGE(BK8:BL8)</f>
        <v>1.05</v>
      </c>
      <c r="BM112" s="1408">
        <f>AVERAGE(BL8:BM8)</f>
        <v>1.05</v>
      </c>
      <c r="BN112" s="352"/>
      <c r="BO112" s="1436">
        <f>AVERAGE(BM8,BO8)</f>
        <v>1.05</v>
      </c>
      <c r="BP112" s="332">
        <f>AVERAGE(BO8:BP8)</f>
        <v>1.05</v>
      </c>
      <c r="BQ112" s="332">
        <f>AVERAGE(BP8:BQ8)</f>
        <v>1.05</v>
      </c>
      <c r="BR112" s="1408">
        <f>AVERAGE(BQ8:BR8)</f>
        <v>1.05</v>
      </c>
      <c r="BS112" s="352"/>
      <c r="BT112" s="1436">
        <f>AVERAGE(BR8,BT8)</f>
        <v>1.05</v>
      </c>
      <c r="BU112" s="332">
        <f>AVERAGE(BT8:BU8)</f>
        <v>1.05</v>
      </c>
      <c r="BV112" s="332">
        <f>AVERAGE(BU8:BV8)</f>
        <v>1.05</v>
      </c>
      <c r="BW112" s="1408">
        <f>AVERAGE(BV8:BW8)</f>
        <v>1.05</v>
      </c>
      <c r="BX112" s="352"/>
      <c r="BY112" s="1436">
        <f>AVERAGE(BW8,BY8)</f>
        <v>1.05</v>
      </c>
      <c r="BZ112" s="332">
        <f>AVERAGE(BY8:BZ8)</f>
        <v>1.05</v>
      </c>
      <c r="CA112" s="332">
        <f>AVERAGE(BZ8:CA8)</f>
        <v>1.05</v>
      </c>
      <c r="CB112" s="1408">
        <f>AVERAGE(CA8:CB8)</f>
        <v>1.05</v>
      </c>
      <c r="CC112" s="352"/>
      <c r="CD112" s="1436">
        <f>AVERAGE(CB8,CD8)</f>
        <v>1.05</v>
      </c>
      <c r="CE112" s="332">
        <f>AVERAGE(CD8:CE8)</f>
        <v>1.05</v>
      </c>
      <c r="CF112" s="332">
        <f>AVERAGE(CE8:CF8)</f>
        <v>1.05</v>
      </c>
      <c r="CG112" s="1408">
        <f>AVERAGE(CF8:CG8)</f>
        <v>1.05</v>
      </c>
      <c r="CH112" s="352"/>
      <c r="CI112" s="1436">
        <f>AVERAGE(CG8,CI8)</f>
        <v>1.05</v>
      </c>
      <c r="CJ112" s="332">
        <f>AVERAGE(CI8:CJ8)</f>
        <v>1.05</v>
      </c>
      <c r="CK112" s="332">
        <f>AVERAGE(CJ8:CK8)</f>
        <v>1.05</v>
      </c>
      <c r="CL112" s="1408">
        <f>AVERAGE(CK8:CL8)</f>
        <v>1.05</v>
      </c>
      <c r="CM112" s="352"/>
      <c r="CN112" s="1436">
        <f>AVERAGE(CL8,CN8)</f>
        <v>1.05</v>
      </c>
      <c r="CO112" s="332">
        <f>AVERAGE(CN8:CO8)</f>
        <v>1.05</v>
      </c>
      <c r="CP112" s="332">
        <f>AVERAGE(CO8:CP8)</f>
        <v>1.05</v>
      </c>
      <c r="CQ112" s="1408">
        <f>AVERAGE(CP8:CQ8)</f>
        <v>1.05</v>
      </c>
      <c r="CR112" s="1452"/>
    </row>
    <row r="113" spans="1:96" ht="13.5" hidden="1" customHeight="1" outlineLevel="1">
      <c r="A113" s="317"/>
      <c r="B113" s="317" t="s">
        <v>105</v>
      </c>
      <c r="C113" s="317"/>
      <c r="D113" s="318"/>
      <c r="E113" s="318"/>
      <c r="F113" s="318"/>
      <c r="G113" s="318"/>
      <c r="H113" s="335"/>
      <c r="I113" s="335"/>
      <c r="J113" s="335"/>
      <c r="K113" s="335"/>
      <c r="L113" s="335"/>
      <c r="M113" s="335"/>
      <c r="N113" s="335"/>
      <c r="O113" s="335"/>
      <c r="P113" s="335"/>
      <c r="Q113" s="335"/>
      <c r="R113" s="335"/>
      <c r="S113" s="335"/>
      <c r="T113" s="335"/>
      <c r="U113" s="335"/>
      <c r="V113" s="335"/>
      <c r="W113" s="335"/>
      <c r="X113" s="335"/>
      <c r="Y113" s="335"/>
      <c r="Z113" s="335"/>
      <c r="AA113" s="335"/>
      <c r="AB113" s="335"/>
      <c r="AC113" s="335"/>
      <c r="AD113" s="335"/>
      <c r="AE113" s="335"/>
      <c r="AF113" s="335"/>
      <c r="AG113" s="335"/>
      <c r="AH113" s="335"/>
      <c r="AI113" s="335"/>
      <c r="AJ113" s="335"/>
      <c r="AK113" s="1401">
        <f>+AJ115</f>
        <v>150</v>
      </c>
      <c r="AL113" s="336">
        <f>+AK115</f>
        <v>150</v>
      </c>
      <c r="AM113" s="336">
        <f>+AL115</f>
        <v>150</v>
      </c>
      <c r="AN113" s="1402">
        <f>+AM115</f>
        <v>150</v>
      </c>
      <c r="AO113" s="336"/>
      <c r="AP113" s="1401">
        <f>+AO115</f>
        <v>150</v>
      </c>
      <c r="AQ113" s="336">
        <f>+AP115</f>
        <v>150</v>
      </c>
      <c r="AR113" s="336">
        <f>+AQ115</f>
        <v>150</v>
      </c>
      <c r="AS113" s="1402">
        <f>+AR115</f>
        <v>150</v>
      </c>
      <c r="AT113" s="336"/>
      <c r="AU113" s="1401">
        <f>+AT115</f>
        <v>150</v>
      </c>
      <c r="AV113" s="336">
        <f>+AU115</f>
        <v>150</v>
      </c>
      <c r="AW113" s="336">
        <f>+AV115</f>
        <v>150</v>
      </c>
      <c r="AX113" s="1402">
        <f>+AW115</f>
        <v>150</v>
      </c>
      <c r="AY113" s="336"/>
      <c r="AZ113" s="1401">
        <f>+AY115</f>
        <v>150</v>
      </c>
      <c r="BA113" s="336">
        <f>+AZ115</f>
        <v>150</v>
      </c>
      <c r="BB113" s="336">
        <f>+BA115</f>
        <v>150</v>
      </c>
      <c r="BC113" s="1402">
        <f>+BB115</f>
        <v>150</v>
      </c>
      <c r="BD113" s="336"/>
      <c r="BE113" s="1401">
        <f>+BD115</f>
        <v>150</v>
      </c>
      <c r="BF113" s="336">
        <f>+BE115</f>
        <v>150</v>
      </c>
      <c r="BG113" s="336">
        <f>+BF115</f>
        <v>150</v>
      </c>
      <c r="BH113" s="1402">
        <f>+BG115</f>
        <v>150</v>
      </c>
      <c r="BI113" s="336"/>
      <c r="BJ113" s="1401">
        <f>+BI115</f>
        <v>150</v>
      </c>
      <c r="BK113" s="336">
        <f>+BJ115</f>
        <v>150</v>
      </c>
      <c r="BL113" s="336">
        <f>+BK115</f>
        <v>150</v>
      </c>
      <c r="BM113" s="1402">
        <f>+BL115</f>
        <v>0</v>
      </c>
      <c r="BN113" s="336"/>
      <c r="BO113" s="1401">
        <f>+BN115</f>
        <v>0</v>
      </c>
      <c r="BP113" s="336">
        <f>+BO115</f>
        <v>0</v>
      </c>
      <c r="BQ113" s="336">
        <f>+BP115</f>
        <v>0</v>
      </c>
      <c r="BR113" s="1402">
        <f>+BQ115</f>
        <v>0</v>
      </c>
      <c r="BS113" s="336"/>
      <c r="BT113" s="1401">
        <f>+BS115</f>
        <v>0</v>
      </c>
      <c r="BU113" s="336">
        <f>+BT115</f>
        <v>0</v>
      </c>
      <c r="BV113" s="336">
        <f>+BU115</f>
        <v>0</v>
      </c>
      <c r="BW113" s="1402">
        <f>+BV115</f>
        <v>0</v>
      </c>
      <c r="BX113" s="336"/>
      <c r="BY113" s="1401">
        <f>+BX115</f>
        <v>0</v>
      </c>
      <c r="BZ113" s="336">
        <f>+BY115</f>
        <v>0</v>
      </c>
      <c r="CA113" s="336">
        <f>+BZ115</f>
        <v>0</v>
      </c>
      <c r="CB113" s="1402">
        <f>+CA115</f>
        <v>0</v>
      </c>
      <c r="CC113" s="336"/>
      <c r="CD113" s="1401">
        <f>+CC115</f>
        <v>0</v>
      </c>
      <c r="CE113" s="336">
        <f>+CD115</f>
        <v>0</v>
      </c>
      <c r="CF113" s="336">
        <f>+CE115</f>
        <v>0</v>
      </c>
      <c r="CG113" s="1402">
        <f>+CF115</f>
        <v>0</v>
      </c>
      <c r="CH113" s="336"/>
      <c r="CI113" s="1401">
        <f>+CH115</f>
        <v>0</v>
      </c>
      <c r="CJ113" s="336">
        <f>+CI115</f>
        <v>0</v>
      </c>
      <c r="CK113" s="336">
        <f>+CJ115</f>
        <v>0</v>
      </c>
      <c r="CL113" s="1402">
        <f>+CK115</f>
        <v>0</v>
      </c>
      <c r="CM113" s="336"/>
      <c r="CN113" s="1401">
        <f>+CM115</f>
        <v>0</v>
      </c>
      <c r="CO113" s="336">
        <f>+CN115</f>
        <v>0</v>
      </c>
      <c r="CP113" s="336">
        <f>+CO115</f>
        <v>0</v>
      </c>
      <c r="CQ113" s="1402">
        <f>+CP115</f>
        <v>0</v>
      </c>
      <c r="CR113" s="1402"/>
    </row>
    <row r="114" spans="1:96" ht="13.5" hidden="1" customHeight="1" outlineLevel="1">
      <c r="A114" s="317"/>
      <c r="B114" s="317" t="s">
        <v>89</v>
      </c>
      <c r="C114" s="317"/>
      <c r="D114" s="318"/>
      <c r="E114" s="318"/>
      <c r="F114" s="318"/>
      <c r="G114" s="318"/>
      <c r="H114" s="335"/>
      <c r="I114" s="335"/>
      <c r="J114" s="335"/>
      <c r="K114" s="335"/>
      <c r="L114" s="335"/>
      <c r="M114" s="335"/>
      <c r="N114" s="335"/>
      <c r="O114" s="335"/>
      <c r="P114" s="335"/>
      <c r="Q114" s="335"/>
      <c r="R114" s="335"/>
      <c r="S114" s="335"/>
      <c r="T114" s="335"/>
      <c r="U114" s="335"/>
      <c r="V114" s="335"/>
      <c r="W114" s="335"/>
      <c r="X114" s="335"/>
      <c r="Y114" s="335"/>
      <c r="Z114" s="335"/>
      <c r="AA114" s="335"/>
      <c r="AB114" s="335"/>
      <c r="AC114" s="335"/>
      <c r="AD114" s="335"/>
      <c r="AE114" s="335"/>
      <c r="AF114" s="335"/>
      <c r="AG114" s="335"/>
      <c r="AH114" s="335"/>
      <c r="AI114" s="663">
        <v>0</v>
      </c>
      <c r="AJ114" s="335"/>
      <c r="AK114" s="1403">
        <v>0</v>
      </c>
      <c r="AL114" s="662">
        <v>0</v>
      </c>
      <c r="AM114" s="662">
        <v>0</v>
      </c>
      <c r="AN114" s="1404">
        <v>0</v>
      </c>
      <c r="AO114" s="336"/>
      <c r="AP114" s="1403">
        <v>0</v>
      </c>
      <c r="AQ114" s="662">
        <v>0</v>
      </c>
      <c r="AR114" s="662">
        <v>0</v>
      </c>
      <c r="AS114" s="1404">
        <v>0</v>
      </c>
      <c r="AT114" s="336"/>
      <c r="AU114" s="1403">
        <v>0</v>
      </c>
      <c r="AV114" s="662">
        <v>0</v>
      </c>
      <c r="AW114" s="662">
        <v>0</v>
      </c>
      <c r="AX114" s="1404">
        <v>0</v>
      </c>
      <c r="AY114" s="336"/>
      <c r="AZ114" s="1403">
        <v>0</v>
      </c>
      <c r="BA114" s="662">
        <v>0</v>
      </c>
      <c r="BB114" s="662">
        <v>0</v>
      </c>
      <c r="BC114" s="1404">
        <v>0</v>
      </c>
      <c r="BD114" s="336"/>
      <c r="BE114" s="1403">
        <v>0</v>
      </c>
      <c r="BF114" s="662">
        <v>0</v>
      </c>
      <c r="BG114" s="662">
        <v>0</v>
      </c>
      <c r="BH114" s="1404">
        <v>0</v>
      </c>
      <c r="BI114" s="336"/>
      <c r="BJ114" s="1403">
        <v>0</v>
      </c>
      <c r="BK114" s="662">
        <v>0</v>
      </c>
      <c r="BL114" s="662">
        <v>-150</v>
      </c>
      <c r="BM114" s="1404">
        <v>0</v>
      </c>
      <c r="BN114" s="336"/>
      <c r="BO114" s="1403">
        <v>0</v>
      </c>
      <c r="BP114" s="662">
        <v>0</v>
      </c>
      <c r="BQ114" s="662">
        <v>0</v>
      </c>
      <c r="BR114" s="1404">
        <v>0</v>
      </c>
      <c r="BS114" s="336"/>
      <c r="BT114" s="1403">
        <v>0</v>
      </c>
      <c r="BU114" s="662">
        <v>0</v>
      </c>
      <c r="BV114" s="662">
        <v>0</v>
      </c>
      <c r="BW114" s="1404">
        <v>0</v>
      </c>
      <c r="BX114" s="336"/>
      <c r="BY114" s="1403">
        <v>0</v>
      </c>
      <c r="BZ114" s="662">
        <v>0</v>
      </c>
      <c r="CA114" s="662">
        <v>0</v>
      </c>
      <c r="CB114" s="1404">
        <v>0</v>
      </c>
      <c r="CC114" s="336"/>
      <c r="CD114" s="1403">
        <v>0</v>
      </c>
      <c r="CE114" s="662">
        <v>0</v>
      </c>
      <c r="CF114" s="662">
        <v>0</v>
      </c>
      <c r="CG114" s="1404">
        <v>0</v>
      </c>
      <c r="CH114" s="336"/>
      <c r="CI114" s="1403">
        <v>0</v>
      </c>
      <c r="CJ114" s="662">
        <v>0</v>
      </c>
      <c r="CK114" s="662">
        <v>0</v>
      </c>
      <c r="CL114" s="1404">
        <v>0</v>
      </c>
      <c r="CM114" s="336"/>
      <c r="CN114" s="1403">
        <v>0</v>
      </c>
      <c r="CO114" s="662">
        <v>0</v>
      </c>
      <c r="CP114" s="662">
        <v>0</v>
      </c>
      <c r="CQ114" s="1404">
        <v>0</v>
      </c>
      <c r="CR114" s="1402"/>
    </row>
    <row r="115" spans="1:96" ht="13.5" hidden="1" customHeight="1" outlineLevel="1">
      <c r="A115" s="317"/>
      <c r="B115" s="317" t="s">
        <v>90</v>
      </c>
      <c r="C115" s="317"/>
      <c r="D115" s="318"/>
      <c r="E115" s="318"/>
      <c r="F115" s="318"/>
      <c r="G115" s="318"/>
      <c r="H115" s="348">
        <v>0</v>
      </c>
      <c r="I115" s="348"/>
      <c r="J115" s="348"/>
      <c r="K115" s="348"/>
      <c r="L115" s="348"/>
      <c r="M115" s="348"/>
      <c r="N115" s="348"/>
      <c r="O115" s="348"/>
      <c r="P115" s="348"/>
      <c r="Q115" s="348"/>
      <c r="R115" s="348"/>
      <c r="S115" s="348"/>
      <c r="T115" s="348"/>
      <c r="U115" s="348"/>
      <c r="V115" s="348"/>
      <c r="W115" s="348"/>
      <c r="X115" s="348"/>
      <c r="Y115" s="348"/>
      <c r="Z115" s="348"/>
      <c r="AA115" s="348"/>
      <c r="AB115" s="348"/>
      <c r="AC115" s="348"/>
      <c r="AD115" s="348"/>
      <c r="AE115" s="348"/>
      <c r="AF115" s="348"/>
      <c r="AG115" s="348"/>
      <c r="AH115" s="348"/>
      <c r="AI115" s="663">
        <v>150</v>
      </c>
      <c r="AJ115" s="335">
        <f>+AI115</f>
        <v>150</v>
      </c>
      <c r="AK115" s="1401">
        <f>+AK113+AK114</f>
        <v>150</v>
      </c>
      <c r="AL115" s="336">
        <f>+AL113+AL114</f>
        <v>150</v>
      </c>
      <c r="AM115" s="336">
        <f>+AM113+AM114</f>
        <v>150</v>
      </c>
      <c r="AN115" s="1402">
        <f>+AN113+AN114</f>
        <v>150</v>
      </c>
      <c r="AO115" s="343">
        <f>+AN115</f>
        <v>150</v>
      </c>
      <c r="AP115" s="1401">
        <f>+AP113+AP114</f>
        <v>150</v>
      </c>
      <c r="AQ115" s="336">
        <f>+AQ113+AQ114</f>
        <v>150</v>
      </c>
      <c r="AR115" s="336">
        <f>+AR113+AR114</f>
        <v>150</v>
      </c>
      <c r="AS115" s="1402">
        <f>+AS113+AS114</f>
        <v>150</v>
      </c>
      <c r="AT115" s="343">
        <f>+AS115</f>
        <v>150</v>
      </c>
      <c r="AU115" s="1401">
        <f>+AU113+AU114</f>
        <v>150</v>
      </c>
      <c r="AV115" s="336">
        <f>+AV113+AV114</f>
        <v>150</v>
      </c>
      <c r="AW115" s="336">
        <f>+AW113+AW114</f>
        <v>150</v>
      </c>
      <c r="AX115" s="1402">
        <f>+AX113+AX114</f>
        <v>150</v>
      </c>
      <c r="AY115" s="343">
        <f>+AX115</f>
        <v>150</v>
      </c>
      <c r="AZ115" s="1401">
        <f>+AZ113+AZ114</f>
        <v>150</v>
      </c>
      <c r="BA115" s="336">
        <f>+BA113+BA114</f>
        <v>150</v>
      </c>
      <c r="BB115" s="336">
        <f>+BB113+BB114</f>
        <v>150</v>
      </c>
      <c r="BC115" s="1402">
        <f>+BC113+BC114</f>
        <v>150</v>
      </c>
      <c r="BD115" s="343">
        <f>+BC115</f>
        <v>150</v>
      </c>
      <c r="BE115" s="1401">
        <f>+BE113+BE114</f>
        <v>150</v>
      </c>
      <c r="BF115" s="336">
        <f>+BF113+BF114</f>
        <v>150</v>
      </c>
      <c r="BG115" s="336">
        <f>+BG113+BG114</f>
        <v>150</v>
      </c>
      <c r="BH115" s="1402">
        <f>+BH113+BH114</f>
        <v>150</v>
      </c>
      <c r="BI115" s="343">
        <f>+BH115</f>
        <v>150</v>
      </c>
      <c r="BJ115" s="1401">
        <f>+BJ113+BJ114</f>
        <v>150</v>
      </c>
      <c r="BK115" s="336">
        <f>+BK113+BK114</f>
        <v>150</v>
      </c>
      <c r="BL115" s="336">
        <f>+BL113+BL114</f>
        <v>0</v>
      </c>
      <c r="BM115" s="1402">
        <f>+BM113+BM114</f>
        <v>0</v>
      </c>
      <c r="BN115" s="343">
        <f>+BM115</f>
        <v>0</v>
      </c>
      <c r="BO115" s="1401">
        <f>+BO113+BO114</f>
        <v>0</v>
      </c>
      <c r="BP115" s="336">
        <f>+BP113+BP114</f>
        <v>0</v>
      </c>
      <c r="BQ115" s="336">
        <f>+BQ113+BQ114</f>
        <v>0</v>
      </c>
      <c r="BR115" s="1402">
        <f>+BR113+BR114</f>
        <v>0</v>
      </c>
      <c r="BS115" s="343">
        <f>+BR115</f>
        <v>0</v>
      </c>
      <c r="BT115" s="1401">
        <f>+BT113+BT114</f>
        <v>0</v>
      </c>
      <c r="BU115" s="336">
        <f>+BU113+BU114</f>
        <v>0</v>
      </c>
      <c r="BV115" s="336">
        <f>+BV113+BV114</f>
        <v>0</v>
      </c>
      <c r="BW115" s="1402">
        <f>+BW113+BW114</f>
        <v>0</v>
      </c>
      <c r="BX115" s="343">
        <f>+BW115</f>
        <v>0</v>
      </c>
      <c r="BY115" s="1401">
        <f>+BY113+BY114</f>
        <v>0</v>
      </c>
      <c r="BZ115" s="336">
        <f>+BZ113+BZ114</f>
        <v>0</v>
      </c>
      <c r="CA115" s="336">
        <f>+CA113+CA114</f>
        <v>0</v>
      </c>
      <c r="CB115" s="1402">
        <f>+CB113+CB114</f>
        <v>0</v>
      </c>
      <c r="CC115" s="343">
        <f>+CB115</f>
        <v>0</v>
      </c>
      <c r="CD115" s="1401">
        <f>+CD113+CD114</f>
        <v>0</v>
      </c>
      <c r="CE115" s="336">
        <f>+CE113+CE114</f>
        <v>0</v>
      </c>
      <c r="CF115" s="336">
        <f>+CF113+CF114</f>
        <v>0</v>
      </c>
      <c r="CG115" s="1402">
        <f>+CG113+CG114</f>
        <v>0</v>
      </c>
      <c r="CH115" s="343">
        <f>+CG115</f>
        <v>0</v>
      </c>
      <c r="CI115" s="1401">
        <f>+CI113+CI114</f>
        <v>0</v>
      </c>
      <c r="CJ115" s="336">
        <f>+CJ113+CJ114</f>
        <v>0</v>
      </c>
      <c r="CK115" s="336">
        <f>+CK113+CK114</f>
        <v>0</v>
      </c>
      <c r="CL115" s="1402">
        <f>+CL113+CL114</f>
        <v>0</v>
      </c>
      <c r="CM115" s="343">
        <f>+CL115</f>
        <v>0</v>
      </c>
      <c r="CN115" s="1401">
        <f>+CN113+CN114</f>
        <v>0</v>
      </c>
      <c r="CO115" s="336">
        <f>+CO113+CO114</f>
        <v>0</v>
      </c>
      <c r="CP115" s="336">
        <f>+CP113+CP114</f>
        <v>0</v>
      </c>
      <c r="CQ115" s="1402">
        <f>+CQ113+CQ114</f>
        <v>0</v>
      </c>
      <c r="CR115" s="1451">
        <f>+CQ115</f>
        <v>0</v>
      </c>
    </row>
    <row r="116" spans="1:96" ht="13.5" hidden="1" customHeight="1" outlineLevel="1">
      <c r="A116" s="317"/>
      <c r="B116" s="317" t="s">
        <v>91</v>
      </c>
      <c r="C116" s="317"/>
      <c r="D116" s="318"/>
      <c r="E116" s="318"/>
      <c r="F116" s="318"/>
      <c r="G116" s="318"/>
      <c r="H116" s="335"/>
      <c r="I116" s="335"/>
      <c r="J116" s="335"/>
      <c r="K116" s="335"/>
      <c r="L116" s="335"/>
      <c r="M116" s="335"/>
      <c r="N116" s="335"/>
      <c r="O116" s="335"/>
      <c r="P116" s="335"/>
      <c r="Q116" s="335"/>
      <c r="R116" s="335"/>
      <c r="S116" s="335"/>
      <c r="T116" s="335"/>
      <c r="U116" s="335"/>
      <c r="V116" s="335"/>
      <c r="W116" s="335"/>
      <c r="X116" s="335"/>
      <c r="Y116" s="335"/>
      <c r="Z116" s="335"/>
      <c r="AA116" s="335"/>
      <c r="AB116" s="335"/>
      <c r="AC116" s="335"/>
      <c r="AD116" s="335"/>
      <c r="AE116" s="335"/>
      <c r="AF116" s="335"/>
      <c r="AG116" s="335"/>
      <c r="AH116" s="335"/>
      <c r="AI116" s="335"/>
      <c r="AJ116" s="335"/>
      <c r="AK116" s="1401">
        <f>+AVERAGE(AK113,AK115)</f>
        <v>150</v>
      </c>
      <c r="AL116" s="336">
        <f>+AVERAGE(AL113,AL115)</f>
        <v>150</v>
      </c>
      <c r="AM116" s="336">
        <f>+AVERAGE(AM113,AM115)</f>
        <v>150</v>
      </c>
      <c r="AN116" s="1402">
        <f>+AVERAGE(AN113,AN115)</f>
        <v>150</v>
      </c>
      <c r="AO116" s="336"/>
      <c r="AP116" s="1401">
        <f>+AVERAGE(AP113,AP115)</f>
        <v>150</v>
      </c>
      <c r="AQ116" s="336">
        <f>+AVERAGE(AQ113,AQ115)</f>
        <v>150</v>
      </c>
      <c r="AR116" s="336">
        <f>+AVERAGE(AR113,AR115)</f>
        <v>150</v>
      </c>
      <c r="AS116" s="1402">
        <f>+AVERAGE(AS113,AS115)</f>
        <v>150</v>
      </c>
      <c r="AT116" s="336"/>
      <c r="AU116" s="1401">
        <f>+AVERAGE(AU113,AU115)</f>
        <v>150</v>
      </c>
      <c r="AV116" s="336">
        <f>+AVERAGE(AV113,AV115)</f>
        <v>150</v>
      </c>
      <c r="AW116" s="336">
        <f>+AVERAGE(AW113,AW115)</f>
        <v>150</v>
      </c>
      <c r="AX116" s="1402">
        <f>+AVERAGE(AX113,AX115)</f>
        <v>150</v>
      </c>
      <c r="AY116" s="336"/>
      <c r="AZ116" s="1401">
        <f>+AVERAGE(AZ113,AZ115)</f>
        <v>150</v>
      </c>
      <c r="BA116" s="336">
        <f>+AVERAGE(BA113,BA115)</f>
        <v>150</v>
      </c>
      <c r="BB116" s="336">
        <f>+AVERAGE(BB113,BB115)</f>
        <v>150</v>
      </c>
      <c r="BC116" s="1402">
        <f>+AVERAGE(BC113,BC115)</f>
        <v>150</v>
      </c>
      <c r="BD116" s="336"/>
      <c r="BE116" s="1401">
        <f>+AVERAGE(BE113,BE115)</f>
        <v>150</v>
      </c>
      <c r="BF116" s="336">
        <f>+AVERAGE(BF113,BF115)</f>
        <v>150</v>
      </c>
      <c r="BG116" s="336">
        <f>+AVERAGE(BG113,BG115)</f>
        <v>150</v>
      </c>
      <c r="BH116" s="1402">
        <f>+AVERAGE(BH113,BH115)</f>
        <v>150</v>
      </c>
      <c r="BI116" s="336"/>
      <c r="BJ116" s="1401">
        <f>+AVERAGE(BJ113,BJ115)</f>
        <v>150</v>
      </c>
      <c r="BK116" s="336">
        <f>+AVERAGE(BK113,BK115)</f>
        <v>150</v>
      </c>
      <c r="BL116" s="336">
        <f>+AVERAGE(BL113,BL115)</f>
        <v>75</v>
      </c>
      <c r="BM116" s="1402">
        <f>+AVERAGE(BM113,BM115)</f>
        <v>0</v>
      </c>
      <c r="BN116" s="336"/>
      <c r="BO116" s="1401">
        <f>+AVERAGE(BO113,BO115)</f>
        <v>0</v>
      </c>
      <c r="BP116" s="336">
        <f>+AVERAGE(BP113,BP115)</f>
        <v>0</v>
      </c>
      <c r="BQ116" s="336">
        <f>+AVERAGE(BQ113,BQ115)</f>
        <v>0</v>
      </c>
      <c r="BR116" s="1402">
        <f>+AVERAGE(BR113,BR115)</f>
        <v>0</v>
      </c>
      <c r="BS116" s="336"/>
      <c r="BT116" s="1401">
        <f>+AVERAGE(BT113,BT115)</f>
        <v>0</v>
      </c>
      <c r="BU116" s="336">
        <f>+AVERAGE(BU113,BU115)</f>
        <v>0</v>
      </c>
      <c r="BV116" s="336">
        <f>+AVERAGE(BV113,BV115)</f>
        <v>0</v>
      </c>
      <c r="BW116" s="1402">
        <f>+AVERAGE(BW113,BW115)</f>
        <v>0</v>
      </c>
      <c r="BX116" s="336"/>
      <c r="BY116" s="1401">
        <f>+AVERAGE(BY113,BY115)</f>
        <v>0</v>
      </c>
      <c r="BZ116" s="336">
        <f>+AVERAGE(BZ113,BZ115)</f>
        <v>0</v>
      </c>
      <c r="CA116" s="336">
        <f>+AVERAGE(CA113,CA115)</f>
        <v>0</v>
      </c>
      <c r="CB116" s="1402">
        <f>+AVERAGE(CB113,CB115)</f>
        <v>0</v>
      </c>
      <c r="CC116" s="336"/>
      <c r="CD116" s="1401">
        <f>+AVERAGE(CD113,CD115)</f>
        <v>0</v>
      </c>
      <c r="CE116" s="336">
        <f>+AVERAGE(CE113,CE115)</f>
        <v>0</v>
      </c>
      <c r="CF116" s="336">
        <f>+AVERAGE(CF113,CF115)</f>
        <v>0</v>
      </c>
      <c r="CG116" s="1402">
        <f>+AVERAGE(CG113,CG115)</f>
        <v>0</v>
      </c>
      <c r="CH116" s="336"/>
      <c r="CI116" s="1401">
        <f>+AVERAGE(CI113,CI115)</f>
        <v>0</v>
      </c>
      <c r="CJ116" s="336">
        <f>+AVERAGE(CJ113,CJ115)</f>
        <v>0</v>
      </c>
      <c r="CK116" s="336">
        <f>+AVERAGE(CK113,CK115)</f>
        <v>0</v>
      </c>
      <c r="CL116" s="1402">
        <f>+AVERAGE(CL113,CL115)</f>
        <v>0</v>
      </c>
      <c r="CM116" s="336"/>
      <c r="CN116" s="1401">
        <f>+AVERAGE(CN113,CN115)</f>
        <v>0</v>
      </c>
      <c r="CO116" s="336">
        <f>+AVERAGE(CO113,CO115)</f>
        <v>0</v>
      </c>
      <c r="CP116" s="336">
        <f>+AVERAGE(CP113,CP115)</f>
        <v>0</v>
      </c>
      <c r="CQ116" s="1402">
        <f>+AVERAGE(CQ113,CQ115)</f>
        <v>0</v>
      </c>
      <c r="CR116" s="1402"/>
    </row>
    <row r="117" spans="1:96" ht="13.5" hidden="1" customHeight="1" outlineLevel="1">
      <c r="A117" s="317"/>
      <c r="B117" s="317" t="s">
        <v>106</v>
      </c>
      <c r="C117" s="317"/>
      <c r="D117" s="318"/>
      <c r="E117" s="318"/>
      <c r="F117" s="318"/>
      <c r="G117" s="318"/>
      <c r="H117" s="335"/>
      <c r="I117" s="335"/>
      <c r="J117" s="335"/>
      <c r="K117" s="335"/>
      <c r="L117" s="335"/>
      <c r="M117" s="335"/>
      <c r="N117" s="335"/>
      <c r="O117" s="335"/>
      <c r="P117" s="335"/>
      <c r="Q117" s="335"/>
      <c r="R117" s="335"/>
      <c r="S117" s="335"/>
      <c r="T117" s="335"/>
      <c r="U117" s="335"/>
      <c r="V117" s="335"/>
      <c r="W117" s="335"/>
      <c r="X117" s="335"/>
      <c r="Y117" s="335"/>
      <c r="Z117" s="335"/>
      <c r="AA117" s="335"/>
      <c r="AB117" s="335"/>
      <c r="AC117" s="335"/>
      <c r="AD117" s="335"/>
      <c r="AE117" s="335"/>
      <c r="AF117" s="335"/>
      <c r="AG117" s="335"/>
      <c r="AH117" s="335"/>
      <c r="AI117" s="663">
        <f>38*AI8</f>
        <v>46.910999999999994</v>
      </c>
      <c r="AJ117" s="335">
        <f>+AI117</f>
        <v>46.910999999999994</v>
      </c>
      <c r="AK117" s="1401">
        <f>AI117-$AI117/28</f>
        <v>45.235607142857134</v>
      </c>
      <c r="AL117" s="336">
        <f>AK117-$AI117/28</f>
        <v>43.560214285714274</v>
      </c>
      <c r="AM117" s="336">
        <f>AL117-$AI117/28</f>
        <v>41.884821428571414</v>
      </c>
      <c r="AN117" s="1402">
        <f>AM117-$AI117/28</f>
        <v>40.209428571428553</v>
      </c>
      <c r="AO117" s="336"/>
      <c r="AP117" s="1401">
        <f>AN117-$AI117/28</f>
        <v>38.534035714285693</v>
      </c>
      <c r="AQ117" s="336">
        <f>AP117-$AI117/28</f>
        <v>36.858642857142833</v>
      </c>
      <c r="AR117" s="336">
        <f>AQ117-$AI117/28</f>
        <v>35.183249999999973</v>
      </c>
      <c r="AS117" s="1402">
        <f>AR117-$AI117/28</f>
        <v>33.507857142857112</v>
      </c>
      <c r="AT117" s="336"/>
      <c r="AU117" s="1401">
        <f>AS117-$AI117/28</f>
        <v>31.832464285714256</v>
      </c>
      <c r="AV117" s="336">
        <f>AU117-$AI117/28</f>
        <v>30.157071428571399</v>
      </c>
      <c r="AW117" s="336">
        <f>AV117-$AI117/28</f>
        <v>28.481678571428542</v>
      </c>
      <c r="AX117" s="1402">
        <f>AW117-$AI117/28</f>
        <v>26.806285714285686</v>
      </c>
      <c r="AY117" s="336"/>
      <c r="AZ117" s="1401">
        <f>AX117-$AI117/28</f>
        <v>25.130892857142829</v>
      </c>
      <c r="BA117" s="336">
        <f>AZ117-$AI117/28</f>
        <v>23.455499999999972</v>
      </c>
      <c r="BB117" s="336">
        <f>BA117-$AI117/28</f>
        <v>21.780107142857116</v>
      </c>
      <c r="BC117" s="1402">
        <f>BB117-$AI117/28</f>
        <v>20.104714285714259</v>
      </c>
      <c r="BD117" s="336"/>
      <c r="BE117" s="1401">
        <f>BC117-$AI117/28</f>
        <v>18.429321428571402</v>
      </c>
      <c r="BF117" s="336">
        <f>BE117-$AI117/28</f>
        <v>16.753928571428546</v>
      </c>
      <c r="BG117" s="336">
        <f>BF117-$AI117/28</f>
        <v>15.078535714285689</v>
      </c>
      <c r="BH117" s="1402">
        <f>BG117-$AI117/28</f>
        <v>13.403142857142832</v>
      </c>
      <c r="BI117" s="336"/>
      <c r="BJ117" s="1401">
        <f>BH117-$AI117/28</f>
        <v>11.727749999999975</v>
      </c>
      <c r="BK117" s="336">
        <f>BJ117-$AI117/28</f>
        <v>10.052357142857119</v>
      </c>
      <c r="BL117" s="336">
        <f>BK117-$AI117/28</f>
        <v>8.3769642857142621</v>
      </c>
      <c r="BM117" s="1402">
        <f>BL117-$AI117/28</f>
        <v>6.7015714285714054</v>
      </c>
      <c r="BN117" s="336"/>
      <c r="BO117" s="1403">
        <v>0</v>
      </c>
      <c r="BP117" s="662">
        <v>0</v>
      </c>
      <c r="BQ117" s="662">
        <v>0</v>
      </c>
      <c r="BR117" s="1404">
        <v>0</v>
      </c>
      <c r="BS117" s="336"/>
      <c r="BT117" s="1403">
        <v>0</v>
      </c>
      <c r="BU117" s="662">
        <v>0</v>
      </c>
      <c r="BV117" s="662">
        <v>0</v>
      </c>
      <c r="BW117" s="1404">
        <v>0</v>
      </c>
      <c r="BX117" s="336"/>
      <c r="BY117" s="1403">
        <v>0</v>
      </c>
      <c r="BZ117" s="662">
        <v>0</v>
      </c>
      <c r="CA117" s="662">
        <v>0</v>
      </c>
      <c r="CB117" s="1404">
        <v>0</v>
      </c>
      <c r="CC117" s="336"/>
      <c r="CD117" s="1403">
        <v>0</v>
      </c>
      <c r="CE117" s="662">
        <v>0</v>
      </c>
      <c r="CF117" s="662">
        <v>0</v>
      </c>
      <c r="CG117" s="1404">
        <v>0</v>
      </c>
      <c r="CH117" s="336"/>
      <c r="CI117" s="1403">
        <v>0</v>
      </c>
      <c r="CJ117" s="662">
        <v>0</v>
      </c>
      <c r="CK117" s="662">
        <v>0</v>
      </c>
      <c r="CL117" s="1404">
        <v>0</v>
      </c>
      <c r="CM117" s="336"/>
      <c r="CN117" s="1403">
        <v>0</v>
      </c>
      <c r="CO117" s="662">
        <v>0</v>
      </c>
      <c r="CP117" s="662">
        <v>0</v>
      </c>
      <c r="CQ117" s="1404">
        <v>0</v>
      </c>
      <c r="CR117" s="1402"/>
    </row>
    <row r="118" spans="1:96" ht="13.5" hidden="1" customHeight="1" outlineLevel="1">
      <c r="A118" s="317"/>
      <c r="B118" s="317" t="s">
        <v>92</v>
      </c>
      <c r="C118" s="317"/>
      <c r="D118" s="318"/>
      <c r="E118" s="318"/>
      <c r="F118" s="318"/>
      <c r="G118" s="318"/>
      <c r="H118" s="335"/>
      <c r="I118" s="335"/>
      <c r="J118" s="335"/>
      <c r="K118" s="335"/>
      <c r="L118" s="335"/>
      <c r="M118" s="335"/>
      <c r="N118" s="335"/>
      <c r="O118" s="335"/>
      <c r="P118" s="335"/>
      <c r="Q118" s="335"/>
      <c r="R118" s="335"/>
      <c r="S118" s="335"/>
      <c r="T118" s="335"/>
      <c r="U118" s="335"/>
      <c r="V118" s="335"/>
      <c r="W118" s="335"/>
      <c r="X118" s="335"/>
      <c r="Y118" s="335"/>
      <c r="Z118" s="335"/>
      <c r="AA118" s="335"/>
      <c r="AB118" s="335"/>
      <c r="AC118" s="335"/>
      <c r="AD118" s="335"/>
      <c r="AE118" s="335"/>
      <c r="AF118" s="335"/>
      <c r="AG118" s="335"/>
      <c r="AH118" s="335"/>
      <c r="AI118" s="335"/>
      <c r="AJ118" s="335"/>
      <c r="AK118" s="1401">
        <f>+AK116*$G111/4+(AI117-AK117)</f>
        <v>2.0503928571428602</v>
      </c>
      <c r="AL118" s="336">
        <f>+AL116*$G111/4+(AK117-AL117)</f>
        <v>2.0503928571428602</v>
      </c>
      <c r="AM118" s="336">
        <f>+AM116*$G111/4+(AL117-AM117)</f>
        <v>2.0503928571428602</v>
      </c>
      <c r="AN118" s="1402">
        <f>+AN116*$G111/4+(AM117-AN117)</f>
        <v>2.0503928571428602</v>
      </c>
      <c r="AO118" s="336"/>
      <c r="AP118" s="1401">
        <f>+AP116*$G111/4+(AN117-AP117)</f>
        <v>2.0503928571428602</v>
      </c>
      <c r="AQ118" s="336">
        <f>+AQ116*$G111/4+(AP117-AQ117)</f>
        <v>2.0503928571428602</v>
      </c>
      <c r="AR118" s="336">
        <f>+AR116*$G111/4+(AQ117-AR117)</f>
        <v>2.0503928571428602</v>
      </c>
      <c r="AS118" s="1402">
        <f>+AS116*$G111/4+(AR117-AS117)</f>
        <v>2.0503928571428602</v>
      </c>
      <c r="AT118" s="336"/>
      <c r="AU118" s="1401">
        <f>+AU116*$G111/4+(AS117-AU117)</f>
        <v>2.0503928571428567</v>
      </c>
      <c r="AV118" s="336">
        <f>+AV116*$G111/4+(AU117-AV117)</f>
        <v>2.0503928571428567</v>
      </c>
      <c r="AW118" s="336">
        <f>+AW116*$G111/4+(AV117-AW117)</f>
        <v>2.0503928571428567</v>
      </c>
      <c r="AX118" s="1402">
        <f>+AX116*$G111/4+(AW117-AX117)</f>
        <v>2.0503928571428567</v>
      </c>
      <c r="AY118" s="336"/>
      <c r="AZ118" s="1401">
        <f>+AZ116*$G111/4+(AX117-AZ117)</f>
        <v>2.0503928571428567</v>
      </c>
      <c r="BA118" s="336">
        <f>+BA116*$G111/4+(AZ117-BA117)</f>
        <v>2.0503928571428567</v>
      </c>
      <c r="BB118" s="336">
        <f>+BB116*$G111/4+(BA117-BB117)</f>
        <v>2.0503928571428567</v>
      </c>
      <c r="BC118" s="1402">
        <f>+BC116*$G111/4+(BB117-BC117)</f>
        <v>2.0503928571428567</v>
      </c>
      <c r="BD118" s="336"/>
      <c r="BE118" s="1401">
        <f>+BE116*$G111/4+(BC117-BE117)</f>
        <v>2.0503928571428567</v>
      </c>
      <c r="BF118" s="336">
        <f>+BF116*$G111/4+(BE117-BF117)</f>
        <v>2.0503928571428567</v>
      </c>
      <c r="BG118" s="336">
        <f>+BG116*$G111/4+(BF117-BG117)</f>
        <v>2.0503928571428567</v>
      </c>
      <c r="BH118" s="1402">
        <f>+BH116*$G111/4+(BG117-BH117)</f>
        <v>2.0503928571428567</v>
      </c>
      <c r="BI118" s="336"/>
      <c r="BJ118" s="1401">
        <f>+BJ116*$G111/4+(BH117-BJ117)</f>
        <v>2.0503928571428567</v>
      </c>
      <c r="BK118" s="336">
        <f>+BK116*$G111/4+(BJ117-BK117)</f>
        <v>2.0503928571428567</v>
      </c>
      <c r="BL118" s="336">
        <f>+BL116*$G111/4+(BK117-BL117)</f>
        <v>1.8628928571428567</v>
      </c>
      <c r="BM118" s="1402">
        <f>+BM116*$G111/4+(BL117-BM117)</f>
        <v>1.6753928571428567</v>
      </c>
      <c r="BN118" s="336"/>
      <c r="BO118" s="1438">
        <v>0</v>
      </c>
      <c r="BP118" s="616">
        <f>+BP116*$G111/4+(BO117-BP117)</f>
        <v>0</v>
      </c>
      <c r="BQ118" s="336">
        <f>+BQ116*$G111/4+(BP117-BQ117)</f>
        <v>0</v>
      </c>
      <c r="BR118" s="1402">
        <f>+BR116*$G111/4+(BQ117-BR117)</f>
        <v>0</v>
      </c>
      <c r="BS118" s="336"/>
      <c r="BT118" s="1401">
        <f>+BT116*$G111/4+(BR117-BT117)</f>
        <v>0</v>
      </c>
      <c r="BU118" s="336">
        <f>+BU116*$G111/4+(BT117-BU117)</f>
        <v>0</v>
      </c>
      <c r="BV118" s="336">
        <f>+BV116*$G111/4+(BU117-BV117)</f>
        <v>0</v>
      </c>
      <c r="BW118" s="1402">
        <f>+BW116*$G111/4+(BV117-BW117)</f>
        <v>0</v>
      </c>
      <c r="BX118" s="336"/>
      <c r="BY118" s="1401">
        <f>+BY116*$G111/4+(BW117-BY117)</f>
        <v>0</v>
      </c>
      <c r="BZ118" s="336">
        <f>+BZ116*$G111/4+(BY117-BZ117)</f>
        <v>0</v>
      </c>
      <c r="CA118" s="336">
        <f>+CA116*$G111/4+(BZ117-CA117)</f>
        <v>0</v>
      </c>
      <c r="CB118" s="1402">
        <f>+CB116*$G111/4+(CA117-CB117)</f>
        <v>0</v>
      </c>
      <c r="CC118" s="336"/>
      <c r="CD118" s="1401">
        <f>+CD116*$G111/4+(CB117-CD117)</f>
        <v>0</v>
      </c>
      <c r="CE118" s="336">
        <f>+CE116*$G111/4+(CD117-CE117)</f>
        <v>0</v>
      </c>
      <c r="CF118" s="336">
        <f>+CF116*$G111/4+(CE117-CF117)</f>
        <v>0</v>
      </c>
      <c r="CG118" s="1402">
        <f>+CG116*$G111/4+(CF117-CG117)</f>
        <v>0</v>
      </c>
      <c r="CH118" s="336"/>
      <c r="CI118" s="1401">
        <f>+CI116*$G111/4+(CG117-CI117)</f>
        <v>0</v>
      </c>
      <c r="CJ118" s="336">
        <f>+CJ116*$G111/4+(CI117-CJ117)</f>
        <v>0</v>
      </c>
      <c r="CK118" s="336">
        <f>+CK116*$G111/4+(CJ117-CK117)</f>
        <v>0</v>
      </c>
      <c r="CL118" s="1402">
        <f>+CL116*$G111/4+(CK117-CL117)</f>
        <v>0</v>
      </c>
      <c r="CM118" s="336"/>
      <c r="CN118" s="1401">
        <f>+CN116*$G111/4+(CL117-CN117)</f>
        <v>0</v>
      </c>
      <c r="CO118" s="336">
        <f>+CO116*$G111/4+(CN117-CO117)</f>
        <v>0</v>
      </c>
      <c r="CP118" s="336">
        <f>+CP116*$G111/4+(CO117-CP117)</f>
        <v>0</v>
      </c>
      <c r="CQ118" s="1402">
        <f>+CQ116*$G111/4+(CP117-CQ117)</f>
        <v>0</v>
      </c>
      <c r="CR118" s="1402"/>
    </row>
    <row r="119" spans="1:96" ht="13.5" hidden="1" customHeight="1" outlineLevel="1">
      <c r="A119" s="317"/>
      <c r="B119" s="317" t="s">
        <v>93</v>
      </c>
      <c r="C119" s="317"/>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c r="AA119" s="318"/>
      <c r="AB119" s="318"/>
      <c r="AC119" s="318"/>
      <c r="AD119" s="318"/>
      <c r="AE119" s="318"/>
      <c r="AF119" s="318"/>
      <c r="AG119" s="318"/>
      <c r="AH119" s="318"/>
      <c r="AI119" s="335"/>
      <c r="AJ119" s="318"/>
      <c r="AK119" s="1405"/>
      <c r="AL119" s="336">
        <f>AK116*$G$111/4+AL116*$G$111/4</f>
        <v>0.75</v>
      </c>
      <c r="AM119" s="319"/>
      <c r="AN119" s="1402">
        <f>AM116*$G$111/4+AN116*$G$111/4</f>
        <v>0.75</v>
      </c>
      <c r="AO119" s="319"/>
      <c r="AP119" s="1405"/>
      <c r="AQ119" s="336">
        <f>AP116*$G$111/4+AQ116*$G$111/4</f>
        <v>0.75</v>
      </c>
      <c r="AR119" s="319"/>
      <c r="AS119" s="1402">
        <f>AR116*$G$111/4+AS116*$G$111/4</f>
        <v>0.75</v>
      </c>
      <c r="AT119" s="336"/>
      <c r="AU119" s="1405"/>
      <c r="AV119" s="336">
        <f>AU116*$G$111/4+AV116*$G$111/4</f>
        <v>0.75</v>
      </c>
      <c r="AW119" s="319"/>
      <c r="AX119" s="1402">
        <f>AW116*$G$111/4+AX116*$G$111/4</f>
        <v>0.75</v>
      </c>
      <c r="AY119" s="336"/>
      <c r="AZ119" s="1405"/>
      <c r="BA119" s="336">
        <f>AZ116*$G$111/4+BA116*$G$111/4</f>
        <v>0.75</v>
      </c>
      <c r="BB119" s="319"/>
      <c r="BC119" s="1402">
        <f>BB116*$G$111/4+BC116*$G$111/4</f>
        <v>0.75</v>
      </c>
      <c r="BD119" s="336"/>
      <c r="BE119" s="1405"/>
      <c r="BF119" s="336">
        <f>BE116*$G$111/4+BF116*$G$111/4</f>
        <v>0.75</v>
      </c>
      <c r="BG119" s="319"/>
      <c r="BH119" s="1402">
        <f>BG116*$G$111/4+BH116*$G$111/4</f>
        <v>0.75</v>
      </c>
      <c r="BI119" s="336"/>
      <c r="BJ119" s="1405"/>
      <c r="BK119" s="336">
        <f>BJ116*$G$111/4+BK116*$G$111/4</f>
        <v>0.75</v>
      </c>
      <c r="BL119" s="319"/>
      <c r="BM119" s="1402">
        <f>BL116*$G$111/4+BM116*$G$111/4</f>
        <v>0.1875</v>
      </c>
      <c r="BN119" s="336"/>
      <c r="BO119" s="1405"/>
      <c r="BP119" s="336">
        <f>BO116*$G$111/4+BP116*$G$111/4</f>
        <v>0</v>
      </c>
      <c r="BQ119" s="319"/>
      <c r="BR119" s="1402">
        <f>BQ116*$G$111/4+BR116*$G$111/4</f>
        <v>0</v>
      </c>
      <c r="BS119" s="336"/>
      <c r="BT119" s="1405"/>
      <c r="BU119" s="336">
        <f>BT116*$G$111/4+BU116*$G$111/4</f>
        <v>0</v>
      </c>
      <c r="BV119" s="319"/>
      <c r="BW119" s="1402">
        <f>BV116*$G$111/4+BW116*$G$111/4</f>
        <v>0</v>
      </c>
      <c r="BX119" s="336"/>
      <c r="BY119" s="1405"/>
      <c r="BZ119" s="336">
        <f>BY116*$G$111/4+BZ116*$G$111/4</f>
        <v>0</v>
      </c>
      <c r="CA119" s="319"/>
      <c r="CB119" s="1402">
        <f>CA116*$G$111/4+CB116*$G$111/4</f>
        <v>0</v>
      </c>
      <c r="CC119" s="336"/>
      <c r="CD119" s="1405"/>
      <c r="CE119" s="336">
        <f>CD116*$G$111/4+CE116*$G$111/4</f>
        <v>0</v>
      </c>
      <c r="CF119" s="319"/>
      <c r="CG119" s="1402">
        <f>CF116*$G$111/4+CG116*$G$111/4</f>
        <v>0</v>
      </c>
      <c r="CH119" s="336"/>
      <c r="CI119" s="1405"/>
      <c r="CJ119" s="336">
        <f>CI116*$G$111/4+CJ116*$G$111/4</f>
        <v>0</v>
      </c>
      <c r="CK119" s="319"/>
      <c r="CL119" s="1402">
        <f>CK116*$G$111/4+CL116*$G$111/4</f>
        <v>0</v>
      </c>
      <c r="CM119" s="336"/>
      <c r="CN119" s="1405"/>
      <c r="CO119" s="336">
        <f>CN116*$G$111/4+CO116*$G$111/4</f>
        <v>0</v>
      </c>
      <c r="CP119" s="319"/>
      <c r="CQ119" s="1402">
        <f>CP116*$G$111/4+CQ116*$G$111/4</f>
        <v>0</v>
      </c>
      <c r="CR119" s="1402"/>
    </row>
    <row r="120" spans="1:96" ht="6.2" hidden="1" customHeight="1" outlineLevel="1">
      <c r="A120" s="317"/>
      <c r="B120" s="317"/>
      <c r="C120" s="317"/>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c r="AA120" s="318"/>
      <c r="AB120" s="318"/>
      <c r="AC120" s="318"/>
      <c r="AD120" s="318"/>
      <c r="AE120" s="318"/>
      <c r="AF120" s="318"/>
      <c r="AG120" s="318"/>
      <c r="AH120" s="318"/>
      <c r="AI120" s="335"/>
      <c r="AJ120" s="318"/>
      <c r="AK120" s="1405"/>
      <c r="AL120" s="336"/>
      <c r="AM120" s="319"/>
      <c r="AN120" s="1402"/>
      <c r="AO120" s="319"/>
      <c r="AP120" s="1405"/>
      <c r="AQ120" s="336"/>
      <c r="AR120" s="319"/>
      <c r="AS120" s="1402"/>
      <c r="AT120" s="336"/>
      <c r="AU120" s="1405"/>
      <c r="AV120" s="336"/>
      <c r="AW120" s="319"/>
      <c r="AX120" s="1402"/>
      <c r="AY120" s="336"/>
      <c r="AZ120" s="1405"/>
      <c r="BA120" s="336"/>
      <c r="BB120" s="319"/>
      <c r="BC120" s="1402"/>
      <c r="BD120" s="336"/>
      <c r="BE120" s="1405"/>
      <c r="BF120" s="336"/>
      <c r="BG120" s="319"/>
      <c r="BH120" s="1402"/>
      <c r="BI120" s="336"/>
      <c r="BJ120" s="1405"/>
      <c r="BK120" s="336"/>
      <c r="BL120" s="319"/>
      <c r="BM120" s="1402"/>
      <c r="BN120" s="336"/>
      <c r="BO120" s="1405"/>
      <c r="BP120" s="336"/>
      <c r="BQ120" s="319"/>
      <c r="BR120" s="1402"/>
      <c r="BS120" s="336"/>
      <c r="BT120" s="1405"/>
      <c r="BU120" s="336"/>
      <c r="BV120" s="319"/>
      <c r="BW120" s="1402"/>
      <c r="BX120" s="336"/>
      <c r="BY120" s="1405"/>
      <c r="BZ120" s="336"/>
      <c r="CA120" s="319"/>
      <c r="CB120" s="1402"/>
      <c r="CC120" s="336"/>
      <c r="CD120" s="1405"/>
      <c r="CE120" s="336"/>
      <c r="CF120" s="319"/>
      <c r="CG120" s="1402"/>
      <c r="CH120" s="336"/>
      <c r="CI120" s="1405"/>
      <c r="CJ120" s="336"/>
      <c r="CK120" s="319"/>
      <c r="CL120" s="1402"/>
      <c r="CM120" s="336"/>
      <c r="CN120" s="1405"/>
      <c r="CO120" s="336"/>
      <c r="CP120" s="319"/>
      <c r="CQ120" s="1402"/>
      <c r="CR120" s="1402"/>
    </row>
    <row r="121" spans="1:96" ht="13.5" hidden="1" customHeight="1" outlineLevel="1">
      <c r="A121" s="317"/>
      <c r="B121" s="317" t="s">
        <v>107</v>
      </c>
      <c r="C121" s="317"/>
      <c r="D121" s="318"/>
      <c r="E121" s="318"/>
      <c r="F121" s="318"/>
      <c r="G121" s="318"/>
      <c r="H121" s="335"/>
      <c r="I121" s="335"/>
      <c r="J121" s="335"/>
      <c r="K121" s="335"/>
      <c r="L121" s="335"/>
      <c r="M121" s="335"/>
      <c r="N121" s="335"/>
      <c r="O121" s="335"/>
      <c r="P121" s="335"/>
      <c r="Q121" s="335"/>
      <c r="R121" s="335"/>
      <c r="S121" s="335"/>
      <c r="T121" s="335"/>
      <c r="U121" s="335"/>
      <c r="V121" s="335"/>
      <c r="W121" s="335"/>
      <c r="X121" s="335"/>
      <c r="Y121" s="335"/>
      <c r="Z121" s="335"/>
      <c r="AA121" s="335"/>
      <c r="AB121" s="335"/>
      <c r="AC121" s="335"/>
      <c r="AD121" s="335"/>
      <c r="AE121" s="335"/>
      <c r="AF121" s="335"/>
      <c r="AG121" s="335"/>
      <c r="AH121" s="335"/>
      <c r="AI121" s="335"/>
      <c r="AJ121" s="335"/>
      <c r="AK121" s="1401">
        <f>AI123</f>
        <v>121.50668286755773</v>
      </c>
      <c r="AL121" s="336">
        <f>+AK123</f>
        <v>119.22740640648597</v>
      </c>
      <c r="AM121" s="336">
        <f>+AL123</f>
        <v>129.1655902867476</v>
      </c>
      <c r="AN121" s="1402">
        <f>+AM123</f>
        <v>139.75589304015654</v>
      </c>
      <c r="AO121" s="336"/>
      <c r="AP121" s="1401">
        <f>AN123</f>
        <v>143.08881045502241</v>
      </c>
      <c r="AQ121" s="336">
        <f>+AP123</f>
        <v>147.85608674223755</v>
      </c>
      <c r="AR121" s="336">
        <f>+AQ123</f>
        <v>141.16318464144553</v>
      </c>
      <c r="AS121" s="1402">
        <f>+AR123</f>
        <v>146.22733476311171</v>
      </c>
      <c r="AT121" s="336"/>
      <c r="AU121" s="1401">
        <f>AS123</f>
        <v>146.22733476311171</v>
      </c>
      <c r="AV121" s="336">
        <f>+AU123</f>
        <v>146.22733476311171</v>
      </c>
      <c r="AW121" s="336">
        <f>+AV123</f>
        <v>146.22733476311171</v>
      </c>
      <c r="AX121" s="1402">
        <f>+AW123</f>
        <v>146.22733476311171</v>
      </c>
      <c r="AY121" s="336"/>
      <c r="AZ121" s="1401">
        <f>AX123</f>
        <v>146.22733476311171</v>
      </c>
      <c r="BA121" s="336">
        <f>+AZ123</f>
        <v>146.22733476311171</v>
      </c>
      <c r="BB121" s="336">
        <f>+BA123</f>
        <v>146.22733476311171</v>
      </c>
      <c r="BC121" s="1402">
        <f>+BB123</f>
        <v>146.22733476311171</v>
      </c>
      <c r="BD121" s="336"/>
      <c r="BE121" s="1401">
        <f>BC123</f>
        <v>146.22733476311171</v>
      </c>
      <c r="BF121" s="336">
        <f>+BE123</f>
        <v>146.22733476311171</v>
      </c>
      <c r="BG121" s="336">
        <f>+BF123</f>
        <v>142.85714285714286</v>
      </c>
      <c r="BH121" s="1402">
        <f>+BG123</f>
        <v>142.85714285714286</v>
      </c>
      <c r="BI121" s="336"/>
      <c r="BJ121" s="1401">
        <f>BH123</f>
        <v>142.85714285714286</v>
      </c>
      <c r="BK121" s="336">
        <f>+BJ123</f>
        <v>142.85714285714286</v>
      </c>
      <c r="BL121" s="336">
        <f>+BK123</f>
        <v>142.85714285714286</v>
      </c>
      <c r="BM121" s="1402">
        <f>+BL123</f>
        <v>0</v>
      </c>
      <c r="BN121" s="336"/>
      <c r="BO121" s="1401">
        <f>BM123</f>
        <v>0</v>
      </c>
      <c r="BP121" s="336">
        <f>+BO123</f>
        <v>0</v>
      </c>
      <c r="BQ121" s="336">
        <f>+BP123</f>
        <v>0</v>
      </c>
      <c r="BR121" s="1402">
        <f>+BQ123</f>
        <v>0</v>
      </c>
      <c r="BS121" s="336"/>
      <c r="BT121" s="1401">
        <f>BR123</f>
        <v>0</v>
      </c>
      <c r="BU121" s="336">
        <f>+BT123</f>
        <v>0</v>
      </c>
      <c r="BV121" s="336">
        <f>+BU123</f>
        <v>0</v>
      </c>
      <c r="BW121" s="1402">
        <f>+BV123</f>
        <v>0</v>
      </c>
      <c r="BX121" s="336"/>
      <c r="BY121" s="1401">
        <f>BW123</f>
        <v>0</v>
      </c>
      <c r="BZ121" s="336">
        <f>+BY123</f>
        <v>0</v>
      </c>
      <c r="CA121" s="336">
        <f>+BZ123</f>
        <v>0</v>
      </c>
      <c r="CB121" s="1402">
        <f>+CA123</f>
        <v>0</v>
      </c>
      <c r="CC121" s="336"/>
      <c r="CD121" s="1401">
        <f>CB123</f>
        <v>0</v>
      </c>
      <c r="CE121" s="336">
        <f>+CD123</f>
        <v>0</v>
      </c>
      <c r="CF121" s="336">
        <f>+CE123</f>
        <v>0</v>
      </c>
      <c r="CG121" s="1402">
        <f>+CF123</f>
        <v>0</v>
      </c>
      <c r="CH121" s="336"/>
      <c r="CI121" s="1401">
        <f>CG123</f>
        <v>0</v>
      </c>
      <c r="CJ121" s="336">
        <f>+CI123</f>
        <v>0</v>
      </c>
      <c r="CK121" s="336">
        <f>+CJ123</f>
        <v>0</v>
      </c>
      <c r="CL121" s="1402">
        <f>+CK123</f>
        <v>0</v>
      </c>
      <c r="CM121" s="336"/>
      <c r="CN121" s="1401">
        <f>CL123</f>
        <v>0</v>
      </c>
      <c r="CO121" s="336">
        <f>+CN123</f>
        <v>0</v>
      </c>
      <c r="CP121" s="336">
        <f>+CO123</f>
        <v>0</v>
      </c>
      <c r="CQ121" s="1402">
        <f>+CP123</f>
        <v>0</v>
      </c>
      <c r="CR121" s="1402"/>
    </row>
    <row r="122" spans="1:96" ht="13.5" hidden="1" customHeight="1" outlineLevel="1">
      <c r="A122" s="317"/>
      <c r="B122" s="317" t="s">
        <v>89</v>
      </c>
      <c r="C122" s="317"/>
      <c r="D122" s="318"/>
      <c r="E122" s="318"/>
      <c r="F122" s="318"/>
      <c r="G122" s="318"/>
      <c r="H122" s="335"/>
      <c r="I122" s="335"/>
      <c r="J122" s="335"/>
      <c r="K122" s="335"/>
      <c r="L122" s="335"/>
      <c r="M122" s="335"/>
      <c r="N122" s="335"/>
      <c r="O122" s="335"/>
      <c r="P122" s="335"/>
      <c r="Q122" s="335"/>
      <c r="R122" s="335"/>
      <c r="S122" s="335"/>
      <c r="T122" s="335"/>
      <c r="U122" s="335"/>
      <c r="V122" s="335"/>
      <c r="W122" s="335"/>
      <c r="X122" s="335"/>
      <c r="Y122" s="335"/>
      <c r="Z122" s="335"/>
      <c r="AA122" s="335"/>
      <c r="AB122" s="335"/>
      <c r="AC122" s="335"/>
      <c r="AD122" s="335"/>
      <c r="AE122" s="335"/>
      <c r="AF122" s="335"/>
      <c r="AG122" s="335"/>
      <c r="AH122" s="335"/>
      <c r="AI122" s="663">
        <v>0</v>
      </c>
      <c r="AJ122" s="335"/>
      <c r="AK122" s="1401">
        <f>AK114/AK112</f>
        <v>0</v>
      </c>
      <c r="AL122" s="662">
        <v>0</v>
      </c>
      <c r="AM122" s="662">
        <v>0</v>
      </c>
      <c r="AN122" s="1404">
        <v>0</v>
      </c>
      <c r="AO122" s="336"/>
      <c r="AP122" s="1401">
        <f>AP114/AP112</f>
        <v>0</v>
      </c>
      <c r="AQ122" s="662">
        <v>0</v>
      </c>
      <c r="AR122" s="662">
        <v>0</v>
      </c>
      <c r="AS122" s="1404">
        <v>0</v>
      </c>
      <c r="AT122" s="336"/>
      <c r="AU122" s="1401">
        <f>AU114/AU112</f>
        <v>0</v>
      </c>
      <c r="AV122" s="662">
        <v>0</v>
      </c>
      <c r="AW122" s="662">
        <v>0</v>
      </c>
      <c r="AX122" s="1404">
        <v>0</v>
      </c>
      <c r="AY122" s="336"/>
      <c r="AZ122" s="1401">
        <f>AZ114/AZ112</f>
        <v>0</v>
      </c>
      <c r="BA122" s="662">
        <v>0</v>
      </c>
      <c r="BB122" s="662">
        <v>0</v>
      </c>
      <c r="BC122" s="1404">
        <v>0</v>
      </c>
      <c r="BD122" s="336"/>
      <c r="BE122" s="1401">
        <f>BE114/BE112</f>
        <v>0</v>
      </c>
      <c r="BF122" s="662">
        <v>0</v>
      </c>
      <c r="BG122" s="662">
        <v>0</v>
      </c>
      <c r="BH122" s="1404">
        <v>0</v>
      </c>
      <c r="BI122" s="336"/>
      <c r="BJ122" s="1401">
        <f>BJ114/BJ112</f>
        <v>0</v>
      </c>
      <c r="BK122" s="662">
        <v>0</v>
      </c>
      <c r="BL122" s="662">
        <v>0</v>
      </c>
      <c r="BM122" s="1404">
        <v>0</v>
      </c>
      <c r="BN122" s="336"/>
      <c r="BO122" s="1401">
        <f>BO114/BO112</f>
        <v>0</v>
      </c>
      <c r="BP122" s="336">
        <f>BP114/BP112</f>
        <v>0</v>
      </c>
      <c r="BQ122" s="662">
        <v>0</v>
      </c>
      <c r="BR122" s="1404">
        <v>0</v>
      </c>
      <c r="BS122" s="336"/>
      <c r="BT122" s="1401">
        <f>BT114/BT112</f>
        <v>0</v>
      </c>
      <c r="BU122" s="662">
        <v>0</v>
      </c>
      <c r="BV122" s="662">
        <v>0</v>
      </c>
      <c r="BW122" s="1404">
        <v>0</v>
      </c>
      <c r="BX122" s="336"/>
      <c r="BY122" s="1401">
        <f>BY114/BY112</f>
        <v>0</v>
      </c>
      <c r="BZ122" s="662">
        <v>0</v>
      </c>
      <c r="CA122" s="662">
        <v>0</v>
      </c>
      <c r="CB122" s="1404">
        <v>0</v>
      </c>
      <c r="CC122" s="336"/>
      <c r="CD122" s="1401">
        <f>CD114/CD112</f>
        <v>0</v>
      </c>
      <c r="CE122" s="662">
        <v>0</v>
      </c>
      <c r="CF122" s="662">
        <v>0</v>
      </c>
      <c r="CG122" s="1404">
        <v>0</v>
      </c>
      <c r="CH122" s="336"/>
      <c r="CI122" s="1401">
        <f>CI114/CI112</f>
        <v>0</v>
      </c>
      <c r="CJ122" s="662">
        <v>0</v>
      </c>
      <c r="CK122" s="662">
        <v>0</v>
      </c>
      <c r="CL122" s="1404">
        <v>0</v>
      </c>
      <c r="CM122" s="336"/>
      <c r="CN122" s="1401">
        <f>CN114/CN112</f>
        <v>0</v>
      </c>
      <c r="CO122" s="662">
        <v>0</v>
      </c>
      <c r="CP122" s="662">
        <v>0</v>
      </c>
      <c r="CQ122" s="1404">
        <v>0</v>
      </c>
      <c r="CR122" s="1402"/>
    </row>
    <row r="123" spans="1:96" ht="13.5" hidden="1" customHeight="1" outlineLevel="1">
      <c r="A123" s="317"/>
      <c r="B123" s="317" t="s">
        <v>90</v>
      </c>
      <c r="C123" s="317"/>
      <c r="D123" s="318"/>
      <c r="E123" s="318"/>
      <c r="F123" s="318"/>
      <c r="G123" s="318"/>
      <c r="H123" s="348">
        <v>0</v>
      </c>
      <c r="I123" s="348"/>
      <c r="J123" s="348"/>
      <c r="K123" s="348"/>
      <c r="L123" s="348"/>
      <c r="M123" s="348"/>
      <c r="N123" s="348"/>
      <c r="O123" s="348"/>
      <c r="P123" s="348"/>
      <c r="Q123" s="348"/>
      <c r="R123" s="348"/>
      <c r="S123" s="348"/>
      <c r="T123" s="348"/>
      <c r="U123" s="348"/>
      <c r="V123" s="348"/>
      <c r="W123" s="348"/>
      <c r="X123" s="348"/>
      <c r="Y123" s="348"/>
      <c r="Z123" s="348"/>
      <c r="AA123" s="348"/>
      <c r="AB123" s="348"/>
      <c r="AC123" s="348"/>
      <c r="AD123" s="348"/>
      <c r="AE123" s="348"/>
      <c r="AF123" s="348"/>
      <c r="AG123" s="348"/>
      <c r="AH123" s="348"/>
      <c r="AI123" s="335">
        <f>AI115/AI8</f>
        <v>121.50668286755773</v>
      </c>
      <c r="AJ123" s="335">
        <f>+AI123</f>
        <v>121.50668286755773</v>
      </c>
      <c r="AK123" s="1401">
        <f>AK115/AK8</f>
        <v>119.22740640648597</v>
      </c>
      <c r="AL123" s="336">
        <f>AL115/AL8</f>
        <v>129.1655902867476</v>
      </c>
      <c r="AM123" s="336">
        <f>AM115/AM8</f>
        <v>139.75589304015654</v>
      </c>
      <c r="AN123" s="1402">
        <f>AN115/AN8</f>
        <v>143.08881045502241</v>
      </c>
      <c r="AO123" s="343">
        <f>+AN123</f>
        <v>143.08881045502241</v>
      </c>
      <c r="AP123" s="1401">
        <f>AP115/AP8</f>
        <v>147.85608674223755</v>
      </c>
      <c r="AQ123" s="336">
        <f>AQ115/AQ8</f>
        <v>141.16318464144553</v>
      </c>
      <c r="AR123" s="336">
        <f>AR115/AR8</f>
        <v>146.22733476311171</v>
      </c>
      <c r="AS123" s="1402">
        <f>AS115/AS8</f>
        <v>146.22733476311171</v>
      </c>
      <c r="AT123" s="343">
        <f>+AS123</f>
        <v>146.22733476311171</v>
      </c>
      <c r="AU123" s="1401">
        <f>AU115/AU8</f>
        <v>146.22733476311171</v>
      </c>
      <c r="AV123" s="336">
        <f>AV115/AV8</f>
        <v>146.22733476311171</v>
      </c>
      <c r="AW123" s="336">
        <f>AW115/AW8</f>
        <v>146.22733476311171</v>
      </c>
      <c r="AX123" s="1402">
        <f>AX115/AX8</f>
        <v>146.22733476311171</v>
      </c>
      <c r="AY123" s="343">
        <f>+AX123</f>
        <v>146.22733476311171</v>
      </c>
      <c r="AZ123" s="1401">
        <f>AZ115/AZ8</f>
        <v>146.22733476311171</v>
      </c>
      <c r="BA123" s="336">
        <f>BA115/BA8</f>
        <v>146.22733476311171</v>
      </c>
      <c r="BB123" s="336">
        <f>BB115/BB8</f>
        <v>146.22733476311171</v>
      </c>
      <c r="BC123" s="1402">
        <f>BC115/BC8</f>
        <v>146.22733476311171</v>
      </c>
      <c r="BD123" s="343">
        <f>+BC123</f>
        <v>146.22733476311171</v>
      </c>
      <c r="BE123" s="1401">
        <f>BE115/BE8</f>
        <v>146.22733476311171</v>
      </c>
      <c r="BF123" s="336">
        <f>BF115/BF8</f>
        <v>142.85714285714286</v>
      </c>
      <c r="BG123" s="336">
        <f>BG115/BG8</f>
        <v>142.85714285714286</v>
      </c>
      <c r="BH123" s="1402">
        <f>BH115/BH8</f>
        <v>142.85714285714286</v>
      </c>
      <c r="BI123" s="343">
        <f>+BH123</f>
        <v>142.85714285714286</v>
      </c>
      <c r="BJ123" s="1401">
        <f>BJ115/BJ8</f>
        <v>142.85714285714286</v>
      </c>
      <c r="BK123" s="336">
        <f>BK115/BK8</f>
        <v>142.85714285714286</v>
      </c>
      <c r="BL123" s="336">
        <f>BL115/BL8</f>
        <v>0</v>
      </c>
      <c r="BM123" s="1402">
        <f>BM115/BM8</f>
        <v>0</v>
      </c>
      <c r="BN123" s="343">
        <f>+BM123</f>
        <v>0</v>
      </c>
      <c r="BO123" s="1401">
        <f>BO115/BO8</f>
        <v>0</v>
      </c>
      <c r="BP123" s="336">
        <f>BP115/BP8</f>
        <v>0</v>
      </c>
      <c r="BQ123" s="336">
        <f>BQ115/BQ8</f>
        <v>0</v>
      </c>
      <c r="BR123" s="1402">
        <f>BR115/BR8</f>
        <v>0</v>
      </c>
      <c r="BS123" s="343">
        <f>+BR123</f>
        <v>0</v>
      </c>
      <c r="BT123" s="1401">
        <f>BT115/BT8</f>
        <v>0</v>
      </c>
      <c r="BU123" s="336">
        <f>BU115/BU8</f>
        <v>0</v>
      </c>
      <c r="BV123" s="336">
        <f>BV115/BV8</f>
        <v>0</v>
      </c>
      <c r="BW123" s="1402">
        <f>BW115/BW8</f>
        <v>0</v>
      </c>
      <c r="BX123" s="343">
        <f>+BW123</f>
        <v>0</v>
      </c>
      <c r="BY123" s="1401">
        <f>BY115/BY8</f>
        <v>0</v>
      </c>
      <c r="BZ123" s="336">
        <f>BZ115/BZ8</f>
        <v>0</v>
      </c>
      <c r="CA123" s="336">
        <f>CA115/CA8</f>
        <v>0</v>
      </c>
      <c r="CB123" s="1402">
        <f>CB115/CB8</f>
        <v>0</v>
      </c>
      <c r="CC123" s="343">
        <f>+CB123</f>
        <v>0</v>
      </c>
      <c r="CD123" s="1401">
        <f>CD115/CD8</f>
        <v>0</v>
      </c>
      <c r="CE123" s="336">
        <f>CE115/CE8</f>
        <v>0</v>
      </c>
      <c r="CF123" s="336">
        <f>CF115/CF8</f>
        <v>0</v>
      </c>
      <c r="CG123" s="1402">
        <f>CG115/CG8</f>
        <v>0</v>
      </c>
      <c r="CH123" s="343">
        <f>+CG123</f>
        <v>0</v>
      </c>
      <c r="CI123" s="1401">
        <f>CI115/CI8</f>
        <v>0</v>
      </c>
      <c r="CJ123" s="336">
        <f>CJ115/CJ8</f>
        <v>0</v>
      </c>
      <c r="CK123" s="336">
        <f>CK115/CK8</f>
        <v>0</v>
      </c>
      <c r="CL123" s="1402">
        <f>CL115/CL8</f>
        <v>0</v>
      </c>
      <c r="CM123" s="343">
        <f>+CL123</f>
        <v>0</v>
      </c>
      <c r="CN123" s="1401">
        <f>CN115/CN8</f>
        <v>0</v>
      </c>
      <c r="CO123" s="336">
        <f>CO115/CO8</f>
        <v>0</v>
      </c>
      <c r="CP123" s="336">
        <f>CP115/CP8</f>
        <v>0</v>
      </c>
      <c r="CQ123" s="1402">
        <f>CQ115/CQ8</f>
        <v>0</v>
      </c>
      <c r="CR123" s="1451">
        <f>+CQ123</f>
        <v>0</v>
      </c>
    </row>
    <row r="124" spans="1:96" ht="13.5" hidden="1" customHeight="1" outlineLevel="1">
      <c r="A124" s="317"/>
      <c r="B124" s="317" t="s">
        <v>106</v>
      </c>
      <c r="C124" s="317"/>
      <c r="D124" s="318"/>
      <c r="E124" s="318"/>
      <c r="F124" s="318"/>
      <c r="G124" s="318"/>
      <c r="H124" s="348"/>
      <c r="I124" s="348"/>
      <c r="J124" s="348"/>
      <c r="K124" s="348"/>
      <c r="L124" s="348"/>
      <c r="M124" s="348"/>
      <c r="N124" s="348"/>
      <c r="O124" s="348"/>
      <c r="P124" s="348"/>
      <c r="Q124" s="348"/>
      <c r="R124" s="348"/>
      <c r="S124" s="348"/>
      <c r="T124" s="348"/>
      <c r="U124" s="348"/>
      <c r="V124" s="348"/>
      <c r="W124" s="348"/>
      <c r="X124" s="348"/>
      <c r="Y124" s="348"/>
      <c r="Z124" s="348"/>
      <c r="AA124" s="348"/>
      <c r="AB124" s="348"/>
      <c r="AC124" s="348"/>
      <c r="AD124" s="348"/>
      <c r="AE124" s="348"/>
      <c r="AF124" s="348"/>
      <c r="AG124" s="348"/>
      <c r="AH124" s="348"/>
      <c r="AI124" s="335">
        <f>AI117/AI8</f>
        <v>38</v>
      </c>
      <c r="AJ124" s="335">
        <f>+AI124</f>
        <v>38</v>
      </c>
      <c r="AK124" s="1401">
        <f>AK117/AK8</f>
        <v>35.955494112437115</v>
      </c>
      <c r="AL124" s="336">
        <f>AL117/AL8</f>
        <v>37.509871941543331</v>
      </c>
      <c r="AM124" s="336">
        <f>AM117/AM8</f>
        <v>39.024337490516551</v>
      </c>
      <c r="AN124" s="1402">
        <f>AN117/AN8</f>
        <v>38.356795355746023</v>
      </c>
      <c r="AO124" s="343"/>
      <c r="AP124" s="1401">
        <f>AP117/AP8</f>
        <v>37.983278180666041</v>
      </c>
      <c r="AQ124" s="336">
        <f>AQ117/AQ8</f>
        <v>34.687222715173</v>
      </c>
      <c r="AR124" s="336">
        <f>AR117/AR8</f>
        <v>34.298352505361642</v>
      </c>
      <c r="AS124" s="1402">
        <f>AS117/AS8</f>
        <v>32.665097624153937</v>
      </c>
      <c r="AT124" s="343"/>
      <c r="AU124" s="1401">
        <f>AU117/AU8</f>
        <v>31.031842742946242</v>
      </c>
      <c r="AV124" s="336">
        <f>AV117/AV8</f>
        <v>29.398587861738545</v>
      </c>
      <c r="AW124" s="336">
        <f>AW117/AW8</f>
        <v>27.765332980530847</v>
      </c>
      <c r="AX124" s="1402">
        <f>AX117/AX8</f>
        <v>26.132078099323149</v>
      </c>
      <c r="AY124" s="343"/>
      <c r="AZ124" s="1401">
        <f>AZ117/AZ8</f>
        <v>24.498823218115451</v>
      </c>
      <c r="BA124" s="336">
        <f>BA117/BA8</f>
        <v>22.865568336907753</v>
      </c>
      <c r="BB124" s="336">
        <f>BB117/BB8</f>
        <v>21.232313455700055</v>
      </c>
      <c r="BC124" s="1402">
        <f>BC117/BC8</f>
        <v>19.599058574492354</v>
      </c>
      <c r="BD124" s="343"/>
      <c r="BE124" s="1401">
        <f>BE117/BE8</f>
        <v>17.965803693284656</v>
      </c>
      <c r="BF124" s="336">
        <f>BF117/BF8</f>
        <v>15.956122448979567</v>
      </c>
      <c r="BG124" s="336">
        <f>BG117/BG8</f>
        <v>14.360510204081608</v>
      </c>
      <c r="BH124" s="1402">
        <f>BH117/BH8</f>
        <v>12.764897959183649</v>
      </c>
      <c r="BI124" s="343"/>
      <c r="BJ124" s="1401">
        <f>BJ117/BJ8</f>
        <v>11.169285714285691</v>
      </c>
      <c r="BK124" s="336">
        <f>BK117/BK8</f>
        <v>9.5736734693877317</v>
      </c>
      <c r="BL124" s="336">
        <f>BL117/BL8</f>
        <v>7.9780612244897728</v>
      </c>
      <c r="BM124" s="1402">
        <f>BM117/BM8</f>
        <v>6.382448979591814</v>
      </c>
      <c r="BN124" s="343"/>
      <c r="BO124" s="1401">
        <f>BO117/BO8</f>
        <v>0</v>
      </c>
      <c r="BP124" s="336">
        <f>BP117/BP8</f>
        <v>0</v>
      </c>
      <c r="BQ124" s="336">
        <f>BQ117/BQ8</f>
        <v>0</v>
      </c>
      <c r="BR124" s="1402">
        <f>BR117/BR8</f>
        <v>0</v>
      </c>
      <c r="BS124" s="343"/>
      <c r="BT124" s="1401">
        <f>BT117/BT8</f>
        <v>0</v>
      </c>
      <c r="BU124" s="336">
        <f>BU117/BU8</f>
        <v>0</v>
      </c>
      <c r="BV124" s="336">
        <f>BV117/BV8</f>
        <v>0</v>
      </c>
      <c r="BW124" s="1402">
        <f>BW117/BW8</f>
        <v>0</v>
      </c>
      <c r="BX124" s="343"/>
      <c r="BY124" s="1401">
        <f>BY117/BY8</f>
        <v>0</v>
      </c>
      <c r="BZ124" s="336">
        <f>BZ117/BZ8</f>
        <v>0</v>
      </c>
      <c r="CA124" s="336">
        <f>CA117/CA8</f>
        <v>0</v>
      </c>
      <c r="CB124" s="1402">
        <f>CB117/CB8</f>
        <v>0</v>
      </c>
      <c r="CC124" s="343"/>
      <c r="CD124" s="1401">
        <f>CD117/CD8</f>
        <v>0</v>
      </c>
      <c r="CE124" s="336">
        <f>CE117/CE8</f>
        <v>0</v>
      </c>
      <c r="CF124" s="336">
        <f>CF117/CF8</f>
        <v>0</v>
      </c>
      <c r="CG124" s="1402">
        <f>CG117/CG8</f>
        <v>0</v>
      </c>
      <c r="CH124" s="343"/>
      <c r="CI124" s="1401">
        <f>CI117/CI8</f>
        <v>0</v>
      </c>
      <c r="CJ124" s="336">
        <f>CJ117/CJ8</f>
        <v>0</v>
      </c>
      <c r="CK124" s="336">
        <f>CK117/CK8</f>
        <v>0</v>
      </c>
      <c r="CL124" s="1402">
        <f>CL117/CL8</f>
        <v>0</v>
      </c>
      <c r="CM124" s="343"/>
      <c r="CN124" s="1401">
        <f>CN117/CN8</f>
        <v>0</v>
      </c>
      <c r="CO124" s="336">
        <f>CO117/CO8</f>
        <v>0</v>
      </c>
      <c r="CP124" s="336">
        <f>CP117/CP8</f>
        <v>0</v>
      </c>
      <c r="CQ124" s="1402">
        <f>CQ117/CQ8</f>
        <v>0</v>
      </c>
      <c r="CR124" s="1451"/>
    </row>
    <row r="125" spans="1:96" ht="13.5" hidden="1" customHeight="1" outlineLevel="1">
      <c r="A125" s="317"/>
      <c r="B125" s="317" t="s">
        <v>92</v>
      </c>
      <c r="C125" s="317"/>
      <c r="D125" s="318"/>
      <c r="E125" s="318"/>
      <c r="F125" s="318"/>
      <c r="G125" s="318"/>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c r="AD125" s="335"/>
      <c r="AE125" s="335"/>
      <c r="AF125" s="335"/>
      <c r="AG125" s="335"/>
      <c r="AH125" s="335"/>
      <c r="AI125" s="335"/>
      <c r="AJ125" s="335"/>
      <c r="AK125" s="1401">
        <f>AK118/AK112</f>
        <v>1.6403142857142883</v>
      </c>
      <c r="AL125" s="336">
        <f>AL118/AL112</f>
        <v>1.6949597893220305</v>
      </c>
      <c r="AM125" s="336">
        <f>AM118/AM112</f>
        <v>1.8351318868189925</v>
      </c>
      <c r="AN125" s="1402">
        <f>AN118/AN112</f>
        <v>1.9328741111829377</v>
      </c>
      <c r="AO125" s="336"/>
      <c r="AP125" s="1401">
        <f>AP118/AP112</f>
        <v>1.987970580902521</v>
      </c>
      <c r="AQ125" s="336">
        <f>AQ118/AQ112</f>
        <v>1.9742842011870978</v>
      </c>
      <c r="AR125" s="336">
        <f>AR118/AR112</f>
        <v>1.9636016636112432</v>
      </c>
      <c r="AS125" s="1402">
        <f>AS118/AS112</f>
        <v>1.9988232181154808</v>
      </c>
      <c r="AT125" s="336"/>
      <c r="AU125" s="1401">
        <f>AU118/AU112</f>
        <v>1.9988232181154773</v>
      </c>
      <c r="AV125" s="336">
        <f>AV118/AV112</f>
        <v>1.9988232181154773</v>
      </c>
      <c r="AW125" s="336">
        <f>AW118/AW112</f>
        <v>1.9988232181154773</v>
      </c>
      <c r="AX125" s="1402">
        <f>AX118/AX112</f>
        <v>1.9988232181154773</v>
      </c>
      <c r="AY125" s="336"/>
      <c r="AZ125" s="1401">
        <f>AZ118/AZ112</f>
        <v>1.9988232181154773</v>
      </c>
      <c r="BA125" s="336">
        <f>BA118/BA112</f>
        <v>1.9988232181154773</v>
      </c>
      <c r="BB125" s="336">
        <f>BB118/BB112</f>
        <v>1.9988232181154773</v>
      </c>
      <c r="BC125" s="1402">
        <f>BC118/BC112</f>
        <v>1.9988232181154773</v>
      </c>
      <c r="BD125" s="336"/>
      <c r="BE125" s="1401">
        <f>BE118/BE112</f>
        <v>1.9988232181154773</v>
      </c>
      <c r="BF125" s="336">
        <f>BF118/BF112</f>
        <v>1.9755206254387288</v>
      </c>
      <c r="BG125" s="336">
        <f>BG118/BG112</f>
        <v>1.9527551020408158</v>
      </c>
      <c r="BH125" s="1402">
        <f>BH118/BH112</f>
        <v>1.9527551020408158</v>
      </c>
      <c r="BI125" s="336"/>
      <c r="BJ125" s="1401">
        <f>BJ118/BJ112</f>
        <v>1.9527551020408158</v>
      </c>
      <c r="BK125" s="336">
        <f>BK118/BK112</f>
        <v>1.9527551020408158</v>
      </c>
      <c r="BL125" s="336">
        <f>BL118/BL112</f>
        <v>1.7741836734693872</v>
      </c>
      <c r="BM125" s="1402">
        <f>BM118/BM112</f>
        <v>1.5956122448979586</v>
      </c>
      <c r="BN125" s="336"/>
      <c r="BO125" s="1401">
        <f>BO118/BO112</f>
        <v>0</v>
      </c>
      <c r="BP125" s="336">
        <f>BP118/BP112</f>
        <v>0</v>
      </c>
      <c r="BQ125" s="336">
        <f>BQ118/BQ112</f>
        <v>0</v>
      </c>
      <c r="BR125" s="1402">
        <f>BR118/BR112</f>
        <v>0</v>
      </c>
      <c r="BS125" s="336"/>
      <c r="BT125" s="1401">
        <f>BT118/BT112</f>
        <v>0</v>
      </c>
      <c r="BU125" s="336">
        <f>BU118/BU112</f>
        <v>0</v>
      </c>
      <c r="BV125" s="336">
        <f>BV118/BV112</f>
        <v>0</v>
      </c>
      <c r="BW125" s="1402">
        <f>BW118/BW112</f>
        <v>0</v>
      </c>
      <c r="BX125" s="336"/>
      <c r="BY125" s="1401">
        <f>BY118/BY112</f>
        <v>0</v>
      </c>
      <c r="BZ125" s="336">
        <f>BZ118/BZ112</f>
        <v>0</v>
      </c>
      <c r="CA125" s="336">
        <f>CA118/CA112</f>
        <v>0</v>
      </c>
      <c r="CB125" s="1402">
        <f>CB118/CB112</f>
        <v>0</v>
      </c>
      <c r="CC125" s="336"/>
      <c r="CD125" s="1401">
        <f>CD118/CD112</f>
        <v>0</v>
      </c>
      <c r="CE125" s="336">
        <f>CE118/CE112</f>
        <v>0</v>
      </c>
      <c r="CF125" s="336">
        <f>CF118/CF112</f>
        <v>0</v>
      </c>
      <c r="CG125" s="1402">
        <f>CG118/CG112</f>
        <v>0</v>
      </c>
      <c r="CH125" s="336"/>
      <c r="CI125" s="1401">
        <f>CI118/CI112</f>
        <v>0</v>
      </c>
      <c r="CJ125" s="336">
        <f>CJ118/CJ112</f>
        <v>0</v>
      </c>
      <c r="CK125" s="336">
        <f>CK118/CK112</f>
        <v>0</v>
      </c>
      <c r="CL125" s="1402">
        <f>CL118/CL112</f>
        <v>0</v>
      </c>
      <c r="CM125" s="336"/>
      <c r="CN125" s="1401">
        <f>CN118/CN112</f>
        <v>0</v>
      </c>
      <c r="CO125" s="336">
        <f>CO118/CO112</f>
        <v>0</v>
      </c>
      <c r="CP125" s="336">
        <f>CP118/CP112</f>
        <v>0</v>
      </c>
      <c r="CQ125" s="1402">
        <f>CQ118/CQ112</f>
        <v>0</v>
      </c>
      <c r="CR125" s="1402"/>
    </row>
    <row r="126" spans="1:96" ht="13.5" hidden="1" customHeight="1" outlineLevel="1">
      <c r="A126" s="317"/>
      <c r="B126" s="317" t="s">
        <v>93</v>
      </c>
      <c r="C126" s="317"/>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318"/>
      <c r="AB126" s="318"/>
      <c r="AC126" s="318"/>
      <c r="AD126" s="318"/>
      <c r="AE126" s="318"/>
      <c r="AF126" s="318"/>
      <c r="AG126" s="318"/>
      <c r="AH126" s="318"/>
      <c r="AI126" s="335"/>
      <c r="AJ126" s="318"/>
      <c r="AK126" s="1405"/>
      <c r="AL126" s="336">
        <f>AL119/AL112</f>
        <v>0.61998842688269817</v>
      </c>
      <c r="AM126" s="319"/>
      <c r="AN126" s="1402">
        <f>AN119/AN112</f>
        <v>0.70701357466063353</v>
      </c>
      <c r="AO126" s="319"/>
      <c r="AP126" s="1405"/>
      <c r="AQ126" s="336">
        <f>AQ119/AQ112</f>
        <v>0.72216070482884798</v>
      </c>
      <c r="AR126" s="319"/>
      <c r="AS126" s="1402">
        <f>AS119/AS112</f>
        <v>0.73113667381555858</v>
      </c>
      <c r="AT126" s="336"/>
      <c r="AU126" s="1405"/>
      <c r="AV126" s="336">
        <f>AV119/AV112</f>
        <v>0.73113667381555858</v>
      </c>
      <c r="AW126" s="319"/>
      <c r="AX126" s="1402">
        <f>AX119/AX112</f>
        <v>0.73113667381555858</v>
      </c>
      <c r="AY126" s="336"/>
      <c r="AZ126" s="1405"/>
      <c r="BA126" s="336">
        <f>BA119/BA112</f>
        <v>0.73113667381555858</v>
      </c>
      <c r="BB126" s="319"/>
      <c r="BC126" s="1402">
        <f>BC119/BC112</f>
        <v>0.73113667381555858</v>
      </c>
      <c r="BD126" s="336"/>
      <c r="BE126" s="1405"/>
      <c r="BF126" s="336">
        <f>BF119/BF112</f>
        <v>0.72261296849407453</v>
      </c>
      <c r="BG126" s="319"/>
      <c r="BH126" s="1402">
        <f>BH119/BH112</f>
        <v>0.7142857142857143</v>
      </c>
      <c r="BI126" s="336"/>
      <c r="BJ126" s="1405"/>
      <c r="BK126" s="336">
        <f>BK119/BK112</f>
        <v>0.7142857142857143</v>
      </c>
      <c r="BL126" s="319"/>
      <c r="BM126" s="1402">
        <f>BM119/BM112</f>
        <v>0.17857142857142858</v>
      </c>
      <c r="BN126" s="336"/>
      <c r="BO126" s="1405"/>
      <c r="BP126" s="336">
        <f>BP119/BP112</f>
        <v>0</v>
      </c>
      <c r="BQ126" s="319"/>
      <c r="BR126" s="1402">
        <f>BR119/BR112</f>
        <v>0</v>
      </c>
      <c r="BS126" s="336"/>
      <c r="BT126" s="1405"/>
      <c r="BU126" s="336">
        <f>BU119/BU112</f>
        <v>0</v>
      </c>
      <c r="BV126" s="319"/>
      <c r="BW126" s="1402">
        <f>BW119/BW112</f>
        <v>0</v>
      </c>
      <c r="BX126" s="336"/>
      <c r="BY126" s="1405"/>
      <c r="BZ126" s="336">
        <f>BZ119/BZ112</f>
        <v>0</v>
      </c>
      <c r="CA126" s="319"/>
      <c r="CB126" s="1402">
        <f>CB119/CB112</f>
        <v>0</v>
      </c>
      <c r="CC126" s="336"/>
      <c r="CD126" s="1405"/>
      <c r="CE126" s="336">
        <f>CE119/CE112</f>
        <v>0</v>
      </c>
      <c r="CF126" s="319"/>
      <c r="CG126" s="1402">
        <f>CG119/CG112</f>
        <v>0</v>
      </c>
      <c r="CH126" s="336"/>
      <c r="CI126" s="1405"/>
      <c r="CJ126" s="336">
        <f>CJ119/CJ112</f>
        <v>0</v>
      </c>
      <c r="CK126" s="319"/>
      <c r="CL126" s="1402">
        <f>CL119/CL112</f>
        <v>0</v>
      </c>
      <c r="CM126" s="336"/>
      <c r="CN126" s="1405"/>
      <c r="CO126" s="336">
        <f>CO119/CO112</f>
        <v>0</v>
      </c>
      <c r="CP126" s="319"/>
      <c r="CQ126" s="1402">
        <f>CQ119/CQ112</f>
        <v>0</v>
      </c>
      <c r="CR126" s="1402"/>
    </row>
    <row r="127" spans="1:96" ht="13.5" hidden="1" customHeight="1" outlineLevel="1">
      <c r="A127" s="317"/>
      <c r="B127" s="317" t="s">
        <v>108</v>
      </c>
      <c r="C127" s="317"/>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c r="AA127" s="318"/>
      <c r="AB127" s="318"/>
      <c r="AC127" s="318"/>
      <c r="AD127" s="318"/>
      <c r="AE127" s="318"/>
      <c r="AF127" s="318"/>
      <c r="AG127" s="318"/>
      <c r="AH127" s="318"/>
      <c r="AI127" s="335"/>
      <c r="AJ127" s="318"/>
      <c r="AK127" s="1409">
        <f>-(AK121-AK122-AK123)</f>
        <v>-2.2792764610717597</v>
      </c>
      <c r="AL127" s="353">
        <f>-(AL121-AL122-AL123)</f>
        <v>9.9381838802616329</v>
      </c>
      <c r="AM127" s="353">
        <f>-(AM121-AM122-AM123)</f>
        <v>10.590302753408935</v>
      </c>
      <c r="AN127" s="1410">
        <f>-(AN121-AN122-AN123)</f>
        <v>3.3329174148658751</v>
      </c>
      <c r="AO127" s="319"/>
      <c r="AP127" s="1409">
        <f>-(AP121-AP122-AP123)</f>
        <v>4.7672762872151395</v>
      </c>
      <c r="AQ127" s="353">
        <f>-(AQ121-AQ122-AQ123)</f>
        <v>-6.6929021007920255</v>
      </c>
      <c r="AR127" s="353">
        <f>-(AR121-AR122-AR123)</f>
        <v>5.0641501216661879</v>
      </c>
      <c r="AS127" s="1410">
        <f>-(AS121-AS122-AS123)</f>
        <v>0</v>
      </c>
      <c r="AT127" s="336"/>
      <c r="AU127" s="1409">
        <f>-(AU121-AU122-AU123)</f>
        <v>0</v>
      </c>
      <c r="AV127" s="353">
        <f>-(AV121-AV122-AV123)</f>
        <v>0</v>
      </c>
      <c r="AW127" s="353">
        <f>-(AW121-AW122-AW123)</f>
        <v>0</v>
      </c>
      <c r="AX127" s="1410">
        <f>-(AX121-AX122-AX123)</f>
        <v>0</v>
      </c>
      <c r="AY127" s="336"/>
      <c r="AZ127" s="1409">
        <f>-(AZ121-AZ122-AZ123)</f>
        <v>0</v>
      </c>
      <c r="BA127" s="353">
        <f>-(BA121-BA122-BA123)</f>
        <v>0</v>
      </c>
      <c r="BB127" s="353">
        <f>-(BB121-BB122-BB123)</f>
        <v>0</v>
      </c>
      <c r="BC127" s="1410">
        <f>-(BC121-BC122-BC123)</f>
        <v>0</v>
      </c>
      <c r="BD127" s="336"/>
      <c r="BE127" s="1409">
        <f>-(BE121-BE122-BE123)</f>
        <v>0</v>
      </c>
      <c r="BF127" s="353">
        <f>-(BF121-BF122-BF123)</f>
        <v>-3.3701919059688521</v>
      </c>
      <c r="BG127" s="353">
        <f>-(BG121-BG122-BG123)</f>
        <v>0</v>
      </c>
      <c r="BH127" s="1410">
        <f>-(BH121-BH122-BH123)</f>
        <v>0</v>
      </c>
      <c r="BI127" s="336"/>
      <c r="BJ127" s="1409">
        <f>-(BJ121-BJ122-BJ123)</f>
        <v>0</v>
      </c>
      <c r="BK127" s="353">
        <f>-(BK121-BK122-BK123)</f>
        <v>0</v>
      </c>
      <c r="BL127" s="353">
        <f>-(BL121-BL122-BL123)</f>
        <v>-142.85714285714286</v>
      </c>
      <c r="BM127" s="1410">
        <f>-(BM121-BM122-BM123)</f>
        <v>0</v>
      </c>
      <c r="BN127" s="336"/>
      <c r="BO127" s="1409">
        <f>-(BO121-BO122-BO123)</f>
        <v>0</v>
      </c>
      <c r="BP127" s="353">
        <f>-(BP121-BP122-BP123)</f>
        <v>0</v>
      </c>
      <c r="BQ127" s="353">
        <f>-(BQ121-BQ122-BQ123)</f>
        <v>0</v>
      </c>
      <c r="BR127" s="1439">
        <v>0</v>
      </c>
      <c r="BS127" s="336"/>
      <c r="BT127" s="1409">
        <f>-(BT121-BT122-BT123)</f>
        <v>0</v>
      </c>
      <c r="BU127" s="353">
        <f>-(BU121-BU122-BU123)</f>
        <v>0</v>
      </c>
      <c r="BV127" s="353">
        <f>-(BV121-BV122-BV123)</f>
        <v>0</v>
      </c>
      <c r="BW127" s="1439">
        <v>0</v>
      </c>
      <c r="BX127" s="336"/>
      <c r="BY127" s="1409">
        <f>-(BY121-BY122-BY123)</f>
        <v>0</v>
      </c>
      <c r="BZ127" s="353">
        <f>-(BZ121-BZ122-BZ123)</f>
        <v>0</v>
      </c>
      <c r="CA127" s="353">
        <f>-(CA121-CA122-CA123)</f>
        <v>0</v>
      </c>
      <c r="CB127" s="1439">
        <v>0</v>
      </c>
      <c r="CC127" s="336"/>
      <c r="CD127" s="1409">
        <f>-(CD121-CD122-CD123)</f>
        <v>0</v>
      </c>
      <c r="CE127" s="353">
        <f>-(CE121-CE122-CE123)</f>
        <v>0</v>
      </c>
      <c r="CF127" s="353">
        <f>-(CF121-CF122-CF123)</f>
        <v>0</v>
      </c>
      <c r="CG127" s="1439">
        <v>0</v>
      </c>
      <c r="CH127" s="336"/>
      <c r="CI127" s="1409">
        <f>-(CI121-CI122-CI123)</f>
        <v>0</v>
      </c>
      <c r="CJ127" s="353">
        <f>-(CJ121-CJ122-CJ123)</f>
        <v>0</v>
      </c>
      <c r="CK127" s="353">
        <f>-(CK121-CK122-CK123)</f>
        <v>0</v>
      </c>
      <c r="CL127" s="1439">
        <v>0</v>
      </c>
      <c r="CM127" s="336"/>
      <c r="CN127" s="1409">
        <f>-(CN121-CN122-CN123)</f>
        <v>0</v>
      </c>
      <c r="CO127" s="353">
        <f>-(CO121-CO122-CO123)</f>
        <v>0</v>
      </c>
      <c r="CP127" s="353">
        <f>-(CP121-CP122-CP123)</f>
        <v>0</v>
      </c>
      <c r="CQ127" s="1439">
        <v>0</v>
      </c>
      <c r="CR127" s="1402"/>
    </row>
    <row r="128" spans="1:96" ht="6.2" hidden="1" customHeight="1" outlineLevel="1">
      <c r="A128" s="317"/>
      <c r="B128" s="317"/>
      <c r="C128" s="317"/>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c r="AA128" s="318"/>
      <c r="AB128" s="318"/>
      <c r="AC128" s="318"/>
      <c r="AD128" s="318"/>
      <c r="AE128" s="318"/>
      <c r="AF128" s="318"/>
      <c r="AG128" s="318"/>
      <c r="AH128" s="318"/>
      <c r="AI128" s="335"/>
      <c r="AJ128" s="318"/>
      <c r="AK128" s="1409"/>
      <c r="AL128" s="353"/>
      <c r="AM128" s="353"/>
      <c r="AN128" s="1410"/>
      <c r="AO128" s="319"/>
      <c r="AP128" s="1409"/>
      <c r="AQ128" s="353"/>
      <c r="AR128" s="353"/>
      <c r="AS128" s="1410"/>
      <c r="AT128" s="336"/>
      <c r="AU128" s="1409"/>
      <c r="AV128" s="353"/>
      <c r="AW128" s="353"/>
      <c r="AX128" s="1410"/>
      <c r="AY128" s="336"/>
      <c r="AZ128" s="1409"/>
      <c r="BA128" s="353"/>
      <c r="BB128" s="353"/>
      <c r="BC128" s="1410"/>
      <c r="BD128" s="336"/>
      <c r="BE128" s="1409"/>
      <c r="BF128" s="353"/>
      <c r="BG128" s="353"/>
      <c r="BH128" s="1410"/>
      <c r="BI128" s="336"/>
      <c r="BJ128" s="1409"/>
      <c r="BK128" s="353"/>
      <c r="BL128" s="353"/>
      <c r="BM128" s="1410"/>
      <c r="BN128" s="336"/>
      <c r="BO128" s="1409"/>
      <c r="BP128" s="353"/>
      <c r="BQ128" s="353"/>
      <c r="BR128" s="1410"/>
      <c r="BS128" s="336"/>
      <c r="BT128" s="1409"/>
      <c r="BU128" s="353"/>
      <c r="BV128" s="353"/>
      <c r="BW128" s="1410"/>
      <c r="BX128" s="336"/>
      <c r="BY128" s="1409"/>
      <c r="BZ128" s="353"/>
      <c r="CA128" s="353"/>
      <c r="CB128" s="1410"/>
      <c r="CC128" s="336"/>
      <c r="CD128" s="1409"/>
      <c r="CE128" s="353"/>
      <c r="CF128" s="353"/>
      <c r="CG128" s="1410"/>
      <c r="CH128" s="336"/>
      <c r="CI128" s="1409"/>
      <c r="CJ128" s="353"/>
      <c r="CK128" s="353"/>
      <c r="CL128" s="1410"/>
      <c r="CM128" s="336"/>
      <c r="CN128" s="1409"/>
      <c r="CO128" s="353"/>
      <c r="CP128" s="353"/>
      <c r="CQ128" s="1410"/>
      <c r="CR128" s="1402"/>
    </row>
    <row r="129" spans="1:96" ht="13.5" customHeight="1" collapsed="1">
      <c r="A129" s="334" t="s">
        <v>109</v>
      </c>
      <c r="B129" s="317"/>
      <c r="C129" s="317"/>
      <c r="D129" s="318"/>
      <c r="E129" s="318"/>
      <c r="F129" s="318"/>
      <c r="G129" s="347">
        <v>6.25E-2</v>
      </c>
      <c r="H129" s="339" t="s">
        <v>110</v>
      </c>
      <c r="I129" s="318"/>
      <c r="J129" s="318"/>
      <c r="K129" s="318"/>
      <c r="L129" s="318"/>
      <c r="M129" s="318"/>
      <c r="N129" s="318"/>
      <c r="O129" s="318"/>
      <c r="P129" s="318"/>
      <c r="Q129" s="318"/>
      <c r="R129" s="318"/>
      <c r="S129" s="318"/>
      <c r="T129" s="318"/>
      <c r="U129" s="318"/>
      <c r="V129" s="318"/>
      <c r="W129" s="318"/>
      <c r="X129" s="318"/>
      <c r="Y129" s="318"/>
      <c r="Z129" s="318"/>
      <c r="AA129" s="318"/>
      <c r="AB129" s="318"/>
      <c r="AC129" s="318"/>
      <c r="AD129" s="318"/>
      <c r="AE129" s="318"/>
      <c r="AF129" s="318"/>
      <c r="AG129" s="318"/>
      <c r="AH129" s="318"/>
      <c r="AI129" s="318"/>
      <c r="AJ129" s="318"/>
      <c r="AK129" s="1405"/>
      <c r="AL129" s="319"/>
      <c r="AM129" s="319"/>
      <c r="AN129" s="1406"/>
      <c r="AO129" s="319"/>
      <c r="AP129" s="1405"/>
      <c r="AQ129" s="319"/>
      <c r="AR129" s="319"/>
      <c r="AS129" s="1406"/>
      <c r="AT129" s="319"/>
      <c r="AU129" s="1405"/>
      <c r="AV129" s="319"/>
      <c r="AW129" s="319"/>
      <c r="AX129" s="1406"/>
      <c r="AY129" s="319"/>
      <c r="AZ129" s="1405"/>
      <c r="BA129" s="319"/>
      <c r="BB129" s="319"/>
      <c r="BC129" s="1406"/>
      <c r="BD129" s="319"/>
      <c r="BE129" s="1405"/>
      <c r="BF129" s="319"/>
      <c r="BG129" s="319"/>
      <c r="BH129" s="1406"/>
      <c r="BI129" s="319"/>
      <c r="BJ129" s="1405"/>
      <c r="BK129" s="319"/>
      <c r="BL129" s="319"/>
      <c r="BM129" s="1406"/>
      <c r="BN129" s="319"/>
      <c r="BO129" s="1405"/>
      <c r="BP129" s="319"/>
      <c r="BQ129" s="319"/>
      <c r="BR129" s="1406"/>
      <c r="BS129" s="319"/>
      <c r="BT129" s="1405"/>
      <c r="BU129" s="319"/>
      <c r="BV129" s="319"/>
      <c r="BW129" s="1406"/>
      <c r="BX129" s="319"/>
      <c r="BY129" s="1405"/>
      <c r="BZ129" s="319"/>
      <c r="CA129" s="319"/>
      <c r="CB129" s="1406"/>
      <c r="CC129" s="319"/>
      <c r="CD129" s="1405"/>
      <c r="CE129" s="319"/>
      <c r="CF129" s="319"/>
      <c r="CG129" s="1406"/>
      <c r="CH129" s="319"/>
      <c r="CI129" s="1405"/>
      <c r="CJ129" s="319"/>
      <c r="CK129" s="319"/>
      <c r="CL129" s="1406"/>
      <c r="CM129" s="319"/>
      <c r="CN129" s="1405"/>
      <c r="CO129" s="319"/>
      <c r="CP129" s="319"/>
      <c r="CQ129" s="1406"/>
      <c r="CR129" s="1406"/>
    </row>
    <row r="130" spans="1:96" ht="13.5" customHeight="1">
      <c r="A130" s="317"/>
      <c r="B130" s="317" t="s">
        <v>87</v>
      </c>
      <c r="C130" s="317"/>
      <c r="D130" s="318"/>
      <c r="E130" s="318"/>
      <c r="F130" s="318"/>
      <c r="G130" s="318"/>
      <c r="H130" s="335"/>
      <c r="I130" s="335"/>
      <c r="J130" s="335"/>
      <c r="K130" s="335"/>
      <c r="L130" s="335"/>
      <c r="M130" s="335"/>
      <c r="N130" s="335"/>
      <c r="O130" s="335"/>
      <c r="P130" s="335"/>
      <c r="Q130" s="335"/>
      <c r="R130" s="335"/>
      <c r="S130" s="335"/>
      <c r="T130" s="335"/>
      <c r="U130" s="335"/>
      <c r="V130" s="335"/>
      <c r="W130" s="335"/>
      <c r="X130" s="335"/>
      <c r="Y130" s="335"/>
      <c r="Z130" s="335"/>
      <c r="AA130" s="335"/>
      <c r="AB130" s="335"/>
      <c r="AC130" s="335"/>
      <c r="AD130" s="335"/>
      <c r="AE130" s="335"/>
      <c r="AF130" s="335"/>
      <c r="AG130" s="335"/>
      <c r="AH130" s="335"/>
      <c r="AI130" s="335"/>
      <c r="AJ130" s="335"/>
      <c r="AK130" s="1401">
        <f>+AJ132</f>
        <v>499</v>
      </c>
      <c r="AL130" s="336">
        <f>+AK132</f>
        <v>499</v>
      </c>
      <c r="AM130" s="336">
        <f>+AL132</f>
        <v>499</v>
      </c>
      <c r="AN130" s="1402">
        <f>+AM132</f>
        <v>499</v>
      </c>
      <c r="AO130" s="336"/>
      <c r="AP130" s="1401">
        <f>+AO132</f>
        <v>499</v>
      </c>
      <c r="AQ130" s="336">
        <f>+AP132</f>
        <v>499</v>
      </c>
      <c r="AR130" s="336">
        <f>458+40</f>
        <v>498</v>
      </c>
      <c r="AS130" s="1402">
        <f>+AR132</f>
        <v>498</v>
      </c>
      <c r="AT130" s="336"/>
      <c r="AU130" s="1401">
        <f>+AT132</f>
        <v>498</v>
      </c>
      <c r="AV130" s="336">
        <f>+AU132</f>
        <v>498</v>
      </c>
      <c r="AW130" s="336">
        <f>+AV132</f>
        <v>498</v>
      </c>
      <c r="AX130" s="1402">
        <f>+AW132</f>
        <v>498</v>
      </c>
      <c r="AY130" s="336"/>
      <c r="AZ130" s="1401">
        <f>+AY132</f>
        <v>498</v>
      </c>
      <c r="BA130" s="336">
        <f>+AZ132</f>
        <v>498</v>
      </c>
      <c r="BB130" s="336">
        <f>+BA132</f>
        <v>498</v>
      </c>
      <c r="BC130" s="1402">
        <f>+BB132</f>
        <v>498</v>
      </c>
      <c r="BD130" s="336"/>
      <c r="BE130" s="1401">
        <f>+BD132</f>
        <v>498</v>
      </c>
      <c r="BF130" s="662">
        <f>549+70+35</f>
        <v>654</v>
      </c>
      <c r="BG130" s="336">
        <f>+BF132</f>
        <v>654</v>
      </c>
      <c r="BH130" s="1402">
        <f>+BG132</f>
        <v>654</v>
      </c>
      <c r="BI130" s="336"/>
      <c r="BJ130" s="1401">
        <f>+BI132</f>
        <v>654</v>
      </c>
      <c r="BK130" s="336">
        <f>+BJ132</f>
        <v>619</v>
      </c>
      <c r="BL130" s="336">
        <f>+BK132</f>
        <v>619</v>
      </c>
      <c r="BM130" s="1402">
        <f>+BL132</f>
        <v>619</v>
      </c>
      <c r="BN130" s="336"/>
      <c r="BO130" s="1401">
        <f>+BN132</f>
        <v>549</v>
      </c>
      <c r="BP130" s="336">
        <f>+BO132</f>
        <v>549</v>
      </c>
      <c r="BQ130" s="336">
        <f>+BP132</f>
        <v>549</v>
      </c>
      <c r="BR130" s="1402">
        <f>+BQ132</f>
        <v>635</v>
      </c>
      <c r="BS130" s="336"/>
      <c r="BT130" s="1401">
        <f>+BS132</f>
        <v>591</v>
      </c>
      <c r="BU130" s="336">
        <f>+BT132</f>
        <v>591</v>
      </c>
      <c r="BV130" s="336">
        <f>+BU132</f>
        <v>590</v>
      </c>
      <c r="BW130" s="1402">
        <f>+BV132</f>
        <v>590</v>
      </c>
      <c r="BX130" s="336"/>
      <c r="BY130" s="1401">
        <f>+BX132</f>
        <v>546</v>
      </c>
      <c r="BZ130" s="336">
        <f>+BY132</f>
        <v>546</v>
      </c>
      <c r="CA130" s="336">
        <f>+BZ132</f>
        <v>438</v>
      </c>
      <c r="CB130" s="1402">
        <f>+CA132</f>
        <v>427</v>
      </c>
      <c r="CC130" s="336"/>
      <c r="CD130" s="1401">
        <f>+CC132</f>
        <v>425</v>
      </c>
      <c r="CE130" s="336">
        <f>+CD132</f>
        <v>425</v>
      </c>
      <c r="CF130" s="336">
        <f>+CE132</f>
        <v>425</v>
      </c>
      <c r="CG130" s="1402">
        <f>+CF132</f>
        <v>425</v>
      </c>
      <c r="CH130" s="336"/>
      <c r="CI130" s="1401">
        <f>+CH132</f>
        <v>425</v>
      </c>
      <c r="CJ130" s="336">
        <f>+CI132</f>
        <v>425</v>
      </c>
      <c r="CK130" s="336">
        <f>+CJ132</f>
        <v>425</v>
      </c>
      <c r="CL130" s="1402">
        <f>+CK132</f>
        <v>425</v>
      </c>
      <c r="CM130" s="336"/>
      <c r="CN130" s="1401">
        <f>+CM132</f>
        <v>425</v>
      </c>
      <c r="CO130" s="336">
        <f>+CN132</f>
        <v>425</v>
      </c>
      <c r="CP130" s="336">
        <f>+CO132</f>
        <v>425</v>
      </c>
      <c r="CQ130" s="1402">
        <f>+CP132</f>
        <v>425</v>
      </c>
      <c r="CR130" s="1402"/>
    </row>
    <row r="131" spans="1:96" ht="13.5" customHeight="1">
      <c r="A131" s="317"/>
      <c r="B131" s="317" t="s">
        <v>89</v>
      </c>
      <c r="C131" s="317"/>
      <c r="D131" s="318"/>
      <c r="E131" s="318"/>
      <c r="F131" s="318"/>
      <c r="G131" s="318"/>
      <c r="H131" s="335"/>
      <c r="I131" s="335"/>
      <c r="J131" s="335"/>
      <c r="K131" s="335"/>
      <c r="L131" s="335"/>
      <c r="M131" s="335"/>
      <c r="N131" s="335"/>
      <c r="O131" s="335"/>
      <c r="P131" s="335"/>
      <c r="Q131" s="335"/>
      <c r="R131" s="335"/>
      <c r="S131" s="335"/>
      <c r="T131" s="335"/>
      <c r="U131" s="335"/>
      <c r="V131" s="335"/>
      <c r="W131" s="335"/>
      <c r="X131" s="335"/>
      <c r="Y131" s="335"/>
      <c r="Z131" s="335"/>
      <c r="AA131" s="335"/>
      <c r="AB131" s="335"/>
      <c r="AC131" s="335"/>
      <c r="AD131" s="335"/>
      <c r="AE131" s="335"/>
      <c r="AF131" s="335"/>
      <c r="AG131" s="335"/>
      <c r="AH131" s="335"/>
      <c r="AI131" s="663">
        <v>0</v>
      </c>
      <c r="AJ131" s="335"/>
      <c r="AK131" s="1403">
        <v>0</v>
      </c>
      <c r="AL131" s="662">
        <v>0</v>
      </c>
      <c r="AM131" s="662">
        <v>0</v>
      </c>
      <c r="AN131" s="1404">
        <v>0</v>
      </c>
      <c r="AO131" s="336"/>
      <c r="AP131" s="1403">
        <v>0</v>
      </c>
      <c r="AQ131" s="662">
        <v>0</v>
      </c>
      <c r="AR131" s="662">
        <v>0</v>
      </c>
      <c r="AS131" s="1404">
        <v>0</v>
      </c>
      <c r="AT131" s="336"/>
      <c r="AU131" s="1403">
        <v>0</v>
      </c>
      <c r="AV131" s="662">
        <v>0</v>
      </c>
      <c r="AW131" s="662">
        <v>0</v>
      </c>
      <c r="AX131" s="1404">
        <v>0</v>
      </c>
      <c r="AY131" s="336"/>
      <c r="AZ131" s="1403">
        <v>0</v>
      </c>
      <c r="BA131" s="662">
        <v>0</v>
      </c>
      <c r="BB131" s="662">
        <v>0</v>
      </c>
      <c r="BC131" s="1404">
        <v>0</v>
      </c>
      <c r="BD131" s="336"/>
      <c r="BE131" s="1403">
        <v>0</v>
      </c>
      <c r="BF131" s="662">
        <v>0</v>
      </c>
      <c r="BG131" s="662">
        <v>0</v>
      </c>
      <c r="BH131" s="1404">
        <v>0</v>
      </c>
      <c r="BI131" s="336"/>
      <c r="BJ131" s="1403">
        <f>619-BJ130</f>
        <v>-35</v>
      </c>
      <c r="BK131" s="662">
        <v>0</v>
      </c>
      <c r="BL131" s="662">
        <v>0</v>
      </c>
      <c r="BM131" s="1404">
        <v>0</v>
      </c>
      <c r="BN131" s="336"/>
      <c r="BO131" s="1403">
        <v>0</v>
      </c>
      <c r="BP131" s="662">
        <v>0</v>
      </c>
      <c r="BQ131" s="662">
        <v>0</v>
      </c>
      <c r="BR131" s="1404">
        <v>0</v>
      </c>
      <c r="BS131" s="336"/>
      <c r="BT131" s="1403">
        <v>0</v>
      </c>
      <c r="BU131" s="742">
        <f>BU132-BU130</f>
        <v>-1</v>
      </c>
      <c r="BV131" s="742">
        <f>BV132-BV130</f>
        <v>0</v>
      </c>
      <c r="BW131" s="1441">
        <f>BW132-BW130</f>
        <v>-44</v>
      </c>
      <c r="BX131" s="336"/>
      <c r="BY131" s="1440">
        <f>BY132-BY130</f>
        <v>0</v>
      </c>
      <c r="BZ131" s="742">
        <f>BZ132-BZ130</f>
        <v>-108</v>
      </c>
      <c r="CA131" s="742">
        <f>CA132-CA130</f>
        <v>-11</v>
      </c>
      <c r="CB131" s="1404">
        <f>CB132-CB130</f>
        <v>-2</v>
      </c>
      <c r="CC131" s="336"/>
      <c r="CD131" s="1403">
        <v>0</v>
      </c>
      <c r="CE131" s="662">
        <v>0</v>
      </c>
      <c r="CF131" s="662">
        <v>0</v>
      </c>
      <c r="CG131" s="1404">
        <v>0</v>
      </c>
      <c r="CH131" s="336"/>
      <c r="CI131" s="1403">
        <v>0</v>
      </c>
      <c r="CJ131" s="662">
        <v>0</v>
      </c>
      <c r="CK131" s="662">
        <v>0</v>
      </c>
      <c r="CL131" s="1404">
        <v>0</v>
      </c>
      <c r="CM131" s="336"/>
      <c r="CN131" s="1403">
        <v>0</v>
      </c>
      <c r="CO131" s="662">
        <v>0</v>
      </c>
      <c r="CP131" s="662">
        <v>0</v>
      </c>
      <c r="CQ131" s="1404">
        <v>0</v>
      </c>
      <c r="CR131" s="1402"/>
    </row>
    <row r="132" spans="1:96" ht="13.5" customHeight="1">
      <c r="A132" s="317"/>
      <c r="B132" s="317" t="s">
        <v>90</v>
      </c>
      <c r="C132" s="317"/>
      <c r="D132" s="318"/>
      <c r="E132" s="318"/>
      <c r="F132" s="318"/>
      <c r="G132" s="318"/>
      <c r="H132" s="348">
        <v>0</v>
      </c>
      <c r="I132" s="348"/>
      <c r="J132" s="348"/>
      <c r="K132" s="348"/>
      <c r="L132" s="348"/>
      <c r="M132" s="348"/>
      <c r="N132" s="348"/>
      <c r="O132" s="348"/>
      <c r="P132" s="348"/>
      <c r="Q132" s="348"/>
      <c r="R132" s="348"/>
      <c r="S132" s="348"/>
      <c r="T132" s="348"/>
      <c r="U132" s="348"/>
      <c r="V132" s="348"/>
      <c r="W132" s="348"/>
      <c r="X132" s="348"/>
      <c r="Y132" s="348"/>
      <c r="Z132" s="348"/>
      <c r="AA132" s="348"/>
      <c r="AB132" s="348"/>
      <c r="AC132" s="348"/>
      <c r="AD132" s="348"/>
      <c r="AE132" s="348"/>
      <c r="AF132" s="348"/>
      <c r="AG132" s="348"/>
      <c r="AH132" s="348"/>
      <c r="AI132" s="663">
        <v>499</v>
      </c>
      <c r="AJ132" s="335">
        <f>+AI132</f>
        <v>499</v>
      </c>
      <c r="AK132" s="1401">
        <f>+AK130+AK131</f>
        <v>499</v>
      </c>
      <c r="AL132" s="336">
        <f>+AL130+AL131</f>
        <v>499</v>
      </c>
      <c r="AM132" s="336">
        <f>+AM130+AM131</f>
        <v>499</v>
      </c>
      <c r="AN132" s="1402">
        <f>+AN130+AN131</f>
        <v>499</v>
      </c>
      <c r="AO132" s="343">
        <f>+AN132</f>
        <v>499</v>
      </c>
      <c r="AP132" s="1401">
        <f>+AP130+AP131</f>
        <v>499</v>
      </c>
      <c r="AQ132" s="336">
        <f>+AQ130+AQ131</f>
        <v>499</v>
      </c>
      <c r="AR132" s="336">
        <f>+AR130+AR131</f>
        <v>498</v>
      </c>
      <c r="AS132" s="1402">
        <f>+AS130+AS131</f>
        <v>498</v>
      </c>
      <c r="AT132" s="343">
        <f>+AS132</f>
        <v>498</v>
      </c>
      <c r="AU132" s="1401">
        <f>+AU130+AU131</f>
        <v>498</v>
      </c>
      <c r="AV132" s="336">
        <f>+AV130+AV131</f>
        <v>498</v>
      </c>
      <c r="AW132" s="336">
        <f>+AW130+AW131</f>
        <v>498</v>
      </c>
      <c r="AX132" s="1402">
        <f>+AX130+AX131</f>
        <v>498</v>
      </c>
      <c r="AY132" s="343">
        <f>+AX132</f>
        <v>498</v>
      </c>
      <c r="AZ132" s="1401">
        <f>+AZ130+AZ131</f>
        <v>498</v>
      </c>
      <c r="BA132" s="336">
        <f>+BA130+BA131</f>
        <v>498</v>
      </c>
      <c r="BB132" s="336">
        <f>+BB130+BB131</f>
        <v>498</v>
      </c>
      <c r="BC132" s="1402">
        <f>+BC130+BC131</f>
        <v>498</v>
      </c>
      <c r="BD132" s="343">
        <f>+BC132</f>
        <v>498</v>
      </c>
      <c r="BE132" s="1401">
        <f>+BE130+BE131</f>
        <v>498</v>
      </c>
      <c r="BF132" s="336">
        <f>+BF130+BF131</f>
        <v>654</v>
      </c>
      <c r="BG132" s="336">
        <f>+BG130+BG131</f>
        <v>654</v>
      </c>
      <c r="BH132" s="1402">
        <f>+BH130+BH131</f>
        <v>654</v>
      </c>
      <c r="BI132" s="343">
        <f>+BH132</f>
        <v>654</v>
      </c>
      <c r="BJ132" s="1401">
        <f>+BJ130+BJ131</f>
        <v>619</v>
      </c>
      <c r="BK132" s="336">
        <f>+BK130+BK131</f>
        <v>619</v>
      </c>
      <c r="BL132" s="336">
        <f>+BL130+BL131</f>
        <v>619</v>
      </c>
      <c r="BM132" s="1404">
        <v>549</v>
      </c>
      <c r="BN132" s="343">
        <f>+BM132</f>
        <v>549</v>
      </c>
      <c r="BO132" s="1401">
        <f>+BO130+BO131</f>
        <v>549</v>
      </c>
      <c r="BP132" s="336">
        <f>+BP130+BP131</f>
        <v>549</v>
      </c>
      <c r="BQ132" s="662">
        <f>532+70+32+1</f>
        <v>635</v>
      </c>
      <c r="BR132" s="1404">
        <f>490+70+30+1</f>
        <v>591</v>
      </c>
      <c r="BS132" s="736">
        <f>+BR132</f>
        <v>591</v>
      </c>
      <c r="BT132" s="1403">
        <f>490+70+30+1</f>
        <v>591</v>
      </c>
      <c r="BU132" s="662">
        <f>490+70+29+1</f>
        <v>590</v>
      </c>
      <c r="BV132" s="662">
        <f>490+70+29+1</f>
        <v>590</v>
      </c>
      <c r="BW132" s="1404">
        <f>447+70+28+1</f>
        <v>546</v>
      </c>
      <c r="BX132" s="343">
        <f>+BW132</f>
        <v>546</v>
      </c>
      <c r="BY132" s="1403">
        <f>447+70+28+1</f>
        <v>546</v>
      </c>
      <c r="BZ132" s="662">
        <f>411+0+26+1</f>
        <v>438</v>
      </c>
      <c r="CA132" s="662">
        <f>400+26+1</f>
        <v>427</v>
      </c>
      <c r="CB132" s="1404">
        <f>400+24+1</f>
        <v>425</v>
      </c>
      <c r="CC132" s="343">
        <f>+CB132</f>
        <v>425</v>
      </c>
      <c r="CD132" s="1401">
        <f>+CD130+CD131</f>
        <v>425</v>
      </c>
      <c r="CE132" s="336">
        <f>+CE130+CE131</f>
        <v>425</v>
      </c>
      <c r="CF132" s="336">
        <f>+CF130+CF131</f>
        <v>425</v>
      </c>
      <c r="CG132" s="1402">
        <f>+CG130+CG131</f>
        <v>425</v>
      </c>
      <c r="CH132" s="343">
        <f>+CG132</f>
        <v>425</v>
      </c>
      <c r="CI132" s="1401">
        <f>+CI130+CI131</f>
        <v>425</v>
      </c>
      <c r="CJ132" s="336">
        <f>+CJ130+CJ131</f>
        <v>425</v>
      </c>
      <c r="CK132" s="336">
        <f>+CK130+CK131</f>
        <v>425</v>
      </c>
      <c r="CL132" s="1402">
        <f>+CL130+CL131</f>
        <v>425</v>
      </c>
      <c r="CM132" s="343">
        <f>+CL132</f>
        <v>425</v>
      </c>
      <c r="CN132" s="1401">
        <f>+CN130+CN131</f>
        <v>425</v>
      </c>
      <c r="CO132" s="336">
        <f>+CO130+CO131</f>
        <v>425</v>
      </c>
      <c r="CP132" s="336">
        <f>+CP130+CP131</f>
        <v>425</v>
      </c>
      <c r="CQ132" s="1402">
        <f>+CQ130+CQ131</f>
        <v>425</v>
      </c>
      <c r="CR132" s="1451">
        <f>+CQ132</f>
        <v>425</v>
      </c>
    </row>
    <row r="133" spans="1:96" ht="13.5" customHeight="1">
      <c r="A133" s="317"/>
      <c r="B133" s="317" t="s">
        <v>91</v>
      </c>
      <c r="C133" s="317"/>
      <c r="D133" s="318"/>
      <c r="E133" s="318"/>
      <c r="F133" s="318"/>
      <c r="G133" s="318"/>
      <c r="H133" s="335"/>
      <c r="I133" s="335"/>
      <c r="J133" s="335"/>
      <c r="K133" s="335"/>
      <c r="L133" s="335"/>
      <c r="M133" s="335"/>
      <c r="N133" s="335"/>
      <c r="O133" s="335"/>
      <c r="P133" s="335"/>
      <c r="Q133" s="335"/>
      <c r="R133" s="335"/>
      <c r="S133" s="335"/>
      <c r="T133" s="335"/>
      <c r="U133" s="335"/>
      <c r="V133" s="335"/>
      <c r="W133" s="335"/>
      <c r="X133" s="335"/>
      <c r="Y133" s="335"/>
      <c r="Z133" s="335"/>
      <c r="AA133" s="335"/>
      <c r="AB133" s="335"/>
      <c r="AC133" s="335"/>
      <c r="AD133" s="335"/>
      <c r="AE133" s="335"/>
      <c r="AF133" s="335"/>
      <c r="AG133" s="335"/>
      <c r="AH133" s="335"/>
      <c r="AI133" s="335"/>
      <c r="AJ133" s="335"/>
      <c r="AK133" s="1401">
        <f>+AVERAGE(AK130,AK132)</f>
        <v>499</v>
      </c>
      <c r="AL133" s="336">
        <f>+AVERAGE(AL130,AL132)</f>
        <v>499</v>
      </c>
      <c r="AM133" s="336">
        <f>+AVERAGE(AM130,AM132)</f>
        <v>499</v>
      </c>
      <c r="AN133" s="1402">
        <f>+AVERAGE(AN130,AN132)</f>
        <v>499</v>
      </c>
      <c r="AO133" s="336"/>
      <c r="AP133" s="1401">
        <f>+AVERAGE(AP130,AP132)</f>
        <v>499</v>
      </c>
      <c r="AQ133" s="336">
        <f>+AVERAGE(AQ130,AQ132)</f>
        <v>499</v>
      </c>
      <c r="AR133" s="336">
        <f>+AVERAGE(AR130,AR132)</f>
        <v>498</v>
      </c>
      <c r="AS133" s="1402">
        <f>+AVERAGE(AS130,AS132)</f>
        <v>498</v>
      </c>
      <c r="AT133" s="336"/>
      <c r="AU133" s="1401">
        <f>+AVERAGE(AU130,AU132)</f>
        <v>498</v>
      </c>
      <c r="AV133" s="336">
        <f>+AVERAGE(AV130,AV132)</f>
        <v>498</v>
      </c>
      <c r="AW133" s="336">
        <f>+AVERAGE(AW130,AW132)</f>
        <v>498</v>
      </c>
      <c r="AX133" s="1402">
        <f>+AVERAGE(AX130,AX132)</f>
        <v>498</v>
      </c>
      <c r="AY133" s="336"/>
      <c r="AZ133" s="1401">
        <f>+AVERAGE(AZ130,AZ132)</f>
        <v>498</v>
      </c>
      <c r="BA133" s="336">
        <f>+AVERAGE(BA130,BA132)</f>
        <v>498</v>
      </c>
      <c r="BB133" s="336">
        <f>+AVERAGE(BB130,BB132)</f>
        <v>498</v>
      </c>
      <c r="BC133" s="1402">
        <f>+AVERAGE(BC130,BC132)</f>
        <v>498</v>
      </c>
      <c r="BD133" s="336"/>
      <c r="BE133" s="1401">
        <f>+AVERAGE(BE130,BE132)</f>
        <v>498</v>
      </c>
      <c r="BF133" s="336">
        <f>+AVERAGE(BF130,BF132)</f>
        <v>654</v>
      </c>
      <c r="BG133" s="336">
        <f>+AVERAGE(BG130,BG132)</f>
        <v>654</v>
      </c>
      <c r="BH133" s="1402">
        <f>+AVERAGE(BH130,BH132)</f>
        <v>654</v>
      </c>
      <c r="BI133" s="336"/>
      <c r="BJ133" s="1401">
        <f>+AVERAGE(BJ130,BJ132)</f>
        <v>636.5</v>
      </c>
      <c r="BK133" s="336">
        <f>+AVERAGE(BK130,BK132)</f>
        <v>619</v>
      </c>
      <c r="BL133" s="336">
        <f>+AVERAGE(BL130,BL132)</f>
        <v>619</v>
      </c>
      <c r="BM133" s="1402">
        <f>+AVERAGE(BM130,BM132)</f>
        <v>584</v>
      </c>
      <c r="BN133" s="336"/>
      <c r="BO133" s="1401">
        <f>+AVERAGE(BO130,BO132)</f>
        <v>549</v>
      </c>
      <c r="BP133" s="336">
        <f>+AVERAGE(BP130,BP132)</f>
        <v>549</v>
      </c>
      <c r="BQ133" s="336">
        <f>+AVERAGE(BQ130,BQ132)</f>
        <v>592</v>
      </c>
      <c r="BR133" s="1402">
        <f>+AVERAGE(BR130,BR132)</f>
        <v>613</v>
      </c>
      <c r="BS133" s="336"/>
      <c r="BT133" s="1401">
        <f>+AVERAGE(BT130,BT132)</f>
        <v>591</v>
      </c>
      <c r="BU133" s="336">
        <f>+AVERAGE(BU130,BU132)</f>
        <v>590.5</v>
      </c>
      <c r="BV133" s="336">
        <f>+AVERAGE(BV130,BV132)</f>
        <v>590</v>
      </c>
      <c r="BW133" s="1402">
        <f>+AVERAGE(BW130,BW132)</f>
        <v>568</v>
      </c>
      <c r="BX133" s="336"/>
      <c r="BY133" s="1401">
        <f>+AVERAGE(BY130,BY132)</f>
        <v>546</v>
      </c>
      <c r="BZ133" s="336">
        <f>+AVERAGE(BZ130,BZ132)</f>
        <v>492</v>
      </c>
      <c r="CA133" s="336">
        <f>+AVERAGE(CA130,CA132)</f>
        <v>432.5</v>
      </c>
      <c r="CB133" s="1402">
        <f>+AVERAGE(CB130,CB132)</f>
        <v>426</v>
      </c>
      <c r="CC133" s="336"/>
      <c r="CD133" s="1401">
        <f>+AVERAGE(CD130,CD132)</f>
        <v>425</v>
      </c>
      <c r="CE133" s="336">
        <f>+AVERAGE(CE130,CE132)</f>
        <v>425</v>
      </c>
      <c r="CF133" s="336">
        <f>+AVERAGE(CF130,CF132)</f>
        <v>425</v>
      </c>
      <c r="CG133" s="1402">
        <f>+AVERAGE(CG130,CG132)</f>
        <v>425</v>
      </c>
      <c r="CH133" s="336"/>
      <c r="CI133" s="1401">
        <f>+AVERAGE(CI130,CI132)</f>
        <v>425</v>
      </c>
      <c r="CJ133" s="336">
        <f>+AVERAGE(CJ130,CJ132)</f>
        <v>425</v>
      </c>
      <c r="CK133" s="336">
        <f>+AVERAGE(CK130,CK132)</f>
        <v>425</v>
      </c>
      <c r="CL133" s="1402">
        <f>+AVERAGE(CL130,CL132)</f>
        <v>425</v>
      </c>
      <c r="CM133" s="336"/>
      <c r="CN133" s="1401">
        <f>+AVERAGE(CN130,CN132)</f>
        <v>425</v>
      </c>
      <c r="CO133" s="336">
        <f>+AVERAGE(CO130,CO132)</f>
        <v>425</v>
      </c>
      <c r="CP133" s="336">
        <f>+AVERAGE(CP130,CP132)</f>
        <v>425</v>
      </c>
      <c r="CQ133" s="1402">
        <f>+AVERAGE(CQ130,CQ132)</f>
        <v>425</v>
      </c>
      <c r="CR133" s="1402"/>
    </row>
    <row r="134" spans="1:96" ht="13.5" customHeight="1">
      <c r="A134" s="317"/>
      <c r="B134" s="317" t="s">
        <v>92</v>
      </c>
      <c r="C134" s="317"/>
      <c r="D134" s="318"/>
      <c r="E134" s="318"/>
      <c r="F134" s="318"/>
      <c r="G134" s="318"/>
      <c r="H134" s="335"/>
      <c r="I134" s="335"/>
      <c r="J134" s="335"/>
      <c r="K134" s="335"/>
      <c r="L134" s="335"/>
      <c r="M134" s="335"/>
      <c r="N134" s="335"/>
      <c r="O134" s="335"/>
      <c r="P134" s="335"/>
      <c r="Q134" s="335"/>
      <c r="R134" s="335"/>
      <c r="S134" s="335"/>
      <c r="T134" s="335"/>
      <c r="U134" s="335"/>
      <c r="V134" s="335"/>
      <c r="W134" s="335"/>
      <c r="X134" s="335"/>
      <c r="Y134" s="335"/>
      <c r="Z134" s="335"/>
      <c r="AA134" s="335"/>
      <c r="AB134" s="335"/>
      <c r="AC134" s="335"/>
      <c r="AD134" s="335"/>
      <c r="AE134" s="335"/>
      <c r="AF134" s="335"/>
      <c r="AG134" s="335"/>
      <c r="AH134" s="335"/>
      <c r="AI134" s="335"/>
      <c r="AJ134" s="335"/>
      <c r="AK134" s="1401">
        <f>+AK133*$G129/4</f>
        <v>7.796875</v>
      </c>
      <c r="AL134" s="336">
        <f>+AL133*$G129/4</f>
        <v>7.796875</v>
      </c>
      <c r="AM134" s="336">
        <f>+AM133*$G129/4</f>
        <v>7.796875</v>
      </c>
      <c r="AN134" s="1402">
        <f>+AN133*$G129/4</f>
        <v>7.796875</v>
      </c>
      <c r="AO134" s="336"/>
      <c r="AP134" s="1401">
        <f>+AP133*$G129/4</f>
        <v>7.796875</v>
      </c>
      <c r="AQ134" s="336">
        <f>+AQ133*$G129/4</f>
        <v>7.796875</v>
      </c>
      <c r="AR134" s="336">
        <f>+AR133*$G129/4</f>
        <v>7.78125</v>
      </c>
      <c r="AS134" s="1402">
        <f>+AS133*$G129/4</f>
        <v>7.78125</v>
      </c>
      <c r="AT134" s="336"/>
      <c r="AU134" s="1401">
        <f>+AU133*$G129/4</f>
        <v>7.78125</v>
      </c>
      <c r="AV134" s="336">
        <f>+AV133*$G129/4</f>
        <v>7.78125</v>
      </c>
      <c r="AW134" s="336">
        <f>+AW133*$G129/4</f>
        <v>7.78125</v>
      </c>
      <c r="AX134" s="1402">
        <f>+AX133*$G129/4</f>
        <v>7.78125</v>
      </c>
      <c r="AY134" s="336"/>
      <c r="AZ134" s="1401">
        <f>+AZ133*$G129/4</f>
        <v>7.78125</v>
      </c>
      <c r="BA134" s="336">
        <f>+BA133*$G129/4</f>
        <v>7.78125</v>
      </c>
      <c r="BB134" s="336">
        <f>+BB133*$G129/4</f>
        <v>7.78125</v>
      </c>
      <c r="BC134" s="1402">
        <f>+BC133*$G129/4</f>
        <v>7.78125</v>
      </c>
      <c r="BD134" s="336"/>
      <c r="BE134" s="1401">
        <f>+BE133*$G129/4</f>
        <v>7.78125</v>
      </c>
      <c r="BF134" s="336">
        <f>+BF133*$G129/4</f>
        <v>10.21875</v>
      </c>
      <c r="BG134" s="336">
        <f>+BG133*$G129/4</f>
        <v>10.21875</v>
      </c>
      <c r="BH134" s="1402">
        <f>+BH133*$G129/4</f>
        <v>10.21875</v>
      </c>
      <c r="BI134" s="336"/>
      <c r="BJ134" s="1401">
        <f>+BJ133*$G129/4</f>
        <v>9.9453125</v>
      </c>
      <c r="BK134" s="336">
        <f>+BK133*$G129/4</f>
        <v>9.671875</v>
      </c>
      <c r="BL134" s="336">
        <f>+BL133*$G129/4</f>
        <v>9.671875</v>
      </c>
      <c r="BM134" s="1402">
        <f>+BM133*$G129/4</f>
        <v>9.125</v>
      </c>
      <c r="BN134" s="336"/>
      <c r="BO134" s="1401">
        <f>+BO133*$G129/4</f>
        <v>8.578125</v>
      </c>
      <c r="BP134" s="336">
        <f>+BP133*$G129/4</f>
        <v>8.578125</v>
      </c>
      <c r="BQ134" s="336">
        <f>+BQ133*$G129/4</f>
        <v>9.25</v>
      </c>
      <c r="BR134" s="1402">
        <f>+BR133*$G129/4</f>
        <v>9.578125</v>
      </c>
      <c r="BS134" s="336"/>
      <c r="BT134" s="1401">
        <f>+BT133*$G129/4</f>
        <v>9.234375</v>
      </c>
      <c r="BU134" s="336">
        <f>+BU133*$G129/4</f>
        <v>9.2265625</v>
      </c>
      <c r="BV134" s="336">
        <f>+BV133*$G129/4</f>
        <v>9.21875</v>
      </c>
      <c r="BW134" s="1402">
        <f>+BW133*$G129/4</f>
        <v>8.875</v>
      </c>
      <c r="BX134" s="336"/>
      <c r="BY134" s="1401">
        <f>+BY133*$G129/4</f>
        <v>8.53125</v>
      </c>
      <c r="BZ134" s="336">
        <f>+BZ133*$G129/4</f>
        <v>7.6875</v>
      </c>
      <c r="CA134" s="336">
        <f>+CA133*$G129/4</f>
        <v>6.7578125</v>
      </c>
      <c r="CB134" s="1402">
        <f>+CB133*$G129/4</f>
        <v>6.65625</v>
      </c>
      <c r="CC134" s="336"/>
      <c r="CD134" s="1401">
        <f>+CD133*$G129/4</f>
        <v>6.640625</v>
      </c>
      <c r="CE134" s="336">
        <f>+CE133*$G129/4</f>
        <v>6.640625</v>
      </c>
      <c r="CF134" s="336">
        <f>+CF133*$G129/4</f>
        <v>6.640625</v>
      </c>
      <c r="CG134" s="1402">
        <f>+CG133*$G129/4</f>
        <v>6.640625</v>
      </c>
      <c r="CH134" s="336"/>
      <c r="CI134" s="1401">
        <f>+CI133*$G129/4</f>
        <v>6.640625</v>
      </c>
      <c r="CJ134" s="336">
        <f>+CJ133*$G129/4</f>
        <v>6.640625</v>
      </c>
      <c r="CK134" s="336">
        <f>+CK133*$G129/4</f>
        <v>6.640625</v>
      </c>
      <c r="CL134" s="1402">
        <f>+CL133*$G129/4</f>
        <v>6.640625</v>
      </c>
      <c r="CM134" s="336"/>
      <c r="CN134" s="1401">
        <f>+CN133*$G129/4</f>
        <v>6.640625</v>
      </c>
      <c r="CO134" s="336">
        <f>+CO133*$G129/4</f>
        <v>6.640625</v>
      </c>
      <c r="CP134" s="336">
        <f>+CP133*$G129/4</f>
        <v>6.640625</v>
      </c>
      <c r="CQ134" s="1402">
        <f>+CQ133*$G129/4</f>
        <v>6.640625</v>
      </c>
      <c r="CR134" s="1402"/>
    </row>
    <row r="135" spans="1:96" ht="13.5" customHeight="1">
      <c r="A135" s="317"/>
      <c r="B135" s="317" t="s">
        <v>93</v>
      </c>
      <c r="C135" s="317"/>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c r="AA135" s="318"/>
      <c r="AB135" s="318"/>
      <c r="AC135" s="318"/>
      <c r="AD135" s="318"/>
      <c r="AE135" s="318"/>
      <c r="AF135" s="318"/>
      <c r="AG135" s="318"/>
      <c r="AH135" s="318"/>
      <c r="AI135" s="335"/>
      <c r="AJ135" s="318"/>
      <c r="AK135" s="1405"/>
      <c r="AL135" s="336">
        <f>+AK134+AL134</f>
        <v>15.59375</v>
      </c>
      <c r="AM135" s="319"/>
      <c r="AN135" s="1402">
        <f>+AM134+AN134</f>
        <v>15.59375</v>
      </c>
      <c r="AO135" s="319"/>
      <c r="AP135" s="1405"/>
      <c r="AQ135" s="336">
        <f>+AP134+AQ134</f>
        <v>15.59375</v>
      </c>
      <c r="AR135" s="319"/>
      <c r="AS135" s="1402">
        <f>+AR134+AS134</f>
        <v>15.5625</v>
      </c>
      <c r="AT135" s="336"/>
      <c r="AU135" s="1405"/>
      <c r="AV135" s="336">
        <f>+AU134+AV134</f>
        <v>15.5625</v>
      </c>
      <c r="AW135" s="319"/>
      <c r="AX135" s="1402">
        <f>+AW134+AX134</f>
        <v>15.5625</v>
      </c>
      <c r="AY135" s="336"/>
      <c r="AZ135" s="1405"/>
      <c r="BA135" s="336">
        <f>+AZ134+BA134</f>
        <v>15.5625</v>
      </c>
      <c r="BB135" s="319"/>
      <c r="BC135" s="1402">
        <f>+BB134+BC134</f>
        <v>15.5625</v>
      </c>
      <c r="BD135" s="336"/>
      <c r="BE135" s="1405"/>
      <c r="BF135" s="336">
        <f>+BE134+BF134</f>
        <v>18</v>
      </c>
      <c r="BG135" s="319"/>
      <c r="BH135" s="1402">
        <f>+BG134+BH134</f>
        <v>20.4375</v>
      </c>
      <c r="BI135" s="336"/>
      <c r="BJ135" s="1405"/>
      <c r="BK135" s="336">
        <f>+BJ134+BK134</f>
        <v>19.6171875</v>
      </c>
      <c r="BL135" s="319"/>
      <c r="BM135" s="1402">
        <f>+BL134+BM134</f>
        <v>18.796875</v>
      </c>
      <c r="BN135" s="336"/>
      <c r="BO135" s="1405"/>
      <c r="BP135" s="336">
        <f>+BO134+BP134</f>
        <v>17.15625</v>
      </c>
      <c r="BQ135" s="319"/>
      <c r="BR135" s="1402">
        <f>+BQ134+BR134</f>
        <v>18.828125</v>
      </c>
      <c r="BS135" s="336"/>
      <c r="BT135" s="1405"/>
      <c r="BU135" s="336">
        <f>+BT134+BU134</f>
        <v>18.4609375</v>
      </c>
      <c r="BV135" s="319"/>
      <c r="BW135" s="1402">
        <f>+BV134+BW134</f>
        <v>18.09375</v>
      </c>
      <c r="BX135" s="336"/>
      <c r="BY135" s="1405"/>
      <c r="BZ135" s="336">
        <f>+BY134+BZ134</f>
        <v>16.21875</v>
      </c>
      <c r="CA135" s="319"/>
      <c r="CB135" s="1402">
        <f>+CA134+CB134</f>
        <v>13.4140625</v>
      </c>
      <c r="CC135" s="336"/>
      <c r="CD135" s="1405"/>
      <c r="CE135" s="336">
        <f>+CD134+CE134</f>
        <v>13.28125</v>
      </c>
      <c r="CF135" s="319"/>
      <c r="CG135" s="1402">
        <f>+CF134+CG134</f>
        <v>13.28125</v>
      </c>
      <c r="CH135" s="336"/>
      <c r="CI135" s="1405"/>
      <c r="CJ135" s="336">
        <f>+CI134+CJ134</f>
        <v>13.28125</v>
      </c>
      <c r="CK135" s="319"/>
      <c r="CL135" s="1402">
        <f>+CK134+CL134</f>
        <v>13.28125</v>
      </c>
      <c r="CM135" s="336"/>
      <c r="CN135" s="1405"/>
      <c r="CO135" s="336">
        <f>+CN134+CO134</f>
        <v>13.28125</v>
      </c>
      <c r="CP135" s="319"/>
      <c r="CQ135" s="1402">
        <f>+CP134+CQ134</f>
        <v>13.28125</v>
      </c>
      <c r="CR135" s="1402"/>
    </row>
    <row r="136" spans="1:96" ht="6.2" hidden="1" customHeight="1" outlineLevel="1">
      <c r="A136" s="317"/>
      <c r="B136" s="317"/>
      <c r="C136" s="317"/>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c r="AA136" s="318"/>
      <c r="AB136" s="318"/>
      <c r="AC136" s="318"/>
      <c r="AD136" s="318"/>
      <c r="AE136" s="318"/>
      <c r="AF136" s="318"/>
      <c r="AG136" s="318"/>
      <c r="AH136" s="318"/>
      <c r="AI136" s="318"/>
      <c r="AJ136" s="318"/>
      <c r="AK136" s="1405"/>
      <c r="AL136" s="319"/>
      <c r="AM136" s="319"/>
      <c r="AN136" s="1406"/>
      <c r="AO136" s="319"/>
      <c r="AP136" s="1405"/>
      <c r="AQ136" s="319"/>
      <c r="AR136" s="319"/>
      <c r="AS136" s="1406"/>
      <c r="AT136" s="319"/>
      <c r="AU136" s="1405"/>
      <c r="AV136" s="319"/>
      <c r="AW136" s="319"/>
      <c r="AX136" s="1406"/>
      <c r="AY136" s="319"/>
      <c r="AZ136" s="1405"/>
      <c r="BA136" s="319"/>
      <c r="BB136" s="319"/>
      <c r="BC136" s="1406"/>
      <c r="BD136" s="319"/>
      <c r="BE136" s="1405"/>
      <c r="BF136" s="319"/>
      <c r="BG136" s="319"/>
      <c r="BH136" s="1406"/>
      <c r="BI136" s="319"/>
      <c r="BJ136" s="1405"/>
      <c r="BK136" s="319"/>
      <c r="BL136" s="319"/>
      <c r="BM136" s="1406"/>
      <c r="BN136" s="319"/>
      <c r="BO136" s="1405"/>
      <c r="BP136" s="319"/>
      <c r="BQ136" s="319"/>
      <c r="BR136" s="1406"/>
      <c r="BS136" s="319"/>
      <c r="BT136" s="1405"/>
      <c r="BU136" s="319"/>
      <c r="BV136" s="319"/>
      <c r="BW136" s="1406"/>
      <c r="BX136" s="319"/>
      <c r="BY136" s="1405"/>
      <c r="BZ136" s="319"/>
      <c r="CA136" s="319"/>
      <c r="CB136" s="1406"/>
      <c r="CC136" s="319"/>
      <c r="CD136" s="1405"/>
      <c r="CE136" s="319"/>
      <c r="CF136" s="319"/>
      <c r="CG136" s="1406"/>
      <c r="CH136" s="319"/>
      <c r="CI136" s="1405"/>
      <c r="CJ136" s="319"/>
      <c r="CK136" s="319"/>
      <c r="CL136" s="1406"/>
      <c r="CM136" s="319"/>
      <c r="CN136" s="1405"/>
      <c r="CO136" s="319"/>
      <c r="CP136" s="319"/>
      <c r="CQ136" s="1406"/>
      <c r="CR136" s="1406"/>
    </row>
    <row r="137" spans="1:96" ht="13.5" hidden="1" customHeight="1" outlineLevel="1">
      <c r="A137" s="334" t="s">
        <v>111</v>
      </c>
      <c r="B137" s="317"/>
      <c r="C137" s="317"/>
      <c r="D137" s="318"/>
      <c r="E137" s="318"/>
      <c r="F137" s="318"/>
      <c r="G137" s="347">
        <v>0.04</v>
      </c>
      <c r="H137" s="339">
        <v>41760</v>
      </c>
      <c r="I137" s="318"/>
      <c r="J137" s="318"/>
      <c r="K137" s="318"/>
      <c r="L137" s="318"/>
      <c r="M137" s="318"/>
      <c r="N137" s="318"/>
      <c r="O137" s="318"/>
      <c r="P137" s="318"/>
      <c r="Q137" s="318"/>
      <c r="R137" s="318"/>
      <c r="S137" s="318"/>
      <c r="T137" s="318"/>
      <c r="U137" s="318"/>
      <c r="V137" s="318"/>
      <c r="W137" s="318"/>
      <c r="X137" s="318"/>
      <c r="Y137" s="318"/>
      <c r="Z137" s="318"/>
      <c r="AA137" s="318"/>
      <c r="AB137" s="318"/>
      <c r="AC137" s="318"/>
      <c r="AD137" s="318"/>
      <c r="AE137" s="318"/>
      <c r="AF137" s="318"/>
      <c r="AG137" s="318"/>
      <c r="AH137" s="318"/>
      <c r="AI137" s="318"/>
      <c r="AJ137" s="318"/>
      <c r="AK137" s="1405"/>
      <c r="AL137" s="319"/>
      <c r="AM137" s="319"/>
      <c r="AN137" s="1406"/>
      <c r="AO137" s="319"/>
      <c r="AP137" s="1405"/>
      <c r="AQ137" s="319"/>
      <c r="AR137" s="319"/>
      <c r="AS137" s="1406"/>
      <c r="AT137" s="319"/>
      <c r="AU137" s="1405"/>
      <c r="AV137" s="319"/>
      <c r="AW137" s="319"/>
      <c r="AX137" s="1406"/>
      <c r="AY137" s="319"/>
      <c r="AZ137" s="1405"/>
      <c r="BA137" s="319"/>
      <c r="BB137" s="319"/>
      <c r="BC137" s="1406"/>
      <c r="BD137" s="319"/>
      <c r="BE137" s="1405"/>
      <c r="BF137" s="319"/>
      <c r="BG137" s="319"/>
      <c r="BH137" s="1406"/>
      <c r="BI137" s="319"/>
      <c r="BJ137" s="1405"/>
      <c r="BK137" s="319"/>
      <c r="BL137" s="319"/>
      <c r="BM137" s="1406"/>
      <c r="BN137" s="319"/>
      <c r="BO137" s="1405"/>
      <c r="BP137" s="319"/>
      <c r="BQ137" s="319"/>
      <c r="BR137" s="1406"/>
      <c r="BS137" s="319"/>
      <c r="BT137" s="1405"/>
      <c r="BU137" s="319"/>
      <c r="BV137" s="319"/>
      <c r="BW137" s="1406"/>
      <c r="BX137" s="319"/>
      <c r="BY137" s="1405"/>
      <c r="BZ137" s="319"/>
      <c r="CA137" s="319"/>
      <c r="CB137" s="1406"/>
      <c r="CC137" s="319"/>
      <c r="CD137" s="1405"/>
      <c r="CE137" s="319"/>
      <c r="CF137" s="319"/>
      <c r="CG137" s="1406"/>
      <c r="CH137" s="319"/>
      <c r="CI137" s="1405"/>
      <c r="CJ137" s="319"/>
      <c r="CK137" s="319"/>
      <c r="CL137" s="1406"/>
      <c r="CM137" s="319"/>
      <c r="CN137" s="1405"/>
      <c r="CO137" s="319"/>
      <c r="CP137" s="319"/>
      <c r="CQ137" s="1406"/>
      <c r="CR137" s="1406"/>
    </row>
    <row r="138" spans="1:96" ht="13.5" hidden="1" customHeight="1" outlineLevel="1">
      <c r="A138" s="317"/>
      <c r="B138" s="317" t="s">
        <v>87</v>
      </c>
      <c r="C138" s="317"/>
      <c r="D138" s="318"/>
      <c r="E138" s="318"/>
      <c r="F138" s="318"/>
      <c r="G138" s="318"/>
      <c r="H138" s="335"/>
      <c r="I138" s="335"/>
      <c r="J138" s="335"/>
      <c r="K138" s="335"/>
      <c r="L138" s="335"/>
      <c r="M138" s="335"/>
      <c r="N138" s="335"/>
      <c r="O138" s="335"/>
      <c r="P138" s="335"/>
      <c r="Q138" s="335"/>
      <c r="R138" s="335"/>
      <c r="S138" s="335"/>
      <c r="T138" s="335"/>
      <c r="U138" s="335"/>
      <c r="V138" s="335"/>
      <c r="W138" s="335"/>
      <c r="X138" s="335"/>
      <c r="Y138" s="335"/>
      <c r="Z138" s="335"/>
      <c r="AA138" s="335"/>
      <c r="AB138" s="335"/>
      <c r="AC138" s="335"/>
      <c r="AD138" s="335"/>
      <c r="AE138" s="335"/>
      <c r="AF138" s="335"/>
      <c r="AG138" s="335"/>
      <c r="AH138" s="335"/>
      <c r="AI138" s="335"/>
      <c r="AJ138" s="335"/>
      <c r="AK138" s="1401">
        <f>+AJ140</f>
        <v>0</v>
      </c>
      <c r="AL138" s="662">
        <v>0</v>
      </c>
      <c r="AM138" s="336">
        <f>+AL140</f>
        <v>862.5</v>
      </c>
      <c r="AN138" s="1402">
        <f>+AM140</f>
        <v>862.5</v>
      </c>
      <c r="AO138" s="336"/>
      <c r="AP138" s="1401">
        <f>+AO140</f>
        <v>862.5</v>
      </c>
      <c r="AQ138" s="336">
        <f>+AP140</f>
        <v>862.5</v>
      </c>
      <c r="AR138" s="336">
        <f>+AQ140</f>
        <v>862.5</v>
      </c>
      <c r="AS138" s="1402">
        <f>+AR140</f>
        <v>862.5</v>
      </c>
      <c r="AT138" s="336"/>
      <c r="AU138" s="1401">
        <f>+AT140</f>
        <v>862.5</v>
      </c>
      <c r="AV138" s="336">
        <f>+AU140</f>
        <v>862.5</v>
      </c>
      <c r="AW138" s="336">
        <f>+AV140</f>
        <v>862.5</v>
      </c>
      <c r="AX138" s="1402">
        <f>+AW140</f>
        <v>862.5</v>
      </c>
      <c r="AY138" s="336"/>
      <c r="AZ138" s="1401">
        <f>+AY140</f>
        <v>862.5</v>
      </c>
      <c r="BA138" s="336">
        <f>+AZ140</f>
        <v>862.5</v>
      </c>
      <c r="BB138" s="336">
        <f>+BA140</f>
        <v>862.5</v>
      </c>
      <c r="BC138" s="1402">
        <f>+BB140</f>
        <v>862.5</v>
      </c>
      <c r="BD138" s="336"/>
      <c r="BE138" s="1401">
        <f>+BD140</f>
        <v>862.5</v>
      </c>
      <c r="BF138" s="336">
        <f>+BE140</f>
        <v>320.60199999999998</v>
      </c>
      <c r="BG138" s="336">
        <f>+BF140</f>
        <v>320.60199999999998</v>
      </c>
      <c r="BH138" s="1402">
        <f>+BG140</f>
        <v>320.60199999999998</v>
      </c>
      <c r="BI138" s="336"/>
      <c r="BJ138" s="1401">
        <f>+BI140</f>
        <v>320.60199999999998</v>
      </c>
      <c r="BK138" s="336">
        <f>+BJ140</f>
        <v>320.60199999999998</v>
      </c>
      <c r="BL138" s="336">
        <f>+BK140</f>
        <v>0</v>
      </c>
      <c r="BM138" s="1402">
        <f>+BL140</f>
        <v>0</v>
      </c>
      <c r="BN138" s="336"/>
      <c r="BO138" s="1401">
        <f>+BN140</f>
        <v>0</v>
      </c>
      <c r="BP138" s="336">
        <f>+BO140</f>
        <v>0</v>
      </c>
      <c r="BQ138" s="336">
        <f>+BP140</f>
        <v>0</v>
      </c>
      <c r="BR138" s="1402">
        <f>+BQ140</f>
        <v>0</v>
      </c>
      <c r="BS138" s="336"/>
      <c r="BT138" s="1401">
        <f>+BS140</f>
        <v>0</v>
      </c>
      <c r="BU138" s="336">
        <f>+BT140</f>
        <v>0</v>
      </c>
      <c r="BV138" s="336">
        <f>+BU140</f>
        <v>0</v>
      </c>
      <c r="BW138" s="1402">
        <f>+BV140</f>
        <v>0</v>
      </c>
      <c r="BX138" s="336"/>
      <c r="BY138" s="1401">
        <f>+BX140</f>
        <v>0</v>
      </c>
      <c r="BZ138" s="336">
        <f>+BY140</f>
        <v>0</v>
      </c>
      <c r="CA138" s="336">
        <f>+BZ140</f>
        <v>0</v>
      </c>
      <c r="CB138" s="1402">
        <f>+CA140</f>
        <v>0</v>
      </c>
      <c r="CC138" s="336"/>
      <c r="CD138" s="1401">
        <f>+CC140</f>
        <v>0</v>
      </c>
      <c r="CE138" s="336">
        <f>+CD140</f>
        <v>0</v>
      </c>
      <c r="CF138" s="336">
        <f>+CE140</f>
        <v>0</v>
      </c>
      <c r="CG138" s="1402">
        <f>+CF140</f>
        <v>0</v>
      </c>
      <c r="CH138" s="336"/>
      <c r="CI138" s="1401">
        <f>+CH140</f>
        <v>0</v>
      </c>
      <c r="CJ138" s="336">
        <f>+CI140</f>
        <v>0</v>
      </c>
      <c r="CK138" s="336">
        <f>+CJ140</f>
        <v>0</v>
      </c>
      <c r="CL138" s="1402">
        <f>+CK140</f>
        <v>0</v>
      </c>
      <c r="CM138" s="336"/>
      <c r="CN138" s="1401">
        <f>+CM140</f>
        <v>0</v>
      </c>
      <c r="CO138" s="336">
        <f>+CN140</f>
        <v>0</v>
      </c>
      <c r="CP138" s="336">
        <f>+CO140</f>
        <v>0</v>
      </c>
      <c r="CQ138" s="1402">
        <f>+CP140</f>
        <v>0</v>
      </c>
      <c r="CR138" s="1402"/>
    </row>
    <row r="139" spans="1:96" ht="13.5" hidden="1" customHeight="1" outlineLevel="1">
      <c r="A139" s="317"/>
      <c r="B139" s="317" t="s">
        <v>89</v>
      </c>
      <c r="C139" s="317"/>
      <c r="D139" s="318"/>
      <c r="E139" s="318"/>
      <c r="F139" s="318"/>
      <c r="G139" s="318">
        <f>BF138/25.28</f>
        <v>12.682041139240505</v>
      </c>
      <c r="H139" s="335"/>
      <c r="I139" s="335"/>
      <c r="J139" s="335"/>
      <c r="K139" s="335"/>
      <c r="L139" s="335"/>
      <c r="M139" s="335"/>
      <c r="N139" s="335"/>
      <c r="O139" s="335"/>
      <c r="P139" s="335"/>
      <c r="Q139" s="335"/>
      <c r="R139" s="335"/>
      <c r="S139" s="335"/>
      <c r="T139" s="335"/>
      <c r="U139" s="335"/>
      <c r="V139" s="335"/>
      <c r="W139" s="335"/>
      <c r="X139" s="335"/>
      <c r="Y139" s="335"/>
      <c r="Z139" s="335"/>
      <c r="AA139" s="335"/>
      <c r="AB139" s="335"/>
      <c r="AC139" s="335"/>
      <c r="AD139" s="335"/>
      <c r="AE139" s="335"/>
      <c r="AF139" s="335"/>
      <c r="AG139" s="335"/>
      <c r="AH139" s="335"/>
      <c r="AI139" s="335"/>
      <c r="AJ139" s="335"/>
      <c r="AK139" s="1403">
        <v>0</v>
      </c>
      <c r="AL139" s="662">
        <v>0</v>
      </c>
      <c r="AM139" s="662">
        <v>0</v>
      </c>
      <c r="AN139" s="1404">
        <v>0</v>
      </c>
      <c r="AO139" s="336"/>
      <c r="AP139" s="1403">
        <v>0</v>
      </c>
      <c r="AQ139" s="662">
        <v>0</v>
      </c>
      <c r="AR139" s="662">
        <v>0</v>
      </c>
      <c r="AS139" s="1404">
        <v>0</v>
      </c>
      <c r="AT139" s="336"/>
      <c r="AU139" s="1403">
        <v>0</v>
      </c>
      <c r="AV139" s="662">
        <v>0</v>
      </c>
      <c r="AW139" s="662">
        <v>0</v>
      </c>
      <c r="AX139" s="1404">
        <v>0</v>
      </c>
      <c r="AY139" s="336"/>
      <c r="AZ139" s="1403">
        <v>0</v>
      </c>
      <c r="BA139" s="662">
        <v>0</v>
      </c>
      <c r="BB139" s="662">
        <v>0</v>
      </c>
      <c r="BC139" s="1404">
        <v>0</v>
      </c>
      <c r="BD139" s="336"/>
      <c r="BE139" s="1403">
        <v>-541.89800000000002</v>
      </c>
      <c r="BF139" s="662">
        <v>0</v>
      </c>
      <c r="BG139" s="662">
        <v>0</v>
      </c>
      <c r="BH139" s="1404">
        <v>0</v>
      </c>
      <c r="BI139" s="336"/>
      <c r="BJ139" s="1403">
        <v>0</v>
      </c>
      <c r="BK139" s="336">
        <f>-BK138</f>
        <v>-320.60199999999998</v>
      </c>
      <c r="BL139" s="662">
        <v>0</v>
      </c>
      <c r="BM139" s="1404">
        <v>0</v>
      </c>
      <c r="BN139" s="336"/>
      <c r="BO139" s="1403">
        <v>0</v>
      </c>
      <c r="BP139" s="662">
        <v>0</v>
      </c>
      <c r="BQ139" s="662">
        <v>0</v>
      </c>
      <c r="BR139" s="1404">
        <v>0</v>
      </c>
      <c r="BS139" s="336"/>
      <c r="BT139" s="1403">
        <v>0</v>
      </c>
      <c r="BU139" s="662">
        <v>0</v>
      </c>
      <c r="BV139" s="662">
        <v>0</v>
      </c>
      <c r="BW139" s="1404">
        <v>0</v>
      </c>
      <c r="BX139" s="336"/>
      <c r="BY139" s="1403">
        <v>0</v>
      </c>
      <c r="BZ139" s="662">
        <v>0</v>
      </c>
      <c r="CA139" s="662">
        <v>0</v>
      </c>
      <c r="CB139" s="1404">
        <v>0</v>
      </c>
      <c r="CC139" s="336"/>
      <c r="CD139" s="1403">
        <v>0</v>
      </c>
      <c r="CE139" s="662">
        <v>0</v>
      </c>
      <c r="CF139" s="662">
        <v>0</v>
      </c>
      <c r="CG139" s="1404">
        <v>0</v>
      </c>
      <c r="CH139" s="336"/>
      <c r="CI139" s="1403">
        <v>0</v>
      </c>
      <c r="CJ139" s="662">
        <v>0</v>
      </c>
      <c r="CK139" s="662">
        <v>0</v>
      </c>
      <c r="CL139" s="1404">
        <v>0</v>
      </c>
      <c r="CM139" s="336"/>
      <c r="CN139" s="1403">
        <v>0</v>
      </c>
      <c r="CO139" s="662">
        <v>0</v>
      </c>
      <c r="CP139" s="662">
        <v>0</v>
      </c>
      <c r="CQ139" s="1404">
        <v>0</v>
      </c>
      <c r="CR139" s="1402"/>
    </row>
    <row r="140" spans="1:96" ht="13.5" hidden="1" customHeight="1" outlineLevel="1">
      <c r="A140" s="317"/>
      <c r="B140" s="317" t="s">
        <v>90</v>
      </c>
      <c r="C140" s="317"/>
      <c r="D140" s="318"/>
      <c r="E140" s="318"/>
      <c r="F140" s="318"/>
      <c r="G140" s="318"/>
      <c r="H140" s="348">
        <v>0</v>
      </c>
      <c r="I140" s="348"/>
      <c r="J140" s="348"/>
      <c r="K140" s="348"/>
      <c r="L140" s="348"/>
      <c r="M140" s="348"/>
      <c r="N140" s="348"/>
      <c r="O140" s="348"/>
      <c r="P140" s="348"/>
      <c r="Q140" s="348"/>
      <c r="R140" s="348"/>
      <c r="S140" s="348"/>
      <c r="T140" s="348"/>
      <c r="U140" s="348"/>
      <c r="V140" s="348"/>
      <c r="W140" s="348"/>
      <c r="X140" s="348"/>
      <c r="Y140" s="348"/>
      <c r="Z140" s="348"/>
      <c r="AA140" s="348"/>
      <c r="AB140" s="348"/>
      <c r="AC140" s="348"/>
      <c r="AD140" s="348"/>
      <c r="AE140" s="348"/>
      <c r="AF140" s="348"/>
      <c r="AG140" s="348"/>
      <c r="AH140" s="348"/>
      <c r="AI140" s="335"/>
      <c r="AJ140" s="335"/>
      <c r="AK140" s="1401">
        <f>+AK138+AK139</f>
        <v>0</v>
      </c>
      <c r="AL140" s="662">
        <v>862.5</v>
      </c>
      <c r="AM140" s="336">
        <f>+AM138+AM139</f>
        <v>862.5</v>
      </c>
      <c r="AN140" s="1402">
        <f>+AN138+AN139</f>
        <v>862.5</v>
      </c>
      <c r="AO140" s="343">
        <f>+AN140</f>
        <v>862.5</v>
      </c>
      <c r="AP140" s="1401">
        <f>+AP138+AP139</f>
        <v>862.5</v>
      </c>
      <c r="AQ140" s="336">
        <f>+AQ138+AQ139</f>
        <v>862.5</v>
      </c>
      <c r="AR140" s="336">
        <f>+AR138+AR139</f>
        <v>862.5</v>
      </c>
      <c r="AS140" s="1402">
        <f>+AS138+AS139</f>
        <v>862.5</v>
      </c>
      <c r="AT140" s="343">
        <f>+AS140</f>
        <v>862.5</v>
      </c>
      <c r="AU140" s="1401">
        <f>+AU138+AU139</f>
        <v>862.5</v>
      </c>
      <c r="AV140" s="336">
        <f>+AV138+AV139</f>
        <v>862.5</v>
      </c>
      <c r="AW140" s="336">
        <f>+AW138+AW139</f>
        <v>862.5</v>
      </c>
      <c r="AX140" s="1402">
        <f>+AX138+AX139</f>
        <v>862.5</v>
      </c>
      <c r="AY140" s="343">
        <f>+AX140</f>
        <v>862.5</v>
      </c>
      <c r="AZ140" s="1401">
        <f>+AZ138+AZ139</f>
        <v>862.5</v>
      </c>
      <c r="BA140" s="336">
        <f>+BA138+BA139</f>
        <v>862.5</v>
      </c>
      <c r="BB140" s="336">
        <f>+BB138+BB139</f>
        <v>862.5</v>
      </c>
      <c r="BC140" s="1402">
        <f>+BC138+BC139</f>
        <v>862.5</v>
      </c>
      <c r="BD140" s="343">
        <f>+BC140</f>
        <v>862.5</v>
      </c>
      <c r="BE140" s="1401">
        <f>+BE138+BE139</f>
        <v>320.60199999999998</v>
      </c>
      <c r="BF140" s="336">
        <f>+BF138+BF139</f>
        <v>320.60199999999998</v>
      </c>
      <c r="BG140" s="336">
        <f>+BG138+BG139</f>
        <v>320.60199999999998</v>
      </c>
      <c r="BH140" s="1402">
        <f>+BH138+BH139</f>
        <v>320.60199999999998</v>
      </c>
      <c r="BI140" s="343">
        <f>+BH140</f>
        <v>320.60199999999998</v>
      </c>
      <c r="BJ140" s="1401">
        <f>+BJ138+BJ139</f>
        <v>320.60199999999998</v>
      </c>
      <c r="BK140" s="336">
        <f>+BK138+BK139</f>
        <v>0</v>
      </c>
      <c r="BL140" s="336">
        <f>+BL138+BL139</f>
        <v>0</v>
      </c>
      <c r="BM140" s="1402">
        <f>+BM138+BM139</f>
        <v>0</v>
      </c>
      <c r="BN140" s="343">
        <f>+BM140</f>
        <v>0</v>
      </c>
      <c r="BO140" s="1401">
        <f>+BO138+BO139</f>
        <v>0</v>
      </c>
      <c r="BP140" s="336">
        <f>+BP138+BP139</f>
        <v>0</v>
      </c>
      <c r="BQ140" s="336">
        <f>+BQ138+BQ139</f>
        <v>0</v>
      </c>
      <c r="BR140" s="1402">
        <f>+BR138+BR139</f>
        <v>0</v>
      </c>
      <c r="BS140" s="343">
        <f>+BR140</f>
        <v>0</v>
      </c>
      <c r="BT140" s="1401">
        <f>+BT138+BT139</f>
        <v>0</v>
      </c>
      <c r="BU140" s="336">
        <f>+BU138+BU139</f>
        <v>0</v>
      </c>
      <c r="BV140" s="336">
        <f>+BV138+BV139</f>
        <v>0</v>
      </c>
      <c r="BW140" s="1402">
        <f>+BW138+BW139</f>
        <v>0</v>
      </c>
      <c r="BX140" s="343">
        <f>+BW140</f>
        <v>0</v>
      </c>
      <c r="BY140" s="1401">
        <f>+BY138+BY139</f>
        <v>0</v>
      </c>
      <c r="BZ140" s="336">
        <f>+BZ138+BZ139</f>
        <v>0</v>
      </c>
      <c r="CA140" s="336">
        <f>+CA138+CA139</f>
        <v>0</v>
      </c>
      <c r="CB140" s="1402">
        <f>+CB138+CB139</f>
        <v>0</v>
      </c>
      <c r="CC140" s="343">
        <f>+CB140</f>
        <v>0</v>
      </c>
      <c r="CD140" s="1401">
        <f>+CD138+CD139</f>
        <v>0</v>
      </c>
      <c r="CE140" s="336">
        <f>+CE138+CE139</f>
        <v>0</v>
      </c>
      <c r="CF140" s="336">
        <f>+CF138+CF139</f>
        <v>0</v>
      </c>
      <c r="CG140" s="1402">
        <f>+CG138+CG139</f>
        <v>0</v>
      </c>
      <c r="CH140" s="343">
        <f>+CG140</f>
        <v>0</v>
      </c>
      <c r="CI140" s="1401">
        <f>+CI138+CI139</f>
        <v>0</v>
      </c>
      <c r="CJ140" s="336">
        <f>+CJ138+CJ139</f>
        <v>0</v>
      </c>
      <c r="CK140" s="336">
        <f>+CK138+CK139</f>
        <v>0</v>
      </c>
      <c r="CL140" s="1402">
        <f>+CL138+CL139</f>
        <v>0</v>
      </c>
      <c r="CM140" s="343">
        <f>+CL140</f>
        <v>0</v>
      </c>
      <c r="CN140" s="1401">
        <f>+CN138+CN139</f>
        <v>0</v>
      </c>
      <c r="CO140" s="336">
        <f>+CO138+CO139</f>
        <v>0</v>
      </c>
      <c r="CP140" s="336">
        <f>+CP138+CP139</f>
        <v>0</v>
      </c>
      <c r="CQ140" s="1402">
        <f>+CQ138+CQ139</f>
        <v>0</v>
      </c>
      <c r="CR140" s="1451">
        <f>+CQ140</f>
        <v>0</v>
      </c>
    </row>
    <row r="141" spans="1:96" ht="13.5" hidden="1" customHeight="1" outlineLevel="1">
      <c r="A141" s="317"/>
      <c r="B141" s="317" t="s">
        <v>91</v>
      </c>
      <c r="C141" s="317"/>
      <c r="D141" s="318"/>
      <c r="E141" s="318"/>
      <c r="F141" s="318"/>
      <c r="G141" s="318"/>
      <c r="H141" s="335"/>
      <c r="I141" s="335"/>
      <c r="J141" s="335"/>
      <c r="K141" s="335"/>
      <c r="L141" s="335"/>
      <c r="M141" s="335"/>
      <c r="N141" s="335"/>
      <c r="O141" s="335"/>
      <c r="P141" s="335"/>
      <c r="Q141" s="335"/>
      <c r="R141" s="335"/>
      <c r="S141" s="335"/>
      <c r="T141" s="335"/>
      <c r="U141" s="335"/>
      <c r="V141" s="335"/>
      <c r="W141" s="335"/>
      <c r="X141" s="335"/>
      <c r="Y141" s="335"/>
      <c r="Z141" s="335"/>
      <c r="AA141" s="335"/>
      <c r="AB141" s="335"/>
      <c r="AC141" s="335"/>
      <c r="AD141" s="335"/>
      <c r="AE141" s="335"/>
      <c r="AF141" s="335"/>
      <c r="AG141" s="335"/>
      <c r="AH141" s="335"/>
      <c r="AI141" s="335"/>
      <c r="AJ141" s="335"/>
      <c r="AK141" s="1401">
        <f>+AVERAGE(AK138,AK140)</f>
        <v>0</v>
      </c>
      <c r="AL141" s="336">
        <f>+AVERAGE(AL138,AL140)</f>
        <v>431.25</v>
      </c>
      <c r="AM141" s="336">
        <f>+AVERAGE(AM138,AM140)</f>
        <v>862.5</v>
      </c>
      <c r="AN141" s="1402">
        <f>+AVERAGE(AN138,AN140)</f>
        <v>862.5</v>
      </c>
      <c r="AO141" s="336"/>
      <c r="AP141" s="1401">
        <f>+AVERAGE(AP138,AP140)</f>
        <v>862.5</v>
      </c>
      <c r="AQ141" s="336">
        <f>+AVERAGE(AQ138,AQ140)</f>
        <v>862.5</v>
      </c>
      <c r="AR141" s="336">
        <f>+AVERAGE(AR138,AR140)</f>
        <v>862.5</v>
      </c>
      <c r="AS141" s="1402">
        <f>+AVERAGE(AS138,AS140)</f>
        <v>862.5</v>
      </c>
      <c r="AT141" s="336"/>
      <c r="AU141" s="1401">
        <f>+AVERAGE(AU138,AU140)</f>
        <v>862.5</v>
      </c>
      <c r="AV141" s="336">
        <f>+AVERAGE(AV138,AV140)</f>
        <v>862.5</v>
      </c>
      <c r="AW141" s="336">
        <f>+AVERAGE(AW138,AW140)</f>
        <v>862.5</v>
      </c>
      <c r="AX141" s="1402">
        <f>+AVERAGE(AX138,AX140)</f>
        <v>862.5</v>
      </c>
      <c r="AY141" s="336"/>
      <c r="AZ141" s="1401">
        <f>+AVERAGE(AZ138,AZ140)</f>
        <v>862.5</v>
      </c>
      <c r="BA141" s="336">
        <f>+AVERAGE(BA138,BA140)</f>
        <v>862.5</v>
      </c>
      <c r="BB141" s="336">
        <f>+AVERAGE(BB138,BB140)</f>
        <v>862.5</v>
      </c>
      <c r="BC141" s="1402">
        <f>+AVERAGE(BC138,BC140)</f>
        <v>862.5</v>
      </c>
      <c r="BD141" s="336"/>
      <c r="BE141" s="1401">
        <f>+AVERAGE(BE138,BE140)</f>
        <v>591.55099999999993</v>
      </c>
      <c r="BF141" s="336">
        <f>+AVERAGE(BF138,BF140)</f>
        <v>320.60199999999998</v>
      </c>
      <c r="BG141" s="336">
        <f>+AVERAGE(BG138,BG140)</f>
        <v>320.60199999999998</v>
      </c>
      <c r="BH141" s="1402">
        <f>+AVERAGE(BH138,BH140)</f>
        <v>320.60199999999998</v>
      </c>
      <c r="BI141" s="336"/>
      <c r="BJ141" s="1401">
        <f>+AVERAGE(BJ138,BJ140)</f>
        <v>320.60199999999998</v>
      </c>
      <c r="BK141" s="336">
        <f>+AVERAGE(BK138,BK140)</f>
        <v>160.30099999999999</v>
      </c>
      <c r="BL141" s="336">
        <f>+AVERAGE(BL138,BL140)</f>
        <v>0</v>
      </c>
      <c r="BM141" s="1402">
        <f>+AVERAGE(BM138,BM140)</f>
        <v>0</v>
      </c>
      <c r="BN141" s="336"/>
      <c r="BO141" s="1401">
        <f>+AVERAGE(BO138,BO140)</f>
        <v>0</v>
      </c>
      <c r="BP141" s="336">
        <f>+AVERAGE(BP138,BP140)</f>
        <v>0</v>
      </c>
      <c r="BQ141" s="336">
        <f>+AVERAGE(BQ138,BQ140)</f>
        <v>0</v>
      </c>
      <c r="BR141" s="1402">
        <f>+AVERAGE(BR138,BR140)</f>
        <v>0</v>
      </c>
      <c r="BS141" s="336"/>
      <c r="BT141" s="1401">
        <f>+AVERAGE(BT138,BT140)</f>
        <v>0</v>
      </c>
      <c r="BU141" s="336">
        <f>+AVERAGE(BU138,BU140)</f>
        <v>0</v>
      </c>
      <c r="BV141" s="336">
        <f>+AVERAGE(BV138,BV140)</f>
        <v>0</v>
      </c>
      <c r="BW141" s="1402">
        <f>+AVERAGE(BW138,BW140)</f>
        <v>0</v>
      </c>
      <c r="BX141" s="336"/>
      <c r="BY141" s="1401">
        <f>+AVERAGE(BY138,BY140)</f>
        <v>0</v>
      </c>
      <c r="BZ141" s="336">
        <f>+AVERAGE(BZ138,BZ140)</f>
        <v>0</v>
      </c>
      <c r="CA141" s="336">
        <f>+AVERAGE(CA138,CA140)</f>
        <v>0</v>
      </c>
      <c r="CB141" s="1402">
        <f>+AVERAGE(CB138,CB140)</f>
        <v>0</v>
      </c>
      <c r="CC141" s="336"/>
      <c r="CD141" s="1401">
        <f>+AVERAGE(CD138,CD140)</f>
        <v>0</v>
      </c>
      <c r="CE141" s="336">
        <f>+AVERAGE(CE138,CE140)</f>
        <v>0</v>
      </c>
      <c r="CF141" s="336">
        <f>+AVERAGE(CF138,CF140)</f>
        <v>0</v>
      </c>
      <c r="CG141" s="1402">
        <f>+AVERAGE(CG138,CG140)</f>
        <v>0</v>
      </c>
      <c r="CH141" s="336"/>
      <c r="CI141" s="1401">
        <f>+AVERAGE(CI138,CI140)</f>
        <v>0</v>
      </c>
      <c r="CJ141" s="336">
        <f>+AVERAGE(CJ138,CJ140)</f>
        <v>0</v>
      </c>
      <c r="CK141" s="336">
        <f>+AVERAGE(CK138,CK140)</f>
        <v>0</v>
      </c>
      <c r="CL141" s="1402">
        <f>+AVERAGE(CL138,CL140)</f>
        <v>0</v>
      </c>
      <c r="CM141" s="336"/>
      <c r="CN141" s="1401">
        <f>+AVERAGE(CN138,CN140)</f>
        <v>0</v>
      </c>
      <c r="CO141" s="336">
        <f>+AVERAGE(CO138,CO140)</f>
        <v>0</v>
      </c>
      <c r="CP141" s="336">
        <f>+AVERAGE(CP138,CP140)</f>
        <v>0</v>
      </c>
      <c r="CQ141" s="1402">
        <f>+AVERAGE(CQ138,CQ140)</f>
        <v>0</v>
      </c>
      <c r="CR141" s="1402"/>
    </row>
    <row r="142" spans="1:96" ht="13.5" hidden="1" customHeight="1" outlineLevel="1">
      <c r="A142" s="317"/>
      <c r="B142" s="317" t="s">
        <v>92</v>
      </c>
      <c r="C142" s="317"/>
      <c r="D142" s="318"/>
      <c r="E142" s="318"/>
      <c r="F142" s="318"/>
      <c r="G142" s="318"/>
      <c r="H142" s="335"/>
      <c r="I142" s="335"/>
      <c r="J142" s="335"/>
      <c r="K142" s="335"/>
      <c r="L142" s="335"/>
      <c r="M142" s="335"/>
      <c r="N142" s="335"/>
      <c r="O142" s="335"/>
      <c r="P142" s="335"/>
      <c r="Q142" s="335"/>
      <c r="R142" s="335"/>
      <c r="S142" s="335"/>
      <c r="T142" s="335"/>
      <c r="U142" s="335"/>
      <c r="V142" s="335"/>
      <c r="W142" s="335"/>
      <c r="X142" s="335"/>
      <c r="Y142" s="335"/>
      <c r="Z142" s="335"/>
      <c r="AA142" s="335"/>
      <c r="AB142" s="335"/>
      <c r="AC142" s="335"/>
      <c r="AD142" s="335"/>
      <c r="AE142" s="335"/>
      <c r="AF142" s="335"/>
      <c r="AG142" s="335"/>
      <c r="AH142" s="335"/>
      <c r="AI142" s="335"/>
      <c r="AJ142" s="335"/>
      <c r="AK142" s="1401">
        <f>+AK141*$G137/4</f>
        <v>0</v>
      </c>
      <c r="AL142" s="336">
        <f>+AL141*$G137/4</f>
        <v>4.3125</v>
      </c>
      <c r="AM142" s="336">
        <f>+AM141*$G137/4</f>
        <v>8.625</v>
      </c>
      <c r="AN142" s="1402">
        <f>+AN141*$G137/4</f>
        <v>8.625</v>
      </c>
      <c r="AO142" s="336"/>
      <c r="AP142" s="1401">
        <f>+AP141*$G137/4</f>
        <v>8.625</v>
      </c>
      <c r="AQ142" s="336">
        <f>+AQ141*$G137/4</f>
        <v>8.625</v>
      </c>
      <c r="AR142" s="336">
        <f>+AR141*$G137/4</f>
        <v>8.625</v>
      </c>
      <c r="AS142" s="1402">
        <f>+AS141*$G137/4</f>
        <v>8.625</v>
      </c>
      <c r="AT142" s="336"/>
      <c r="AU142" s="1401">
        <f>+AU141*$G137/4</f>
        <v>8.625</v>
      </c>
      <c r="AV142" s="336">
        <f>+AV141*$G137/4</f>
        <v>8.625</v>
      </c>
      <c r="AW142" s="336">
        <f>+AW141*$G137/4</f>
        <v>8.625</v>
      </c>
      <c r="AX142" s="1402">
        <f>+AX141*$G137/4</f>
        <v>8.625</v>
      </c>
      <c r="AY142" s="336">
        <f>SUM(AU142:AX142)</f>
        <v>34.5</v>
      </c>
      <c r="AZ142" s="1401">
        <f>+AZ141*$G137/4</f>
        <v>8.625</v>
      </c>
      <c r="BA142" s="336">
        <f>+BA141*$G137/4</f>
        <v>8.625</v>
      </c>
      <c r="BB142" s="336">
        <f>+BB141*$G137/4</f>
        <v>8.625</v>
      </c>
      <c r="BC142" s="1402">
        <f>+BC141*$G137/4</f>
        <v>8.625</v>
      </c>
      <c r="BD142" s="336">
        <f>SUM(AZ142:BC142)</f>
        <v>34.5</v>
      </c>
      <c r="BE142" s="1401">
        <f>+BE141*$G137/4</f>
        <v>5.9155099999999994</v>
      </c>
      <c r="BF142" s="336">
        <f>+BF141*$G137/4</f>
        <v>3.2060199999999996</v>
      </c>
      <c r="BG142" s="336">
        <f>+BG141*$G137/4</f>
        <v>3.2060199999999996</v>
      </c>
      <c r="BH142" s="1402">
        <f>+BH141*$G137/4</f>
        <v>3.2060199999999996</v>
      </c>
      <c r="BI142" s="336">
        <f>SUM(BE142:BH142)</f>
        <v>15.533569999999997</v>
      </c>
      <c r="BJ142" s="1401">
        <f>+BJ141*$G137/4</f>
        <v>3.2060199999999996</v>
      </c>
      <c r="BK142" s="336">
        <f>+BK141*$G137/4</f>
        <v>1.6030099999999998</v>
      </c>
      <c r="BL142" s="336">
        <f>+BL141*$G137/4</f>
        <v>0</v>
      </c>
      <c r="BM142" s="1402">
        <f>+BM141*$G137/4</f>
        <v>0</v>
      </c>
      <c r="BN142" s="336">
        <f>SUM(BJ142:BM142)</f>
        <v>4.8090299999999999</v>
      </c>
      <c r="BO142" s="1401">
        <f>+BO141*$G137/4</f>
        <v>0</v>
      </c>
      <c r="BP142" s="336">
        <f>+BP141*$G137/4</f>
        <v>0</v>
      </c>
      <c r="BQ142" s="336">
        <f>+BQ141*$G137/4</f>
        <v>0</v>
      </c>
      <c r="BR142" s="1402">
        <f>+BR141*$G137/4</f>
        <v>0</v>
      </c>
      <c r="BS142" s="336">
        <f>SUM(BO142:BR142)</f>
        <v>0</v>
      </c>
      <c r="BT142" s="1401">
        <f>+BT141*$G137/4</f>
        <v>0</v>
      </c>
      <c r="BU142" s="336">
        <f>+BU141*$G137/4</f>
        <v>0</v>
      </c>
      <c r="BV142" s="336">
        <f>+BV141*$G137/4</f>
        <v>0</v>
      </c>
      <c r="BW142" s="1402">
        <f>+BW141*$G137/4</f>
        <v>0</v>
      </c>
      <c r="BX142" s="336">
        <f>SUM(BT142:BW142)</f>
        <v>0</v>
      </c>
      <c r="BY142" s="1401">
        <f>+BY141*$G137/4</f>
        <v>0</v>
      </c>
      <c r="BZ142" s="336">
        <f>+BZ141*$G137/4</f>
        <v>0</v>
      </c>
      <c r="CA142" s="336">
        <f>+CA141*$G137/4</f>
        <v>0</v>
      </c>
      <c r="CB142" s="1402">
        <f>+CB141*$G137/4</f>
        <v>0</v>
      </c>
      <c r="CC142" s="336">
        <f>SUM(BY142:CB142)</f>
        <v>0</v>
      </c>
      <c r="CD142" s="1401">
        <f>+CD141*$G137/4</f>
        <v>0</v>
      </c>
      <c r="CE142" s="336">
        <f>+CE141*$G137/4</f>
        <v>0</v>
      </c>
      <c r="CF142" s="336">
        <f>+CF141*$G137/4</f>
        <v>0</v>
      </c>
      <c r="CG142" s="1402">
        <f>+CG141*$G137/4</f>
        <v>0</v>
      </c>
      <c r="CH142" s="336">
        <f>SUM(CD142:CG142)</f>
        <v>0</v>
      </c>
      <c r="CI142" s="1401">
        <f>+CI141*$G137/4</f>
        <v>0</v>
      </c>
      <c r="CJ142" s="336">
        <f>+CJ141*$G137/4</f>
        <v>0</v>
      </c>
      <c r="CK142" s="336">
        <f>+CK141*$G137/4</f>
        <v>0</v>
      </c>
      <c r="CL142" s="1402">
        <f>+CL141*$G137/4</f>
        <v>0</v>
      </c>
      <c r="CM142" s="336">
        <f>SUM(CI142:CL142)</f>
        <v>0</v>
      </c>
      <c r="CN142" s="1401">
        <f>+CN141*$G137/4</f>
        <v>0</v>
      </c>
      <c r="CO142" s="336">
        <f>+CO141*$G137/4</f>
        <v>0</v>
      </c>
      <c r="CP142" s="336">
        <f>+CP141*$G137/4</f>
        <v>0</v>
      </c>
      <c r="CQ142" s="1402">
        <f>+CQ141*$G137/4</f>
        <v>0</v>
      </c>
      <c r="CR142" s="1402">
        <f>SUM(CN142:CQ142)</f>
        <v>0</v>
      </c>
    </row>
    <row r="143" spans="1:96" ht="13.5" hidden="1" customHeight="1" outlineLevel="1">
      <c r="A143" s="317"/>
      <c r="B143" s="317" t="s">
        <v>93</v>
      </c>
      <c r="C143" s="317"/>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c r="AA143" s="318"/>
      <c r="AB143" s="318"/>
      <c r="AC143" s="318"/>
      <c r="AD143" s="318"/>
      <c r="AE143" s="318"/>
      <c r="AF143" s="318"/>
      <c r="AG143" s="318"/>
      <c r="AH143" s="318"/>
      <c r="AI143" s="335"/>
      <c r="AJ143" s="318"/>
      <c r="AK143" s="1405"/>
      <c r="AL143" s="336">
        <f>+AK142+AL142</f>
        <v>4.3125</v>
      </c>
      <c r="AM143" s="319"/>
      <c r="AN143" s="1402">
        <f>+AM142+AN142</f>
        <v>17.25</v>
      </c>
      <c r="AO143" s="319"/>
      <c r="AP143" s="1405"/>
      <c r="AQ143" s="336">
        <f>+AP142+AQ142</f>
        <v>17.25</v>
      </c>
      <c r="AR143" s="319"/>
      <c r="AS143" s="1402">
        <f>+AR142+AS142</f>
        <v>17.25</v>
      </c>
      <c r="AT143" s="336"/>
      <c r="AU143" s="1405"/>
      <c r="AV143" s="336">
        <f>+AU142+AV142</f>
        <v>17.25</v>
      </c>
      <c r="AW143" s="319"/>
      <c r="AX143" s="1402">
        <f>+AW142+AX142</f>
        <v>17.25</v>
      </c>
      <c r="AY143" s="336"/>
      <c r="AZ143" s="1405"/>
      <c r="BA143" s="336">
        <f>+AZ142+BA142</f>
        <v>17.25</v>
      </c>
      <c r="BB143" s="319"/>
      <c r="BC143" s="1402">
        <f>+BB142+BC142</f>
        <v>17.25</v>
      </c>
      <c r="BD143" s="336"/>
      <c r="BE143" s="1405"/>
      <c r="BF143" s="336">
        <f>+BE142+BF142</f>
        <v>9.1215299999999999</v>
      </c>
      <c r="BG143" s="319"/>
      <c r="BH143" s="1402">
        <f>+BG142+BH142</f>
        <v>6.4120399999999993</v>
      </c>
      <c r="BI143" s="336"/>
      <c r="BJ143" s="1405"/>
      <c r="BK143" s="336">
        <f>+BJ142+BK142</f>
        <v>4.8090299999999999</v>
      </c>
      <c r="BL143" s="319"/>
      <c r="BM143" s="1402">
        <f>+BL142+BM142</f>
        <v>0</v>
      </c>
      <c r="BN143" s="336"/>
      <c r="BO143" s="1405"/>
      <c r="BP143" s="336">
        <f>+BO142+BP142</f>
        <v>0</v>
      </c>
      <c r="BQ143" s="319"/>
      <c r="BR143" s="1402">
        <f>+BQ142+BR142</f>
        <v>0</v>
      </c>
      <c r="BS143" s="336"/>
      <c r="BT143" s="1405"/>
      <c r="BU143" s="336">
        <f>+BT142+BU142</f>
        <v>0</v>
      </c>
      <c r="BV143" s="319"/>
      <c r="BW143" s="1402">
        <f>+BV142+BW142</f>
        <v>0</v>
      </c>
      <c r="BX143" s="336"/>
      <c r="BY143" s="1405"/>
      <c r="BZ143" s="336">
        <f>+BY142+BZ142</f>
        <v>0</v>
      </c>
      <c r="CA143" s="319"/>
      <c r="CB143" s="1402">
        <f>+CA142+CB142</f>
        <v>0</v>
      </c>
      <c r="CC143" s="336"/>
      <c r="CD143" s="1405"/>
      <c r="CE143" s="336">
        <f>+CD142+CE142</f>
        <v>0</v>
      </c>
      <c r="CF143" s="319"/>
      <c r="CG143" s="1402">
        <f>+CF142+CG142</f>
        <v>0</v>
      </c>
      <c r="CH143" s="336"/>
      <c r="CI143" s="1405"/>
      <c r="CJ143" s="336">
        <f>+CI142+CJ142</f>
        <v>0</v>
      </c>
      <c r="CK143" s="319"/>
      <c r="CL143" s="1402">
        <f>+CK142+CL142</f>
        <v>0</v>
      </c>
      <c r="CM143" s="336"/>
      <c r="CN143" s="1405"/>
      <c r="CO143" s="336">
        <f>+CN142+CO142</f>
        <v>0</v>
      </c>
      <c r="CP143" s="319"/>
      <c r="CQ143" s="1402">
        <f>+CP142+CQ142</f>
        <v>0</v>
      </c>
      <c r="CR143" s="1402"/>
    </row>
    <row r="144" spans="1:96" ht="6.2" hidden="1" customHeight="1" outlineLevel="1">
      <c r="A144" s="317"/>
      <c r="B144" s="317"/>
      <c r="C144" s="317"/>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c r="AA144" s="318"/>
      <c r="AB144" s="318"/>
      <c r="AC144" s="318"/>
      <c r="AD144" s="318"/>
      <c r="AE144" s="318"/>
      <c r="AF144" s="318"/>
      <c r="AG144" s="318"/>
      <c r="AH144" s="318"/>
      <c r="AI144" s="335"/>
      <c r="AJ144" s="318"/>
      <c r="AK144" s="1405"/>
      <c r="AL144" s="336"/>
      <c r="AM144" s="319"/>
      <c r="AN144" s="1402"/>
      <c r="AO144" s="319"/>
      <c r="AP144" s="1405"/>
      <c r="AQ144" s="336"/>
      <c r="AR144" s="319"/>
      <c r="AS144" s="1402"/>
      <c r="AT144" s="336"/>
      <c r="AU144" s="1405"/>
      <c r="AV144" s="336"/>
      <c r="AW144" s="319"/>
      <c r="AX144" s="1402"/>
      <c r="AY144" s="336"/>
      <c r="AZ144" s="1405"/>
      <c r="BA144" s="336"/>
      <c r="BB144" s="319"/>
      <c r="BC144" s="1402"/>
      <c r="BD144" s="336"/>
      <c r="BE144" s="1405"/>
      <c r="BF144" s="336"/>
      <c r="BG144" s="319"/>
      <c r="BH144" s="1402"/>
      <c r="BI144" s="336"/>
      <c r="BJ144" s="1405"/>
      <c r="BK144" s="336"/>
      <c r="BL144" s="319"/>
      <c r="BM144" s="1402"/>
      <c r="BN144" s="336"/>
      <c r="BO144" s="1405"/>
      <c r="BP144" s="336"/>
      <c r="BQ144" s="319"/>
      <c r="BR144" s="1402"/>
      <c r="BS144" s="336"/>
      <c r="BT144" s="1405"/>
      <c r="BU144" s="336"/>
      <c r="BV144" s="319"/>
      <c r="BW144" s="1402"/>
      <c r="BX144" s="336"/>
      <c r="BY144" s="1405"/>
      <c r="BZ144" s="336"/>
      <c r="CA144" s="319"/>
      <c r="CB144" s="1402"/>
      <c r="CC144" s="336"/>
      <c r="CD144" s="1405"/>
      <c r="CE144" s="336"/>
      <c r="CF144" s="319"/>
      <c r="CG144" s="1402"/>
      <c r="CH144" s="336"/>
      <c r="CI144" s="1405"/>
      <c r="CJ144" s="336"/>
      <c r="CK144" s="319"/>
      <c r="CL144" s="1402"/>
      <c r="CM144" s="336"/>
      <c r="CN144" s="1405"/>
      <c r="CO144" s="336"/>
      <c r="CP144" s="319"/>
      <c r="CQ144" s="1402"/>
      <c r="CR144" s="1402"/>
    </row>
    <row r="145" spans="1:96" ht="13.5" hidden="1" customHeight="1" outlineLevel="1">
      <c r="A145" s="334" t="s">
        <v>111</v>
      </c>
      <c r="B145" s="317"/>
      <c r="C145" s="317"/>
      <c r="D145" s="318"/>
      <c r="E145" s="318"/>
      <c r="F145" s="318"/>
      <c r="G145" s="347">
        <v>2.75E-2</v>
      </c>
      <c r="H145" s="339">
        <v>43556</v>
      </c>
      <c r="I145" s="318"/>
      <c r="J145" s="318"/>
      <c r="K145" s="318"/>
      <c r="L145" s="318"/>
      <c r="M145" s="318"/>
      <c r="N145" s="318"/>
      <c r="O145" s="318"/>
      <c r="P145" s="318"/>
      <c r="Q145" s="318"/>
      <c r="R145" s="318"/>
      <c r="S145" s="318"/>
      <c r="T145" s="318"/>
      <c r="U145" s="318"/>
      <c r="V145" s="318"/>
      <c r="W145" s="318"/>
      <c r="X145" s="318"/>
      <c r="Y145" s="318"/>
      <c r="Z145" s="318"/>
      <c r="AA145" s="318"/>
      <c r="AB145" s="318"/>
      <c r="AC145" s="318"/>
      <c r="AD145" s="318"/>
      <c r="AE145" s="318"/>
      <c r="AF145" s="318"/>
      <c r="AG145" s="318"/>
      <c r="AH145" s="318"/>
      <c r="AI145" s="318"/>
      <c r="AJ145" s="318"/>
      <c r="AK145" s="1405"/>
      <c r="AL145" s="319"/>
      <c r="AM145" s="319"/>
      <c r="AN145" s="1406"/>
      <c r="AO145" s="319"/>
      <c r="AP145" s="1405"/>
      <c r="AQ145" s="319"/>
      <c r="AR145" s="319"/>
      <c r="AS145" s="1406"/>
      <c r="AT145" s="319"/>
      <c r="AU145" s="1405"/>
      <c r="AV145" s="319"/>
      <c r="AW145" s="319"/>
      <c r="AX145" s="1406"/>
      <c r="AY145" s="319"/>
      <c r="AZ145" s="1405"/>
      <c r="BA145" s="319"/>
      <c r="BB145" s="319"/>
      <c r="BC145" s="1406"/>
      <c r="BD145" s="319"/>
      <c r="BE145" s="1405"/>
      <c r="BF145" s="319"/>
      <c r="BG145" s="319"/>
      <c r="BH145" s="1406"/>
      <c r="BI145" s="319"/>
      <c r="BJ145" s="1405"/>
      <c r="BK145" s="319"/>
      <c r="BL145" s="319"/>
      <c r="BM145" s="1406"/>
      <c r="BN145" s="319"/>
      <c r="BO145" s="1405"/>
      <c r="BP145" s="319"/>
      <c r="BQ145" s="319"/>
      <c r="BR145" s="1406"/>
      <c r="BS145" s="319"/>
      <c r="BT145" s="1405"/>
      <c r="BU145" s="319"/>
      <c r="BV145" s="319"/>
      <c r="BW145" s="1406"/>
      <c r="BX145" s="319"/>
      <c r="BY145" s="1405"/>
      <c r="BZ145" s="319"/>
      <c r="CA145" s="319"/>
      <c r="CB145" s="1406"/>
      <c r="CC145" s="319"/>
      <c r="CD145" s="1405"/>
      <c r="CE145" s="319"/>
      <c r="CF145" s="319"/>
      <c r="CG145" s="1406"/>
      <c r="CH145" s="319"/>
      <c r="CI145" s="1405"/>
      <c r="CJ145" s="319"/>
      <c r="CK145" s="319"/>
      <c r="CL145" s="1406"/>
      <c r="CM145" s="319"/>
      <c r="CN145" s="1405"/>
      <c r="CO145" s="319"/>
      <c r="CP145" s="319"/>
      <c r="CQ145" s="1406"/>
      <c r="CR145" s="1406"/>
    </row>
    <row r="146" spans="1:96" ht="13.5" hidden="1" customHeight="1" outlineLevel="1">
      <c r="A146" s="317"/>
      <c r="B146" s="317" t="s">
        <v>87</v>
      </c>
      <c r="C146" s="317"/>
      <c r="D146" s="318"/>
      <c r="E146" s="318"/>
      <c r="F146" s="318"/>
      <c r="G146" s="318">
        <f>BF146/31.875</f>
        <v>9.9231372549019614</v>
      </c>
      <c r="H146" s="335"/>
      <c r="I146" s="335"/>
      <c r="J146" s="335"/>
      <c r="K146" s="335"/>
      <c r="L146" s="335"/>
      <c r="M146" s="335"/>
      <c r="N146" s="335"/>
      <c r="O146" s="335"/>
      <c r="P146" s="335"/>
      <c r="Q146" s="335"/>
      <c r="R146" s="335"/>
      <c r="S146" s="335"/>
      <c r="T146" s="335"/>
      <c r="U146" s="335"/>
      <c r="V146" s="335"/>
      <c r="W146" s="335"/>
      <c r="X146" s="335"/>
      <c r="Y146" s="335"/>
      <c r="Z146" s="335"/>
      <c r="AA146" s="335"/>
      <c r="AB146" s="335"/>
      <c r="AC146" s="335"/>
      <c r="AD146" s="335"/>
      <c r="AE146" s="335"/>
      <c r="AF146" s="335"/>
      <c r="AG146" s="335"/>
      <c r="AH146" s="335"/>
      <c r="AI146" s="335"/>
      <c r="AJ146" s="335"/>
      <c r="AK146" s="1401">
        <f>+AJ148</f>
        <v>0</v>
      </c>
      <c r="AL146" s="662">
        <v>0</v>
      </c>
      <c r="AM146" s="336">
        <f>+AL148</f>
        <v>0</v>
      </c>
      <c r="AN146" s="1402">
        <f>+AM148</f>
        <v>0</v>
      </c>
      <c r="AO146" s="336"/>
      <c r="AP146" s="1401">
        <f>+AO148</f>
        <v>0</v>
      </c>
      <c r="AQ146" s="336">
        <f>+AP148</f>
        <v>0</v>
      </c>
      <c r="AR146" s="336">
        <f>+AQ148</f>
        <v>0</v>
      </c>
      <c r="AS146" s="1402">
        <f>+AR148</f>
        <v>0</v>
      </c>
      <c r="AT146" s="336"/>
      <c r="AU146" s="1401">
        <f>+AT148</f>
        <v>0</v>
      </c>
      <c r="AV146" s="336">
        <f>+AU148</f>
        <v>0</v>
      </c>
      <c r="AW146" s="336">
        <f>+AV148</f>
        <v>0</v>
      </c>
      <c r="AX146" s="1402">
        <f>+AW148</f>
        <v>0</v>
      </c>
      <c r="AY146" s="336"/>
      <c r="AZ146" s="1401">
        <f>+AY148</f>
        <v>0</v>
      </c>
      <c r="BA146" s="336">
        <f>+AZ148</f>
        <v>0</v>
      </c>
      <c r="BB146" s="336">
        <f>+BA148</f>
        <v>0</v>
      </c>
      <c r="BC146" s="1402">
        <f>+BB148</f>
        <v>0</v>
      </c>
      <c r="BD146" s="336"/>
      <c r="BE146" s="1401">
        <f>+BD148</f>
        <v>0</v>
      </c>
      <c r="BF146" s="336">
        <f>+BE148</f>
        <v>316.3</v>
      </c>
      <c r="BG146" s="336">
        <f>+BF148</f>
        <v>316.3</v>
      </c>
      <c r="BH146" s="1402">
        <f>+BG148</f>
        <v>316.3</v>
      </c>
      <c r="BI146" s="336"/>
      <c r="BJ146" s="1401">
        <f>+BI148</f>
        <v>316.3</v>
      </c>
      <c r="BK146" s="336">
        <f>+BJ148</f>
        <v>316.3</v>
      </c>
      <c r="BL146" s="336">
        <f>+BK148</f>
        <v>316.3</v>
      </c>
      <c r="BM146" s="1402">
        <f>+BL148</f>
        <v>316.3</v>
      </c>
      <c r="BN146" s="336"/>
      <c r="BO146" s="1401">
        <f>+BN148</f>
        <v>316.3</v>
      </c>
      <c r="BP146" s="336">
        <f>+BO148</f>
        <v>316.3</v>
      </c>
      <c r="BQ146" s="336">
        <f>+BP148</f>
        <v>316.3</v>
      </c>
      <c r="BR146" s="1402">
        <f>+BQ148</f>
        <v>316</v>
      </c>
      <c r="BS146" s="336"/>
      <c r="BT146" s="1401">
        <f>+BS148</f>
        <v>0</v>
      </c>
      <c r="BU146" s="336">
        <f>+BT148</f>
        <v>0</v>
      </c>
      <c r="BV146" s="336">
        <f>+BU148</f>
        <v>0</v>
      </c>
      <c r="BW146" s="1402">
        <f>+BV148</f>
        <v>0</v>
      </c>
      <c r="BX146" s="336"/>
      <c r="BY146" s="1401">
        <f>+BX148</f>
        <v>0</v>
      </c>
      <c r="BZ146" s="336">
        <f>+BY148</f>
        <v>0</v>
      </c>
      <c r="CA146" s="336">
        <f>+BZ148</f>
        <v>0</v>
      </c>
      <c r="CB146" s="1402">
        <f>+CA148</f>
        <v>0</v>
      </c>
      <c r="CC146" s="336"/>
      <c r="CD146" s="1401">
        <f>+CC148</f>
        <v>0</v>
      </c>
      <c r="CE146" s="336">
        <f>+CD148</f>
        <v>0</v>
      </c>
      <c r="CF146" s="336">
        <f>+CE148</f>
        <v>0</v>
      </c>
      <c r="CG146" s="1402">
        <f>+CF148</f>
        <v>0</v>
      </c>
      <c r="CH146" s="336"/>
      <c r="CI146" s="1401">
        <f>+CH148</f>
        <v>0</v>
      </c>
      <c r="CJ146" s="336">
        <f>+CI148</f>
        <v>0</v>
      </c>
      <c r="CK146" s="336">
        <f>+CJ148</f>
        <v>0</v>
      </c>
      <c r="CL146" s="1402">
        <f>+CK148</f>
        <v>0</v>
      </c>
      <c r="CM146" s="336"/>
      <c r="CN146" s="1401">
        <f>+CM148</f>
        <v>0</v>
      </c>
      <c r="CO146" s="336">
        <f>+CN148</f>
        <v>0</v>
      </c>
      <c r="CP146" s="336">
        <f>+CO148</f>
        <v>0</v>
      </c>
      <c r="CQ146" s="1402">
        <f>+CP148</f>
        <v>0</v>
      </c>
      <c r="CR146" s="1402"/>
    </row>
    <row r="147" spans="1:96" ht="13.5" hidden="1" customHeight="1" outlineLevel="1">
      <c r="A147" s="317"/>
      <c r="B147" s="317" t="s">
        <v>89</v>
      </c>
      <c r="C147" s="317"/>
      <c r="D147" s="318"/>
      <c r="E147" s="318"/>
      <c r="F147" s="318"/>
      <c r="G147" s="318"/>
      <c r="H147" s="335"/>
      <c r="I147" s="335"/>
      <c r="J147" s="335"/>
      <c r="K147" s="335"/>
      <c r="L147" s="335"/>
      <c r="M147" s="335"/>
      <c r="N147" s="335"/>
      <c r="O147" s="335"/>
      <c r="P147" s="335"/>
      <c r="Q147" s="335"/>
      <c r="R147" s="335"/>
      <c r="S147" s="335"/>
      <c r="T147" s="335"/>
      <c r="U147" s="335"/>
      <c r="V147" s="335"/>
      <c r="W147" s="335"/>
      <c r="X147" s="335"/>
      <c r="Y147" s="335"/>
      <c r="Z147" s="335"/>
      <c r="AA147" s="335"/>
      <c r="AB147" s="335"/>
      <c r="AC147" s="335"/>
      <c r="AD147" s="335"/>
      <c r="AE147" s="335"/>
      <c r="AF147" s="335"/>
      <c r="AG147" s="335"/>
      <c r="AH147" s="335"/>
      <c r="AI147" s="335"/>
      <c r="AJ147" s="335"/>
      <c r="AK147" s="1403">
        <v>0</v>
      </c>
      <c r="AL147" s="662">
        <v>0</v>
      </c>
      <c r="AM147" s="662">
        <v>0</v>
      </c>
      <c r="AN147" s="1404">
        <v>0</v>
      </c>
      <c r="AO147" s="336"/>
      <c r="AP147" s="1403">
        <v>0</v>
      </c>
      <c r="AQ147" s="662">
        <v>0</v>
      </c>
      <c r="AR147" s="662">
        <v>0</v>
      </c>
      <c r="AS147" s="1404">
        <v>0</v>
      </c>
      <c r="AT147" s="336"/>
      <c r="AU147" s="1403">
        <v>0</v>
      </c>
      <c r="AV147" s="662">
        <v>0</v>
      </c>
      <c r="AW147" s="662">
        <v>0</v>
      </c>
      <c r="AX147" s="1404">
        <v>0</v>
      </c>
      <c r="AY147" s="336"/>
      <c r="AZ147" s="1403">
        <v>0</v>
      </c>
      <c r="BA147" s="662">
        <v>0</v>
      </c>
      <c r="BB147" s="662">
        <v>0</v>
      </c>
      <c r="BC147" s="1404">
        <v>0</v>
      </c>
      <c r="BD147" s="336"/>
      <c r="BE147" s="1403">
        <v>0</v>
      </c>
      <c r="BF147" s="662">
        <v>0</v>
      </c>
      <c r="BG147" s="662">
        <v>0</v>
      </c>
      <c r="BH147" s="1404">
        <v>0</v>
      </c>
      <c r="BI147" s="336"/>
      <c r="BJ147" s="1403">
        <v>0</v>
      </c>
      <c r="BK147" s="662">
        <v>0</v>
      </c>
      <c r="BL147" s="662">
        <v>0</v>
      </c>
      <c r="BM147" s="1404">
        <v>0</v>
      </c>
      <c r="BN147" s="336"/>
      <c r="BO147" s="1403">
        <v>0</v>
      </c>
      <c r="BP147" s="662">
        <v>0</v>
      </c>
      <c r="BQ147" s="662">
        <v>0</v>
      </c>
      <c r="BR147" s="1404">
        <v>-316</v>
      </c>
      <c r="BS147" s="336"/>
      <c r="BT147" s="1403">
        <v>0</v>
      </c>
      <c r="BU147" s="662">
        <v>0</v>
      </c>
      <c r="BV147" s="662">
        <v>0</v>
      </c>
      <c r="BW147" s="1404">
        <v>0</v>
      </c>
      <c r="BX147" s="336"/>
      <c r="BY147" s="1403">
        <v>0</v>
      </c>
      <c r="BZ147" s="662">
        <v>0</v>
      </c>
      <c r="CA147" s="662">
        <v>0</v>
      </c>
      <c r="CB147" s="1404">
        <v>0</v>
      </c>
      <c r="CC147" s="336"/>
      <c r="CD147" s="1403">
        <v>0</v>
      </c>
      <c r="CE147" s="662">
        <v>0</v>
      </c>
      <c r="CF147" s="662">
        <v>0</v>
      </c>
      <c r="CG147" s="1404">
        <v>0</v>
      </c>
      <c r="CH147" s="336"/>
      <c r="CI147" s="1403">
        <v>0</v>
      </c>
      <c r="CJ147" s="662">
        <v>0</v>
      </c>
      <c r="CK147" s="662">
        <v>0</v>
      </c>
      <c r="CL147" s="1404">
        <v>0</v>
      </c>
      <c r="CM147" s="336"/>
      <c r="CN147" s="1403">
        <v>0</v>
      </c>
      <c r="CO147" s="662">
        <v>0</v>
      </c>
      <c r="CP147" s="662">
        <v>0</v>
      </c>
      <c r="CQ147" s="1404">
        <v>0</v>
      </c>
      <c r="CR147" s="1402"/>
    </row>
    <row r="148" spans="1:96" ht="13.5" hidden="1" customHeight="1" outlineLevel="1">
      <c r="A148" s="317"/>
      <c r="B148" s="317" t="s">
        <v>90</v>
      </c>
      <c r="C148" s="317"/>
      <c r="D148" s="318"/>
      <c r="E148" s="318"/>
      <c r="F148" s="318"/>
      <c r="G148" s="591"/>
      <c r="H148" s="348">
        <v>0</v>
      </c>
      <c r="I148" s="348"/>
      <c r="J148" s="348"/>
      <c r="K148" s="348"/>
      <c r="L148" s="348"/>
      <c r="M148" s="348"/>
      <c r="N148" s="348"/>
      <c r="O148" s="348"/>
      <c r="P148" s="348"/>
      <c r="Q148" s="348"/>
      <c r="R148" s="348"/>
      <c r="S148" s="348"/>
      <c r="T148" s="348"/>
      <c r="U148" s="348"/>
      <c r="V148" s="348"/>
      <c r="W148" s="348"/>
      <c r="X148" s="348"/>
      <c r="Y148" s="348"/>
      <c r="Z148" s="348"/>
      <c r="AA148" s="348"/>
      <c r="AB148" s="348"/>
      <c r="AC148" s="348"/>
      <c r="AD148" s="348"/>
      <c r="AE148" s="348"/>
      <c r="AF148" s="348"/>
      <c r="AG148" s="348"/>
      <c r="AH148" s="348"/>
      <c r="AI148" s="335"/>
      <c r="AJ148" s="335"/>
      <c r="AK148" s="1401">
        <f>+AK146+AK147</f>
        <v>0</v>
      </c>
      <c r="AL148" s="662">
        <v>0</v>
      </c>
      <c r="AM148" s="336">
        <f>+AM146+AM147</f>
        <v>0</v>
      </c>
      <c r="AN148" s="1402">
        <f>+AN146+AN147</f>
        <v>0</v>
      </c>
      <c r="AO148" s="343">
        <f>+AN148</f>
        <v>0</v>
      </c>
      <c r="AP148" s="1401">
        <f>+AP146+AP147</f>
        <v>0</v>
      </c>
      <c r="AQ148" s="336">
        <f>+AQ146+AQ147</f>
        <v>0</v>
      </c>
      <c r="AR148" s="336">
        <f>+AR146+AR147</f>
        <v>0</v>
      </c>
      <c r="AS148" s="1402">
        <f>+AS146+AS147</f>
        <v>0</v>
      </c>
      <c r="AT148" s="343">
        <f>+AS148</f>
        <v>0</v>
      </c>
      <c r="AU148" s="1401">
        <f>+AU146+AU147</f>
        <v>0</v>
      </c>
      <c r="AV148" s="336">
        <f>+AV146+AV147</f>
        <v>0</v>
      </c>
      <c r="AW148" s="336">
        <f>+AW146+AW147</f>
        <v>0</v>
      </c>
      <c r="AX148" s="1402">
        <f>+AX146+AX147</f>
        <v>0</v>
      </c>
      <c r="AY148" s="343">
        <f>+AX148</f>
        <v>0</v>
      </c>
      <c r="AZ148" s="1401">
        <f>+AZ146+AZ147</f>
        <v>0</v>
      </c>
      <c r="BA148" s="336">
        <f>+BA146+BA147</f>
        <v>0</v>
      </c>
      <c r="BB148" s="336">
        <f>+BB146+BB147</f>
        <v>0</v>
      </c>
      <c r="BC148" s="1402">
        <f>+BC146+BC147</f>
        <v>0</v>
      </c>
      <c r="BD148" s="343">
        <f>+BC148</f>
        <v>0</v>
      </c>
      <c r="BE148" s="1403">
        <v>316.3</v>
      </c>
      <c r="BF148" s="336">
        <f>+BF146+BF147</f>
        <v>316.3</v>
      </c>
      <c r="BG148" s="336">
        <f>+BG146+BG147</f>
        <v>316.3</v>
      </c>
      <c r="BH148" s="1402">
        <f>+BH146+BH147</f>
        <v>316.3</v>
      </c>
      <c r="BI148" s="343">
        <f>+BH148</f>
        <v>316.3</v>
      </c>
      <c r="BJ148" s="1401">
        <f>+BJ146+BJ147</f>
        <v>316.3</v>
      </c>
      <c r="BK148" s="336">
        <f>+BK146+BK147</f>
        <v>316.3</v>
      </c>
      <c r="BL148" s="336">
        <f>+BL146+BL147</f>
        <v>316.3</v>
      </c>
      <c r="BM148" s="1402">
        <f>+BM146+BM147</f>
        <v>316.3</v>
      </c>
      <c r="BN148" s="343">
        <f>+BM148</f>
        <v>316.3</v>
      </c>
      <c r="BO148" s="1401">
        <f>+BO146+BO147</f>
        <v>316.3</v>
      </c>
      <c r="BP148" s="336">
        <f>+BP146+BP147</f>
        <v>316.3</v>
      </c>
      <c r="BQ148" s="662">
        <v>316</v>
      </c>
      <c r="BR148" s="1402">
        <f>+BR146+BR147</f>
        <v>0</v>
      </c>
      <c r="BS148" s="343">
        <f>+BR148</f>
        <v>0</v>
      </c>
      <c r="BT148" s="1401">
        <f>+BT146+BT147</f>
        <v>0</v>
      </c>
      <c r="BU148" s="336">
        <f>+BU146+BU147</f>
        <v>0</v>
      </c>
      <c r="BV148" s="336">
        <f>+BV146+BV147</f>
        <v>0</v>
      </c>
      <c r="BW148" s="1402">
        <f>+BW146+BW147</f>
        <v>0</v>
      </c>
      <c r="BX148" s="343">
        <f>+BW148</f>
        <v>0</v>
      </c>
      <c r="BY148" s="1401">
        <f>+BY146+BY147</f>
        <v>0</v>
      </c>
      <c r="BZ148" s="336">
        <f>+BZ146+BZ147</f>
        <v>0</v>
      </c>
      <c r="CA148" s="336">
        <f>+CA146+CA147</f>
        <v>0</v>
      </c>
      <c r="CB148" s="1402">
        <f>+CB146+CB147</f>
        <v>0</v>
      </c>
      <c r="CC148" s="343">
        <f>+CB148</f>
        <v>0</v>
      </c>
      <c r="CD148" s="1401">
        <f>+CD146+CD147</f>
        <v>0</v>
      </c>
      <c r="CE148" s="336">
        <f>+CE146+CE147</f>
        <v>0</v>
      </c>
      <c r="CF148" s="336">
        <f>+CF146+CF147</f>
        <v>0</v>
      </c>
      <c r="CG148" s="1402">
        <f>+CG146+CG147</f>
        <v>0</v>
      </c>
      <c r="CH148" s="343">
        <f>+CG148</f>
        <v>0</v>
      </c>
      <c r="CI148" s="1401">
        <f>+CI146+CI147</f>
        <v>0</v>
      </c>
      <c r="CJ148" s="336">
        <f>+CJ146+CJ147</f>
        <v>0</v>
      </c>
      <c r="CK148" s="336">
        <f>+CK146+CK147</f>
        <v>0</v>
      </c>
      <c r="CL148" s="1402">
        <f>+CL146+CL147</f>
        <v>0</v>
      </c>
      <c r="CM148" s="343">
        <f>+CL148</f>
        <v>0</v>
      </c>
      <c r="CN148" s="1401">
        <f>+CN146+CN147</f>
        <v>0</v>
      </c>
      <c r="CO148" s="336">
        <f>+CO146+CO147</f>
        <v>0</v>
      </c>
      <c r="CP148" s="336">
        <f>+CP146+CP147</f>
        <v>0</v>
      </c>
      <c r="CQ148" s="1402">
        <f>+CQ146+CQ147</f>
        <v>0</v>
      </c>
      <c r="CR148" s="1451">
        <f>+CQ148</f>
        <v>0</v>
      </c>
    </row>
    <row r="149" spans="1:96" ht="13.5" hidden="1" customHeight="1" outlineLevel="1">
      <c r="A149" s="317"/>
      <c r="B149" s="317" t="s">
        <v>91</v>
      </c>
      <c r="C149" s="317"/>
      <c r="D149" s="318"/>
      <c r="E149" s="318"/>
      <c r="F149" s="318"/>
      <c r="G149" s="318"/>
      <c r="H149" s="335"/>
      <c r="I149" s="335"/>
      <c r="J149" s="335"/>
      <c r="K149" s="335"/>
      <c r="L149" s="335"/>
      <c r="M149" s="335"/>
      <c r="N149" s="335"/>
      <c r="O149" s="335"/>
      <c r="P149" s="335"/>
      <c r="Q149" s="335"/>
      <c r="R149" s="335"/>
      <c r="S149" s="335"/>
      <c r="T149" s="335"/>
      <c r="U149" s="335"/>
      <c r="V149" s="335"/>
      <c r="W149" s="335"/>
      <c r="X149" s="335"/>
      <c r="Y149" s="335"/>
      <c r="Z149" s="335"/>
      <c r="AA149" s="335"/>
      <c r="AB149" s="335"/>
      <c r="AC149" s="335"/>
      <c r="AD149" s="335"/>
      <c r="AE149" s="335"/>
      <c r="AF149" s="335"/>
      <c r="AG149" s="335"/>
      <c r="AH149" s="335"/>
      <c r="AI149" s="335"/>
      <c r="AJ149" s="335"/>
      <c r="AK149" s="1401">
        <f>+AVERAGE(AK146,AK148)</f>
        <v>0</v>
      </c>
      <c r="AL149" s="336">
        <f>+AVERAGE(AL146,AL148)</f>
        <v>0</v>
      </c>
      <c r="AM149" s="336">
        <f>+AVERAGE(AM146,AM148)</f>
        <v>0</v>
      </c>
      <c r="AN149" s="1402">
        <f>+AVERAGE(AN146,AN148)</f>
        <v>0</v>
      </c>
      <c r="AO149" s="336"/>
      <c r="AP149" s="1401">
        <f>+AVERAGE(AP146,AP148)</f>
        <v>0</v>
      </c>
      <c r="AQ149" s="336">
        <f>+AVERAGE(AQ146,AQ148)</f>
        <v>0</v>
      </c>
      <c r="AR149" s="336">
        <f>+AVERAGE(AR146,AR148)</f>
        <v>0</v>
      </c>
      <c r="AS149" s="1402">
        <f>+AVERAGE(AS146,AS148)</f>
        <v>0</v>
      </c>
      <c r="AT149" s="336"/>
      <c r="AU149" s="1401">
        <f>+AVERAGE(AU146,AU148)</f>
        <v>0</v>
      </c>
      <c r="AV149" s="336">
        <f>+AVERAGE(AV146,AV148)</f>
        <v>0</v>
      </c>
      <c r="AW149" s="336">
        <f>+AVERAGE(AW146,AW148)</f>
        <v>0</v>
      </c>
      <c r="AX149" s="1402">
        <f>+AVERAGE(AX146,AX148)</f>
        <v>0</v>
      </c>
      <c r="AY149" s="336"/>
      <c r="AZ149" s="1401">
        <f>+AVERAGE(AZ146,AZ148)</f>
        <v>0</v>
      </c>
      <c r="BA149" s="336">
        <f>+AVERAGE(BA146,BA148)</f>
        <v>0</v>
      </c>
      <c r="BB149" s="336">
        <f>+AVERAGE(BB146,BB148)</f>
        <v>0</v>
      </c>
      <c r="BC149" s="1402">
        <f>+AVERAGE(BC146,BC148)</f>
        <v>0</v>
      </c>
      <c r="BD149" s="336"/>
      <c r="BE149" s="1401">
        <f>+AVERAGE(BE146,BE148)</f>
        <v>158.15</v>
      </c>
      <c r="BF149" s="336">
        <f>+AVERAGE(BF146,BF148)</f>
        <v>316.3</v>
      </c>
      <c r="BG149" s="336">
        <f>+AVERAGE(BG146,BG148)</f>
        <v>316.3</v>
      </c>
      <c r="BH149" s="1402">
        <f>+AVERAGE(BH146,BH148)</f>
        <v>316.3</v>
      </c>
      <c r="BI149" s="336"/>
      <c r="BJ149" s="1401">
        <f>+AVERAGE(BJ146,BJ148)</f>
        <v>316.3</v>
      </c>
      <c r="BK149" s="336">
        <f>+AVERAGE(BK146,BK148)</f>
        <v>316.3</v>
      </c>
      <c r="BL149" s="336">
        <f>+AVERAGE(BL146,BL148)</f>
        <v>316.3</v>
      </c>
      <c r="BM149" s="1402">
        <f>+AVERAGE(BM146,BM148)</f>
        <v>316.3</v>
      </c>
      <c r="BN149" s="336"/>
      <c r="BO149" s="1401">
        <f>+AVERAGE(BO146,BO148)</f>
        <v>316.3</v>
      </c>
      <c r="BP149" s="336">
        <f>+AVERAGE(BP146,BP148)</f>
        <v>316.3</v>
      </c>
      <c r="BQ149" s="336">
        <f>+AVERAGE(BQ146,BQ148)</f>
        <v>316.14999999999998</v>
      </c>
      <c r="BR149" s="1402">
        <f>+AVERAGE(BR146,BR148)</f>
        <v>158</v>
      </c>
      <c r="BS149" s="336"/>
      <c r="BT149" s="1401">
        <f>+AVERAGE(BT146,BT148)</f>
        <v>0</v>
      </c>
      <c r="BU149" s="336">
        <f>+AVERAGE(BU146,BU148)</f>
        <v>0</v>
      </c>
      <c r="BV149" s="336">
        <f>+AVERAGE(BV146,BV148)</f>
        <v>0</v>
      </c>
      <c r="BW149" s="1402">
        <f>+AVERAGE(BW146,BW148)</f>
        <v>0</v>
      </c>
      <c r="BX149" s="336"/>
      <c r="BY149" s="1401">
        <f>+AVERAGE(BY146,BY148)</f>
        <v>0</v>
      </c>
      <c r="BZ149" s="336">
        <f>+AVERAGE(BZ146,BZ148)</f>
        <v>0</v>
      </c>
      <c r="CA149" s="336">
        <f>+AVERAGE(CA146,CA148)</f>
        <v>0</v>
      </c>
      <c r="CB149" s="1402">
        <f>+AVERAGE(CB146,CB148)</f>
        <v>0</v>
      </c>
      <c r="CC149" s="336"/>
      <c r="CD149" s="1401">
        <f>+AVERAGE(CD146,CD148)</f>
        <v>0</v>
      </c>
      <c r="CE149" s="336">
        <f>+AVERAGE(CE146,CE148)</f>
        <v>0</v>
      </c>
      <c r="CF149" s="336">
        <f>+AVERAGE(CF146,CF148)</f>
        <v>0</v>
      </c>
      <c r="CG149" s="1402">
        <f>+AVERAGE(CG146,CG148)</f>
        <v>0</v>
      </c>
      <c r="CH149" s="336"/>
      <c r="CI149" s="1401">
        <f>+AVERAGE(CI146,CI148)</f>
        <v>0</v>
      </c>
      <c r="CJ149" s="336">
        <f>+AVERAGE(CJ146,CJ148)</f>
        <v>0</v>
      </c>
      <c r="CK149" s="336">
        <f>+AVERAGE(CK146,CK148)</f>
        <v>0</v>
      </c>
      <c r="CL149" s="1402">
        <f>+AVERAGE(CL146,CL148)</f>
        <v>0</v>
      </c>
      <c r="CM149" s="336"/>
      <c r="CN149" s="1401">
        <f>+AVERAGE(CN146,CN148)</f>
        <v>0</v>
      </c>
      <c r="CO149" s="336">
        <f>+AVERAGE(CO146,CO148)</f>
        <v>0</v>
      </c>
      <c r="CP149" s="336">
        <f>+AVERAGE(CP146,CP148)</f>
        <v>0</v>
      </c>
      <c r="CQ149" s="1402">
        <f>+AVERAGE(CQ146,CQ148)</f>
        <v>0</v>
      </c>
      <c r="CR149" s="1402"/>
    </row>
    <row r="150" spans="1:96" ht="13.5" hidden="1" customHeight="1" outlineLevel="1">
      <c r="A150" s="317"/>
      <c r="B150" s="317" t="s">
        <v>92</v>
      </c>
      <c r="C150" s="317"/>
      <c r="D150" s="318"/>
      <c r="E150" s="318"/>
      <c r="F150" s="318"/>
      <c r="G150" s="318"/>
      <c r="H150" s="335"/>
      <c r="I150" s="335"/>
      <c r="J150" s="335"/>
      <c r="K150" s="335"/>
      <c r="L150" s="335"/>
      <c r="M150" s="335"/>
      <c r="N150" s="335"/>
      <c r="O150" s="335"/>
      <c r="P150" s="335"/>
      <c r="Q150" s="335"/>
      <c r="R150" s="335"/>
      <c r="S150" s="335"/>
      <c r="T150" s="335"/>
      <c r="U150" s="335"/>
      <c r="V150" s="335"/>
      <c r="W150" s="335"/>
      <c r="X150" s="335"/>
      <c r="Y150" s="335"/>
      <c r="Z150" s="335"/>
      <c r="AA150" s="335"/>
      <c r="AB150" s="335"/>
      <c r="AC150" s="335"/>
      <c r="AD150" s="335"/>
      <c r="AE150" s="335"/>
      <c r="AF150" s="335"/>
      <c r="AG150" s="335"/>
      <c r="AH150" s="335"/>
      <c r="AI150" s="335"/>
      <c r="AJ150" s="335"/>
      <c r="AK150" s="1401">
        <f>+AK149*$G145/4</f>
        <v>0</v>
      </c>
      <c r="AL150" s="336">
        <f>+AL149*$G145/4</f>
        <v>0</v>
      </c>
      <c r="AM150" s="336">
        <f>+AM149*$G145/4</f>
        <v>0</v>
      </c>
      <c r="AN150" s="1402">
        <f>+AN149*$G145/4</f>
        <v>0</v>
      </c>
      <c r="AO150" s="336"/>
      <c r="AP150" s="1401">
        <f>+AP149*$G145/4</f>
        <v>0</v>
      </c>
      <c r="AQ150" s="336">
        <f>+AQ149*$G145/4</f>
        <v>0</v>
      </c>
      <c r="AR150" s="336">
        <f>+AR149*$G145/4</f>
        <v>0</v>
      </c>
      <c r="AS150" s="1402">
        <f>+AS149*$G145/4</f>
        <v>0</v>
      </c>
      <c r="AT150" s="336"/>
      <c r="AU150" s="1401">
        <f>+AU149*$G145/4</f>
        <v>0</v>
      </c>
      <c r="AV150" s="336">
        <f>+AV149*$G145/4</f>
        <v>0</v>
      </c>
      <c r="AW150" s="336">
        <f>+AW149*$G145/4</f>
        <v>0</v>
      </c>
      <c r="AX150" s="1402">
        <f>+AX149*$G145/4</f>
        <v>0</v>
      </c>
      <c r="AY150" s="336">
        <f>SUM(AU150:AX150)</f>
        <v>0</v>
      </c>
      <c r="AZ150" s="1401">
        <f>+AZ149*$G145/4</f>
        <v>0</v>
      </c>
      <c r="BA150" s="336">
        <f>+BA149*$G145/4</f>
        <v>0</v>
      </c>
      <c r="BB150" s="336">
        <f>+BB149*$G145/4</f>
        <v>0</v>
      </c>
      <c r="BC150" s="1402">
        <f>+BC149*$G145/4</f>
        <v>0</v>
      </c>
      <c r="BD150" s="336">
        <f>SUM(AZ150:BC150)</f>
        <v>0</v>
      </c>
      <c r="BE150" s="1401">
        <f>+BE149*$G145/4</f>
        <v>1.08728125</v>
      </c>
      <c r="BF150" s="336">
        <f>+BF149*$G145/4</f>
        <v>2.1745625</v>
      </c>
      <c r="BG150" s="336">
        <f>+BG149*$G145/4</f>
        <v>2.1745625</v>
      </c>
      <c r="BH150" s="1402">
        <f>+BH149*$G145/4</f>
        <v>2.1745625</v>
      </c>
      <c r="BI150" s="336">
        <f>SUM(BE150:BH150)</f>
        <v>7.6109687499999996</v>
      </c>
      <c r="BJ150" s="1401">
        <f>+BJ149*$G145/4</f>
        <v>2.1745625</v>
      </c>
      <c r="BK150" s="336">
        <f>+BK149*$G145/4</f>
        <v>2.1745625</v>
      </c>
      <c r="BL150" s="336">
        <f>+BL149*$G145/4</f>
        <v>2.1745625</v>
      </c>
      <c r="BM150" s="1402">
        <f>+BM149*$G145/4</f>
        <v>2.1745625</v>
      </c>
      <c r="BN150" s="336">
        <f>SUM(BJ150:BM150)</f>
        <v>8.6982499999999998</v>
      </c>
      <c r="BO150" s="1401">
        <f>+BO149*$G145/4</f>
        <v>2.1745625</v>
      </c>
      <c r="BP150" s="336">
        <f>+BP149*$G145/4</f>
        <v>2.1745625</v>
      </c>
      <c r="BQ150" s="336">
        <f>+BQ149*$G145/4</f>
        <v>2.1735312499999999</v>
      </c>
      <c r="BR150" s="1402">
        <f>+BR149*$G145/4</f>
        <v>1.0862499999999999</v>
      </c>
      <c r="BS150" s="336">
        <f>SUM(BO150:BR150)</f>
        <v>7.6089062499999995</v>
      </c>
      <c r="BT150" s="1401">
        <f>+BT149*$G145/4</f>
        <v>0</v>
      </c>
      <c r="BU150" s="336">
        <f>+BU149*$G145/4</f>
        <v>0</v>
      </c>
      <c r="BV150" s="336">
        <f>+BV149*$G145/4</f>
        <v>0</v>
      </c>
      <c r="BW150" s="1402">
        <f>+BW149*$G145/4</f>
        <v>0</v>
      </c>
      <c r="BX150" s="336">
        <f>SUM(BT150:BW150)</f>
        <v>0</v>
      </c>
      <c r="BY150" s="1401">
        <f>+BY149*$G145/4</f>
        <v>0</v>
      </c>
      <c r="BZ150" s="336">
        <f>+BZ149*$G145/4</f>
        <v>0</v>
      </c>
      <c r="CA150" s="336">
        <f>+CA149*$G145/4</f>
        <v>0</v>
      </c>
      <c r="CB150" s="1402">
        <f>+CB149*$G145/4</f>
        <v>0</v>
      </c>
      <c r="CC150" s="336">
        <f>SUM(BY150:CB150)</f>
        <v>0</v>
      </c>
      <c r="CD150" s="1401">
        <f>+CD149*$G145/4</f>
        <v>0</v>
      </c>
      <c r="CE150" s="336">
        <f>+CE149*$G145/4</f>
        <v>0</v>
      </c>
      <c r="CF150" s="336">
        <f>+CF149*$G145/4</f>
        <v>0</v>
      </c>
      <c r="CG150" s="1402">
        <f>+CG149*$G145/4</f>
        <v>0</v>
      </c>
      <c r="CH150" s="336">
        <f>SUM(CD150:CG150)</f>
        <v>0</v>
      </c>
      <c r="CI150" s="1401">
        <f>+CI149*$G145/4</f>
        <v>0</v>
      </c>
      <c r="CJ150" s="336">
        <f>+CJ149*$G145/4</f>
        <v>0</v>
      </c>
      <c r="CK150" s="336">
        <f>+CK149*$G145/4</f>
        <v>0</v>
      </c>
      <c r="CL150" s="1402">
        <f>+CL149*$G145/4</f>
        <v>0</v>
      </c>
      <c r="CM150" s="336">
        <f>SUM(CI150:CL150)</f>
        <v>0</v>
      </c>
      <c r="CN150" s="1401">
        <f>+CN149*$G145/4</f>
        <v>0</v>
      </c>
      <c r="CO150" s="336">
        <f>+CO149*$G145/4</f>
        <v>0</v>
      </c>
      <c r="CP150" s="336">
        <f>+CP149*$G145/4</f>
        <v>0</v>
      </c>
      <c r="CQ150" s="1402">
        <f>+CQ149*$G145/4</f>
        <v>0</v>
      </c>
      <c r="CR150" s="1402">
        <f>SUM(CN150:CQ150)</f>
        <v>0</v>
      </c>
    </row>
    <row r="151" spans="1:96" ht="13.5" hidden="1" customHeight="1" outlineLevel="1">
      <c r="A151" s="317"/>
      <c r="B151" s="317" t="s">
        <v>93</v>
      </c>
      <c r="C151" s="317"/>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c r="AA151" s="318"/>
      <c r="AB151" s="318"/>
      <c r="AC151" s="318"/>
      <c r="AD151" s="318"/>
      <c r="AE151" s="318"/>
      <c r="AF151" s="318"/>
      <c r="AG151" s="318"/>
      <c r="AH151" s="318"/>
      <c r="AI151" s="335"/>
      <c r="AJ151" s="318"/>
      <c r="AK151" s="1405"/>
      <c r="AL151" s="336">
        <f>+AK150+AL150</f>
        <v>0</v>
      </c>
      <c r="AM151" s="319"/>
      <c r="AN151" s="1402">
        <f>+AM150+AN150</f>
        <v>0</v>
      </c>
      <c r="AO151" s="319"/>
      <c r="AP151" s="1405"/>
      <c r="AQ151" s="336">
        <f>+AP150+AQ150</f>
        <v>0</v>
      </c>
      <c r="AR151" s="319"/>
      <c r="AS151" s="1402">
        <f>+AR150+AS150</f>
        <v>0</v>
      </c>
      <c r="AT151" s="336"/>
      <c r="AU151" s="1405"/>
      <c r="AV151" s="336">
        <f>+AU150+AV150</f>
        <v>0</v>
      </c>
      <c r="AW151" s="319"/>
      <c r="AX151" s="1402">
        <f>+AW150+AX150</f>
        <v>0</v>
      </c>
      <c r="AY151" s="336"/>
      <c r="AZ151" s="1405"/>
      <c r="BA151" s="336">
        <f>+AZ150+BA150</f>
        <v>0</v>
      </c>
      <c r="BB151" s="319"/>
      <c r="BC151" s="1402">
        <f>+BB150+BC150</f>
        <v>0</v>
      </c>
      <c r="BD151" s="336"/>
      <c r="BE151" s="1405"/>
      <c r="BF151" s="336">
        <f>+BE150+BF150</f>
        <v>3.2618437499999997</v>
      </c>
      <c r="BG151" s="319"/>
      <c r="BH151" s="1402">
        <f>+BG150+BH150</f>
        <v>4.3491249999999999</v>
      </c>
      <c r="BI151" s="336"/>
      <c r="BJ151" s="1405"/>
      <c r="BK151" s="336">
        <f>+BJ150+BK150</f>
        <v>4.3491249999999999</v>
      </c>
      <c r="BL151" s="319"/>
      <c r="BM151" s="1402">
        <f>+BL150+BM150</f>
        <v>4.3491249999999999</v>
      </c>
      <c r="BN151" s="336"/>
      <c r="BO151" s="1405"/>
      <c r="BP151" s="336">
        <f>+BO150+BP150</f>
        <v>4.3491249999999999</v>
      </c>
      <c r="BQ151" s="319"/>
      <c r="BR151" s="1402">
        <f>+BQ150+BR150</f>
        <v>3.2597812499999996</v>
      </c>
      <c r="BS151" s="336"/>
      <c r="BT151" s="1405"/>
      <c r="BU151" s="336">
        <f>+BT150+BU150</f>
        <v>0</v>
      </c>
      <c r="BV151" s="319"/>
      <c r="BW151" s="1402">
        <f>+BV150+BW150</f>
        <v>0</v>
      </c>
      <c r="BX151" s="336"/>
      <c r="BY151" s="1405"/>
      <c r="BZ151" s="336">
        <f>+BY150+BZ150</f>
        <v>0</v>
      </c>
      <c r="CA151" s="319"/>
      <c r="CB151" s="1402">
        <f>+CA150+CB150</f>
        <v>0</v>
      </c>
      <c r="CC151" s="336"/>
      <c r="CD151" s="1405"/>
      <c r="CE151" s="336">
        <f>+CD150+CE150</f>
        <v>0</v>
      </c>
      <c r="CF151" s="319"/>
      <c r="CG151" s="1402">
        <f>+CF150+CG150</f>
        <v>0</v>
      </c>
      <c r="CH151" s="336"/>
      <c r="CI151" s="1405"/>
      <c r="CJ151" s="336">
        <f>+CI150+CJ150</f>
        <v>0</v>
      </c>
      <c r="CK151" s="319"/>
      <c r="CL151" s="1402">
        <f>+CK150+CL150</f>
        <v>0</v>
      </c>
      <c r="CM151" s="336"/>
      <c r="CN151" s="1405"/>
      <c r="CO151" s="336">
        <f>+CN150+CO150</f>
        <v>0</v>
      </c>
      <c r="CP151" s="319"/>
      <c r="CQ151" s="1402">
        <f>+CP150+CQ150</f>
        <v>0</v>
      </c>
      <c r="CR151" s="1402"/>
    </row>
    <row r="152" spans="1:96" ht="6.2" customHeight="1" collapsed="1">
      <c r="A152" s="317"/>
      <c r="B152" s="317"/>
      <c r="C152" s="317"/>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c r="AA152" s="318"/>
      <c r="AB152" s="318"/>
      <c r="AC152" s="318"/>
      <c r="AD152" s="318"/>
      <c r="AE152" s="318"/>
      <c r="AF152" s="318"/>
      <c r="AG152" s="318"/>
      <c r="AH152" s="318"/>
      <c r="AI152" s="335"/>
      <c r="AJ152" s="318"/>
      <c r="AK152" s="1405"/>
      <c r="AL152" s="336"/>
      <c r="AM152" s="319"/>
      <c r="AN152" s="1402"/>
      <c r="AO152" s="319"/>
      <c r="AP152" s="1405"/>
      <c r="AQ152" s="336"/>
      <c r="AR152" s="319"/>
      <c r="AS152" s="1402"/>
      <c r="AT152" s="336"/>
      <c r="AU152" s="1405"/>
      <c r="AV152" s="336"/>
      <c r="AW152" s="319"/>
      <c r="AX152" s="1402"/>
      <c r="AY152" s="336"/>
      <c r="AZ152" s="1405"/>
      <c r="BA152" s="336"/>
      <c r="BB152" s="319"/>
      <c r="BC152" s="1402"/>
      <c r="BD152" s="336"/>
      <c r="BE152" s="1405"/>
      <c r="BF152" s="336"/>
      <c r="BG152" s="319"/>
      <c r="BH152" s="1402"/>
      <c r="BI152" s="336"/>
      <c r="BJ152" s="1405"/>
      <c r="BK152" s="336"/>
      <c r="BL152" s="319"/>
      <c r="BM152" s="1402"/>
      <c r="BN152" s="336"/>
      <c r="BO152" s="1405"/>
      <c r="BP152" s="336"/>
      <c r="BQ152" s="319"/>
      <c r="BR152" s="1402"/>
      <c r="BS152" s="336"/>
      <c r="BT152" s="1405"/>
      <c r="BU152" s="336"/>
      <c r="BV152" s="319"/>
      <c r="BW152" s="1402"/>
      <c r="BX152" s="336"/>
      <c r="BY152" s="1405"/>
      <c r="BZ152" s="336"/>
      <c r="CA152" s="319"/>
      <c r="CB152" s="1402"/>
      <c r="CC152" s="336"/>
      <c r="CD152" s="1405"/>
      <c r="CE152" s="336"/>
      <c r="CF152" s="319"/>
      <c r="CG152" s="1402"/>
      <c r="CH152" s="336"/>
      <c r="CI152" s="1405"/>
      <c r="CJ152" s="336"/>
      <c r="CK152" s="319"/>
      <c r="CL152" s="1402"/>
      <c r="CM152" s="336"/>
      <c r="CN152" s="1405"/>
      <c r="CO152" s="336"/>
      <c r="CP152" s="319"/>
      <c r="CQ152" s="1402"/>
      <c r="CR152" s="1402"/>
    </row>
    <row r="153" spans="1:96" ht="13.5" customHeight="1">
      <c r="A153" s="334" t="s">
        <v>112</v>
      </c>
      <c r="B153" s="317"/>
      <c r="C153" s="317"/>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c r="AA153" s="318"/>
      <c r="AB153" s="318"/>
      <c r="AC153" s="318"/>
      <c r="AD153" s="318"/>
      <c r="AE153" s="318"/>
      <c r="AF153" s="318"/>
      <c r="AG153" s="318"/>
      <c r="AH153" s="318"/>
      <c r="AI153" s="335"/>
      <c r="AJ153" s="335"/>
      <c r="AK153" s="1401"/>
      <c r="AL153" s="336"/>
      <c r="AM153" s="336"/>
      <c r="AN153" s="1402"/>
      <c r="AO153" s="336"/>
      <c r="AP153" s="1401"/>
      <c r="AQ153" s="336"/>
      <c r="AR153" s="336"/>
      <c r="AS153" s="1402"/>
      <c r="AT153" s="336"/>
      <c r="AU153" s="1401"/>
      <c r="AV153" s="336"/>
      <c r="AW153" s="336"/>
      <c r="AX153" s="1402"/>
      <c r="AY153" s="336"/>
      <c r="AZ153" s="1401"/>
      <c r="BA153" s="336"/>
      <c r="BB153" s="336"/>
      <c r="BC153" s="1402"/>
      <c r="BD153" s="336"/>
      <c r="BE153" s="1401"/>
      <c r="BF153" s="336"/>
      <c r="BG153" s="336"/>
      <c r="BH153" s="1402"/>
      <c r="BI153" s="336"/>
      <c r="BJ153" s="1401"/>
      <c r="BK153" s="336"/>
      <c r="BL153" s="336"/>
      <c r="BM153" s="1402"/>
      <c r="BN153" s="336"/>
      <c r="BO153" s="1401"/>
      <c r="BP153" s="336"/>
      <c r="BQ153" s="336"/>
      <c r="BR153" s="1402"/>
      <c r="BS153" s="336"/>
      <c r="BT153" s="1401"/>
      <c r="BU153" s="336"/>
      <c r="BV153" s="336"/>
      <c r="BW153" s="1402"/>
      <c r="BX153" s="336"/>
      <c r="BY153" s="1401"/>
      <c r="BZ153" s="336"/>
      <c r="CA153" s="336"/>
      <c r="CB153" s="1402"/>
      <c r="CC153" s="336"/>
      <c r="CD153" s="1401"/>
      <c r="CE153" s="336"/>
      <c r="CF153" s="336"/>
      <c r="CG153" s="1402"/>
      <c r="CH153" s="336"/>
      <c r="CI153" s="1401"/>
      <c r="CJ153" s="336"/>
      <c r="CK153" s="336"/>
      <c r="CL153" s="1402"/>
      <c r="CM153" s="336"/>
      <c r="CN153" s="1401"/>
      <c r="CO153" s="336"/>
      <c r="CP153" s="336"/>
      <c r="CQ153" s="1402"/>
      <c r="CR153" s="1402"/>
    </row>
    <row r="154" spans="1:96" ht="13.5" customHeight="1">
      <c r="A154" s="327" t="s">
        <v>113</v>
      </c>
      <c r="B154" s="327"/>
      <c r="C154" s="327"/>
      <c r="D154" s="329"/>
      <c r="E154" s="329"/>
      <c r="F154" s="329"/>
      <c r="G154" s="329"/>
      <c r="H154" s="329"/>
      <c r="I154" s="329"/>
      <c r="J154" s="329"/>
      <c r="K154" s="329"/>
      <c r="L154" s="329"/>
      <c r="M154" s="329"/>
      <c r="N154" s="329"/>
      <c r="O154" s="329"/>
      <c r="P154" s="329"/>
      <c r="Q154" s="329"/>
      <c r="R154" s="329"/>
      <c r="S154" s="329"/>
      <c r="T154" s="329"/>
      <c r="U154" s="329"/>
      <c r="V154" s="329"/>
      <c r="W154" s="329"/>
      <c r="X154" s="329"/>
      <c r="Y154" s="329"/>
      <c r="Z154" s="329"/>
      <c r="AA154" s="329"/>
      <c r="AB154" s="329"/>
      <c r="AC154" s="329"/>
      <c r="AD154" s="329"/>
      <c r="AE154" s="329"/>
      <c r="AF154" s="329"/>
      <c r="AG154" s="329"/>
      <c r="AH154" s="329"/>
      <c r="AI154" s="337"/>
      <c r="AJ154" s="330"/>
      <c r="AK154" s="1400">
        <f>$G156/10000+AK5</f>
        <v>1.2604719672131146E-2</v>
      </c>
      <c r="AL154" s="326">
        <f>$G156/10000+AL5</f>
        <v>1.2485044262295082E-2</v>
      </c>
      <c r="AM154" s="326">
        <f>$G156/10000+AM5</f>
        <v>1.2322768750000001E-2</v>
      </c>
      <c r="AN154" s="1397">
        <f>$G156/10000+AN5</f>
        <v>1.1824890163934426E-2</v>
      </c>
      <c r="AO154" s="331"/>
      <c r="AP154" s="1400">
        <f>$G156/10000+AP5</f>
        <v>1.1838877049180328E-2</v>
      </c>
      <c r="AQ154" s="326">
        <f>$G156/10000+AQ5</f>
        <v>1.2790350819672131E-2</v>
      </c>
      <c r="AR154" s="326">
        <f>$G156/10000+AR5</f>
        <v>1.2506054716981132E-2</v>
      </c>
      <c r="AS154" s="1397">
        <f>$G156/10000+AS5</f>
        <v>1.1664000000000001E-2</v>
      </c>
      <c r="AT154" s="326"/>
      <c r="AU154" s="1400">
        <f>$G156/10000+AU5</f>
        <v>1.1826959938661999E-2</v>
      </c>
      <c r="AV154" s="326">
        <f>$G156/10000+AV5</f>
        <v>1.3170248144981569E-2</v>
      </c>
      <c r="AW154" s="326">
        <f>$G156/10000+AW5</f>
        <v>1.3508628631607724E-2</v>
      </c>
      <c r="AX154" s="1397">
        <f>$G156/10000+AX5</f>
        <v>1.35E-2</v>
      </c>
      <c r="AY154" s="326"/>
      <c r="AZ154" s="1400">
        <f>$G156/10000+AZ5</f>
        <v>1.4999999999999999E-2</v>
      </c>
      <c r="BA154" s="326">
        <f>$G156/10000+BA5</f>
        <v>1.4999999999999999E-2</v>
      </c>
      <c r="BB154" s="326">
        <f>$G156/10000+BB5</f>
        <v>1.4999999999999999E-2</v>
      </c>
      <c r="BC154" s="1397">
        <f>$G156/10000+BC5</f>
        <v>1.4999999999999999E-2</v>
      </c>
      <c r="BD154" s="326"/>
      <c r="BE154" s="1400">
        <f>$G156/10000+BE5</f>
        <v>1.4999999999999999E-2</v>
      </c>
      <c r="BF154" s="326">
        <f>$G156/10000+BF5</f>
        <v>1.4999999999999999E-2</v>
      </c>
      <c r="BG154" s="326">
        <f>$G156/10000+BG5</f>
        <v>1.4999999999999999E-2</v>
      </c>
      <c r="BH154" s="1397">
        <f>$G156/10000+BH5</f>
        <v>1.4999999999999999E-2</v>
      </c>
      <c r="BI154" s="326"/>
      <c r="BJ154" s="1400">
        <f>$G156/10000+BJ5</f>
        <v>1.4999999999999999E-2</v>
      </c>
      <c r="BK154" s="326">
        <f>$G156/10000+BK5</f>
        <v>1.4999999999999999E-2</v>
      </c>
      <c r="BL154" s="326">
        <f>$G156/10000+BL5</f>
        <v>1.4999999999999999E-2</v>
      </c>
      <c r="BM154" s="1397">
        <f>$G156/10000+BM5</f>
        <v>1.4999999999999999E-2</v>
      </c>
      <c r="BN154" s="326"/>
      <c r="BO154" s="1400">
        <f>$G156/10000+BO5</f>
        <v>1.4999999999999999E-2</v>
      </c>
      <c r="BP154" s="326">
        <f>$G156/10000+BP5</f>
        <v>1.4999999999999999E-2</v>
      </c>
      <c r="BQ154" s="326">
        <f>$G156/10000+BQ5</f>
        <v>1.4999999999999999E-2</v>
      </c>
      <c r="BR154" s="1397">
        <f>$G156/10000+BR5</f>
        <v>1.4999999999999999E-2</v>
      </c>
      <c r="BS154" s="326"/>
      <c r="BT154" s="1400">
        <f>$G156/10000+BT5</f>
        <v>1.4999999999999999E-2</v>
      </c>
      <c r="BU154" s="326">
        <f>$G156/10000+BU5</f>
        <v>1.4999999999999999E-2</v>
      </c>
      <c r="BV154" s="326">
        <f>$G156/10000+BV5</f>
        <v>1.4999999999999999E-2</v>
      </c>
      <c r="BW154" s="1397">
        <f>$G156/10000+BW5</f>
        <v>1.4999999999999999E-2</v>
      </c>
      <c r="BX154" s="326"/>
      <c r="BY154" s="1400">
        <f>$G156/10000+BY5</f>
        <v>1.4999999999999999E-2</v>
      </c>
      <c r="BZ154" s="326">
        <f>$G156/10000+BZ5</f>
        <v>1.4999999999999999E-2</v>
      </c>
      <c r="CA154" s="326">
        <f>$G156/10000+CA5</f>
        <v>1.4999999999999999E-2</v>
      </c>
      <c r="CB154" s="1397">
        <f>$G156/10000+CB5</f>
        <v>1.4999999999999999E-2</v>
      </c>
      <c r="CC154" s="326"/>
      <c r="CD154" s="1400">
        <f>$G156/10000+CD5</f>
        <v>1.4999999999999999E-2</v>
      </c>
      <c r="CE154" s="326">
        <f>$G156/10000+CE5</f>
        <v>1.4999999999999999E-2</v>
      </c>
      <c r="CF154" s="326">
        <f>$G156/10000+CF5</f>
        <v>1.4999999999999999E-2</v>
      </c>
      <c r="CG154" s="1397">
        <f>$G156/10000+CG5</f>
        <v>1.4999999999999999E-2</v>
      </c>
      <c r="CH154" s="326"/>
      <c r="CI154" s="1400">
        <f>$G156/10000+CI5</f>
        <v>1.4999999999999999E-2</v>
      </c>
      <c r="CJ154" s="326">
        <f>$G156/10000+CJ5</f>
        <v>1.4999999999999999E-2</v>
      </c>
      <c r="CK154" s="326">
        <f>$G156/10000+CK5</f>
        <v>1.4999999999999999E-2</v>
      </c>
      <c r="CL154" s="1397">
        <f>$G156/10000+CL5</f>
        <v>1.4999999999999999E-2</v>
      </c>
      <c r="CM154" s="326"/>
      <c r="CN154" s="1400">
        <f>$G156/10000+CN5</f>
        <v>1.4999999999999999E-2</v>
      </c>
      <c r="CO154" s="326">
        <f>$G156/10000+CO5</f>
        <v>1.4999999999999999E-2</v>
      </c>
      <c r="CP154" s="326">
        <f>$G156/10000+CP5</f>
        <v>1.4999999999999999E-2</v>
      </c>
      <c r="CQ154" s="1397">
        <f>$G156/10000+CQ5</f>
        <v>1.4999999999999999E-2</v>
      </c>
      <c r="CR154" s="1397"/>
    </row>
    <row r="155" spans="1:96" ht="13.5" customHeight="1">
      <c r="A155" s="349"/>
      <c r="B155" s="327" t="s">
        <v>83</v>
      </c>
      <c r="C155" s="327"/>
      <c r="D155" s="329"/>
      <c r="E155" s="329"/>
      <c r="F155" s="329"/>
      <c r="G155" s="350"/>
      <c r="H155" s="351"/>
      <c r="I155" s="329"/>
      <c r="J155" s="329"/>
      <c r="K155" s="329"/>
      <c r="L155" s="329"/>
      <c r="M155" s="329"/>
      <c r="N155" s="329"/>
      <c r="O155" s="329"/>
      <c r="P155" s="329"/>
      <c r="Q155" s="329"/>
      <c r="R155" s="329"/>
      <c r="S155" s="329"/>
      <c r="T155" s="329"/>
      <c r="U155" s="329"/>
      <c r="V155" s="329"/>
      <c r="W155" s="329"/>
      <c r="X155" s="329"/>
      <c r="Y155" s="329"/>
      <c r="Z155" s="329"/>
      <c r="AA155" s="329"/>
      <c r="AB155" s="329"/>
      <c r="AC155" s="329"/>
      <c r="AD155" s="329"/>
      <c r="AE155" s="329"/>
      <c r="AF155" s="329"/>
      <c r="AG155" s="329"/>
      <c r="AH155" s="329"/>
      <c r="AI155" s="329"/>
      <c r="AJ155" s="329"/>
      <c r="AK155" s="1407">
        <v>1.37</v>
      </c>
      <c r="AL155" s="332">
        <f>AVERAGE(AK$9:AL$9)</f>
        <v>0.73309733624563778</v>
      </c>
      <c r="AM155" s="332">
        <f>AVERAGE(AL$9:AM$9)</f>
        <v>0.69855029413349934</v>
      </c>
      <c r="AN155" s="1408">
        <f>AVERAGE(AM$9:AN$9)</f>
        <v>0.69054896919360553</v>
      </c>
      <c r="AO155" s="352"/>
      <c r="AP155" s="1436">
        <f>AVERAGE(AN$9,AP$9)</f>
        <v>0.71799944540022032</v>
      </c>
      <c r="AQ155" s="332">
        <f>AVERAGE(AP$9:AQ$9)</f>
        <v>0.77769111895746268</v>
      </c>
      <c r="AR155" s="332">
        <f>AVERAGE(AQ$9:AR$9)</f>
        <v>0.77444329125619471</v>
      </c>
      <c r="AS155" s="1408">
        <f>AVERAGE(AR$9:AS$9)</f>
        <v>0.73249340755933201</v>
      </c>
      <c r="AT155" s="352"/>
      <c r="AU155" s="1436">
        <f>AVERAGE(AS$9,AU$9)</f>
        <v>0.73249340755933201</v>
      </c>
      <c r="AV155" s="332">
        <f>AVERAGE(AU$9:AV$9)</f>
        <v>0.73249340755933201</v>
      </c>
      <c r="AW155" s="332">
        <f>AVERAGE(AV$9:AW$9)</f>
        <v>0.73249340755933201</v>
      </c>
      <c r="AX155" s="1408">
        <f>AVERAGE(AW$9:AX$9)</f>
        <v>0.73249340755933201</v>
      </c>
      <c r="AY155" s="352"/>
      <c r="AZ155" s="1436">
        <f>AVERAGE(AX$9,AZ$9)</f>
        <v>0.73249340755933201</v>
      </c>
      <c r="BA155" s="332">
        <f>AVERAGE(AZ$9:BA$9)</f>
        <v>0.73249340755933201</v>
      </c>
      <c r="BB155" s="332">
        <f>AVERAGE(BA$9:BB$9)</f>
        <v>0.73249340755933201</v>
      </c>
      <c r="BC155" s="1408">
        <f>AVERAGE(BB$9:BC$9)</f>
        <v>0.73249340755933201</v>
      </c>
      <c r="BD155" s="352"/>
      <c r="BE155" s="1436">
        <f>AVERAGE(BC$9,BE$9)</f>
        <v>0.73249340755933201</v>
      </c>
      <c r="BF155" s="332">
        <f>AVERAGE(BE$9:BF$9)</f>
        <v>0.73249340755933201</v>
      </c>
      <c r="BG155" s="332">
        <f>AVERAGE(BF$9:BG$9)</f>
        <v>0.73249340755933201</v>
      </c>
      <c r="BH155" s="1408">
        <f>AVERAGE(BG$9:BH$9)</f>
        <v>0.73249340755933201</v>
      </c>
      <c r="BI155" s="352"/>
      <c r="BJ155" s="1436">
        <f>AVERAGE(BH$9,BJ$9)</f>
        <v>0.73249340755933201</v>
      </c>
      <c r="BK155" s="332">
        <f>AVERAGE(BJ$9:BK$9)</f>
        <v>0.73249340755933201</v>
      </c>
      <c r="BL155" s="332">
        <f>AVERAGE(BK$9:BL$9)</f>
        <v>0.73249340755933201</v>
      </c>
      <c r="BM155" s="1408">
        <f>AVERAGE(BL$9:BM$9)</f>
        <v>0.73249340755933201</v>
      </c>
      <c r="BN155" s="352"/>
      <c r="BO155" s="1436">
        <f>AVERAGE(BM$9,BO$9)</f>
        <v>0.73249340755933201</v>
      </c>
      <c r="BP155" s="332">
        <f>AVERAGE(BO$9:BP$9)</f>
        <v>0.73249340755933201</v>
      </c>
      <c r="BQ155" s="332">
        <f>AVERAGE(BP$9:BQ$9)</f>
        <v>0.73249340755933201</v>
      </c>
      <c r="BR155" s="1408">
        <f>AVERAGE(BQ$9:BR$9)</f>
        <v>0.73249340755933201</v>
      </c>
      <c r="BS155" s="352"/>
      <c r="BT155" s="1436">
        <f>AVERAGE(BR$9,BT$9)</f>
        <v>0.73249340755933201</v>
      </c>
      <c r="BU155" s="332">
        <f>AVERAGE(BT$9:BU$9)</f>
        <v>0.73249340755933201</v>
      </c>
      <c r="BV155" s="332">
        <f>AVERAGE(BU$9:BV$9)</f>
        <v>0.73249340755933201</v>
      </c>
      <c r="BW155" s="1408">
        <f>AVERAGE(BV$9:BW$9)</f>
        <v>0.73249340755933201</v>
      </c>
      <c r="BX155" s="352"/>
      <c r="BY155" s="1436">
        <f>AVERAGE(BW$9,BY$9)</f>
        <v>0.73249340755933201</v>
      </c>
      <c r="BZ155" s="332">
        <f>AVERAGE(BY$9:BZ$9)</f>
        <v>0.73249340755933201</v>
      </c>
      <c r="CA155" s="332">
        <f>AVERAGE(BZ$9:CA$9)</f>
        <v>0.73249340755933201</v>
      </c>
      <c r="CB155" s="1408">
        <f>AVERAGE(CA$9:CB$9)</f>
        <v>0.73249340755933201</v>
      </c>
      <c r="CC155" s="352"/>
      <c r="CD155" s="1436">
        <f>AVERAGE(CB$9,CD$9)</f>
        <v>0.73249340755933201</v>
      </c>
      <c r="CE155" s="332">
        <f>AVERAGE(CD$9:CE$9)</f>
        <v>0.73249340755933201</v>
      </c>
      <c r="CF155" s="332">
        <f>AVERAGE(CE$9:CF$9)</f>
        <v>0.73249340755933201</v>
      </c>
      <c r="CG155" s="1408">
        <f>AVERAGE(CF$9:CG$9)</f>
        <v>0.73249340755933201</v>
      </c>
      <c r="CH155" s="352"/>
      <c r="CI155" s="1436">
        <f>AVERAGE(CG$9,CI$9)</f>
        <v>0.73249340755933201</v>
      </c>
      <c r="CJ155" s="332">
        <f>AVERAGE(CI$9:CJ$9)</f>
        <v>0.73249340755933201</v>
      </c>
      <c r="CK155" s="332">
        <f>AVERAGE(CJ$9:CK$9)</f>
        <v>0.73249340755933201</v>
      </c>
      <c r="CL155" s="1408">
        <f>AVERAGE(CK$9:CL$9)</f>
        <v>0.73249340755933201</v>
      </c>
      <c r="CM155" s="352"/>
      <c r="CN155" s="1436">
        <f>AVERAGE(CL$9,CN$9)</f>
        <v>0.73249340755933201</v>
      </c>
      <c r="CO155" s="332">
        <f>AVERAGE(CN$9:CO$9)</f>
        <v>0.73249340755933201</v>
      </c>
      <c r="CP155" s="332">
        <f>AVERAGE(CO$9:CP$9)</f>
        <v>0.73249340755933201</v>
      </c>
      <c r="CQ155" s="1408">
        <f>AVERAGE(CP$9:CQ$9)</f>
        <v>0.73249340755933201</v>
      </c>
      <c r="CR155" s="1452"/>
    </row>
    <row r="156" spans="1:96" ht="13.5" customHeight="1">
      <c r="A156" s="317"/>
      <c r="B156" s="317" t="s">
        <v>114</v>
      </c>
      <c r="C156" s="317"/>
      <c r="D156" s="318"/>
      <c r="E156" s="318"/>
      <c r="F156" s="318"/>
      <c r="G156" s="338">
        <v>100</v>
      </c>
      <c r="H156" s="339">
        <v>41492</v>
      </c>
      <c r="I156" s="318"/>
      <c r="J156" s="318"/>
      <c r="K156" s="318"/>
      <c r="L156" s="318"/>
      <c r="M156" s="318"/>
      <c r="N156" s="318"/>
      <c r="O156" s="318"/>
      <c r="P156" s="318"/>
      <c r="Q156" s="318"/>
      <c r="R156" s="318"/>
      <c r="S156" s="318"/>
      <c r="T156" s="318"/>
      <c r="U156" s="318"/>
      <c r="V156" s="318"/>
      <c r="W156" s="318"/>
      <c r="X156" s="318"/>
      <c r="Y156" s="318"/>
      <c r="Z156" s="318"/>
      <c r="AA156" s="318"/>
      <c r="AB156" s="318"/>
      <c r="AC156" s="318"/>
      <c r="AD156" s="318"/>
      <c r="AE156" s="318"/>
      <c r="AF156" s="318"/>
      <c r="AG156" s="318"/>
      <c r="AH156" s="318"/>
      <c r="AI156" s="335"/>
      <c r="AJ156" s="335"/>
      <c r="AK156" s="1401">
        <f>+AJ159</f>
        <v>200</v>
      </c>
      <c r="AL156" s="336">
        <f>+AK159</f>
        <v>200</v>
      </c>
      <c r="AM156" s="336">
        <f>+AL159</f>
        <v>200</v>
      </c>
      <c r="AN156" s="1402">
        <f>+AM159</f>
        <v>200</v>
      </c>
      <c r="AO156" s="336"/>
      <c r="AP156" s="1401">
        <f>+AO159</f>
        <v>200</v>
      </c>
      <c r="AQ156" s="336">
        <f>+AP159</f>
        <v>200</v>
      </c>
      <c r="AR156" s="336">
        <f>+AQ159</f>
        <v>0</v>
      </c>
      <c r="AS156" s="1402">
        <f>+AR159</f>
        <v>0</v>
      </c>
      <c r="AT156" s="336"/>
      <c r="AU156" s="1401">
        <f>+AT159</f>
        <v>0</v>
      </c>
      <c r="AV156" s="336">
        <f>+AU159</f>
        <v>0</v>
      </c>
      <c r="AW156" s="336">
        <f>+AV159</f>
        <v>0</v>
      </c>
      <c r="AX156" s="1402">
        <f>+AW159</f>
        <v>0</v>
      </c>
      <c r="AY156" s="336"/>
      <c r="AZ156" s="1401">
        <f>+AY159</f>
        <v>0</v>
      </c>
      <c r="BA156" s="336">
        <f>+AZ159</f>
        <v>0</v>
      </c>
      <c r="BB156" s="336">
        <f>+BA159</f>
        <v>0</v>
      </c>
      <c r="BC156" s="1402">
        <f>+BB159</f>
        <v>0</v>
      </c>
      <c r="BD156" s="336"/>
      <c r="BE156" s="1401">
        <f>+BD159</f>
        <v>0</v>
      </c>
      <c r="BF156" s="336">
        <f>+BE159</f>
        <v>0</v>
      </c>
      <c r="BG156" s="336">
        <f>+BF159</f>
        <v>0</v>
      </c>
      <c r="BH156" s="1402">
        <f>+BG159</f>
        <v>0</v>
      </c>
      <c r="BI156" s="336"/>
      <c r="BJ156" s="1401">
        <f>+BI159</f>
        <v>0</v>
      </c>
      <c r="BK156" s="336">
        <f>+BJ159</f>
        <v>0</v>
      </c>
      <c r="BL156" s="336">
        <f>+BK159</f>
        <v>0</v>
      </c>
      <c r="BM156" s="1402">
        <f>+BL159</f>
        <v>0</v>
      </c>
      <c r="BN156" s="336"/>
      <c r="BO156" s="1401">
        <f>+BN159</f>
        <v>0</v>
      </c>
      <c r="BP156" s="336">
        <f>+BO159</f>
        <v>0</v>
      </c>
      <c r="BQ156" s="336">
        <f>+BP159</f>
        <v>0</v>
      </c>
      <c r="BR156" s="1402">
        <f>+BQ159</f>
        <v>0</v>
      </c>
      <c r="BS156" s="336"/>
      <c r="BT156" s="1401">
        <f>+BS159</f>
        <v>0</v>
      </c>
      <c r="BU156" s="336">
        <f>+BT159</f>
        <v>0</v>
      </c>
      <c r="BV156" s="336">
        <f>+BU159</f>
        <v>0</v>
      </c>
      <c r="BW156" s="1402">
        <f>+BV159</f>
        <v>0</v>
      </c>
      <c r="BX156" s="336"/>
      <c r="BY156" s="1401">
        <f>+BX159</f>
        <v>0</v>
      </c>
      <c r="BZ156" s="336">
        <f>+BY159</f>
        <v>0</v>
      </c>
      <c r="CA156" s="336">
        <f>+BZ159</f>
        <v>0</v>
      </c>
      <c r="CB156" s="1402">
        <f>+CA159</f>
        <v>0</v>
      </c>
      <c r="CC156" s="336"/>
      <c r="CD156" s="1401">
        <f>+CC159</f>
        <v>0</v>
      </c>
      <c r="CE156" s="336">
        <f>+CD159</f>
        <v>0</v>
      </c>
      <c r="CF156" s="336">
        <f>+CE159</f>
        <v>0</v>
      </c>
      <c r="CG156" s="1402">
        <f>+CF159</f>
        <v>0</v>
      </c>
      <c r="CH156" s="336"/>
      <c r="CI156" s="1401">
        <f>+CH159</f>
        <v>0</v>
      </c>
      <c r="CJ156" s="336">
        <f>+CI159</f>
        <v>0</v>
      </c>
      <c r="CK156" s="336">
        <f>+CJ159</f>
        <v>0</v>
      </c>
      <c r="CL156" s="1402">
        <f>+CK159</f>
        <v>0</v>
      </c>
      <c r="CM156" s="336"/>
      <c r="CN156" s="1401">
        <f>+CM159</f>
        <v>0</v>
      </c>
      <c r="CO156" s="336">
        <f>+CN159</f>
        <v>0</v>
      </c>
      <c r="CP156" s="336">
        <f>+CO159</f>
        <v>0</v>
      </c>
      <c r="CQ156" s="1402">
        <f>+CP159</f>
        <v>0</v>
      </c>
      <c r="CR156" s="1402"/>
    </row>
    <row r="157" spans="1:96" ht="13.5" customHeight="1">
      <c r="A157" s="317"/>
      <c r="B157" s="317" t="s">
        <v>88</v>
      </c>
      <c r="C157" s="317"/>
      <c r="D157" s="318"/>
      <c r="E157" s="318"/>
      <c r="F157" s="340"/>
      <c r="G157" s="318"/>
      <c r="H157" s="318"/>
      <c r="I157" s="318"/>
      <c r="J157" s="318"/>
      <c r="K157" s="318"/>
      <c r="L157" s="318"/>
      <c r="M157" s="318"/>
      <c r="N157" s="318"/>
      <c r="O157" s="318"/>
      <c r="P157" s="318"/>
      <c r="Q157" s="318"/>
      <c r="R157" s="318"/>
      <c r="S157" s="318"/>
      <c r="T157" s="318"/>
      <c r="U157" s="318"/>
      <c r="V157" s="318"/>
      <c r="W157" s="318"/>
      <c r="X157" s="318"/>
      <c r="Y157" s="318"/>
      <c r="Z157" s="318"/>
      <c r="AA157" s="318"/>
      <c r="AB157" s="318"/>
      <c r="AC157" s="318"/>
      <c r="AD157" s="318"/>
      <c r="AE157" s="318"/>
      <c r="AF157" s="318"/>
      <c r="AG157" s="318"/>
      <c r="AH157" s="318"/>
      <c r="AI157" s="335"/>
      <c r="AJ157" s="335"/>
      <c r="AK157" s="1403">
        <v>0</v>
      </c>
      <c r="AL157" s="662">
        <v>0</v>
      </c>
      <c r="AM157" s="662">
        <v>0</v>
      </c>
      <c r="AN157" s="1404">
        <v>0</v>
      </c>
      <c r="AO157" s="336"/>
      <c r="AP157" s="1403">
        <v>0</v>
      </c>
      <c r="AQ157" s="662">
        <v>0</v>
      </c>
      <c r="AR157" s="662">
        <v>0</v>
      </c>
      <c r="AS157" s="1404">
        <v>0</v>
      </c>
      <c r="AT157" s="336"/>
      <c r="AU157" s="1403">
        <v>0</v>
      </c>
      <c r="AV157" s="662">
        <v>0</v>
      </c>
      <c r="AW157" s="662">
        <v>0</v>
      </c>
      <c r="AX157" s="1404">
        <v>0</v>
      </c>
      <c r="AY157" s="336"/>
      <c r="AZ157" s="1403">
        <v>0</v>
      </c>
      <c r="BA157" s="662">
        <v>0</v>
      </c>
      <c r="BB157" s="662">
        <v>0</v>
      </c>
      <c r="BC157" s="1404">
        <v>0</v>
      </c>
      <c r="BD157" s="336"/>
      <c r="BE157" s="1403">
        <v>0</v>
      </c>
      <c r="BF157" s="662">
        <v>0</v>
      </c>
      <c r="BG157" s="662">
        <v>0</v>
      </c>
      <c r="BH157" s="1404">
        <v>0</v>
      </c>
      <c r="BI157" s="336"/>
      <c r="BJ157" s="1403">
        <v>0</v>
      </c>
      <c r="BK157" s="662">
        <v>0</v>
      </c>
      <c r="BL157" s="662">
        <v>0</v>
      </c>
      <c r="BM157" s="1404">
        <v>0</v>
      </c>
      <c r="BN157" s="336"/>
      <c r="BO157" s="1403">
        <v>0</v>
      </c>
      <c r="BP157" s="662">
        <v>0</v>
      </c>
      <c r="BQ157" s="662">
        <v>0</v>
      </c>
      <c r="BR157" s="1404">
        <v>0</v>
      </c>
      <c r="BS157" s="336"/>
      <c r="BT157" s="1403">
        <v>0</v>
      </c>
      <c r="BU157" s="662">
        <v>0</v>
      </c>
      <c r="BV157" s="662">
        <v>0</v>
      </c>
      <c r="BW157" s="1404">
        <v>0</v>
      </c>
      <c r="BX157" s="336"/>
      <c r="BY157" s="1403">
        <v>0</v>
      </c>
      <c r="BZ157" s="662">
        <v>0</v>
      </c>
      <c r="CA157" s="662">
        <v>0</v>
      </c>
      <c r="CB157" s="1404">
        <v>0</v>
      </c>
      <c r="CC157" s="336"/>
      <c r="CD157" s="1403">
        <v>0</v>
      </c>
      <c r="CE157" s="662">
        <v>0</v>
      </c>
      <c r="CF157" s="662">
        <v>0</v>
      </c>
      <c r="CG157" s="1404">
        <v>0</v>
      </c>
      <c r="CH157" s="336"/>
      <c r="CI157" s="1403">
        <v>0</v>
      </c>
      <c r="CJ157" s="662">
        <v>0</v>
      </c>
      <c r="CK157" s="662">
        <v>0</v>
      </c>
      <c r="CL157" s="1404">
        <v>0</v>
      </c>
      <c r="CM157" s="336"/>
      <c r="CN157" s="1403">
        <v>0</v>
      </c>
      <c r="CO157" s="662">
        <v>0</v>
      </c>
      <c r="CP157" s="662">
        <v>0</v>
      </c>
      <c r="CQ157" s="1404">
        <v>0</v>
      </c>
      <c r="CR157" s="1402"/>
    </row>
    <row r="158" spans="1:96" ht="13.5" customHeight="1">
      <c r="A158" s="317"/>
      <c r="B158" s="317" t="s">
        <v>89</v>
      </c>
      <c r="C158" s="317"/>
      <c r="D158" s="318"/>
      <c r="E158" s="318"/>
      <c r="F158" s="318"/>
      <c r="G158" s="341"/>
      <c r="H158" s="341"/>
      <c r="I158" s="318"/>
      <c r="J158" s="318"/>
      <c r="K158" s="318"/>
      <c r="L158" s="318"/>
      <c r="M158" s="318"/>
      <c r="N158" s="318"/>
      <c r="O158" s="318"/>
      <c r="P158" s="318"/>
      <c r="Q158" s="318"/>
      <c r="R158" s="318"/>
      <c r="S158" s="318"/>
      <c r="T158" s="318"/>
      <c r="U158" s="318"/>
      <c r="V158" s="318"/>
      <c r="W158" s="318"/>
      <c r="X158" s="318"/>
      <c r="Y158" s="318"/>
      <c r="Z158" s="318"/>
      <c r="AA158" s="318"/>
      <c r="AB158" s="318"/>
      <c r="AC158" s="318"/>
      <c r="AD158" s="318"/>
      <c r="AE158" s="318"/>
      <c r="AF158" s="318"/>
      <c r="AG158" s="318"/>
      <c r="AH158" s="318"/>
      <c r="AI158" s="335"/>
      <c r="AJ158" s="335"/>
      <c r="AK158" s="1403">
        <v>0</v>
      </c>
      <c r="AL158" s="662">
        <v>0</v>
      </c>
      <c r="AM158" s="662">
        <v>0</v>
      </c>
      <c r="AN158" s="1404">
        <v>0</v>
      </c>
      <c r="AO158" s="336"/>
      <c r="AP158" s="1403">
        <v>0</v>
      </c>
      <c r="AQ158" s="662">
        <v>0</v>
      </c>
      <c r="AR158" s="662">
        <v>0</v>
      </c>
      <c r="AS158" s="1404">
        <v>0</v>
      </c>
      <c r="AT158" s="336"/>
      <c r="AU158" s="1403">
        <v>0</v>
      </c>
      <c r="AV158" s="662">
        <v>0</v>
      </c>
      <c r="AW158" s="662">
        <v>0</v>
      </c>
      <c r="AX158" s="1404">
        <v>0</v>
      </c>
      <c r="AY158" s="336"/>
      <c r="AZ158" s="1403">
        <v>0</v>
      </c>
      <c r="BA158" s="662">
        <v>0</v>
      </c>
      <c r="BB158" s="662">
        <v>0</v>
      </c>
      <c r="BC158" s="1404">
        <v>0</v>
      </c>
      <c r="BD158" s="336"/>
      <c r="BE158" s="1403">
        <v>0</v>
      </c>
      <c r="BF158" s="662">
        <v>0</v>
      </c>
      <c r="BG158" s="662">
        <v>0</v>
      </c>
      <c r="BH158" s="1404">
        <v>0</v>
      </c>
      <c r="BI158" s="336"/>
      <c r="BJ158" s="1403">
        <v>0</v>
      </c>
      <c r="BK158" s="662">
        <v>0</v>
      </c>
      <c r="BL158" s="662">
        <v>0</v>
      </c>
      <c r="BM158" s="1404">
        <v>0</v>
      </c>
      <c r="BN158" s="336"/>
      <c r="BO158" s="1403">
        <v>0</v>
      </c>
      <c r="BP158" s="662">
        <v>0</v>
      </c>
      <c r="BQ158" s="662">
        <v>0</v>
      </c>
      <c r="BR158" s="1404">
        <v>0</v>
      </c>
      <c r="BS158" s="336"/>
      <c r="BT158" s="1403">
        <v>0</v>
      </c>
      <c r="BU158" s="662">
        <v>0</v>
      </c>
      <c r="BV158" s="662">
        <v>0</v>
      </c>
      <c r="BW158" s="1404">
        <v>0</v>
      </c>
      <c r="BX158" s="336"/>
      <c r="BY158" s="1403">
        <v>0</v>
      </c>
      <c r="BZ158" s="662">
        <v>0</v>
      </c>
      <c r="CA158" s="662">
        <v>0</v>
      </c>
      <c r="CB158" s="1404">
        <v>0</v>
      </c>
      <c r="CC158" s="336"/>
      <c r="CD158" s="1403">
        <v>0</v>
      </c>
      <c r="CE158" s="662">
        <v>0</v>
      </c>
      <c r="CF158" s="662">
        <v>0</v>
      </c>
      <c r="CG158" s="1404">
        <v>0</v>
      </c>
      <c r="CH158" s="336"/>
      <c r="CI158" s="1403">
        <v>0</v>
      </c>
      <c r="CJ158" s="662">
        <v>0</v>
      </c>
      <c r="CK158" s="662">
        <v>0</v>
      </c>
      <c r="CL158" s="1404">
        <v>0</v>
      </c>
      <c r="CM158" s="336"/>
      <c r="CN158" s="1403">
        <v>0</v>
      </c>
      <c r="CO158" s="662">
        <v>0</v>
      </c>
      <c r="CP158" s="662">
        <v>0</v>
      </c>
      <c r="CQ158" s="1404">
        <v>0</v>
      </c>
      <c r="CR158" s="1402"/>
    </row>
    <row r="159" spans="1:96" ht="13.5" customHeight="1">
      <c r="A159" s="317"/>
      <c r="B159" s="317" t="s">
        <v>90</v>
      </c>
      <c r="C159" s="317"/>
      <c r="D159" s="318"/>
      <c r="E159" s="318"/>
      <c r="F159" s="318"/>
      <c r="G159" s="341"/>
      <c r="H159" s="341"/>
      <c r="I159" s="342"/>
      <c r="J159" s="342"/>
      <c r="K159" s="342"/>
      <c r="L159" s="342"/>
      <c r="M159" s="342"/>
      <c r="N159" s="342"/>
      <c r="O159" s="342"/>
      <c r="P159" s="342"/>
      <c r="Q159" s="342"/>
      <c r="R159" s="342"/>
      <c r="S159" s="342"/>
      <c r="T159" s="342"/>
      <c r="U159" s="342"/>
      <c r="V159" s="342"/>
      <c r="W159" s="342"/>
      <c r="X159" s="342"/>
      <c r="Y159" s="342"/>
      <c r="Z159" s="342"/>
      <c r="AA159" s="342"/>
      <c r="AB159" s="342"/>
      <c r="AC159" s="342"/>
      <c r="AD159" s="342"/>
      <c r="AE159" s="342"/>
      <c r="AF159" s="342"/>
      <c r="AG159" s="342"/>
      <c r="AH159" s="342"/>
      <c r="AI159" s="663">
        <v>200</v>
      </c>
      <c r="AJ159" s="335">
        <f>+AI159</f>
        <v>200</v>
      </c>
      <c r="AK159" s="1401">
        <f>+AK156+AK157+AK158</f>
        <v>200</v>
      </c>
      <c r="AL159" s="336">
        <f>+AL156+AL157+AL158</f>
        <v>200</v>
      </c>
      <c r="AM159" s="336">
        <f>+AM156+AM157+AM158</f>
        <v>200</v>
      </c>
      <c r="AN159" s="1402">
        <f>+AN156+AN157+AN158</f>
        <v>200</v>
      </c>
      <c r="AO159" s="343">
        <f>+AN159</f>
        <v>200</v>
      </c>
      <c r="AP159" s="1401">
        <f>+AP156+AP157+AP158</f>
        <v>200</v>
      </c>
      <c r="AQ159" s="662">
        <v>0</v>
      </c>
      <c r="AR159" s="336">
        <f>+AR156+AR157+AR158</f>
        <v>0</v>
      </c>
      <c r="AS159" s="1402">
        <f>+AS156+AS157+AS158</f>
        <v>0</v>
      </c>
      <c r="AT159" s="343">
        <f>AS159</f>
        <v>0</v>
      </c>
      <c r="AU159" s="1401">
        <f>+AU156+AU157+AU158</f>
        <v>0</v>
      </c>
      <c r="AV159" s="336">
        <f>+AV156+AV157+AV158</f>
        <v>0</v>
      </c>
      <c r="AW159" s="336">
        <f>+AW156+AW157+AW158</f>
        <v>0</v>
      </c>
      <c r="AX159" s="1402">
        <f>+AX156+AX157+AX158</f>
        <v>0</v>
      </c>
      <c r="AY159" s="343">
        <f>AX159</f>
        <v>0</v>
      </c>
      <c r="AZ159" s="1401">
        <f>+AZ156+AZ157+AZ158</f>
        <v>0</v>
      </c>
      <c r="BA159" s="336">
        <f>+BA156+BA157+BA158</f>
        <v>0</v>
      </c>
      <c r="BB159" s="336">
        <f>+BB156+BB157+BB158</f>
        <v>0</v>
      </c>
      <c r="BC159" s="1402">
        <f>+BC156+BC157+BC158</f>
        <v>0</v>
      </c>
      <c r="BD159" s="343">
        <f>BC159</f>
        <v>0</v>
      </c>
      <c r="BE159" s="1401">
        <f>+BE156+BE157+BE158</f>
        <v>0</v>
      </c>
      <c r="BF159" s="336">
        <f>+BF156+BF157+BF158</f>
        <v>0</v>
      </c>
      <c r="BG159" s="336">
        <f>+BG156+BG157+BG158</f>
        <v>0</v>
      </c>
      <c r="BH159" s="1402">
        <f>+BH156+BH157+BH158</f>
        <v>0</v>
      </c>
      <c r="BI159" s="343">
        <f>BH159</f>
        <v>0</v>
      </c>
      <c r="BJ159" s="1401">
        <f>+BJ156+BJ157+BJ158</f>
        <v>0</v>
      </c>
      <c r="BK159" s="336">
        <f>+BK156+BK157+BK158</f>
        <v>0</v>
      </c>
      <c r="BL159" s="336">
        <f>+BL156+BL157+BL158</f>
        <v>0</v>
      </c>
      <c r="BM159" s="1402">
        <f>+BM156+BM157+BM158</f>
        <v>0</v>
      </c>
      <c r="BN159" s="343">
        <f>BM159</f>
        <v>0</v>
      </c>
      <c r="BO159" s="1401">
        <f>+BO156+BO157+BO158</f>
        <v>0</v>
      </c>
      <c r="BP159" s="336">
        <f>+BP156+BP157+BP158</f>
        <v>0</v>
      </c>
      <c r="BQ159" s="336">
        <f>+BQ156+BQ157+BQ158</f>
        <v>0</v>
      </c>
      <c r="BR159" s="1402">
        <f>+BR156+BR157+BR158</f>
        <v>0</v>
      </c>
      <c r="BS159" s="343">
        <f>BR159</f>
        <v>0</v>
      </c>
      <c r="BT159" s="1401">
        <f>+BT156+BT157+BT158</f>
        <v>0</v>
      </c>
      <c r="BU159" s="336">
        <f>+BU156+BU157+BU158</f>
        <v>0</v>
      </c>
      <c r="BV159" s="336">
        <f>+BV156+BV157+BV158</f>
        <v>0</v>
      </c>
      <c r="BW159" s="1402">
        <f>+BW156+BW157+BW158</f>
        <v>0</v>
      </c>
      <c r="BX159" s="343">
        <f>BW159</f>
        <v>0</v>
      </c>
      <c r="BY159" s="1401">
        <f>+BY156+BY157+BY158</f>
        <v>0</v>
      </c>
      <c r="BZ159" s="336">
        <f>+BZ156+BZ157+BZ158</f>
        <v>0</v>
      </c>
      <c r="CA159" s="336">
        <f>+CA156+CA157+CA158</f>
        <v>0</v>
      </c>
      <c r="CB159" s="1402">
        <f>+CB156+CB157+CB158</f>
        <v>0</v>
      </c>
      <c r="CC159" s="343">
        <f>CB159</f>
        <v>0</v>
      </c>
      <c r="CD159" s="1401">
        <f>+CD156+CD157+CD158</f>
        <v>0</v>
      </c>
      <c r="CE159" s="336">
        <f>+CE156+CE157+CE158</f>
        <v>0</v>
      </c>
      <c r="CF159" s="336">
        <f>+CF156+CF157+CF158</f>
        <v>0</v>
      </c>
      <c r="CG159" s="1402">
        <f>+CG156+CG157+CG158</f>
        <v>0</v>
      </c>
      <c r="CH159" s="343">
        <f>CG159</f>
        <v>0</v>
      </c>
      <c r="CI159" s="1401">
        <f>+CI156+CI157+CI158</f>
        <v>0</v>
      </c>
      <c r="CJ159" s="336">
        <f>+CJ156+CJ157+CJ158</f>
        <v>0</v>
      </c>
      <c r="CK159" s="336">
        <f>+CK156+CK157+CK158</f>
        <v>0</v>
      </c>
      <c r="CL159" s="1402">
        <f>+CL156+CL157+CL158</f>
        <v>0</v>
      </c>
      <c r="CM159" s="343">
        <f>CL159</f>
        <v>0</v>
      </c>
      <c r="CN159" s="1401">
        <f>+CN156+CN157+CN158</f>
        <v>0</v>
      </c>
      <c r="CO159" s="336">
        <f>+CO156+CO157+CO158</f>
        <v>0</v>
      </c>
      <c r="CP159" s="336">
        <f>+CP156+CP157+CP158</f>
        <v>0</v>
      </c>
      <c r="CQ159" s="1402">
        <f>+CQ156+CQ157+CQ158</f>
        <v>0</v>
      </c>
      <c r="CR159" s="1451">
        <f>CQ159</f>
        <v>0</v>
      </c>
    </row>
    <row r="160" spans="1:96" ht="13.5" customHeight="1">
      <c r="A160" s="317"/>
      <c r="B160" s="317" t="s">
        <v>91</v>
      </c>
      <c r="C160" s="317"/>
      <c r="D160" s="318"/>
      <c r="E160" s="318"/>
      <c r="F160" s="318"/>
      <c r="G160" s="341"/>
      <c r="H160" s="341"/>
      <c r="I160" s="318"/>
      <c r="J160" s="318"/>
      <c r="K160" s="318"/>
      <c r="L160" s="318"/>
      <c r="M160" s="318"/>
      <c r="N160" s="318"/>
      <c r="O160" s="318"/>
      <c r="P160" s="318"/>
      <c r="Q160" s="318"/>
      <c r="R160" s="318"/>
      <c r="S160" s="318"/>
      <c r="T160" s="318"/>
      <c r="U160" s="318"/>
      <c r="V160" s="318"/>
      <c r="W160" s="318"/>
      <c r="X160" s="318"/>
      <c r="Y160" s="318"/>
      <c r="Z160" s="318"/>
      <c r="AA160" s="318"/>
      <c r="AB160" s="318"/>
      <c r="AC160" s="318"/>
      <c r="AD160" s="318"/>
      <c r="AE160" s="318"/>
      <c r="AF160" s="318"/>
      <c r="AG160" s="318"/>
      <c r="AH160" s="318"/>
      <c r="AI160" s="335"/>
      <c r="AJ160" s="335"/>
      <c r="AK160" s="1401">
        <f>+AVERAGE(AK156,AK159)</f>
        <v>200</v>
      </c>
      <c r="AL160" s="336">
        <f>+AVERAGE(AL156,AL159)</f>
        <v>200</v>
      </c>
      <c r="AM160" s="336">
        <f>+AVERAGE(AM156,AM159)</f>
        <v>200</v>
      </c>
      <c r="AN160" s="1402">
        <f>+AVERAGE(AN156,AN159)</f>
        <v>200</v>
      </c>
      <c r="AO160" s="336"/>
      <c r="AP160" s="1401">
        <f>+AVERAGE(AP156,AP159)</f>
        <v>200</v>
      </c>
      <c r="AQ160" s="336">
        <f>+AVERAGE(AQ156,AQ159)</f>
        <v>100</v>
      </c>
      <c r="AR160" s="336">
        <f>+AVERAGE(AR156,AR159)</f>
        <v>0</v>
      </c>
      <c r="AS160" s="1402">
        <f>+AVERAGE(AS156,AS159)</f>
        <v>0</v>
      </c>
      <c r="AT160" s="336"/>
      <c r="AU160" s="1401">
        <f>+AVERAGE(AU156,AU159)</f>
        <v>0</v>
      </c>
      <c r="AV160" s="336">
        <f>+AVERAGE(AV156,AV159)</f>
        <v>0</v>
      </c>
      <c r="AW160" s="336">
        <f>+AVERAGE(AW156,AW159)</f>
        <v>0</v>
      </c>
      <c r="AX160" s="1402">
        <f>+AVERAGE(AX156,AX159)</f>
        <v>0</v>
      </c>
      <c r="AY160" s="336"/>
      <c r="AZ160" s="1401">
        <f>+AVERAGE(AZ156,AZ159)</f>
        <v>0</v>
      </c>
      <c r="BA160" s="336">
        <f>+AVERAGE(BA156,BA159)</f>
        <v>0</v>
      </c>
      <c r="BB160" s="336">
        <f>+AVERAGE(BB156,BB159)</f>
        <v>0</v>
      </c>
      <c r="BC160" s="1402">
        <f>+AVERAGE(BC156,BC159)</f>
        <v>0</v>
      </c>
      <c r="BD160" s="336"/>
      <c r="BE160" s="1401">
        <f>+AVERAGE(BE156,BE159)</f>
        <v>0</v>
      </c>
      <c r="BF160" s="336">
        <f>+AVERAGE(BF156,BF159)</f>
        <v>0</v>
      </c>
      <c r="BG160" s="336">
        <f>+AVERAGE(BG156,BG159)</f>
        <v>0</v>
      </c>
      <c r="BH160" s="1402">
        <f>+AVERAGE(BH156,BH159)</f>
        <v>0</v>
      </c>
      <c r="BI160" s="336"/>
      <c r="BJ160" s="1401">
        <f>+AVERAGE(BJ156,BJ159)</f>
        <v>0</v>
      </c>
      <c r="BK160" s="336">
        <f>+AVERAGE(BK156,BK159)</f>
        <v>0</v>
      </c>
      <c r="BL160" s="336">
        <f>+AVERAGE(BL156,BL159)</f>
        <v>0</v>
      </c>
      <c r="BM160" s="1402">
        <f>+AVERAGE(BM156,BM159)</f>
        <v>0</v>
      </c>
      <c r="BN160" s="336"/>
      <c r="BO160" s="1401">
        <f>+AVERAGE(BO156,BO159)</f>
        <v>0</v>
      </c>
      <c r="BP160" s="336">
        <f>+AVERAGE(BP156,BP159)</f>
        <v>0</v>
      </c>
      <c r="BQ160" s="336">
        <f>+AVERAGE(BQ156,BQ159)</f>
        <v>0</v>
      </c>
      <c r="BR160" s="1402">
        <f>+AVERAGE(BR156,BR159)</f>
        <v>0</v>
      </c>
      <c r="BS160" s="336"/>
      <c r="BT160" s="1401">
        <f>+AVERAGE(BT156,BT159)</f>
        <v>0</v>
      </c>
      <c r="BU160" s="336">
        <f>+AVERAGE(BU156,BU159)</f>
        <v>0</v>
      </c>
      <c r="BV160" s="336">
        <f>+AVERAGE(BV156,BV159)</f>
        <v>0</v>
      </c>
      <c r="BW160" s="1402">
        <f>+AVERAGE(BW156,BW159)</f>
        <v>0</v>
      </c>
      <c r="BX160" s="336"/>
      <c r="BY160" s="1401">
        <f>+AVERAGE(BY156,BY159)</f>
        <v>0</v>
      </c>
      <c r="BZ160" s="336">
        <f>+AVERAGE(BZ156,BZ159)</f>
        <v>0</v>
      </c>
      <c r="CA160" s="336">
        <f>+AVERAGE(CA156,CA159)</f>
        <v>0</v>
      </c>
      <c r="CB160" s="1402">
        <f>+AVERAGE(CB156,CB159)</f>
        <v>0</v>
      </c>
      <c r="CC160" s="336"/>
      <c r="CD160" s="1401">
        <f>+AVERAGE(CD156,CD159)</f>
        <v>0</v>
      </c>
      <c r="CE160" s="336">
        <f>+AVERAGE(CE156,CE159)</f>
        <v>0</v>
      </c>
      <c r="CF160" s="336">
        <f>+AVERAGE(CF156,CF159)</f>
        <v>0</v>
      </c>
      <c r="CG160" s="1402">
        <f>+AVERAGE(CG156,CG159)</f>
        <v>0</v>
      </c>
      <c r="CH160" s="336"/>
      <c r="CI160" s="1401">
        <f>+AVERAGE(CI156,CI159)</f>
        <v>0</v>
      </c>
      <c r="CJ160" s="336">
        <f>+AVERAGE(CJ156,CJ159)</f>
        <v>0</v>
      </c>
      <c r="CK160" s="336">
        <f>+AVERAGE(CK156,CK159)</f>
        <v>0</v>
      </c>
      <c r="CL160" s="1402">
        <f>+AVERAGE(CL156,CL159)</f>
        <v>0</v>
      </c>
      <c r="CM160" s="336"/>
      <c r="CN160" s="1401">
        <f>+AVERAGE(CN156,CN159)</f>
        <v>0</v>
      </c>
      <c r="CO160" s="336">
        <f>+AVERAGE(CO156,CO159)</f>
        <v>0</v>
      </c>
      <c r="CP160" s="336">
        <f>+AVERAGE(CP156,CP159)</f>
        <v>0</v>
      </c>
      <c r="CQ160" s="1402">
        <f>+AVERAGE(CQ156,CQ159)</f>
        <v>0</v>
      </c>
      <c r="CR160" s="1402"/>
    </row>
    <row r="161" spans="1:96" ht="13.5" customHeight="1">
      <c r="A161" s="317"/>
      <c r="B161" s="317" t="s">
        <v>92</v>
      </c>
      <c r="C161" s="317"/>
      <c r="D161" s="318"/>
      <c r="E161" s="318"/>
      <c r="F161" s="318"/>
      <c r="G161" s="341"/>
      <c r="H161" s="341"/>
      <c r="I161" s="318"/>
      <c r="J161" s="318"/>
      <c r="K161" s="318"/>
      <c r="L161" s="318"/>
      <c r="M161" s="318"/>
      <c r="N161" s="318"/>
      <c r="O161" s="318"/>
      <c r="P161" s="318"/>
      <c r="Q161" s="318"/>
      <c r="R161" s="318"/>
      <c r="S161" s="318"/>
      <c r="T161" s="318"/>
      <c r="U161" s="318"/>
      <c r="V161" s="318"/>
      <c r="W161" s="318"/>
      <c r="X161" s="318"/>
      <c r="Y161" s="318"/>
      <c r="Z161" s="318"/>
      <c r="AA161" s="318"/>
      <c r="AB161" s="318"/>
      <c r="AC161" s="318"/>
      <c r="AD161" s="318"/>
      <c r="AE161" s="318"/>
      <c r="AF161" s="318"/>
      <c r="AG161" s="318"/>
      <c r="AH161" s="318"/>
      <c r="AI161" s="335"/>
      <c r="AJ161" s="335"/>
      <c r="AK161" s="1401">
        <f>+AK$12*AK160/4</f>
        <v>1.6302359836065574</v>
      </c>
      <c r="AL161" s="336">
        <f>+AL$12*AL160/4</f>
        <v>1.6242522131147539</v>
      </c>
      <c r="AM161" s="336">
        <f>+AM$12*AM160/4</f>
        <v>1.6161384375000001</v>
      </c>
      <c r="AN161" s="1402">
        <f>+AN$12*AN160/4</f>
        <v>1.5912445081967213</v>
      </c>
      <c r="AO161" s="336"/>
      <c r="AP161" s="1401">
        <f>+AP$12*AP160/4</f>
        <v>1.5919438524590164</v>
      </c>
      <c r="AQ161" s="336">
        <f>+AQ$12*AQ160/4</f>
        <v>0.81975877049180323</v>
      </c>
      <c r="AR161" s="336">
        <f>+AR$12*AR160/4</f>
        <v>0</v>
      </c>
      <c r="AS161" s="1402">
        <f>+AS$12*AS160/4</f>
        <v>0</v>
      </c>
      <c r="AT161" s="336"/>
      <c r="AU161" s="1401">
        <f>+AU$12*AU160/4</f>
        <v>0</v>
      </c>
      <c r="AV161" s="336">
        <f>+AV$12*AV160/4</f>
        <v>0</v>
      </c>
      <c r="AW161" s="336">
        <f>+AW$12*AW160/4</f>
        <v>0</v>
      </c>
      <c r="AX161" s="1402">
        <f>+AX$12*AX160/4</f>
        <v>0</v>
      </c>
      <c r="AY161" s="336"/>
      <c r="AZ161" s="1401">
        <f>+AZ$12*AZ160/4</f>
        <v>0</v>
      </c>
      <c r="BA161" s="336">
        <f>+BA$12*BA160/4</f>
        <v>0</v>
      </c>
      <c r="BB161" s="336">
        <f>+BB$12*BB160/4</f>
        <v>0</v>
      </c>
      <c r="BC161" s="1402">
        <f>+BC$12*BC160/4</f>
        <v>0</v>
      </c>
      <c r="BD161" s="336"/>
      <c r="BE161" s="1401">
        <f>+BE$12*BE160/4</f>
        <v>0</v>
      </c>
      <c r="BF161" s="336">
        <f>+BF$12*BF160/4</f>
        <v>0</v>
      </c>
      <c r="BG161" s="336">
        <f>+BG$12*BG160/4</f>
        <v>0</v>
      </c>
      <c r="BH161" s="1402">
        <f>+BH$12*BH160/4</f>
        <v>0</v>
      </c>
      <c r="BI161" s="336"/>
      <c r="BJ161" s="1401">
        <f>+BJ$12*BJ160/4</f>
        <v>0</v>
      </c>
      <c r="BK161" s="336">
        <f>+BK$12*BK160/4</f>
        <v>0</v>
      </c>
      <c r="BL161" s="336">
        <f>+BL$12*BL160/4</f>
        <v>0</v>
      </c>
      <c r="BM161" s="1402">
        <f>+BM$12*BM160/4</f>
        <v>0</v>
      </c>
      <c r="BN161" s="336"/>
      <c r="BO161" s="1401">
        <f>+BO$12*BO160/4</f>
        <v>0</v>
      </c>
      <c r="BP161" s="336">
        <f>+BP$12*BP160/4</f>
        <v>0</v>
      </c>
      <c r="BQ161" s="336">
        <f>+BQ$12*BQ160/4</f>
        <v>0</v>
      </c>
      <c r="BR161" s="1402">
        <f>+BR$12*BR160/4</f>
        <v>0</v>
      </c>
      <c r="BS161" s="336"/>
      <c r="BT161" s="1401">
        <f>+BT$12*BT160/4</f>
        <v>0</v>
      </c>
      <c r="BU161" s="336">
        <f>+BU$12*BU160/4</f>
        <v>0</v>
      </c>
      <c r="BV161" s="336">
        <f>+BV$12*BV160/4</f>
        <v>0</v>
      </c>
      <c r="BW161" s="1402">
        <f>+BW$12*BW160/4</f>
        <v>0</v>
      </c>
      <c r="BX161" s="336"/>
      <c r="BY161" s="1401">
        <f>+BY$12*BY160/4</f>
        <v>0</v>
      </c>
      <c r="BZ161" s="336">
        <f>+BZ$12*BZ160/4</f>
        <v>0</v>
      </c>
      <c r="CA161" s="336">
        <f>+CA$12*CA160/4</f>
        <v>0</v>
      </c>
      <c r="CB161" s="1402">
        <f>+CB$12*CB160/4</f>
        <v>0</v>
      </c>
      <c r="CC161" s="336"/>
      <c r="CD161" s="1401">
        <f>+CD$12*CD160/4</f>
        <v>0</v>
      </c>
      <c r="CE161" s="336">
        <f>+CE$12*CE160/4</f>
        <v>0</v>
      </c>
      <c r="CF161" s="336">
        <f>+CF$12*CF160/4</f>
        <v>0</v>
      </c>
      <c r="CG161" s="1402">
        <f>+CG$12*CG160/4</f>
        <v>0</v>
      </c>
      <c r="CH161" s="336"/>
      <c r="CI161" s="1401">
        <f>+CI$12*CI160/4</f>
        <v>0</v>
      </c>
      <c r="CJ161" s="336">
        <f>+CJ$12*CJ160/4</f>
        <v>0</v>
      </c>
      <c r="CK161" s="336">
        <f>+CK$12*CK160/4</f>
        <v>0</v>
      </c>
      <c r="CL161" s="1402">
        <f>+CL$12*CL160/4</f>
        <v>0</v>
      </c>
      <c r="CM161" s="336"/>
      <c r="CN161" s="1401">
        <f>+CN$12*CN160/4</f>
        <v>0</v>
      </c>
      <c r="CO161" s="336">
        <f>+CO$12*CO160/4</f>
        <v>0</v>
      </c>
      <c r="CP161" s="336">
        <f>+CP$12*CP160/4</f>
        <v>0</v>
      </c>
      <c r="CQ161" s="1402">
        <f>+CQ$12*CQ160/4</f>
        <v>0</v>
      </c>
      <c r="CR161" s="1402"/>
    </row>
    <row r="162" spans="1:96" ht="13.5" customHeight="1">
      <c r="A162" s="317"/>
      <c r="B162" s="317" t="s">
        <v>93</v>
      </c>
      <c r="C162" s="317"/>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c r="AA162" s="318"/>
      <c r="AB162" s="318"/>
      <c r="AC162" s="318"/>
      <c r="AD162" s="318"/>
      <c r="AE162" s="318"/>
      <c r="AF162" s="318"/>
      <c r="AG162" s="318"/>
      <c r="AH162" s="318"/>
      <c r="AI162" s="335"/>
      <c r="AJ162" s="335"/>
      <c r="AK162" s="1401">
        <f>+AK161</f>
        <v>1.6302359836065574</v>
      </c>
      <c r="AL162" s="336">
        <f>+AL161</f>
        <v>1.6242522131147539</v>
      </c>
      <c r="AM162" s="336">
        <f>+AM161</f>
        <v>1.6161384375000001</v>
      </c>
      <c r="AN162" s="1402">
        <f>+AN161</f>
        <v>1.5912445081967213</v>
      </c>
      <c r="AO162" s="336"/>
      <c r="AP162" s="1401">
        <f>+AP161</f>
        <v>1.5919438524590164</v>
      </c>
      <c r="AQ162" s="336">
        <f>+AQ161</f>
        <v>0.81975877049180323</v>
      </c>
      <c r="AR162" s="336">
        <f>+AR161</f>
        <v>0</v>
      </c>
      <c r="AS162" s="1402">
        <f>+AS161</f>
        <v>0</v>
      </c>
      <c r="AT162" s="336"/>
      <c r="AU162" s="1401">
        <f>+AU161</f>
        <v>0</v>
      </c>
      <c r="AV162" s="336">
        <f>+AV161</f>
        <v>0</v>
      </c>
      <c r="AW162" s="336">
        <f>+AW161</f>
        <v>0</v>
      </c>
      <c r="AX162" s="1402">
        <f>+AX161</f>
        <v>0</v>
      </c>
      <c r="AY162" s="336"/>
      <c r="AZ162" s="1401">
        <f>+AZ161</f>
        <v>0</v>
      </c>
      <c r="BA162" s="336">
        <f>+BA161</f>
        <v>0</v>
      </c>
      <c r="BB162" s="336">
        <f>+BB161</f>
        <v>0</v>
      </c>
      <c r="BC162" s="1402">
        <f>+BC161</f>
        <v>0</v>
      </c>
      <c r="BD162" s="336"/>
      <c r="BE162" s="1401">
        <f>+BE161</f>
        <v>0</v>
      </c>
      <c r="BF162" s="336">
        <f>+BF161</f>
        <v>0</v>
      </c>
      <c r="BG162" s="336">
        <f>+BG161</f>
        <v>0</v>
      </c>
      <c r="BH162" s="1402">
        <f>+BH161</f>
        <v>0</v>
      </c>
      <c r="BI162" s="336"/>
      <c r="BJ162" s="1401">
        <f>+BJ161</f>
        <v>0</v>
      </c>
      <c r="BK162" s="336">
        <f>+BK161</f>
        <v>0</v>
      </c>
      <c r="BL162" s="336">
        <f>+BL161</f>
        <v>0</v>
      </c>
      <c r="BM162" s="1402">
        <f>+BM161</f>
        <v>0</v>
      </c>
      <c r="BN162" s="336"/>
      <c r="BO162" s="1401">
        <f>+BO161</f>
        <v>0</v>
      </c>
      <c r="BP162" s="336">
        <f>+BP161</f>
        <v>0</v>
      </c>
      <c r="BQ162" s="336">
        <f>+BQ161</f>
        <v>0</v>
      </c>
      <c r="BR162" s="1402">
        <f>+BR161</f>
        <v>0</v>
      </c>
      <c r="BS162" s="336"/>
      <c r="BT162" s="1401">
        <f>+BT161</f>
        <v>0</v>
      </c>
      <c r="BU162" s="336">
        <f>+BU161</f>
        <v>0</v>
      </c>
      <c r="BV162" s="336">
        <f>+BV161</f>
        <v>0</v>
      </c>
      <c r="BW162" s="1402">
        <f>+BW161</f>
        <v>0</v>
      </c>
      <c r="BX162" s="336"/>
      <c r="BY162" s="1401">
        <f>+BY161</f>
        <v>0</v>
      </c>
      <c r="BZ162" s="336">
        <f>+BZ161</f>
        <v>0</v>
      </c>
      <c r="CA162" s="336">
        <f>+CA161</f>
        <v>0</v>
      </c>
      <c r="CB162" s="1402">
        <f>+CB161</f>
        <v>0</v>
      </c>
      <c r="CC162" s="336"/>
      <c r="CD162" s="1401">
        <f>+CD161</f>
        <v>0</v>
      </c>
      <c r="CE162" s="336">
        <f>+CE161</f>
        <v>0</v>
      </c>
      <c r="CF162" s="336">
        <f>+CF161</f>
        <v>0</v>
      </c>
      <c r="CG162" s="1402">
        <f>+CG161</f>
        <v>0</v>
      </c>
      <c r="CH162" s="336"/>
      <c r="CI162" s="1401">
        <f>+CI161</f>
        <v>0</v>
      </c>
      <c r="CJ162" s="336">
        <f>+CJ161</f>
        <v>0</v>
      </c>
      <c r="CK162" s="336">
        <f>+CK161</f>
        <v>0</v>
      </c>
      <c r="CL162" s="1402">
        <f>+CL161</f>
        <v>0</v>
      </c>
      <c r="CM162" s="336"/>
      <c r="CN162" s="1401">
        <f>+CN161</f>
        <v>0</v>
      </c>
      <c r="CO162" s="336">
        <f>+CO161</f>
        <v>0</v>
      </c>
      <c r="CP162" s="336">
        <f>+CP161</f>
        <v>0</v>
      </c>
      <c r="CQ162" s="1402">
        <f>+CQ161</f>
        <v>0</v>
      </c>
      <c r="CR162" s="1402"/>
    </row>
    <row r="163" spans="1:96" ht="6.2" customHeight="1">
      <c r="A163" s="317"/>
      <c r="B163" s="317"/>
      <c r="C163" s="317"/>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c r="AA163" s="318"/>
      <c r="AB163" s="318"/>
      <c r="AC163" s="318"/>
      <c r="AD163" s="318"/>
      <c r="AE163" s="318"/>
      <c r="AF163" s="318"/>
      <c r="AG163" s="318"/>
      <c r="AH163" s="318"/>
      <c r="AI163" s="335"/>
      <c r="AJ163" s="335"/>
      <c r="AK163" s="1401"/>
      <c r="AL163" s="336"/>
      <c r="AM163" s="336"/>
      <c r="AN163" s="1402"/>
      <c r="AO163" s="336"/>
      <c r="AP163" s="1401"/>
      <c r="AQ163" s="336"/>
      <c r="AR163" s="336"/>
      <c r="AS163" s="1402"/>
      <c r="AT163" s="336"/>
      <c r="AU163" s="1401"/>
      <c r="AV163" s="336"/>
      <c r="AW163" s="336"/>
      <c r="AX163" s="1402"/>
      <c r="AY163" s="336"/>
      <c r="AZ163" s="1401"/>
      <c r="BA163" s="336"/>
      <c r="BB163" s="336"/>
      <c r="BC163" s="1402"/>
      <c r="BD163" s="336"/>
      <c r="BE163" s="1401"/>
      <c r="BF163" s="336"/>
      <c r="BG163" s="336"/>
      <c r="BH163" s="1402"/>
      <c r="BI163" s="336"/>
      <c r="BJ163" s="1401"/>
      <c r="BK163" s="336"/>
      <c r="BL163" s="336"/>
      <c r="BM163" s="1402"/>
      <c r="BN163" s="336"/>
      <c r="BO163" s="1401"/>
      <c r="BP163" s="336"/>
      <c r="BQ163" s="336"/>
      <c r="BR163" s="1402"/>
      <c r="BS163" s="336"/>
      <c r="BT163" s="1401"/>
      <c r="BU163" s="336"/>
      <c r="BV163" s="336"/>
      <c r="BW163" s="1402"/>
      <c r="BX163" s="336"/>
      <c r="BY163" s="1401"/>
      <c r="BZ163" s="336"/>
      <c r="CA163" s="336"/>
      <c r="CB163" s="1402"/>
      <c r="CC163" s="336"/>
      <c r="CD163" s="1401"/>
      <c r="CE163" s="336"/>
      <c r="CF163" s="336"/>
      <c r="CG163" s="1402"/>
      <c r="CH163" s="336"/>
      <c r="CI163" s="1401"/>
      <c r="CJ163" s="336"/>
      <c r="CK163" s="336"/>
      <c r="CL163" s="1402"/>
      <c r="CM163" s="336"/>
      <c r="CN163" s="1401"/>
      <c r="CO163" s="336"/>
      <c r="CP163" s="336"/>
      <c r="CQ163" s="1402"/>
      <c r="CR163" s="1402"/>
    </row>
    <row r="164" spans="1:96" ht="13.5" customHeight="1">
      <c r="A164" s="317"/>
      <c r="B164" s="317" t="s">
        <v>115</v>
      </c>
      <c r="C164" s="317"/>
      <c r="D164" s="318"/>
      <c r="E164" s="318"/>
      <c r="F164" s="344" t="s">
        <v>95</v>
      </c>
      <c r="G164" s="345">
        <v>200</v>
      </c>
      <c r="H164" s="318"/>
      <c r="I164" s="318"/>
      <c r="J164" s="318"/>
      <c r="K164" s="318"/>
      <c r="L164" s="318"/>
      <c r="M164" s="318"/>
      <c r="N164" s="318"/>
      <c r="O164" s="318"/>
      <c r="P164" s="318"/>
      <c r="Q164" s="318"/>
      <c r="R164" s="318"/>
      <c r="S164" s="318"/>
      <c r="T164" s="318"/>
      <c r="U164" s="318"/>
      <c r="V164" s="318"/>
      <c r="W164" s="318"/>
      <c r="X164" s="318"/>
      <c r="Y164" s="318"/>
      <c r="Z164" s="318"/>
      <c r="AA164" s="318"/>
      <c r="AB164" s="318"/>
      <c r="AC164" s="318"/>
      <c r="AD164" s="318"/>
      <c r="AE164" s="318"/>
      <c r="AF164" s="318"/>
      <c r="AG164" s="318"/>
      <c r="AH164" s="318"/>
      <c r="AI164" s="336">
        <f>$G164-AI159</f>
        <v>0</v>
      </c>
      <c r="AJ164" s="335"/>
      <c r="AK164" s="1401">
        <f>$G164-AK159</f>
        <v>0</v>
      </c>
      <c r="AL164" s="336">
        <f>$G164-AL159</f>
        <v>0</v>
      </c>
      <c r="AM164" s="336">
        <f>$G164-AM159</f>
        <v>0</v>
      </c>
      <c r="AN164" s="1402">
        <f>$G164-AN159</f>
        <v>0</v>
      </c>
      <c r="AO164" s="336"/>
      <c r="AP164" s="1401">
        <f>$G164-AP159</f>
        <v>0</v>
      </c>
      <c r="AQ164" s="336">
        <f>$G164-AQ159</f>
        <v>200</v>
      </c>
      <c r="AR164" s="336">
        <f>$G164-AR159</f>
        <v>200</v>
      </c>
      <c r="AS164" s="1402">
        <f>$G164-AS159</f>
        <v>200</v>
      </c>
      <c r="AT164" s="343"/>
      <c r="AU164" s="1401">
        <f>$G164-AU159</f>
        <v>200</v>
      </c>
      <c r="AV164" s="336">
        <f>$G164-AV159</f>
        <v>200</v>
      </c>
      <c r="AW164" s="662">
        <v>0</v>
      </c>
      <c r="AX164" s="1404">
        <v>0</v>
      </c>
      <c r="AY164" s="343"/>
      <c r="AZ164" s="1403">
        <v>0</v>
      </c>
      <c r="BA164" s="662">
        <v>0</v>
      </c>
      <c r="BB164" s="662">
        <v>0</v>
      </c>
      <c r="BC164" s="1404">
        <v>0</v>
      </c>
      <c r="BD164" s="343"/>
      <c r="BE164" s="1403">
        <v>0</v>
      </c>
      <c r="BF164" s="662">
        <v>0</v>
      </c>
      <c r="BG164" s="662">
        <v>0</v>
      </c>
      <c r="BH164" s="1404">
        <v>0</v>
      </c>
      <c r="BI164" s="343"/>
      <c r="BJ164" s="1403">
        <v>0</v>
      </c>
      <c r="BK164" s="662">
        <v>0</v>
      </c>
      <c r="BL164" s="662">
        <v>0</v>
      </c>
      <c r="BM164" s="1404">
        <v>0</v>
      </c>
      <c r="BN164" s="343"/>
      <c r="BO164" s="1403">
        <v>0</v>
      </c>
      <c r="BP164" s="662">
        <v>0</v>
      </c>
      <c r="BQ164" s="662">
        <v>0</v>
      </c>
      <c r="BR164" s="1404">
        <v>0</v>
      </c>
      <c r="BS164" s="343"/>
      <c r="BT164" s="1403">
        <v>0</v>
      </c>
      <c r="BU164" s="662">
        <v>0</v>
      </c>
      <c r="BV164" s="662">
        <v>0</v>
      </c>
      <c r="BW164" s="1404">
        <v>0</v>
      </c>
      <c r="BX164" s="343"/>
      <c r="BY164" s="1403">
        <v>0</v>
      </c>
      <c r="BZ164" s="662">
        <v>0</v>
      </c>
      <c r="CA164" s="662">
        <v>0</v>
      </c>
      <c r="CB164" s="1404">
        <v>0</v>
      </c>
      <c r="CC164" s="343"/>
      <c r="CD164" s="1403">
        <v>0</v>
      </c>
      <c r="CE164" s="662">
        <v>0</v>
      </c>
      <c r="CF164" s="662">
        <v>0</v>
      </c>
      <c r="CG164" s="1404">
        <v>0</v>
      </c>
      <c r="CH164" s="343"/>
      <c r="CI164" s="1403">
        <v>0</v>
      </c>
      <c r="CJ164" s="662">
        <v>0</v>
      </c>
      <c r="CK164" s="662">
        <v>0</v>
      </c>
      <c r="CL164" s="1404">
        <v>0</v>
      </c>
      <c r="CM164" s="343"/>
      <c r="CN164" s="1403">
        <v>0</v>
      </c>
      <c r="CO164" s="662">
        <v>0</v>
      </c>
      <c r="CP164" s="662">
        <v>0</v>
      </c>
      <c r="CQ164" s="1404">
        <v>0</v>
      </c>
      <c r="CR164" s="1451"/>
    </row>
    <row r="165" spans="1:96" ht="13.5" customHeight="1">
      <c r="A165" s="317"/>
      <c r="B165" s="317" t="s">
        <v>116</v>
      </c>
      <c r="C165" s="317"/>
      <c r="D165" s="318"/>
      <c r="E165" s="318"/>
      <c r="F165" s="318"/>
      <c r="G165" s="354">
        <v>3.0000000000000001E-3</v>
      </c>
      <c r="H165" s="318"/>
      <c r="I165" s="318"/>
      <c r="J165" s="318"/>
      <c r="K165" s="318"/>
      <c r="L165" s="318"/>
      <c r="M165" s="318"/>
      <c r="N165" s="318"/>
      <c r="O165" s="318"/>
      <c r="P165" s="318"/>
      <c r="Q165" s="318"/>
      <c r="R165" s="318"/>
      <c r="S165" s="318"/>
      <c r="T165" s="318"/>
      <c r="U165" s="318"/>
      <c r="V165" s="318"/>
      <c r="W165" s="318"/>
      <c r="X165" s="318"/>
      <c r="Y165" s="318"/>
      <c r="Z165" s="318"/>
      <c r="AA165" s="318"/>
      <c r="AB165" s="318"/>
      <c r="AC165" s="318"/>
      <c r="AD165" s="318"/>
      <c r="AE165" s="318"/>
      <c r="AF165" s="318"/>
      <c r="AG165" s="318"/>
      <c r="AH165" s="318"/>
      <c r="AI165" s="323"/>
      <c r="AJ165" s="323"/>
      <c r="AK165" s="1411">
        <f>AVERAGE(AK164,AI164)*$G165/4</f>
        <v>0</v>
      </c>
      <c r="AL165" s="355">
        <f>AVERAGE(AL164,AK164)*$G165/4</f>
        <v>0</v>
      </c>
      <c r="AM165" s="355">
        <f>AVERAGE(AM164,AL164)*$G165/4</f>
        <v>0</v>
      </c>
      <c r="AN165" s="1412">
        <f>AVERAGE(AN164,AM164)*$G165/4</f>
        <v>0</v>
      </c>
      <c r="AO165" s="336"/>
      <c r="AP165" s="1411">
        <f>AVERAGE(AP164,AN164)*$G165/4</f>
        <v>0</v>
      </c>
      <c r="AQ165" s="355">
        <f>AVERAGE(AQ164,AP164)*$G165/4</f>
        <v>7.4999999999999997E-2</v>
      </c>
      <c r="AR165" s="355">
        <f>AVERAGE(AR164,AQ164)*$G165/4</f>
        <v>0.15</v>
      </c>
      <c r="AS165" s="1412">
        <f>AVERAGE(AS164,AR164)*$G165/4</f>
        <v>0.15</v>
      </c>
      <c r="AT165" s="355"/>
      <c r="AU165" s="1411">
        <f>AVERAGE(AU164,AS164)*$G165/4</f>
        <v>0.15</v>
      </c>
      <c r="AV165" s="355">
        <f>AVERAGE(AV164,AU164)*$G165/4</f>
        <v>0.15</v>
      </c>
      <c r="AW165" s="355">
        <f>AVERAGE(AW164,AV164)*$G165/4</f>
        <v>7.4999999999999997E-2</v>
      </c>
      <c r="AX165" s="1412">
        <f>AVERAGE(AX164,AW164)*$G165/4</f>
        <v>0</v>
      </c>
      <c r="AY165" s="355"/>
      <c r="AZ165" s="1411">
        <f>AVERAGE(AZ164,AX164)*$G165/4</f>
        <v>0</v>
      </c>
      <c r="BA165" s="355">
        <f>AVERAGE(BA164,AZ164)*$G165/4</f>
        <v>0</v>
      </c>
      <c r="BB165" s="355">
        <f>AVERAGE(BB164,BA164)*$G165/4</f>
        <v>0</v>
      </c>
      <c r="BC165" s="1412">
        <f>AVERAGE(BC164,BB164)*$G165/4</f>
        <v>0</v>
      </c>
      <c r="BD165" s="355"/>
      <c r="BE165" s="1411">
        <f>AVERAGE(BE164,BC164)*$G165/4</f>
        <v>0</v>
      </c>
      <c r="BF165" s="355">
        <f>AVERAGE(BF164,BE164)*$G165/4</f>
        <v>0</v>
      </c>
      <c r="BG165" s="355">
        <f>AVERAGE(BG164,BF164)*$G165/4</f>
        <v>0</v>
      </c>
      <c r="BH165" s="1412">
        <f>AVERAGE(BH164,BG164)*$G165/4</f>
        <v>0</v>
      </c>
      <c r="BI165" s="355"/>
      <c r="BJ165" s="1411">
        <f>AVERAGE(BJ164,BH164)*$G165/4</f>
        <v>0</v>
      </c>
      <c r="BK165" s="355">
        <f>AVERAGE(BK164,BJ164)*$G165/4</f>
        <v>0</v>
      </c>
      <c r="BL165" s="355">
        <f>AVERAGE(BL164,BK164)*$G165/4</f>
        <v>0</v>
      </c>
      <c r="BM165" s="1412">
        <f>AVERAGE(BM164,BL164)*$G165/4</f>
        <v>0</v>
      </c>
      <c r="BN165" s="355"/>
      <c r="BO165" s="1411">
        <f>AVERAGE(BO164,BM164)*$G165/4</f>
        <v>0</v>
      </c>
      <c r="BP165" s="355">
        <f>AVERAGE(BP164,BO164)*$G165/4</f>
        <v>0</v>
      </c>
      <c r="BQ165" s="355">
        <f>AVERAGE(BQ164,BP164)*$G165/4</f>
        <v>0</v>
      </c>
      <c r="BR165" s="1412">
        <f>AVERAGE(BR164,BQ164)*$G165/4</f>
        <v>0</v>
      </c>
      <c r="BS165" s="355"/>
      <c r="BT165" s="1411">
        <f>AVERAGE(BT164,BR164)*$G165/4</f>
        <v>0</v>
      </c>
      <c r="BU165" s="355">
        <f>AVERAGE(BU164,BT164)*$G165/4</f>
        <v>0</v>
      </c>
      <c r="BV165" s="355">
        <f>AVERAGE(BV164,BU164)*$G165/4</f>
        <v>0</v>
      </c>
      <c r="BW165" s="1412">
        <f>AVERAGE(BW164,BV164)*$G165/4</f>
        <v>0</v>
      </c>
      <c r="BX165" s="355"/>
      <c r="BY165" s="1411">
        <f>AVERAGE(BY164,BW164)*$G165/4</f>
        <v>0</v>
      </c>
      <c r="BZ165" s="355">
        <f>AVERAGE(BZ164,BY164)*$G165/4</f>
        <v>0</v>
      </c>
      <c r="CA165" s="355">
        <f>AVERAGE(CA164,BZ164)*$G165/4</f>
        <v>0</v>
      </c>
      <c r="CB165" s="1412">
        <f>AVERAGE(CB164,CA164)*$G165/4</f>
        <v>0</v>
      </c>
      <c r="CC165" s="355"/>
      <c r="CD165" s="1411">
        <f>AVERAGE(CD164,CB164)*$G165/4</f>
        <v>0</v>
      </c>
      <c r="CE165" s="355">
        <f>AVERAGE(CE164,CD164)*$G165/4</f>
        <v>0</v>
      </c>
      <c r="CF165" s="355">
        <f>AVERAGE(CF164,CE164)*$G165/4</f>
        <v>0</v>
      </c>
      <c r="CG165" s="1412">
        <f>AVERAGE(CG164,CF164)*$G165/4</f>
        <v>0</v>
      </c>
      <c r="CH165" s="355"/>
      <c r="CI165" s="1411">
        <f>AVERAGE(CI164,CG164)*$G165/4</f>
        <v>0</v>
      </c>
      <c r="CJ165" s="355">
        <f>AVERAGE(CJ164,CI164)*$G165/4</f>
        <v>0</v>
      </c>
      <c r="CK165" s="355">
        <f>AVERAGE(CK164,CJ164)*$G165/4</f>
        <v>0</v>
      </c>
      <c r="CL165" s="1412">
        <f>AVERAGE(CL164,CK164)*$G165/4</f>
        <v>0</v>
      </c>
      <c r="CM165" s="355"/>
      <c r="CN165" s="1411">
        <f>AVERAGE(CN164,CL164)*$G165/4</f>
        <v>0</v>
      </c>
      <c r="CO165" s="355">
        <f>AVERAGE(CO164,CN164)*$G165/4</f>
        <v>0</v>
      </c>
      <c r="CP165" s="355">
        <f>AVERAGE(CP164,CO164)*$G165/4</f>
        <v>0</v>
      </c>
      <c r="CQ165" s="1412">
        <f>AVERAGE(CQ164,CP164)*$G165/4</f>
        <v>0</v>
      </c>
      <c r="CR165" s="1412"/>
    </row>
    <row r="166" spans="1:96" ht="6.2" customHeight="1">
      <c r="A166" s="317"/>
      <c r="B166" s="317"/>
      <c r="C166" s="317"/>
      <c r="D166" s="318"/>
      <c r="E166" s="318"/>
      <c r="F166" s="318"/>
      <c r="G166" s="356"/>
      <c r="H166" s="318"/>
      <c r="I166" s="318"/>
      <c r="J166" s="318"/>
      <c r="K166" s="318"/>
      <c r="L166" s="318"/>
      <c r="M166" s="318"/>
      <c r="N166" s="318"/>
      <c r="O166" s="318"/>
      <c r="P166" s="318"/>
      <c r="Q166" s="318"/>
      <c r="R166" s="318"/>
      <c r="S166" s="318"/>
      <c r="T166" s="318"/>
      <c r="U166" s="318"/>
      <c r="V166" s="318"/>
      <c r="W166" s="318"/>
      <c r="X166" s="318"/>
      <c r="Y166" s="318"/>
      <c r="Z166" s="318"/>
      <c r="AA166" s="318"/>
      <c r="AB166" s="318"/>
      <c r="AC166" s="318"/>
      <c r="AD166" s="318"/>
      <c r="AE166" s="318"/>
      <c r="AF166" s="318"/>
      <c r="AG166" s="318"/>
      <c r="AH166" s="318"/>
      <c r="AI166" s="323"/>
      <c r="AJ166" s="323"/>
      <c r="AK166" s="1411"/>
      <c r="AL166" s="355"/>
      <c r="AM166" s="355"/>
      <c r="AN166" s="1412"/>
      <c r="AO166" s="336"/>
      <c r="AP166" s="1411"/>
      <c r="AQ166" s="355"/>
      <c r="AR166" s="355"/>
      <c r="AS166" s="1412"/>
      <c r="AT166" s="355"/>
      <c r="AU166" s="1411"/>
      <c r="AV166" s="355"/>
      <c r="AW166" s="355"/>
      <c r="AX166" s="1412"/>
      <c r="AY166" s="355"/>
      <c r="AZ166" s="1411"/>
      <c r="BA166" s="355"/>
      <c r="BB166" s="355"/>
      <c r="BC166" s="1412"/>
      <c r="BD166" s="355"/>
      <c r="BE166" s="1411"/>
      <c r="BF166" s="355"/>
      <c r="BG166" s="355"/>
      <c r="BH166" s="1412"/>
      <c r="BI166" s="355"/>
      <c r="BJ166" s="1411"/>
      <c r="BK166" s="355"/>
      <c r="BL166" s="355"/>
      <c r="BM166" s="1412"/>
      <c r="BN166" s="355"/>
      <c r="BO166" s="1411"/>
      <c r="BP166" s="355"/>
      <c r="BQ166" s="355"/>
      <c r="BR166" s="1412"/>
      <c r="BS166" s="355"/>
      <c r="BT166" s="1411"/>
      <c r="BU166" s="355"/>
      <c r="BV166" s="355"/>
      <c r="BW166" s="1412"/>
      <c r="BX166" s="355"/>
      <c r="BY166" s="1411"/>
      <c r="BZ166" s="355"/>
      <c r="CA166" s="355"/>
      <c r="CB166" s="1412"/>
      <c r="CC166" s="355"/>
      <c r="CD166" s="1411"/>
      <c r="CE166" s="355"/>
      <c r="CF166" s="355"/>
      <c r="CG166" s="1412"/>
      <c r="CH166" s="355"/>
      <c r="CI166" s="1411"/>
      <c r="CJ166" s="355"/>
      <c r="CK166" s="355"/>
      <c r="CL166" s="1412"/>
      <c r="CM166" s="355"/>
      <c r="CN166" s="1411"/>
      <c r="CO166" s="355"/>
      <c r="CP166" s="355"/>
      <c r="CQ166" s="1412"/>
      <c r="CR166" s="1412"/>
    </row>
    <row r="167" spans="1:96" ht="13.5" customHeight="1">
      <c r="A167" s="317"/>
      <c r="B167" s="317" t="s">
        <v>107</v>
      </c>
      <c r="C167" s="317"/>
      <c r="D167" s="318"/>
      <c r="E167" s="318"/>
      <c r="F167" s="318"/>
      <c r="G167" s="318"/>
      <c r="H167" s="335"/>
      <c r="I167" s="335"/>
      <c r="J167" s="335"/>
      <c r="K167" s="335"/>
      <c r="L167" s="335"/>
      <c r="M167" s="335"/>
      <c r="N167" s="335"/>
      <c r="O167" s="335"/>
      <c r="P167" s="335"/>
      <c r="Q167" s="335"/>
      <c r="R167" s="335"/>
      <c r="S167" s="335"/>
      <c r="T167" s="335"/>
      <c r="U167" s="335"/>
      <c r="V167" s="335"/>
      <c r="W167" s="335"/>
      <c r="X167" s="335"/>
      <c r="Y167" s="335"/>
      <c r="Z167" s="335"/>
      <c r="AA167" s="335"/>
      <c r="AB167" s="335"/>
      <c r="AC167" s="335"/>
      <c r="AD167" s="335"/>
      <c r="AE167" s="335"/>
      <c r="AF167" s="335"/>
      <c r="AG167" s="335"/>
      <c r="AH167" s="335"/>
      <c r="AI167" s="335"/>
      <c r="AJ167" s="335"/>
      <c r="AK167" s="1401">
        <f>AI170</f>
        <v>143.88489208633095</v>
      </c>
      <c r="AL167" s="336">
        <f>+AK170</f>
        <v>150.6364389545831</v>
      </c>
      <c r="AM167" s="336">
        <f>+AL170</f>
        <v>142.60249554367201</v>
      </c>
      <c r="AN167" s="1402">
        <f>+AM170</f>
        <v>136.81762210972775</v>
      </c>
      <c r="AO167" s="336"/>
      <c r="AP167" s="1401">
        <f>AN170</f>
        <v>139.40196556771448</v>
      </c>
      <c r="AQ167" s="336">
        <f>+AP170</f>
        <v>147.79781259237365</v>
      </c>
      <c r="AR167" s="336">
        <f>+AQ170</f>
        <v>0</v>
      </c>
      <c r="AS167" s="1402">
        <f>+AR170</f>
        <v>0</v>
      </c>
      <c r="AT167" s="336"/>
      <c r="AU167" s="1401">
        <f>AS170</f>
        <v>0</v>
      </c>
      <c r="AV167" s="336">
        <f>+AU170</f>
        <v>0</v>
      </c>
      <c r="AW167" s="336">
        <f>+AV170</f>
        <v>0</v>
      </c>
      <c r="AX167" s="1402">
        <f>+AW170</f>
        <v>0</v>
      </c>
      <c r="AY167" s="336"/>
      <c r="AZ167" s="1401">
        <f>AX170</f>
        <v>0</v>
      </c>
      <c r="BA167" s="336">
        <f>+AZ170</f>
        <v>0</v>
      </c>
      <c r="BB167" s="336">
        <f>+BA170</f>
        <v>0</v>
      </c>
      <c r="BC167" s="1402">
        <f>+BB170</f>
        <v>0</v>
      </c>
      <c r="BD167" s="336"/>
      <c r="BE167" s="1401">
        <f>BC170</f>
        <v>0</v>
      </c>
      <c r="BF167" s="336">
        <f>+BE170</f>
        <v>0</v>
      </c>
      <c r="BG167" s="336">
        <f>+BF170</f>
        <v>0</v>
      </c>
      <c r="BH167" s="1402">
        <f>+BG170</f>
        <v>0</v>
      </c>
      <c r="BI167" s="336"/>
      <c r="BJ167" s="1401">
        <f>BH170</f>
        <v>0</v>
      </c>
      <c r="BK167" s="336">
        <f>+BJ170</f>
        <v>0</v>
      </c>
      <c r="BL167" s="336">
        <f>+BK170</f>
        <v>0</v>
      </c>
      <c r="BM167" s="1402">
        <f>+BL170</f>
        <v>0</v>
      </c>
      <c r="BN167" s="336"/>
      <c r="BO167" s="1401">
        <f>BM170</f>
        <v>0</v>
      </c>
      <c r="BP167" s="336">
        <f>+BO170</f>
        <v>0</v>
      </c>
      <c r="BQ167" s="336">
        <f>+BP170</f>
        <v>0</v>
      </c>
      <c r="BR167" s="1402">
        <f>+BQ170</f>
        <v>0</v>
      </c>
      <c r="BS167" s="336"/>
      <c r="BT167" s="1401">
        <f>BR170</f>
        <v>0</v>
      </c>
      <c r="BU167" s="336">
        <f>+BT170</f>
        <v>0</v>
      </c>
      <c r="BV167" s="336">
        <f>+BU170</f>
        <v>0</v>
      </c>
      <c r="BW167" s="1402">
        <f>+BV170</f>
        <v>0</v>
      </c>
      <c r="BX167" s="336"/>
      <c r="BY167" s="1401">
        <f>BW170</f>
        <v>0</v>
      </c>
      <c r="BZ167" s="336">
        <f>+BY170</f>
        <v>0</v>
      </c>
      <c r="CA167" s="336">
        <f>+BZ170</f>
        <v>0</v>
      </c>
      <c r="CB167" s="1402">
        <f>+CA170</f>
        <v>0</v>
      </c>
      <c r="CC167" s="336"/>
      <c r="CD167" s="1401">
        <f>CB170</f>
        <v>0</v>
      </c>
      <c r="CE167" s="336">
        <f>+CD170</f>
        <v>0</v>
      </c>
      <c r="CF167" s="336">
        <f>+CE170</f>
        <v>0</v>
      </c>
      <c r="CG167" s="1402">
        <f>+CF170</f>
        <v>0</v>
      </c>
      <c r="CH167" s="336"/>
      <c r="CI167" s="1401">
        <f>CG170</f>
        <v>0</v>
      </c>
      <c r="CJ167" s="336">
        <f>+CI170</f>
        <v>0</v>
      </c>
      <c r="CK167" s="336">
        <f>+CJ170</f>
        <v>0</v>
      </c>
      <c r="CL167" s="1402">
        <f>+CK170</f>
        <v>0</v>
      </c>
      <c r="CM167" s="336"/>
      <c r="CN167" s="1401">
        <f>CL170</f>
        <v>0</v>
      </c>
      <c r="CO167" s="336">
        <f>+CN170</f>
        <v>0</v>
      </c>
      <c r="CP167" s="336">
        <f>+CO170</f>
        <v>0</v>
      </c>
      <c r="CQ167" s="1402">
        <f>+CP170</f>
        <v>0</v>
      </c>
      <c r="CR167" s="1402"/>
    </row>
    <row r="168" spans="1:96" ht="13.5" customHeight="1">
      <c r="A168" s="317"/>
      <c r="B168" s="317" t="s">
        <v>88</v>
      </c>
      <c r="C168" s="317"/>
      <c r="D168" s="318"/>
      <c r="E168" s="318"/>
      <c r="F168" s="340"/>
      <c r="G168" s="318"/>
      <c r="H168" s="318"/>
      <c r="I168" s="318"/>
      <c r="J168" s="318"/>
      <c r="K168" s="318"/>
      <c r="L168" s="318"/>
      <c r="M168" s="318"/>
      <c r="N168" s="318"/>
      <c r="O168" s="318"/>
      <c r="P168" s="318"/>
      <c r="Q168" s="318"/>
      <c r="R168" s="318"/>
      <c r="S168" s="318"/>
      <c r="T168" s="318"/>
      <c r="U168" s="318"/>
      <c r="V168" s="318"/>
      <c r="W168" s="318"/>
      <c r="X168" s="318"/>
      <c r="Y168" s="318"/>
      <c r="Z168" s="318"/>
      <c r="AA168" s="318"/>
      <c r="AB168" s="318"/>
      <c r="AC168" s="318"/>
      <c r="AD168" s="318"/>
      <c r="AE168" s="318"/>
      <c r="AF168" s="318"/>
      <c r="AG168" s="318"/>
      <c r="AH168" s="318"/>
      <c r="AI168" s="335"/>
      <c r="AJ168" s="335"/>
      <c r="AK168" s="1401">
        <f>AK157*AK$155</f>
        <v>0</v>
      </c>
      <c r="AL168" s="336">
        <f t="shared" ref="AK168:AN169" si="12">AL157*AL$155</f>
        <v>0</v>
      </c>
      <c r="AM168" s="336">
        <f t="shared" si="12"/>
        <v>0</v>
      </c>
      <c r="AN168" s="1402">
        <f t="shared" si="12"/>
        <v>0</v>
      </c>
      <c r="AO168" s="336"/>
      <c r="AP168" s="1401">
        <f t="shared" ref="AP168:AS169" si="13">AP157*AP$155</f>
        <v>0</v>
      </c>
      <c r="AQ168" s="336">
        <f t="shared" si="13"/>
        <v>0</v>
      </c>
      <c r="AR168" s="336">
        <f t="shared" si="13"/>
        <v>0</v>
      </c>
      <c r="AS168" s="1402">
        <f t="shared" si="13"/>
        <v>0</v>
      </c>
      <c r="AT168" s="336"/>
      <c r="AU168" s="1401">
        <f t="shared" ref="AU168:AX169" si="14">AU157*AU$155</f>
        <v>0</v>
      </c>
      <c r="AV168" s="336">
        <f t="shared" si="14"/>
        <v>0</v>
      </c>
      <c r="AW168" s="336">
        <f t="shared" si="14"/>
        <v>0</v>
      </c>
      <c r="AX168" s="1402">
        <f t="shared" si="14"/>
        <v>0</v>
      </c>
      <c r="AY168" s="336"/>
      <c r="AZ168" s="1401">
        <f t="shared" ref="AZ168:BC169" si="15">AZ157*AZ$155</f>
        <v>0</v>
      </c>
      <c r="BA168" s="336">
        <f t="shared" si="15"/>
        <v>0</v>
      </c>
      <c r="BB168" s="336">
        <f t="shared" si="15"/>
        <v>0</v>
      </c>
      <c r="BC168" s="1402">
        <f t="shared" si="15"/>
        <v>0</v>
      </c>
      <c r="BD168" s="336"/>
      <c r="BE168" s="1401">
        <f t="shared" ref="BE168:BH169" si="16">BE157*BE$155</f>
        <v>0</v>
      </c>
      <c r="BF168" s="336">
        <f t="shared" si="16"/>
        <v>0</v>
      </c>
      <c r="BG168" s="336">
        <f t="shared" si="16"/>
        <v>0</v>
      </c>
      <c r="BH168" s="1402">
        <f t="shared" si="16"/>
        <v>0</v>
      </c>
      <c r="BI168" s="336"/>
      <c r="BJ168" s="1401">
        <f t="shared" ref="BJ168:BM169" si="17">BJ157*BJ$155</f>
        <v>0</v>
      </c>
      <c r="BK168" s="336">
        <f t="shared" si="17"/>
        <v>0</v>
      </c>
      <c r="BL168" s="336">
        <f t="shared" si="17"/>
        <v>0</v>
      </c>
      <c r="BM168" s="1402">
        <f t="shared" si="17"/>
        <v>0</v>
      </c>
      <c r="BN168" s="336"/>
      <c r="BO168" s="1401">
        <f t="shared" ref="BO168:BR169" si="18">BO157*BO$155</f>
        <v>0</v>
      </c>
      <c r="BP168" s="336">
        <f t="shared" si="18"/>
        <v>0</v>
      </c>
      <c r="BQ168" s="336">
        <f t="shared" si="18"/>
        <v>0</v>
      </c>
      <c r="BR168" s="1402">
        <f t="shared" si="18"/>
        <v>0</v>
      </c>
      <c r="BS168" s="336"/>
      <c r="BT168" s="1401">
        <f t="shared" ref="BT168:BW169" si="19">BT157*BT$155</f>
        <v>0</v>
      </c>
      <c r="BU168" s="336">
        <f t="shared" si="19"/>
        <v>0</v>
      </c>
      <c r="BV168" s="336">
        <f t="shared" si="19"/>
        <v>0</v>
      </c>
      <c r="BW168" s="1402">
        <f t="shared" si="19"/>
        <v>0</v>
      </c>
      <c r="BX168" s="336"/>
      <c r="BY168" s="1401">
        <f t="shared" ref="BY168:BY169" si="20">BY157*BY$155</f>
        <v>0</v>
      </c>
      <c r="BZ168" s="336">
        <f t="shared" ref="BZ168:CB169" si="21">BZ157*BZ$155</f>
        <v>0</v>
      </c>
      <c r="CA168" s="336">
        <f t="shared" si="21"/>
        <v>0</v>
      </c>
      <c r="CB168" s="1402">
        <f t="shared" si="21"/>
        <v>0</v>
      </c>
      <c r="CC168" s="336"/>
      <c r="CD168" s="1401">
        <f t="shared" ref="CD168:CG169" si="22">CD157*CD$155</f>
        <v>0</v>
      </c>
      <c r="CE168" s="336">
        <f t="shared" si="22"/>
        <v>0</v>
      </c>
      <c r="CF168" s="336">
        <f t="shared" si="22"/>
        <v>0</v>
      </c>
      <c r="CG168" s="1402">
        <f t="shared" si="22"/>
        <v>0</v>
      </c>
      <c r="CH168" s="336"/>
      <c r="CI168" s="1401">
        <f t="shared" ref="CI168:CL169" si="23">CI157*CI$155</f>
        <v>0</v>
      </c>
      <c r="CJ168" s="336">
        <f t="shared" si="23"/>
        <v>0</v>
      </c>
      <c r="CK168" s="336">
        <f t="shared" si="23"/>
        <v>0</v>
      </c>
      <c r="CL168" s="1402">
        <f t="shared" si="23"/>
        <v>0</v>
      </c>
      <c r="CM168" s="336"/>
      <c r="CN168" s="1401">
        <f t="shared" ref="CN168:CQ168" si="24">CN157*CN$155</f>
        <v>0</v>
      </c>
      <c r="CO168" s="336">
        <f t="shared" si="24"/>
        <v>0</v>
      </c>
      <c r="CP168" s="336">
        <f t="shared" si="24"/>
        <v>0</v>
      </c>
      <c r="CQ168" s="1402">
        <f t="shared" si="24"/>
        <v>0</v>
      </c>
      <c r="CR168" s="1402"/>
    </row>
    <row r="169" spans="1:96" ht="13.5" customHeight="1">
      <c r="A169" s="317"/>
      <c r="B169" s="317" t="s">
        <v>89</v>
      </c>
      <c r="C169" s="317"/>
      <c r="D169" s="318"/>
      <c r="E169" s="318"/>
      <c r="F169" s="318"/>
      <c r="G169" s="318"/>
      <c r="H169" s="335"/>
      <c r="I169" s="335"/>
      <c r="J169" s="335"/>
      <c r="K169" s="335"/>
      <c r="L169" s="335"/>
      <c r="M169" s="335"/>
      <c r="N169" s="335"/>
      <c r="O169" s="335"/>
      <c r="P169" s="335"/>
      <c r="Q169" s="335"/>
      <c r="R169" s="335"/>
      <c r="S169" s="335"/>
      <c r="T169" s="335"/>
      <c r="U169" s="335"/>
      <c r="V169" s="335"/>
      <c r="W169" s="335"/>
      <c r="X169" s="335"/>
      <c r="Y169" s="335"/>
      <c r="Z169" s="335"/>
      <c r="AA169" s="335"/>
      <c r="AB169" s="335"/>
      <c r="AC169" s="335"/>
      <c r="AD169" s="335"/>
      <c r="AE169" s="335"/>
      <c r="AF169" s="335"/>
      <c r="AG169" s="335"/>
      <c r="AH169" s="335"/>
      <c r="AI169" s="335"/>
      <c r="AJ169" s="335"/>
      <c r="AK169" s="1401">
        <f t="shared" si="12"/>
        <v>0</v>
      </c>
      <c r="AL169" s="336">
        <f t="shared" si="12"/>
        <v>0</v>
      </c>
      <c r="AM169" s="336">
        <f t="shared" si="12"/>
        <v>0</v>
      </c>
      <c r="AN169" s="1402">
        <f t="shared" si="12"/>
        <v>0</v>
      </c>
      <c r="AO169" s="336"/>
      <c r="AP169" s="1401">
        <f t="shared" si="13"/>
        <v>0</v>
      </c>
      <c r="AQ169" s="336">
        <f t="shared" si="13"/>
        <v>0</v>
      </c>
      <c r="AR169" s="336">
        <f t="shared" si="13"/>
        <v>0</v>
      </c>
      <c r="AS169" s="1402">
        <f t="shared" si="13"/>
        <v>0</v>
      </c>
      <c r="AT169" s="336"/>
      <c r="AU169" s="1401">
        <f t="shared" si="14"/>
        <v>0</v>
      </c>
      <c r="AV169" s="336">
        <f t="shared" si="14"/>
        <v>0</v>
      </c>
      <c r="AW169" s="336">
        <f t="shared" si="14"/>
        <v>0</v>
      </c>
      <c r="AX169" s="1402">
        <f t="shared" si="14"/>
        <v>0</v>
      </c>
      <c r="AY169" s="336"/>
      <c r="AZ169" s="1401">
        <f t="shared" si="15"/>
        <v>0</v>
      </c>
      <c r="BA169" s="336">
        <f t="shared" si="15"/>
        <v>0</v>
      </c>
      <c r="BB169" s="336">
        <f t="shared" si="15"/>
        <v>0</v>
      </c>
      <c r="BC169" s="1402">
        <f t="shared" si="15"/>
        <v>0</v>
      </c>
      <c r="BD169" s="336"/>
      <c r="BE169" s="1401">
        <f t="shared" si="16"/>
        <v>0</v>
      </c>
      <c r="BF169" s="336">
        <f t="shared" si="16"/>
        <v>0</v>
      </c>
      <c r="BG169" s="336">
        <f t="shared" si="16"/>
        <v>0</v>
      </c>
      <c r="BH169" s="1402">
        <f t="shared" si="16"/>
        <v>0</v>
      </c>
      <c r="BI169" s="336"/>
      <c r="BJ169" s="1401">
        <f t="shared" si="17"/>
        <v>0</v>
      </c>
      <c r="BK169" s="336">
        <f t="shared" si="17"/>
        <v>0</v>
      </c>
      <c r="BL169" s="336">
        <f t="shared" si="17"/>
        <v>0</v>
      </c>
      <c r="BM169" s="1402">
        <f t="shared" si="17"/>
        <v>0</v>
      </c>
      <c r="BN169" s="336"/>
      <c r="BO169" s="1401">
        <f t="shared" si="18"/>
        <v>0</v>
      </c>
      <c r="BP169" s="336">
        <f t="shared" si="18"/>
        <v>0</v>
      </c>
      <c r="BQ169" s="336">
        <f t="shared" si="18"/>
        <v>0</v>
      </c>
      <c r="BR169" s="1402">
        <f t="shared" si="18"/>
        <v>0</v>
      </c>
      <c r="BS169" s="336"/>
      <c r="BT169" s="1401">
        <f t="shared" si="19"/>
        <v>0</v>
      </c>
      <c r="BU169" s="336">
        <f t="shared" si="19"/>
        <v>0</v>
      </c>
      <c r="BV169" s="336">
        <f t="shared" si="19"/>
        <v>0</v>
      </c>
      <c r="BW169" s="1402">
        <f t="shared" si="19"/>
        <v>0</v>
      </c>
      <c r="BX169" s="336"/>
      <c r="BY169" s="1401">
        <f t="shared" si="20"/>
        <v>0</v>
      </c>
      <c r="BZ169" s="336">
        <f t="shared" si="21"/>
        <v>0</v>
      </c>
      <c r="CA169" s="336">
        <f t="shared" si="21"/>
        <v>0</v>
      </c>
      <c r="CB169" s="1402">
        <f t="shared" si="21"/>
        <v>0</v>
      </c>
      <c r="CC169" s="336"/>
      <c r="CD169" s="1401">
        <f t="shared" si="22"/>
        <v>0</v>
      </c>
      <c r="CE169" s="336">
        <f t="shared" si="22"/>
        <v>0</v>
      </c>
      <c r="CF169" s="336">
        <f t="shared" si="22"/>
        <v>0</v>
      </c>
      <c r="CG169" s="1402">
        <f t="shared" si="22"/>
        <v>0</v>
      </c>
      <c r="CH169" s="336"/>
      <c r="CI169" s="1401">
        <f t="shared" si="23"/>
        <v>0</v>
      </c>
      <c r="CJ169" s="336">
        <f t="shared" si="23"/>
        <v>0</v>
      </c>
      <c r="CK169" s="336">
        <f t="shared" si="23"/>
        <v>0</v>
      </c>
      <c r="CL169" s="1402">
        <f t="shared" si="23"/>
        <v>0</v>
      </c>
      <c r="CM169" s="336"/>
      <c r="CN169" s="1401">
        <f t="shared" ref="CN169:CQ169" si="25">CN158*CN$155</f>
        <v>0</v>
      </c>
      <c r="CO169" s="336">
        <f t="shared" si="25"/>
        <v>0</v>
      </c>
      <c r="CP169" s="336">
        <f t="shared" si="25"/>
        <v>0</v>
      </c>
      <c r="CQ169" s="1402">
        <f t="shared" si="25"/>
        <v>0</v>
      </c>
      <c r="CR169" s="1402"/>
    </row>
    <row r="170" spans="1:96" ht="13.5" customHeight="1">
      <c r="A170" s="317"/>
      <c r="B170" s="317" t="s">
        <v>90</v>
      </c>
      <c r="C170" s="317"/>
      <c r="D170" s="318"/>
      <c r="E170" s="318"/>
      <c r="F170" s="318"/>
      <c r="G170" s="318"/>
      <c r="H170" s="348">
        <v>0</v>
      </c>
      <c r="I170" s="348"/>
      <c r="J170" s="348"/>
      <c r="K170" s="348"/>
      <c r="L170" s="348"/>
      <c r="M170" s="348"/>
      <c r="N170" s="348"/>
      <c r="O170" s="348"/>
      <c r="P170" s="348"/>
      <c r="Q170" s="348"/>
      <c r="R170" s="348"/>
      <c r="S170" s="348"/>
      <c r="T170" s="348"/>
      <c r="U170" s="348"/>
      <c r="V170" s="348"/>
      <c r="W170" s="348"/>
      <c r="X170" s="348"/>
      <c r="Y170" s="348"/>
      <c r="Z170" s="348"/>
      <c r="AA170" s="348"/>
      <c r="AB170" s="348"/>
      <c r="AC170" s="348"/>
      <c r="AD170" s="348"/>
      <c r="AE170" s="348"/>
      <c r="AF170" s="348"/>
      <c r="AG170" s="348"/>
      <c r="AH170" s="348"/>
      <c r="AI170" s="335">
        <f>AI159*AI9</f>
        <v>143.88489208633095</v>
      </c>
      <c r="AJ170" s="335">
        <f>+AI170</f>
        <v>143.88489208633095</v>
      </c>
      <c r="AK170" s="1401">
        <f>AK159*AK9</f>
        <v>150.6364389545831</v>
      </c>
      <c r="AL170" s="336">
        <f>AL159*AL9</f>
        <v>142.60249554367201</v>
      </c>
      <c r="AM170" s="336">
        <f>AM159*AM9</f>
        <v>136.81762210972775</v>
      </c>
      <c r="AN170" s="1402">
        <f>AN159*AN9</f>
        <v>139.40196556771448</v>
      </c>
      <c r="AO170" s="343">
        <f>+AN170</f>
        <v>139.40196556771448</v>
      </c>
      <c r="AP170" s="1401">
        <f>AP159*AP9</f>
        <v>147.79781259237365</v>
      </c>
      <c r="AQ170" s="336">
        <f>AQ159*AQ9</f>
        <v>0</v>
      </c>
      <c r="AR170" s="336">
        <f>AR159*AR9</f>
        <v>0</v>
      </c>
      <c r="AS170" s="1402">
        <f>AS159*AS9</f>
        <v>0</v>
      </c>
      <c r="AT170" s="343">
        <f>+AS170</f>
        <v>0</v>
      </c>
      <c r="AU170" s="1401">
        <f>AU159*AU9</f>
        <v>0</v>
      </c>
      <c r="AV170" s="336">
        <f>AV159*AV9</f>
        <v>0</v>
      </c>
      <c r="AW170" s="336">
        <f>AW159*AW9</f>
        <v>0</v>
      </c>
      <c r="AX170" s="1402">
        <f>AX159*AX9</f>
        <v>0</v>
      </c>
      <c r="AY170" s="343">
        <f>+AX170</f>
        <v>0</v>
      </c>
      <c r="AZ170" s="1401">
        <f>AZ159*AZ9</f>
        <v>0</v>
      </c>
      <c r="BA170" s="336">
        <f>BA159*BA9</f>
        <v>0</v>
      </c>
      <c r="BB170" s="336">
        <f>BB159*BB9</f>
        <v>0</v>
      </c>
      <c r="BC170" s="1402">
        <f>BC159*BC9</f>
        <v>0</v>
      </c>
      <c r="BD170" s="343">
        <f>+BC170</f>
        <v>0</v>
      </c>
      <c r="BE170" s="1401">
        <f>BE159*BE9</f>
        <v>0</v>
      </c>
      <c r="BF170" s="336">
        <f>BF159*BF9</f>
        <v>0</v>
      </c>
      <c r="BG170" s="336">
        <f>BG159*BG9</f>
        <v>0</v>
      </c>
      <c r="BH170" s="1402">
        <f>BH159*BH9</f>
        <v>0</v>
      </c>
      <c r="BI170" s="343">
        <f>+BH170</f>
        <v>0</v>
      </c>
      <c r="BJ170" s="1401">
        <f>BJ159*BJ9</f>
        <v>0</v>
      </c>
      <c r="BK170" s="336">
        <f>BK159*BK9</f>
        <v>0</v>
      </c>
      <c r="BL170" s="336">
        <f>BL159*BL9</f>
        <v>0</v>
      </c>
      <c r="BM170" s="1402">
        <f>BM159*BM9</f>
        <v>0</v>
      </c>
      <c r="BN170" s="343">
        <f>+BM170</f>
        <v>0</v>
      </c>
      <c r="BO170" s="1401">
        <f>BO159*BO9</f>
        <v>0</v>
      </c>
      <c r="BP170" s="336">
        <f>BP159*BP9</f>
        <v>0</v>
      </c>
      <c r="BQ170" s="336">
        <f>BQ159*BQ9</f>
        <v>0</v>
      </c>
      <c r="BR170" s="1402">
        <f>BR159*BR9</f>
        <v>0</v>
      </c>
      <c r="BS170" s="343">
        <f>+BR170</f>
        <v>0</v>
      </c>
      <c r="BT170" s="1401">
        <f>BT159*BT9</f>
        <v>0</v>
      </c>
      <c r="BU170" s="336">
        <f>BU159*BU9</f>
        <v>0</v>
      </c>
      <c r="BV170" s="336">
        <f>BV159*BV9</f>
        <v>0</v>
      </c>
      <c r="BW170" s="1402">
        <f>BW159*BW9</f>
        <v>0</v>
      </c>
      <c r="BX170" s="343">
        <f>+BW170</f>
        <v>0</v>
      </c>
      <c r="BY170" s="1401">
        <f>BY159*BY9</f>
        <v>0</v>
      </c>
      <c r="BZ170" s="336">
        <f>BZ159*BZ9</f>
        <v>0</v>
      </c>
      <c r="CA170" s="336">
        <f>CA159*CA9</f>
        <v>0</v>
      </c>
      <c r="CB170" s="1402">
        <f>CB159*CB9</f>
        <v>0</v>
      </c>
      <c r="CC170" s="343">
        <f>+CB170</f>
        <v>0</v>
      </c>
      <c r="CD170" s="1401">
        <f>CD159*CD9</f>
        <v>0</v>
      </c>
      <c r="CE170" s="336">
        <f>CE159*CE9</f>
        <v>0</v>
      </c>
      <c r="CF170" s="336">
        <f>CF159*CF9</f>
        <v>0</v>
      </c>
      <c r="CG170" s="1402">
        <f>CG159*CG9</f>
        <v>0</v>
      </c>
      <c r="CH170" s="343">
        <f>+CG170</f>
        <v>0</v>
      </c>
      <c r="CI170" s="1401">
        <f>CI159*CI9</f>
        <v>0</v>
      </c>
      <c r="CJ170" s="336">
        <f>CJ159*CJ9</f>
        <v>0</v>
      </c>
      <c r="CK170" s="336">
        <f>CK159*CK9</f>
        <v>0</v>
      </c>
      <c r="CL170" s="1402">
        <f>CL159*CL9</f>
        <v>0</v>
      </c>
      <c r="CM170" s="343">
        <f>+CL170</f>
        <v>0</v>
      </c>
      <c r="CN170" s="1401">
        <f>CN159*CN9</f>
        <v>0</v>
      </c>
      <c r="CO170" s="336">
        <f>CO159*CO9</f>
        <v>0</v>
      </c>
      <c r="CP170" s="336">
        <f>CP159*CP9</f>
        <v>0</v>
      </c>
      <c r="CQ170" s="1402">
        <f>CQ159*CQ9</f>
        <v>0</v>
      </c>
      <c r="CR170" s="1451">
        <f>+CQ170</f>
        <v>0</v>
      </c>
    </row>
    <row r="171" spans="1:96" ht="13.5" customHeight="1">
      <c r="A171" s="317"/>
      <c r="B171" s="317" t="s">
        <v>92</v>
      </c>
      <c r="C171" s="317"/>
      <c r="D171" s="318"/>
      <c r="E171" s="318"/>
      <c r="F171" s="318"/>
      <c r="G171" s="318"/>
      <c r="H171" s="335"/>
      <c r="I171" s="335"/>
      <c r="J171" s="335"/>
      <c r="K171" s="335"/>
      <c r="L171" s="335"/>
      <c r="M171" s="335"/>
      <c r="N171" s="335"/>
      <c r="O171" s="335"/>
      <c r="P171" s="335"/>
      <c r="Q171" s="335"/>
      <c r="R171" s="335"/>
      <c r="S171" s="335"/>
      <c r="T171" s="335"/>
      <c r="U171" s="335"/>
      <c r="V171" s="335"/>
      <c r="W171" s="335"/>
      <c r="X171" s="335"/>
      <c r="Y171" s="335"/>
      <c r="Z171" s="335"/>
      <c r="AA171" s="335"/>
      <c r="AB171" s="335"/>
      <c r="AC171" s="335"/>
      <c r="AD171" s="335"/>
      <c r="AE171" s="335"/>
      <c r="AF171" s="335"/>
      <c r="AG171" s="335"/>
      <c r="AH171" s="335"/>
      <c r="AI171" s="335"/>
      <c r="AJ171" s="335"/>
      <c r="AK171" s="1401">
        <f t="shared" ref="AK171:AN172" si="26">AK161*AK$155</f>
        <v>2.233423297540984</v>
      </c>
      <c r="AL171" s="336">
        <f t="shared" si="26"/>
        <v>1.1907349708255079</v>
      </c>
      <c r="AM171" s="336">
        <f t="shared" si="26"/>
        <v>1.1289539808760791</v>
      </c>
      <c r="AN171" s="1402">
        <f t="shared" si="26"/>
        <v>1.0988322548702316</v>
      </c>
      <c r="AO171" s="336"/>
      <c r="AP171" s="1401">
        <f t="shared" ref="AP171:AS172" si="27">AP161*AP$155</f>
        <v>1.1430148031738638</v>
      </c>
      <c r="AQ171" s="336">
        <f t="shared" si="27"/>
        <v>0.63751911549896434</v>
      </c>
      <c r="AR171" s="336">
        <f t="shared" si="27"/>
        <v>0</v>
      </c>
      <c r="AS171" s="1402">
        <f t="shared" si="27"/>
        <v>0</v>
      </c>
      <c r="AT171" s="336"/>
      <c r="AU171" s="1401">
        <f t="shared" ref="AU171:AX172" si="28">AU161*AU$155</f>
        <v>0</v>
      </c>
      <c r="AV171" s="336">
        <f t="shared" si="28"/>
        <v>0</v>
      </c>
      <c r="AW171" s="336">
        <f t="shared" si="28"/>
        <v>0</v>
      </c>
      <c r="AX171" s="1402">
        <f t="shared" si="28"/>
        <v>0</v>
      </c>
      <c r="AY171" s="336"/>
      <c r="AZ171" s="1401">
        <f t="shared" ref="AZ171:BC172" si="29">AZ161*AZ$155</f>
        <v>0</v>
      </c>
      <c r="BA171" s="336">
        <f t="shared" si="29"/>
        <v>0</v>
      </c>
      <c r="BB171" s="336">
        <f t="shared" si="29"/>
        <v>0</v>
      </c>
      <c r="BC171" s="1402">
        <f t="shared" si="29"/>
        <v>0</v>
      </c>
      <c r="BD171" s="336"/>
      <c r="BE171" s="1401">
        <f t="shared" ref="BE171:BH172" si="30">BE161*BE$155</f>
        <v>0</v>
      </c>
      <c r="BF171" s="336">
        <f t="shared" si="30"/>
        <v>0</v>
      </c>
      <c r="BG171" s="336">
        <f t="shared" si="30"/>
        <v>0</v>
      </c>
      <c r="BH171" s="1402">
        <f t="shared" si="30"/>
        <v>0</v>
      </c>
      <c r="BI171" s="336"/>
      <c r="BJ171" s="1401">
        <f t="shared" ref="BJ171:BM172" si="31">BJ161*BJ$155</f>
        <v>0</v>
      </c>
      <c r="BK171" s="336">
        <f t="shared" si="31"/>
        <v>0</v>
      </c>
      <c r="BL171" s="336">
        <f t="shared" si="31"/>
        <v>0</v>
      </c>
      <c r="BM171" s="1402">
        <f t="shared" si="31"/>
        <v>0</v>
      </c>
      <c r="BN171" s="336"/>
      <c r="BO171" s="1401">
        <f t="shared" ref="BO171:BR172" si="32">BO161*BO$155</f>
        <v>0</v>
      </c>
      <c r="BP171" s="336">
        <f t="shared" si="32"/>
        <v>0</v>
      </c>
      <c r="BQ171" s="336">
        <f t="shared" si="32"/>
        <v>0</v>
      </c>
      <c r="BR171" s="1402">
        <f t="shared" si="32"/>
        <v>0</v>
      </c>
      <c r="BS171" s="336"/>
      <c r="BT171" s="1401">
        <f t="shared" ref="BT171:BW172" si="33">BT161*BT$155</f>
        <v>0</v>
      </c>
      <c r="BU171" s="336">
        <f t="shared" si="33"/>
        <v>0</v>
      </c>
      <c r="BV171" s="336">
        <f t="shared" si="33"/>
        <v>0</v>
      </c>
      <c r="BW171" s="1402">
        <f t="shared" si="33"/>
        <v>0</v>
      </c>
      <c r="BX171" s="336"/>
      <c r="BY171" s="1401">
        <f t="shared" ref="BY171:BY172" si="34">BY161*BY$155</f>
        <v>0</v>
      </c>
      <c r="BZ171" s="336">
        <f t="shared" ref="BZ171:CB172" si="35">BZ161*BZ$155</f>
        <v>0</v>
      </c>
      <c r="CA171" s="336">
        <f t="shared" si="35"/>
        <v>0</v>
      </c>
      <c r="CB171" s="1402">
        <f t="shared" si="35"/>
        <v>0</v>
      </c>
      <c r="CC171" s="336"/>
      <c r="CD171" s="1401">
        <f t="shared" ref="CD171:CG172" si="36">CD161*CD$155</f>
        <v>0</v>
      </c>
      <c r="CE171" s="336">
        <f t="shared" si="36"/>
        <v>0</v>
      </c>
      <c r="CF171" s="336">
        <f t="shared" si="36"/>
        <v>0</v>
      </c>
      <c r="CG171" s="1402">
        <f t="shared" si="36"/>
        <v>0</v>
      </c>
      <c r="CH171" s="336"/>
      <c r="CI171" s="1401">
        <f t="shared" ref="CI171:CL172" si="37">CI161*CI$155</f>
        <v>0</v>
      </c>
      <c r="CJ171" s="336">
        <f t="shared" si="37"/>
        <v>0</v>
      </c>
      <c r="CK171" s="336">
        <f t="shared" si="37"/>
        <v>0</v>
      </c>
      <c r="CL171" s="1402">
        <f t="shared" si="37"/>
        <v>0</v>
      </c>
      <c r="CM171" s="336"/>
      <c r="CN171" s="1401">
        <f t="shared" ref="CN171:CQ171" si="38">CN161*CN$155</f>
        <v>0</v>
      </c>
      <c r="CO171" s="336">
        <f t="shared" si="38"/>
        <v>0</v>
      </c>
      <c r="CP171" s="336">
        <f t="shared" si="38"/>
        <v>0</v>
      </c>
      <c r="CQ171" s="1402">
        <f t="shared" si="38"/>
        <v>0</v>
      </c>
      <c r="CR171" s="1402"/>
    </row>
    <row r="172" spans="1:96" ht="13.5" customHeight="1">
      <c r="A172" s="317"/>
      <c r="B172" s="317" t="s">
        <v>93</v>
      </c>
      <c r="C172" s="317"/>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c r="AA172" s="318"/>
      <c r="AB172" s="318"/>
      <c r="AC172" s="318"/>
      <c r="AD172" s="318"/>
      <c r="AE172" s="318"/>
      <c r="AF172" s="318"/>
      <c r="AG172" s="318"/>
      <c r="AH172" s="318"/>
      <c r="AI172" s="335"/>
      <c r="AJ172" s="318"/>
      <c r="AK172" s="1401">
        <f t="shared" si="26"/>
        <v>2.233423297540984</v>
      </c>
      <c r="AL172" s="336">
        <f t="shared" si="26"/>
        <v>1.1907349708255079</v>
      </c>
      <c r="AM172" s="336">
        <f t="shared" si="26"/>
        <v>1.1289539808760791</v>
      </c>
      <c r="AN172" s="1402">
        <f t="shared" si="26"/>
        <v>1.0988322548702316</v>
      </c>
      <c r="AO172" s="319"/>
      <c r="AP172" s="1401">
        <f t="shared" si="27"/>
        <v>1.1430148031738638</v>
      </c>
      <c r="AQ172" s="336">
        <f t="shared" si="27"/>
        <v>0.63751911549896434</v>
      </c>
      <c r="AR172" s="336">
        <f t="shared" si="27"/>
        <v>0</v>
      </c>
      <c r="AS172" s="1402">
        <f t="shared" si="27"/>
        <v>0</v>
      </c>
      <c r="AT172" s="336"/>
      <c r="AU172" s="1401">
        <f t="shared" si="28"/>
        <v>0</v>
      </c>
      <c r="AV172" s="336">
        <f t="shared" si="28"/>
        <v>0</v>
      </c>
      <c r="AW172" s="336">
        <f t="shared" si="28"/>
        <v>0</v>
      </c>
      <c r="AX172" s="1402">
        <f t="shared" si="28"/>
        <v>0</v>
      </c>
      <c r="AY172" s="336"/>
      <c r="AZ172" s="1401">
        <f t="shared" si="29"/>
        <v>0</v>
      </c>
      <c r="BA172" s="336">
        <f t="shared" si="29"/>
        <v>0</v>
      </c>
      <c r="BB172" s="336">
        <f t="shared" si="29"/>
        <v>0</v>
      </c>
      <c r="BC172" s="1402">
        <f t="shared" si="29"/>
        <v>0</v>
      </c>
      <c r="BD172" s="336"/>
      <c r="BE172" s="1401">
        <f t="shared" si="30"/>
        <v>0</v>
      </c>
      <c r="BF172" s="336">
        <f t="shared" si="30"/>
        <v>0</v>
      </c>
      <c r="BG172" s="336">
        <f t="shared" si="30"/>
        <v>0</v>
      </c>
      <c r="BH172" s="1402">
        <f t="shared" si="30"/>
        <v>0</v>
      </c>
      <c r="BI172" s="336"/>
      <c r="BJ172" s="1401">
        <f t="shared" si="31"/>
        <v>0</v>
      </c>
      <c r="BK172" s="336">
        <f t="shared" si="31"/>
        <v>0</v>
      </c>
      <c r="BL172" s="336">
        <f t="shared" si="31"/>
        <v>0</v>
      </c>
      <c r="BM172" s="1402">
        <f t="shared" si="31"/>
        <v>0</v>
      </c>
      <c r="BN172" s="336"/>
      <c r="BO172" s="1401">
        <f t="shared" si="32"/>
        <v>0</v>
      </c>
      <c r="BP172" s="336">
        <f t="shared" si="32"/>
        <v>0</v>
      </c>
      <c r="BQ172" s="336">
        <f t="shared" si="32"/>
        <v>0</v>
      </c>
      <c r="BR172" s="1402">
        <f t="shared" si="32"/>
        <v>0</v>
      </c>
      <c r="BS172" s="336"/>
      <c r="BT172" s="1401">
        <f t="shared" si="33"/>
        <v>0</v>
      </c>
      <c r="BU172" s="336">
        <f t="shared" si="33"/>
        <v>0</v>
      </c>
      <c r="BV172" s="336">
        <f t="shared" si="33"/>
        <v>0</v>
      </c>
      <c r="BW172" s="1402">
        <f t="shared" si="33"/>
        <v>0</v>
      </c>
      <c r="BX172" s="336"/>
      <c r="BY172" s="1401">
        <f t="shared" si="34"/>
        <v>0</v>
      </c>
      <c r="BZ172" s="336">
        <f t="shared" si="35"/>
        <v>0</v>
      </c>
      <c r="CA172" s="336">
        <f t="shared" si="35"/>
        <v>0</v>
      </c>
      <c r="CB172" s="1402">
        <f t="shared" si="35"/>
        <v>0</v>
      </c>
      <c r="CC172" s="336"/>
      <c r="CD172" s="1401">
        <f t="shared" si="36"/>
        <v>0</v>
      </c>
      <c r="CE172" s="336">
        <f t="shared" si="36"/>
        <v>0</v>
      </c>
      <c r="CF172" s="336">
        <f t="shared" si="36"/>
        <v>0</v>
      </c>
      <c r="CG172" s="1402">
        <f t="shared" si="36"/>
        <v>0</v>
      </c>
      <c r="CH172" s="336"/>
      <c r="CI172" s="1401">
        <f t="shared" si="37"/>
        <v>0</v>
      </c>
      <c r="CJ172" s="336">
        <f t="shared" si="37"/>
        <v>0</v>
      </c>
      <c r="CK172" s="336">
        <f t="shared" si="37"/>
        <v>0</v>
      </c>
      <c r="CL172" s="1402">
        <f t="shared" si="37"/>
        <v>0</v>
      </c>
      <c r="CM172" s="336"/>
      <c r="CN172" s="1401">
        <f t="shared" ref="CN172:CQ172" si="39">CN162*CN$155</f>
        <v>0</v>
      </c>
      <c r="CO172" s="336">
        <f t="shared" si="39"/>
        <v>0</v>
      </c>
      <c r="CP172" s="336">
        <f t="shared" si="39"/>
        <v>0</v>
      </c>
      <c r="CQ172" s="1402">
        <f t="shared" si="39"/>
        <v>0</v>
      </c>
      <c r="CR172" s="1402"/>
    </row>
    <row r="173" spans="1:96" ht="13.5" customHeight="1">
      <c r="A173" s="317"/>
      <c r="B173" s="317" t="s">
        <v>117</v>
      </c>
      <c r="C173" s="317"/>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c r="AA173" s="318"/>
      <c r="AB173" s="318"/>
      <c r="AC173" s="318"/>
      <c r="AD173" s="318"/>
      <c r="AE173" s="318"/>
      <c r="AF173" s="318"/>
      <c r="AG173" s="318"/>
      <c r="AH173" s="318"/>
      <c r="AI173" s="335"/>
      <c r="AJ173" s="318"/>
      <c r="AK173" s="1401">
        <f>AK165*AK$155</f>
        <v>0</v>
      </c>
      <c r="AL173" s="336">
        <f>AL165*AL$155</f>
        <v>0</v>
      </c>
      <c r="AM173" s="336">
        <f>AM165*AM$155</f>
        <v>0</v>
      </c>
      <c r="AN173" s="1402">
        <f>AN165*AN$155</f>
        <v>0</v>
      </c>
      <c r="AO173" s="319"/>
      <c r="AP173" s="1401">
        <f>AP165*AP$155</f>
        <v>0</v>
      </c>
      <c r="AQ173" s="336">
        <f>AQ165*AQ$155</f>
        <v>5.83268339218097E-2</v>
      </c>
      <c r="AR173" s="336">
        <f>AR165*AR$155</f>
        <v>0.1161664936884292</v>
      </c>
      <c r="AS173" s="1402">
        <f>AS165*AS$155</f>
        <v>0.1098740111338998</v>
      </c>
      <c r="AT173" s="336"/>
      <c r="AU173" s="1401">
        <f>AU165*AU$155</f>
        <v>0.1098740111338998</v>
      </c>
      <c r="AV173" s="336">
        <f>AV165*AV$155</f>
        <v>0.1098740111338998</v>
      </c>
      <c r="AW173" s="336">
        <f>AW165*AW$155</f>
        <v>5.4937005566949901E-2</v>
      </c>
      <c r="AX173" s="1402">
        <f>AX165*AX$155</f>
        <v>0</v>
      </c>
      <c r="AY173" s="336"/>
      <c r="AZ173" s="1401">
        <f>AZ165*AZ$155</f>
        <v>0</v>
      </c>
      <c r="BA173" s="336">
        <f>BA165*BA$155</f>
        <v>0</v>
      </c>
      <c r="BB173" s="336">
        <f>BB165*BB$155</f>
        <v>0</v>
      </c>
      <c r="BC173" s="1402">
        <f>BC165*BC$155</f>
        <v>0</v>
      </c>
      <c r="BD173" s="336"/>
      <c r="BE173" s="1401">
        <f>BE165*BE$155</f>
        <v>0</v>
      </c>
      <c r="BF173" s="336">
        <f>BF165*BF$155</f>
        <v>0</v>
      </c>
      <c r="BG173" s="336">
        <f>BG165*BG$155</f>
        <v>0</v>
      </c>
      <c r="BH173" s="1402">
        <f>BH165*BH$155</f>
        <v>0</v>
      </c>
      <c r="BI173" s="336"/>
      <c r="BJ173" s="1401">
        <f>BJ165*BJ$155</f>
        <v>0</v>
      </c>
      <c r="BK173" s="336">
        <f>BK165*BK$155</f>
        <v>0</v>
      </c>
      <c r="BL173" s="336">
        <f>BL165*BL$155</f>
        <v>0</v>
      </c>
      <c r="BM173" s="1402">
        <f>BM165*BM$155</f>
        <v>0</v>
      </c>
      <c r="BN173" s="336"/>
      <c r="BO173" s="1401">
        <f>BO165*BO$155</f>
        <v>0</v>
      </c>
      <c r="BP173" s="336">
        <f>BP165*BP$155</f>
        <v>0</v>
      </c>
      <c r="BQ173" s="336">
        <f>BQ165*BQ$155</f>
        <v>0</v>
      </c>
      <c r="BR173" s="1402">
        <f>BR165*BR$155</f>
        <v>0</v>
      </c>
      <c r="BS173" s="336"/>
      <c r="BT173" s="1401">
        <f>BT165*BT$155</f>
        <v>0</v>
      </c>
      <c r="BU173" s="336">
        <f>BU165*BU$155</f>
        <v>0</v>
      </c>
      <c r="BV173" s="336">
        <f>BV165*BV$155</f>
        <v>0</v>
      </c>
      <c r="BW173" s="1402">
        <f>BW165*BW$155</f>
        <v>0</v>
      </c>
      <c r="BX173" s="336"/>
      <c r="BY173" s="1401">
        <f>BY165*BY$155</f>
        <v>0</v>
      </c>
      <c r="BZ173" s="336">
        <f>BZ165*BZ$155</f>
        <v>0</v>
      </c>
      <c r="CA173" s="336">
        <f>CA165*CA$155</f>
        <v>0</v>
      </c>
      <c r="CB173" s="1402">
        <f>CB165*CB$155</f>
        <v>0</v>
      </c>
      <c r="CC173" s="336"/>
      <c r="CD173" s="1401">
        <f>CD165*CD$155</f>
        <v>0</v>
      </c>
      <c r="CE173" s="336">
        <f>CE165*CE$155</f>
        <v>0</v>
      </c>
      <c r="CF173" s="336">
        <f>CF165*CF$155</f>
        <v>0</v>
      </c>
      <c r="CG173" s="1402">
        <f>CG165*CG$155</f>
        <v>0</v>
      </c>
      <c r="CH173" s="336"/>
      <c r="CI173" s="1401">
        <f>CI165*CI$155</f>
        <v>0</v>
      </c>
      <c r="CJ173" s="336">
        <f>CJ165*CJ$155</f>
        <v>0</v>
      </c>
      <c r="CK173" s="336">
        <f>CK165*CK$155</f>
        <v>0</v>
      </c>
      <c r="CL173" s="1402">
        <f>CL165*CL$155</f>
        <v>0</v>
      </c>
      <c r="CM173" s="336"/>
      <c r="CN173" s="1401">
        <f>CN165*CN$155</f>
        <v>0</v>
      </c>
      <c r="CO173" s="336">
        <f>CO165*CO$155</f>
        <v>0</v>
      </c>
      <c r="CP173" s="336">
        <f>CP165*CP$155</f>
        <v>0</v>
      </c>
      <c r="CQ173" s="1402">
        <f>CQ165*CQ$155</f>
        <v>0</v>
      </c>
      <c r="CR173" s="1402"/>
    </row>
    <row r="174" spans="1:96" ht="13.5" customHeight="1">
      <c r="A174" s="317"/>
      <c r="B174" s="317" t="s">
        <v>108</v>
      </c>
      <c r="C174" s="317"/>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c r="AA174" s="318"/>
      <c r="AB174" s="318"/>
      <c r="AC174" s="318"/>
      <c r="AD174" s="318"/>
      <c r="AE174" s="318"/>
      <c r="AF174" s="318"/>
      <c r="AG174" s="318"/>
      <c r="AH174" s="318"/>
      <c r="AI174" s="335"/>
      <c r="AJ174" s="318"/>
      <c r="AK174" s="1401">
        <f>-(AK167-AK168+AK169-AK170)</f>
        <v>6.7515468682521487</v>
      </c>
      <c r="AL174" s="336">
        <f>-(AL167-AL168+AL169-AL170)</f>
        <v>-8.0339434109110925</v>
      </c>
      <c r="AM174" s="336">
        <f>-(AM167-AM168+AM169-AM170)</f>
        <v>-5.7848734339442558</v>
      </c>
      <c r="AN174" s="1402">
        <f>-(AN167-AN168+AN169-AN170)</f>
        <v>2.5843434579867335</v>
      </c>
      <c r="AO174" s="319"/>
      <c r="AP174" s="1401">
        <f>-(AP167-AP168+AP169-AP170)</f>
        <v>8.3958470246591617</v>
      </c>
      <c r="AQ174" s="336">
        <f>-(AQ167-AQ168+AQ169-AQ170)</f>
        <v>-147.79781259237365</v>
      </c>
      <c r="AR174" s="336">
        <f>-(AR167-AR168+AR169-AR170)</f>
        <v>0</v>
      </c>
      <c r="AS174" s="1402">
        <f>-(AS167-AS168+AS169-AS170)</f>
        <v>0</v>
      </c>
      <c r="AT174" s="336"/>
      <c r="AU174" s="1401">
        <f>-(AU167-AU168+AU169-AU170)</f>
        <v>0</v>
      </c>
      <c r="AV174" s="336">
        <f>-(AV167-AV168+AV169-AV170)</f>
        <v>0</v>
      </c>
      <c r="AW174" s="336">
        <f>-(AW167-AW168+AW169-AW170)</f>
        <v>0</v>
      </c>
      <c r="AX174" s="1402">
        <f>-(AX167-AX168+AX169-AX170)</f>
        <v>0</v>
      </c>
      <c r="AY174" s="336"/>
      <c r="AZ174" s="1401">
        <f>-(AZ167-AZ168+AZ169-AZ170)</f>
        <v>0</v>
      </c>
      <c r="BA174" s="336">
        <f>-(BA167-BA168+BA169-BA170)</f>
        <v>0</v>
      </c>
      <c r="BB174" s="336">
        <f>-(BB167-BB168+BB169-BB170)</f>
        <v>0</v>
      </c>
      <c r="BC174" s="1402">
        <f>-(BC167-BC168+BC169-BC170)</f>
        <v>0</v>
      </c>
      <c r="BD174" s="336"/>
      <c r="BE174" s="1401">
        <f>-(BE167-BE168+BE169-BE170)</f>
        <v>0</v>
      </c>
      <c r="BF174" s="336">
        <f>-(BF167-BF168+BF169-BF170)</f>
        <v>0</v>
      </c>
      <c r="BG174" s="336">
        <f>-(BG167-BG168+BG169-BG170)</f>
        <v>0</v>
      </c>
      <c r="BH174" s="1402">
        <f>-(BH167-BH168+BH169-BH170)</f>
        <v>0</v>
      </c>
      <c r="BI174" s="336"/>
      <c r="BJ174" s="1401">
        <f>-(BJ167-BJ168+BJ169-BJ170)</f>
        <v>0</v>
      </c>
      <c r="BK174" s="336">
        <f>-(BK167-BK168+BK169-BK170)</f>
        <v>0</v>
      </c>
      <c r="BL174" s="336">
        <f>-(BL167-BL168+BL169-BL170)</f>
        <v>0</v>
      </c>
      <c r="BM174" s="1402">
        <f>-(BM167-BM168+BM169-BM170)</f>
        <v>0</v>
      </c>
      <c r="BN174" s="336"/>
      <c r="BO174" s="1401">
        <f>-(BO167-BO168+BO169-BO170)</f>
        <v>0</v>
      </c>
      <c r="BP174" s="336">
        <f>-(BP167-BP168+BP169-BP170)</f>
        <v>0</v>
      </c>
      <c r="BQ174" s="336">
        <f>-(BQ167-BQ168+BQ169-BQ170)</f>
        <v>0</v>
      </c>
      <c r="BR174" s="1402">
        <f>-(BR167-BR168+BR169-BR170)</f>
        <v>0</v>
      </c>
      <c r="BS174" s="336"/>
      <c r="BT174" s="1401">
        <f>-(BT167-BT168+BT169-BT170)</f>
        <v>0</v>
      </c>
      <c r="BU174" s="336">
        <f>-(BU167-BU168+BU169-BU170)</f>
        <v>0</v>
      </c>
      <c r="BV174" s="336">
        <f>-(BV167-BV168+BV169-BV170)</f>
        <v>0</v>
      </c>
      <c r="BW174" s="1402">
        <f>-(BW167-BW168+BW169-BW170)</f>
        <v>0</v>
      </c>
      <c r="BX174" s="336"/>
      <c r="BY174" s="1401">
        <f>-(BY167-BY168+BY169-BY170)</f>
        <v>0</v>
      </c>
      <c r="BZ174" s="336">
        <f>-(BZ167-BZ168+BZ169-BZ170)</f>
        <v>0</v>
      </c>
      <c r="CA174" s="336">
        <f>-(CA167-CA168+CA169-CA170)</f>
        <v>0</v>
      </c>
      <c r="CB174" s="1402">
        <f>-(CB167-CB168+CB169-CB170)</f>
        <v>0</v>
      </c>
      <c r="CC174" s="336"/>
      <c r="CD174" s="1401">
        <f>-(CD167-CD168+CD169-CD170)</f>
        <v>0</v>
      </c>
      <c r="CE174" s="336">
        <f>-(CE167-CE168+CE169-CE170)</f>
        <v>0</v>
      </c>
      <c r="CF174" s="336">
        <f>-(CF167-CF168+CF169-CF170)</f>
        <v>0</v>
      </c>
      <c r="CG174" s="1402">
        <f>-(CG167-CG168+CG169-CG170)</f>
        <v>0</v>
      </c>
      <c r="CH174" s="336"/>
      <c r="CI174" s="1401">
        <f>-(CI167-CI168+CI169-CI170)</f>
        <v>0</v>
      </c>
      <c r="CJ174" s="336">
        <f>-(CJ167-CJ168+CJ169-CJ170)</f>
        <v>0</v>
      </c>
      <c r="CK174" s="336">
        <f>-(CK167-CK168+CK169-CK170)</f>
        <v>0</v>
      </c>
      <c r="CL174" s="1402">
        <f>-(CL167-CL168+CL169-CL170)</f>
        <v>0</v>
      </c>
      <c r="CM174" s="336"/>
      <c r="CN174" s="1401">
        <f>-(CN167-CN168+CN169-CN170)</f>
        <v>0</v>
      </c>
      <c r="CO174" s="336">
        <f>-(CO167-CO168+CO169-CO170)</f>
        <v>0</v>
      </c>
      <c r="CP174" s="336">
        <f>-(CP167-CP168+CP169-CP170)</f>
        <v>0</v>
      </c>
      <c r="CQ174" s="1402">
        <f>-(CQ167-CQ168+CQ169-CQ170)</f>
        <v>0</v>
      </c>
      <c r="CR174" s="1402"/>
    </row>
    <row r="175" spans="1:96" ht="6.2" customHeight="1">
      <c r="A175" s="317"/>
      <c r="B175" s="317"/>
      <c r="C175" s="317"/>
      <c r="D175" s="318"/>
      <c r="E175" s="318"/>
      <c r="F175" s="318"/>
      <c r="G175" s="319"/>
      <c r="H175" s="318"/>
      <c r="I175" s="318"/>
      <c r="J175" s="318"/>
      <c r="K175" s="318"/>
      <c r="L175" s="318"/>
      <c r="M175" s="318"/>
      <c r="N175" s="318"/>
      <c r="O175" s="318"/>
      <c r="P175" s="318"/>
      <c r="Q175" s="318"/>
      <c r="R175" s="318"/>
      <c r="S175" s="318"/>
      <c r="T175" s="318"/>
      <c r="U175" s="318"/>
      <c r="V175" s="318"/>
      <c r="W175" s="318"/>
      <c r="X175" s="318"/>
      <c r="Y175" s="318"/>
      <c r="Z175" s="318"/>
      <c r="AA175" s="318"/>
      <c r="AB175" s="318"/>
      <c r="AC175" s="318"/>
      <c r="AD175" s="318"/>
      <c r="AE175" s="318"/>
      <c r="AF175" s="318"/>
      <c r="AG175" s="318"/>
      <c r="AH175" s="318"/>
      <c r="AI175" s="335"/>
      <c r="AJ175" s="318"/>
      <c r="AK175" s="1409"/>
      <c r="AL175" s="353"/>
      <c r="AM175" s="353"/>
      <c r="AN175" s="1410"/>
      <c r="AO175" s="319"/>
      <c r="AP175" s="1409"/>
      <c r="AQ175" s="353"/>
      <c r="AR175" s="353"/>
      <c r="AS175" s="1410"/>
      <c r="AT175" s="336"/>
      <c r="AU175" s="1409"/>
      <c r="AV175" s="353"/>
      <c r="AW175" s="353"/>
      <c r="AX175" s="1410"/>
      <c r="AY175" s="336"/>
      <c r="AZ175" s="1409"/>
      <c r="BA175" s="353"/>
      <c r="BB175" s="353"/>
      <c r="BC175" s="1410"/>
      <c r="BD175" s="336"/>
      <c r="BE175" s="1409"/>
      <c r="BF175" s="353"/>
      <c r="BG175" s="353"/>
      <c r="BH175" s="1410"/>
      <c r="BI175" s="336"/>
      <c r="BJ175" s="1409"/>
      <c r="BK175" s="353"/>
      <c r="BL175" s="353"/>
      <c r="BM175" s="1410"/>
      <c r="BN175" s="336"/>
      <c r="BO175" s="1409"/>
      <c r="BP175" s="353"/>
      <c r="BQ175" s="353"/>
      <c r="BR175" s="1410"/>
      <c r="BS175" s="336"/>
      <c r="BT175" s="1409"/>
      <c r="BU175" s="353"/>
      <c r="BV175" s="353"/>
      <c r="BW175" s="1410"/>
      <c r="BX175" s="336"/>
      <c r="BY175" s="1409"/>
      <c r="BZ175" s="353"/>
      <c r="CA175" s="353"/>
      <c r="CB175" s="1410"/>
      <c r="CC175" s="336"/>
      <c r="CD175" s="1409"/>
      <c r="CE175" s="353"/>
      <c r="CF175" s="353"/>
      <c r="CG175" s="1410"/>
      <c r="CH175" s="336"/>
      <c r="CI175" s="1409"/>
      <c r="CJ175" s="353"/>
      <c r="CK175" s="353"/>
      <c r="CL175" s="1410"/>
      <c r="CM175" s="336"/>
      <c r="CN175" s="1409"/>
      <c r="CO175" s="353"/>
      <c r="CP175" s="353"/>
      <c r="CQ175" s="1410"/>
      <c r="CR175" s="1402"/>
    </row>
    <row r="176" spans="1:96" ht="13.5" customHeight="1">
      <c r="A176" s="357" t="s">
        <v>827</v>
      </c>
      <c r="B176" s="358"/>
      <c r="C176" s="358"/>
      <c r="D176" s="359"/>
      <c r="E176" s="359"/>
      <c r="F176" s="359"/>
      <c r="G176" s="359"/>
      <c r="H176" s="360"/>
      <c r="I176" s="360"/>
      <c r="J176" s="360"/>
      <c r="K176" s="360"/>
      <c r="L176" s="360"/>
      <c r="M176" s="360"/>
      <c r="N176" s="360"/>
      <c r="O176" s="360"/>
      <c r="P176" s="360"/>
      <c r="Q176" s="360"/>
      <c r="R176" s="360"/>
      <c r="S176" s="360"/>
      <c r="T176" s="360"/>
      <c r="U176" s="360"/>
      <c r="V176" s="360"/>
      <c r="W176" s="360"/>
      <c r="X176" s="360"/>
      <c r="Y176" s="360"/>
      <c r="Z176" s="360"/>
      <c r="AA176" s="360"/>
      <c r="AB176" s="360"/>
      <c r="AC176" s="360"/>
      <c r="AD176" s="360"/>
      <c r="AE176" s="360"/>
      <c r="AF176" s="360"/>
      <c r="AG176" s="360"/>
      <c r="AH176" s="360"/>
      <c r="AI176" s="360">
        <f>AI16+AI26+AI34+AI42+AI66+AI74+AI82+AI123+AI132+AI170+AI58+AI50</f>
        <v>3019.3915749538887</v>
      </c>
      <c r="AJ176" s="360">
        <f>AJ16+AJ26+AJ34+AJ42+AJ66+AJ74+AJ82+AJ123+AJ132+AJ170</f>
        <v>3019.3915749538887</v>
      </c>
      <c r="AK176" s="1413">
        <f>AK16+AK26+AK34+AK42+AK66+AK74+AK82+AK123+AK132+AK170</f>
        <v>3023.8638453610688</v>
      </c>
      <c r="AL176" s="361">
        <f>AL16+AL26+AL34+AL42+AL66+AL74+AL82+AL123+AL132+AL140+AL170</f>
        <v>3233.2680858304197</v>
      </c>
      <c r="AM176" s="361">
        <f>AM16+AM26+AM34+AM42+AM66+AM74+AM82+AM123+AM132+AM140+AM170</f>
        <v>3238.0735151498843</v>
      </c>
      <c r="AN176" s="1414">
        <f>AN16+AN26+AN34+AN42+AN66+AN74+AN82+AN123+AN132+AN140+AN170</f>
        <v>3243.9907760227366</v>
      </c>
      <c r="AO176" s="361">
        <f>AO16+AO26+AO34+AO42+AO66+AO74+AO82+AO123+AO132+AO140+AO170</f>
        <v>3243.9907760227366</v>
      </c>
      <c r="AP176" s="1413">
        <f t="shared" ref="AP176:AY176" si="40">AP16+AP42+AP58+AP66+AP74+AP82+AP123+AP132+AP140+AP170</f>
        <v>3857.1538993346112</v>
      </c>
      <c r="AQ176" s="361">
        <f t="shared" si="40"/>
        <v>3702.6631846414457</v>
      </c>
      <c r="AR176" s="361">
        <f t="shared" si="40"/>
        <v>3706.7273347631117</v>
      </c>
      <c r="AS176" s="1414">
        <f t="shared" si="40"/>
        <v>3706.7273347631117</v>
      </c>
      <c r="AT176" s="361">
        <f t="shared" si="40"/>
        <v>3706.7273347631117</v>
      </c>
      <c r="AU176" s="1413">
        <f t="shared" si="40"/>
        <v>3706.7273347631117</v>
      </c>
      <c r="AV176" s="361">
        <f t="shared" si="40"/>
        <v>3706.7273347631117</v>
      </c>
      <c r="AW176" s="361">
        <f t="shared" si="40"/>
        <v>3706.7273347631117</v>
      </c>
      <c r="AX176" s="1414">
        <f t="shared" si="40"/>
        <v>3706.7273347631117</v>
      </c>
      <c r="AY176" s="361">
        <f t="shared" si="40"/>
        <v>3706.7273347631117</v>
      </c>
      <c r="AZ176" s="1413">
        <f>AZ16+AZ42+AZ58+AZ66+AZ74+AZ82+AZ123+AZ132+AZ140+AZ170+AZ50</f>
        <v>4106.7273347631117</v>
      </c>
      <c r="BA176" s="361">
        <f>BA16+BA42+BA58+BA66+BA74+BA82+BA123+BA132+BA140+BA170+BA50</f>
        <v>3806.7273347631117</v>
      </c>
      <c r="BB176" s="361">
        <f>BB16+BB42+BB58+BB66+BB74+BB82+BB123+BB132+BB140+BB170+BB50</f>
        <v>3806.7273347631117</v>
      </c>
      <c r="BC176" s="1414">
        <f>BC16+BC42+BC58+BC66+BC74+BC82+BC123+BC132+BC140+BC170+BC50</f>
        <v>3806.7273347631117</v>
      </c>
      <c r="BD176" s="361">
        <f>BD16+BD42+BD58+BD66+BD74+BD82+BD123+BD132+BD140+BD170+BD50</f>
        <v>3806.7273347631117</v>
      </c>
      <c r="BE176" s="1413">
        <f>BE16+BE42+BE58+BE66+BE74+BE82+BE123+BE132+BE140+BE170+BE50+BE148+BE90</f>
        <v>3856.1293347631117</v>
      </c>
      <c r="BF176" s="361">
        <f>BF16+BF42+BF58+BF66+BF74+BF82+BF123+BF132+BF140+BF170+BF50+BF148+BF90</f>
        <v>4008.7591428571432</v>
      </c>
      <c r="BG176" s="361">
        <f>BG16+BG42+BG58+BG66+BG74+BG82+BG123+BG132+BG140+BG170+BG50+BG148+BG90</f>
        <v>4008.7591428571432</v>
      </c>
      <c r="BH176" s="1414">
        <f>BH16+BH42+BH58+BH66+BH74+BH82+BH123+BH132+BH140+BH170+BH50+BH148+BH90</f>
        <v>4008.7591428571432</v>
      </c>
      <c r="BI176" s="361">
        <f>BI16+BI42+BI58+BI66+BI74+BI82+BI123+BI132+BI140+BI170+BI50+BI148+BI90</f>
        <v>4008.7591428571432</v>
      </c>
      <c r="BJ176" s="1413">
        <f t="shared" ref="BJ176:BS176" si="41">BJ16+BJ42+BJ58+BJ66+BJ74+BJ82+BJ123+BJ132+BJ140+BJ170+BJ50+BJ148+BJ90+BJ159</f>
        <v>3973.7591428571432</v>
      </c>
      <c r="BK176" s="361">
        <f t="shared" si="41"/>
        <v>3653.1571428571433</v>
      </c>
      <c r="BL176" s="361">
        <f t="shared" si="41"/>
        <v>3510.3</v>
      </c>
      <c r="BM176" s="1414">
        <f t="shared" si="41"/>
        <v>3440.3</v>
      </c>
      <c r="BN176" s="361">
        <f t="shared" si="41"/>
        <v>3440.3</v>
      </c>
      <c r="BO176" s="1413">
        <f t="shared" si="41"/>
        <v>3440.3</v>
      </c>
      <c r="BP176" s="361">
        <f t="shared" si="41"/>
        <v>3440.3</v>
      </c>
      <c r="BQ176" s="361">
        <f t="shared" si="41"/>
        <v>3526</v>
      </c>
      <c r="BR176" s="1414">
        <f t="shared" si="41"/>
        <v>3166</v>
      </c>
      <c r="BS176" s="361">
        <f t="shared" si="41"/>
        <v>3166</v>
      </c>
      <c r="BT176" s="1413">
        <f t="shared" ref="BT176:BZ176" si="42">BT16+BT42+BT58+BT66+BT74+BT82+BT123+BT132+BT140+BT170+BT50+BT148+BT90+BT159+BT106</f>
        <v>3147</v>
      </c>
      <c r="BU176" s="361">
        <f t="shared" si="42"/>
        <v>3182</v>
      </c>
      <c r="BV176" s="361">
        <f t="shared" si="42"/>
        <v>3120</v>
      </c>
      <c r="BW176" s="1414">
        <f>BW16+BW42+BW58+BW66+BW74+BW82+BW123+BW132+BW140+BW170+BW50+BW148+BW90+BW159+BW106</f>
        <v>3069</v>
      </c>
      <c r="BX176" s="361">
        <f t="shared" si="42"/>
        <v>3069</v>
      </c>
      <c r="BY176" s="1413">
        <f t="shared" si="42"/>
        <v>3069</v>
      </c>
      <c r="BZ176" s="361">
        <f t="shared" si="42"/>
        <v>2961</v>
      </c>
      <c r="CA176" s="361">
        <f>CA16+CA42+CA58+CA66+CA74+CA82+CA123+CA132+CA140+CA170+CA50+CA148+CA90+CA159+CA106+CA98</f>
        <v>2939</v>
      </c>
      <c r="CB176" s="1414">
        <f>CB16+CB42+CB58+CB66+CB74+CB82+CB123+CB132+CB140+CB170+CB50+CB148+CB90+CB159+CB106+CB98</f>
        <v>2737</v>
      </c>
      <c r="CC176" s="361">
        <f t="shared" ref="CC176:CR176" si="43">CC16+CC42+CC58+CC66+CC74+CC82+CC123+CC132+CC140+CC170+CC50+CC148+CC90+CC159+CC106+CC98</f>
        <v>2737</v>
      </c>
      <c r="CD176" s="1413">
        <f t="shared" si="43"/>
        <v>2737</v>
      </c>
      <c r="CE176" s="361">
        <f t="shared" si="43"/>
        <v>2737</v>
      </c>
      <c r="CF176" s="361">
        <f t="shared" si="43"/>
        <v>2737</v>
      </c>
      <c r="CG176" s="1414">
        <f t="shared" si="43"/>
        <v>2737</v>
      </c>
      <c r="CH176" s="361">
        <f t="shared" si="43"/>
        <v>2737</v>
      </c>
      <c r="CI176" s="1413">
        <f t="shared" si="43"/>
        <v>2737</v>
      </c>
      <c r="CJ176" s="361">
        <f t="shared" si="43"/>
        <v>2737</v>
      </c>
      <c r="CK176" s="361">
        <f t="shared" si="43"/>
        <v>2737</v>
      </c>
      <c r="CL176" s="1414">
        <f t="shared" si="43"/>
        <v>2737</v>
      </c>
      <c r="CM176" s="361">
        <f t="shared" si="43"/>
        <v>2737</v>
      </c>
      <c r="CN176" s="1413">
        <f t="shared" si="43"/>
        <v>2737</v>
      </c>
      <c r="CO176" s="361">
        <f t="shared" si="43"/>
        <v>2737</v>
      </c>
      <c r="CP176" s="361">
        <f t="shared" si="43"/>
        <v>2737</v>
      </c>
      <c r="CQ176" s="1414">
        <f t="shared" si="43"/>
        <v>2737</v>
      </c>
      <c r="CR176" s="1414">
        <f t="shared" si="43"/>
        <v>2737</v>
      </c>
    </row>
    <row r="177" spans="1:96" ht="6.2" customHeight="1">
      <c r="A177" s="317"/>
      <c r="B177" s="317"/>
      <c r="C177" s="317"/>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c r="AA177" s="318"/>
      <c r="AB177" s="318"/>
      <c r="AC177" s="318"/>
      <c r="AD177" s="318"/>
      <c r="AE177" s="318"/>
      <c r="AF177" s="318"/>
      <c r="AG177" s="318"/>
      <c r="AH177" s="318"/>
      <c r="AI177" s="318"/>
      <c r="AJ177" s="318"/>
      <c r="AK177" s="1405"/>
      <c r="AL177" s="319"/>
      <c r="AM177" s="319"/>
      <c r="AN177" s="1406"/>
      <c r="AO177" s="362"/>
      <c r="AP177" s="1405"/>
      <c r="AQ177" s="319"/>
      <c r="AR177" s="319"/>
      <c r="AS177" s="1406"/>
      <c r="AT177" s="362"/>
      <c r="AU177" s="1405"/>
      <c r="AV177" s="319"/>
      <c r="AW177" s="319"/>
      <c r="AX177" s="1406"/>
      <c r="AY177" s="362"/>
      <c r="AZ177" s="1405"/>
      <c r="BA177" s="319"/>
      <c r="BB177" s="319"/>
      <c r="BC177" s="1406"/>
      <c r="BD177" s="362"/>
      <c r="BE177" s="1405"/>
      <c r="BF177" s="319"/>
      <c r="BG177" s="319"/>
      <c r="BH177" s="1406"/>
      <c r="BI177" s="362"/>
      <c r="BJ177" s="1405"/>
      <c r="BK177" s="319"/>
      <c r="BL177" s="319"/>
      <c r="BM177" s="1406"/>
      <c r="BN177" s="319"/>
      <c r="BO177" s="1405"/>
      <c r="BP177" s="319"/>
      <c r="BQ177" s="319"/>
      <c r="BR177" s="1406"/>
      <c r="BS177" s="362"/>
      <c r="BT177" s="1405"/>
      <c r="BU177" s="319"/>
      <c r="BV177" s="319"/>
      <c r="BW177" s="1406"/>
      <c r="BX177" s="362"/>
      <c r="BY177" s="1405"/>
      <c r="BZ177" s="319"/>
      <c r="CA177" s="319"/>
      <c r="CB177" s="1406"/>
      <c r="CC177" s="362"/>
      <c r="CD177" s="1405"/>
      <c r="CE177" s="319"/>
      <c r="CF177" s="319"/>
      <c r="CG177" s="1406"/>
      <c r="CH177" s="362"/>
      <c r="CI177" s="1405"/>
      <c r="CJ177" s="319"/>
      <c r="CK177" s="319"/>
      <c r="CL177" s="1406"/>
      <c r="CM177" s="362"/>
      <c r="CN177" s="1405"/>
      <c r="CO177" s="319"/>
      <c r="CP177" s="319"/>
      <c r="CQ177" s="1406"/>
      <c r="CR177" s="1453"/>
    </row>
    <row r="178" spans="1:96" ht="13.5" customHeight="1">
      <c r="A178" s="317"/>
      <c r="B178" s="317" t="s">
        <v>118</v>
      </c>
      <c r="C178" s="317"/>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c r="AA178" s="318"/>
      <c r="AB178" s="318"/>
      <c r="AC178" s="318"/>
      <c r="AD178" s="318"/>
      <c r="AE178" s="318"/>
      <c r="AF178" s="318"/>
      <c r="AG178" s="318"/>
      <c r="AH178" s="318"/>
      <c r="AI178" s="335"/>
      <c r="AJ178" s="335"/>
      <c r="AK178" s="1401">
        <f>AK18+AK28+AK36+AK44+AK68+AK76+AK84+AK125+AK134+AK171</f>
        <v>42.62213542956674</v>
      </c>
      <c r="AL178" s="336">
        <f>AL18+AL28+AL36+AL44+AL68+AL76+AL84+AL125+AL134+AL171+AL142</f>
        <v>43.267282759122949</v>
      </c>
      <c r="AM178" s="336">
        <f>AM18+AM28+AM36+AM44+AM68+AM76+AM84+AM125+AM134+AM171+AM142</f>
        <v>44.998460867695073</v>
      </c>
      <c r="AN178" s="1402">
        <f>AN18+AN28+AN36+AN44+AN68+AN76+AN84+AN125+AN134+AN171+AN142</f>
        <v>45.066081366053169</v>
      </c>
      <c r="AO178" s="336">
        <f>SUM(AK178:AN178)</f>
        <v>175.95396042243792</v>
      </c>
      <c r="AP178" s="1401">
        <f>AP18+AP44+AP60+AP68+AP76+AP84+AP125+AP134+AP171+AP142</f>
        <v>50.696610384076386</v>
      </c>
      <c r="AQ178" s="336">
        <f>AQ18+AQ44+AQ60+AQ68+AQ76+AQ84+AQ125+AQ134+AQ171+AQ142</f>
        <v>55.708678316686061</v>
      </c>
      <c r="AR178" s="336">
        <f>AR18+AR44+AR60+AR68+AR76+AR84+AR125+AR134+AR171+AR142</f>
        <v>55.04485166361124</v>
      </c>
      <c r="AS178" s="1402">
        <f>AS18+AS44+AS60+AS68+AS76+AS84+AS125+AS134+AS171+AS142</f>
        <v>55.08007321811548</v>
      </c>
      <c r="AT178" s="336">
        <f>SUM(AP178:AS178)</f>
        <v>216.53021358248915</v>
      </c>
      <c r="AU178" s="1401">
        <f>AU18+AU44+AU60+AU68+AU76+AU84+AU125+AU134+AU171+AU142+AU52</f>
        <v>55.080073218115473</v>
      </c>
      <c r="AV178" s="336">
        <f>AV18+AV44+AV60+AV68+AV76+AV84+AV125+AV134+AV171+AV142+AV52</f>
        <v>55.080073218115473</v>
      </c>
      <c r="AW178" s="336">
        <f>AW18+AW44+AW60+AW68+AW76+AW84+AW125+AW134+AW171+AW142+AW52</f>
        <v>55.080073218115473</v>
      </c>
      <c r="AX178" s="1402">
        <f>AX18+AX44+AX60+AX68+AX76+AX84+AX125+AX134+AX171+AX142+AX52</f>
        <v>55.080073218115473</v>
      </c>
      <c r="AY178" s="336">
        <f>SUM(AU178:AX178)</f>
        <v>220.32029287246189</v>
      </c>
      <c r="AZ178" s="1401">
        <f>AZ18+AZ44+AZ60+AZ68+AZ76+AZ84+AZ125+AZ134+AZ171+AZ142+AZ52+AZ150+AZ92</f>
        <v>56.823823218115471</v>
      </c>
      <c r="BA178" s="336">
        <f>BA18+BA44+BA60+BA68+BA76+BA84+BA125+BA134+BA171+BA142+BA52+BA150+BA92</f>
        <v>58.342573218115476</v>
      </c>
      <c r="BB178" s="336">
        <f>BB18+BB44+BB60+BB68+BB76+BB84+BB125+BB134+BB171+BB142+BB52+BB150+BB92</f>
        <v>58.342573218115476</v>
      </c>
      <c r="BC178" s="1402">
        <f>BC18+BC44+BC60+BC68+BC76+BC84+BC125+BC134+BC171+BC142+BC52+BC150+BC92</f>
        <v>58.342573218115476</v>
      </c>
      <c r="BD178" s="336">
        <f>SUM(AZ178:BC178)</f>
        <v>231.85154287246189</v>
      </c>
      <c r="BE178" s="1401">
        <f>BE18+BE44+BE60+BE68+BE76+BE84+BE125+BE134+BE171+BE142+BE52+BE150+BE92</f>
        <v>59.08364571811547</v>
      </c>
      <c r="BF178" s="336">
        <f>BF18+BF44+BF60+BF68+BF76+BF84+BF125+BF134+BF171+BF142+BF52+BF150+BF92</f>
        <v>62.238915625438729</v>
      </c>
      <c r="BG178" s="336">
        <f>BG18+BG44+BG60+BG68+BG76+BG84+BG125+BG134+BG171+BG142+BG52+BG150+BG92</f>
        <v>62.216150102040821</v>
      </c>
      <c r="BH178" s="1402">
        <f>BH18+BH44+BH60+BH68+BH76+BH84+BH125+BH134+BH171+BH142+BH52+BH150+BH92</f>
        <v>62.216150102040821</v>
      </c>
      <c r="BI178" s="336">
        <f>SUM(BE178:BH178)</f>
        <v>245.75486154763584</v>
      </c>
      <c r="BJ178" s="1401">
        <f>BJ18+BJ44+BJ60+BJ68+BJ76+BJ84+BJ125+BJ134+BJ171+BJ142+BJ52+BJ150+BJ92+BJ161</f>
        <v>61.942712602040821</v>
      </c>
      <c r="BK178" s="336">
        <f>BK18+BK44+BK60+BK68+BK76+BK84+BK125+BK134+BK171+BK142+BK52+BK150+BK92+BK161</f>
        <v>60.066265102040816</v>
      </c>
      <c r="BL178" s="336">
        <f>BL18+BL44+BL60+BL68+BL76+BL84+BL125+BL134+BL171+BL142+BL52+BL150+BL92+BL161</f>
        <v>58.284683673469388</v>
      </c>
      <c r="BM178" s="1402">
        <f>BM18+BM44+BM60+BM68+BM76+BM84+BM125+BM134+BM171+BM142+BM52+BM150+BM92+BM161</f>
        <v>57.559237244897957</v>
      </c>
      <c r="BN178" s="336">
        <f>SUM(BJ178:BM178)</f>
        <v>237.85289862244898</v>
      </c>
      <c r="BO178" s="1401">
        <f>BO18+BO44+BO60+BO68+BO76+BO84+BO125+BO134+BO171+BO142+BO52+BO150+BO92+BO161</f>
        <v>55.41675</v>
      </c>
      <c r="BP178" s="336">
        <f>BP18+BP44+BP60+BP68+BP76+BP84+BP125+BP134+BP171+BP142+BP52+BP150+BP92+BP161</f>
        <v>55.41675</v>
      </c>
      <c r="BQ178" s="336">
        <f>BQ18+BQ44+BQ60+BQ68+BQ76+BQ84+BQ125+BQ134+BQ171+BQ142+BQ52+BQ150+BQ92+BQ161</f>
        <v>56.087593749999996</v>
      </c>
      <c r="BR178" s="1402">
        <f>BR18+BR44+BR60+BR68+BR76+BR84+BR125+BR134+BR171+BR142+BR52+BR150+BR92+BR161</f>
        <v>55.3284375</v>
      </c>
      <c r="BS178" s="336">
        <f>SUM(BO178:BR178)</f>
        <v>222.24953125000002</v>
      </c>
      <c r="BT178" s="1401">
        <f>BT18+BT44+BT60+BT68+BT76+BT84+BT125+BT134+BT171+BT142+BT52+BT150+BT92+BT161</f>
        <v>53.739312500000004</v>
      </c>
      <c r="BU178" s="336">
        <f>BU18+BU44+BU60+BU68+BU76+BU84+BU125+BU134+BU171+BU142+BU52+BU150+BU92+BU161+BU108</f>
        <v>66.291812500000006</v>
      </c>
      <c r="BV178" s="336">
        <f>BV18+BV44+BV60+BV68+BV76+BV84+BV125+BV134+BV171+BV142+BV52+BV150+BV92+BV161+BV108</f>
        <v>57.945000000000007</v>
      </c>
      <c r="BW178" s="1402">
        <f>BW18+BW44+BW60+BW68+BW76+BW84+BW125+BW134+BW171+BW142+BW52+BW150+BW92+BW161+BW108</f>
        <v>56.997031249999992</v>
      </c>
      <c r="BX178" s="336">
        <f>SUM(BT178:BW178)</f>
        <v>234.97315625000002</v>
      </c>
      <c r="BY178" s="1401">
        <f>BY18+BY44+BY60+BY68+BY76+BY84+BY125+BY134+BY171+BY142+BY52+BY150+BY92+BY161+BY108</f>
        <v>56.588750000000005</v>
      </c>
      <c r="BZ178" s="336">
        <f>BZ18+BZ44+BZ60+BZ68+BZ76+BZ84+BZ125+BZ134+BZ171+BZ142+BZ52+BZ150+BZ92+BZ161+BZ108</f>
        <v>55.745000000000005</v>
      </c>
      <c r="CA178" s="336">
        <f>CA18+CA44+CA60+CA68+CA76+CA84+CA125+CA134+CA171+CA142+CA52+CA150+CA92+CA161+CA108+CA100</f>
        <v>54.383125000000007</v>
      </c>
      <c r="CB178" s="1402">
        <f>CB18+CB44+CB60+CB68+CB76+CB84+CB125+CB134+CB171+CB142+CB52+CB150+CB92+CB161+CB108+CB100</f>
        <v>51.755625000000002</v>
      </c>
      <c r="CC178" s="336">
        <f>SUM(BY178:CB178)</f>
        <v>218.47250000000003</v>
      </c>
      <c r="CD178" s="1401">
        <f t="shared" ref="CD178:CG178" si="44">CD18+CD44+CD60+CD68+CD76+CD84+CD125+CD134+CD171+CD142+CD52+CD150+CD92+CD161+CD108+CD100</f>
        <v>49.646250000000002</v>
      </c>
      <c r="CE178" s="336">
        <f t="shared" si="44"/>
        <v>49.646250000000002</v>
      </c>
      <c r="CF178" s="336">
        <f t="shared" si="44"/>
        <v>49.646250000000002</v>
      </c>
      <c r="CG178" s="1402">
        <f t="shared" si="44"/>
        <v>49.646250000000002</v>
      </c>
      <c r="CH178" s="336">
        <f>SUM(CD178:CG178)</f>
        <v>198.58500000000001</v>
      </c>
      <c r="CI178" s="1401">
        <f t="shared" ref="CI178:CL178" si="45">CI18+CI44+CI60+CI68+CI76+CI84+CI125+CI134+CI171+CI142+CI52+CI150+CI92+CI161+CI108+CI100</f>
        <v>49.646250000000002</v>
      </c>
      <c r="CJ178" s="336">
        <f t="shared" si="45"/>
        <v>49.646250000000002</v>
      </c>
      <c r="CK178" s="336">
        <f t="shared" si="45"/>
        <v>49.646250000000002</v>
      </c>
      <c r="CL178" s="1402">
        <f t="shared" si="45"/>
        <v>49.646250000000002</v>
      </c>
      <c r="CM178" s="336">
        <f>SUM(CI178:CL178)</f>
        <v>198.58500000000001</v>
      </c>
      <c r="CN178" s="1401">
        <f t="shared" ref="CN178:CQ178" si="46">CN18+CN44+CN60+CN68+CN76+CN84+CN125+CN134+CN171+CN142+CN52+CN150+CN92+CN161+CN108+CN100</f>
        <v>49.646250000000002</v>
      </c>
      <c r="CO178" s="336">
        <f t="shared" si="46"/>
        <v>49.646250000000002</v>
      </c>
      <c r="CP178" s="336">
        <f t="shared" si="46"/>
        <v>49.646250000000002</v>
      </c>
      <c r="CQ178" s="1402">
        <f t="shared" si="46"/>
        <v>49.646250000000002</v>
      </c>
      <c r="CR178" s="1402">
        <f>SUM(CN178:CQ178)</f>
        <v>198.58500000000001</v>
      </c>
    </row>
    <row r="179" spans="1:96" ht="13.5" customHeight="1">
      <c r="A179" s="317"/>
      <c r="B179" s="317" t="s">
        <v>119</v>
      </c>
      <c r="C179" s="317"/>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c r="AA179" s="318"/>
      <c r="AB179" s="318"/>
      <c r="AC179" s="318"/>
      <c r="AD179" s="318"/>
      <c r="AE179" s="318"/>
      <c r="AF179" s="318"/>
      <c r="AG179" s="318"/>
      <c r="AH179" s="318"/>
      <c r="AI179" s="335"/>
      <c r="AJ179" s="335"/>
      <c r="AK179" s="1401">
        <f>AK19+AK29+AK37+AK45+AK69+AK77+AK85+AK126+AK135+AK172+AK173</f>
        <v>25.07244614385246</v>
      </c>
      <c r="AL179" s="336">
        <f>AL19+AL29+AL37+AL45+AL69+AL77+AL85+AL126+AL135+AL172+AL173+AL143</f>
        <v>58.101686396683618</v>
      </c>
      <c r="AM179" s="336">
        <f>AM19+AM29+AM37+AM45+AM69+AM77+AM85+AM126+AM135+AM172+AM173+AM143</f>
        <v>18.62895398087608</v>
      </c>
      <c r="AN179" s="1402">
        <f>AN19+AN29+AN37+AN45+AN69+AN77+AN85+AN126+AN135+AN172+AN173+AN143</f>
        <v>68.374595829530875</v>
      </c>
      <c r="AO179" s="336">
        <f>SUM(AK179:AN179)</f>
        <v>170.17768235094303</v>
      </c>
      <c r="AP179" s="1401">
        <f>AP19+AP45+AP61+AP69+AP77+AP85+AP126+AP135+AP172+AP173+AP143</f>
        <v>18.643014803173863</v>
      </c>
      <c r="AQ179" s="336">
        <f>AQ19+AQ45+AQ61+AQ69+AQ77+AQ85+AQ126+AQ135+AQ172+AQ173+AQ143</f>
        <v>84.580506654249618</v>
      </c>
      <c r="AR179" s="336">
        <f>AR19+AR45+AR61+AR69+AR77+AR85+AR126+AR135+AR172+AR173+AR143</f>
        <v>17.616166493688429</v>
      </c>
      <c r="AS179" s="1402">
        <f>AS19+AS45+AS61+AS69+AS77+AS85+AS126+AS135+AS172+AS173+AS143</f>
        <v>89.503510684949461</v>
      </c>
      <c r="AT179" s="336">
        <f>SUM(AP179:AS179)</f>
        <v>210.34319863606137</v>
      </c>
      <c r="AU179" s="1401">
        <f>AU19+AU45+AU61+AU69+AU77+AU85+AU126+AU135+AU172+AU173+AU143</f>
        <v>17.6098740111339</v>
      </c>
      <c r="AV179" s="336">
        <f>AV19+AV45+AV61+AV69+AV77+AV85+AV126+AV135+AV172+AV173+AV143</f>
        <v>89.503510684949461</v>
      </c>
      <c r="AW179" s="336">
        <f>AW19+AW45+AW61+AW69+AW77+AW85+AW126+AW135+AW172+AW173+AW143</f>
        <v>17.554937005566948</v>
      </c>
      <c r="AX179" s="1402">
        <f>AX19+AX45+AX61+AX69+AX77+AX85+AX126+AX135+AX172+AX173+AX143</f>
        <v>89.393636673815564</v>
      </c>
      <c r="AY179" s="336">
        <f>SUM(AU179:AX179)</f>
        <v>214.06195837546588</v>
      </c>
      <c r="AZ179" s="1401">
        <f>AZ19+AZ45+AZ61+AZ69+AZ77+AZ85+AZ126+AZ135+AZ172+AZ173+AZ143+AZ53+AZ151+AZ93</f>
        <v>19.243749999999999</v>
      </c>
      <c r="BA179" s="336">
        <f>BA19+BA45+BA61+BA69+BA77+BA85+BA126+BA135+BA172+BA173+BA143+BA53+BA151+BA93</f>
        <v>85.156136673815553</v>
      </c>
      <c r="BB179" s="336">
        <f>BB19+BB45+BB61+BB69+BB77+BB85+BB126+BB135+BB172+BB173+BB143+BB53+BB151+BB93</f>
        <v>32.5</v>
      </c>
      <c r="BC179" s="1402">
        <f>BC19+BC45+BC61+BC69+BC77+BC85+BC126+BC135+BC172+BC173+BC143+BC53+BC151+BC93</f>
        <v>80.918636673815556</v>
      </c>
      <c r="BD179" s="336">
        <f>SUM(AZ179:BC179)</f>
        <v>217.81852334763113</v>
      </c>
      <c r="BE179" s="1401">
        <f>BE19+BE45+BE61+BE69+BE77+BE85+BE126+BE135+BE172+BE173+BE143+BE53+BE151+BE93</f>
        <v>32.5</v>
      </c>
      <c r="BF179" s="336">
        <f>BF19+BF45+BF61+BF69+BF77+BF85+BF126+BF135+BF172+BF173+BF143+BF53+BF151+BF93</f>
        <v>85.57083046849408</v>
      </c>
      <c r="BG179" s="336">
        <f>BG19+BG45+BG61+BG69+BG77+BG85+BG126+BG135+BG172+BG173+BG143+BG53+BG151+BG93</f>
        <v>32.5</v>
      </c>
      <c r="BH179" s="1402">
        <f>BH19+BH45+BH61+BH69+BH77+BH85+BH126+BH135+BH172+BH173+BH143+BH53+BH151+BH93</f>
        <v>88.741075714285728</v>
      </c>
      <c r="BI179" s="336">
        <f>SUM(BE179:BH179)</f>
        <v>239.31190618277981</v>
      </c>
      <c r="BJ179" s="1401">
        <f>BJ19+BJ45+BJ61+BJ69+BJ77+BJ85+BJ126+BJ135+BJ172+BJ173+BJ143+BJ53+BJ151+BJ93+BJ162</f>
        <v>32.5</v>
      </c>
      <c r="BK179" s="336">
        <f>BK19+BK45+BK61+BK69+BK77+BK85+BK126+BK135+BK172+BK173+BK143+BK53+BK151+BK93+BK162</f>
        <v>86.31775321428573</v>
      </c>
      <c r="BL179" s="336">
        <f>BL19+BL45+BL61+BL69+BL77+BL85+BL126+BL135+BL172+BL173+BL143+BL53+BL151+BL93+BL162</f>
        <v>32.5</v>
      </c>
      <c r="BM179" s="1402">
        <f>BM19+BM45+BM61+BM69+BM77+BM85+BM126+BM135+BM172+BM173+BM143+BM53+BM151+BM93+BM162</f>
        <v>80.152696428571431</v>
      </c>
      <c r="BN179" s="336">
        <f>SUM(BJ179:BM179)</f>
        <v>231.47044964285718</v>
      </c>
      <c r="BO179" s="1401">
        <f>BO19+BO45+BO61+BO69+BO77+BO85+BO126+BO135+BO172+BO173+BO143+BO53+BO151+BO93+BO162</f>
        <v>32.5</v>
      </c>
      <c r="BP179" s="336">
        <f>BP19+BP45+BP61+BP69+BP77+BP85+BP126+BP135+BP172+BP173+BP143+BP53+BP151+BP93+BP162</f>
        <v>78.333500000000001</v>
      </c>
      <c r="BQ179" s="336">
        <f>BQ19+BQ45+BQ61+BQ69+BQ77+BQ85+BQ126+BQ135+BQ172+BQ173+BQ143+BQ53+BQ151+BQ93+BQ162</f>
        <v>32.5</v>
      </c>
      <c r="BR179" s="1402">
        <f>BR19+BR45+BR61+BR69+BR77+BR85+BR126+BR135+BR172+BR173+BR143+BR53+BR151+BR93+BR162</f>
        <v>78.916031250000003</v>
      </c>
      <c r="BS179" s="336">
        <f>SUM(BO179:BR179)</f>
        <v>222.24953125000002</v>
      </c>
      <c r="BT179" s="1401">
        <f>BT19+BT45+BT61+BT69+BT77+BT85+BT126+BT135+BT172+BT173+BT143+BT53+BT151+BT93+BT162</f>
        <v>29.306250000000002</v>
      </c>
      <c r="BU179" s="336">
        <f>BU19+BU45+BU61+BU69+BU77+BU85+BU126+BU135+BU172+BU173+BU143+BU53+BU151+BU93+BU162+BU109</f>
        <v>90.724874999999997</v>
      </c>
      <c r="BV179" s="336">
        <f>BV19+BV45+BV61+BV69+BV77+BV85+BV126+BV135+BV172+BV173+BV143+BV53+BV151+BV93+BV162</f>
        <v>20.635000000000002</v>
      </c>
      <c r="BW179" s="1402">
        <f>BW19+BW45+BW61+BW69+BW77+BW85+BW126+BW135+BW172+BW173+BW143+BW53+BW151+BW93+BW162</f>
        <v>53.269531250000007</v>
      </c>
      <c r="BX179" s="336">
        <f>SUM(BT179:BW179)</f>
        <v>193.93565624999999</v>
      </c>
      <c r="BY179" s="1401">
        <f>BY19+BY45+BY61+BY69+BY77+BY85+BY126+BY135+BY172+BY173+BY143+BY53+BY151+BY93+BY162</f>
        <v>20.635000000000002</v>
      </c>
      <c r="BZ179" s="336">
        <f>BZ19+BZ45+BZ61+BZ69+BZ77+BZ85+BZ126+BZ135+BZ172+BZ173+BZ143+BZ53+BZ151+BZ93+BZ162</f>
        <v>50.661250000000003</v>
      </c>
      <c r="CA179" s="336">
        <f>CA19+CA45+CA61+CA69+CA77+CA85+CA126+CA135+CA172+CA173+CA143+CA53+CA151+CA93+CA162+CA101</f>
        <v>12.65875</v>
      </c>
      <c r="CB179" s="1402">
        <f t="shared" ref="CB179:CQ179" si="47">CB19+CB45+CB61+CB69+CB77+CB85+CB126+CB135+CB172+CB173+CB143+CB53+CB151+CB93+CB162+CB101</f>
        <v>62.03625000000001</v>
      </c>
      <c r="CC179" s="336">
        <f>SUM(BY179:CB179)</f>
        <v>145.99125000000001</v>
      </c>
      <c r="CD179" s="1401">
        <f t="shared" si="47"/>
        <v>0</v>
      </c>
      <c r="CE179" s="336">
        <f t="shared" si="47"/>
        <v>66.63000000000001</v>
      </c>
      <c r="CF179" s="336">
        <f t="shared" si="47"/>
        <v>0</v>
      </c>
      <c r="CG179" s="1402">
        <f t="shared" si="47"/>
        <v>66.63000000000001</v>
      </c>
      <c r="CH179" s="336">
        <f>SUM(CD179:CG179)</f>
        <v>133.26000000000002</v>
      </c>
      <c r="CI179" s="1401">
        <f t="shared" si="47"/>
        <v>0</v>
      </c>
      <c r="CJ179" s="336">
        <f t="shared" si="47"/>
        <v>66.63000000000001</v>
      </c>
      <c r="CK179" s="336">
        <f t="shared" si="47"/>
        <v>0</v>
      </c>
      <c r="CL179" s="1402">
        <f t="shared" si="47"/>
        <v>66.63000000000001</v>
      </c>
      <c r="CM179" s="336">
        <f>SUM(CI179:CL179)</f>
        <v>133.26000000000002</v>
      </c>
      <c r="CN179" s="1401">
        <f t="shared" si="47"/>
        <v>0</v>
      </c>
      <c r="CO179" s="336">
        <f t="shared" si="47"/>
        <v>66.63000000000001</v>
      </c>
      <c r="CP179" s="336">
        <f t="shared" si="47"/>
        <v>0</v>
      </c>
      <c r="CQ179" s="1402">
        <f t="shared" si="47"/>
        <v>66.63000000000001</v>
      </c>
      <c r="CR179" s="1402">
        <f>SUM(CN179:CQ179)</f>
        <v>133.26000000000002</v>
      </c>
    </row>
    <row r="180" spans="1:96" ht="6.2" customHeight="1">
      <c r="A180" s="317"/>
      <c r="B180" s="317"/>
      <c r="C180" s="317"/>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8"/>
      <c r="AC180" s="318"/>
      <c r="AD180" s="318"/>
      <c r="AE180" s="318"/>
      <c r="AF180" s="318"/>
      <c r="AG180" s="318"/>
      <c r="AH180" s="318"/>
      <c r="AI180" s="318"/>
      <c r="AJ180" s="318"/>
      <c r="AK180" s="1405"/>
      <c r="AL180" s="319"/>
      <c r="AM180" s="319"/>
      <c r="AN180" s="1406"/>
      <c r="AO180" s="362"/>
      <c r="AP180" s="1405"/>
      <c r="AQ180" s="319"/>
      <c r="AR180" s="319"/>
      <c r="AS180" s="1406"/>
      <c r="AT180" s="362"/>
      <c r="AU180" s="1405"/>
      <c r="AV180" s="319"/>
      <c r="AW180" s="319"/>
      <c r="AX180" s="1406"/>
      <c r="AY180" s="362"/>
      <c r="AZ180" s="1405"/>
      <c r="BA180" s="319"/>
      <c r="BB180" s="319"/>
      <c r="BC180" s="1406"/>
      <c r="BD180" s="362"/>
      <c r="BE180" s="1405"/>
      <c r="BF180" s="319"/>
      <c r="BG180" s="319"/>
      <c r="BH180" s="1406"/>
      <c r="BI180" s="362"/>
      <c r="BJ180" s="1405"/>
      <c r="BK180" s="319"/>
      <c r="BL180" s="319"/>
      <c r="BM180" s="1406"/>
      <c r="BN180" s="362"/>
      <c r="BO180" s="1405"/>
      <c r="BP180" s="319"/>
      <c r="BQ180" s="319"/>
      <c r="BR180" s="1406"/>
      <c r="BS180" s="362"/>
      <c r="BT180" s="1405"/>
      <c r="BU180" s="319"/>
      <c r="BV180" s="319"/>
      <c r="BW180" s="1406"/>
      <c r="BX180" s="362"/>
      <c r="BY180" s="1405"/>
      <c r="BZ180" s="319"/>
      <c r="CA180" s="319"/>
      <c r="CB180" s="1406"/>
      <c r="CC180" s="362"/>
      <c r="CD180" s="1405"/>
      <c r="CE180" s="319"/>
      <c r="CF180" s="319"/>
      <c r="CG180" s="1406"/>
      <c r="CH180" s="362"/>
      <c r="CI180" s="1405"/>
      <c r="CJ180" s="319"/>
      <c r="CK180" s="319"/>
      <c r="CL180" s="1406"/>
      <c r="CM180" s="362"/>
      <c r="CN180" s="1405"/>
      <c r="CO180" s="319"/>
      <c r="CP180" s="319"/>
      <c r="CQ180" s="1406"/>
      <c r="CR180" s="1453"/>
    </row>
    <row r="181" spans="1:96" ht="13.5" customHeight="1">
      <c r="A181" s="317"/>
      <c r="B181" s="317" t="s">
        <v>120</v>
      </c>
      <c r="C181" s="317"/>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c r="AA181" s="318"/>
      <c r="AB181" s="318"/>
      <c r="AC181" s="318"/>
      <c r="AD181" s="318"/>
      <c r="AE181" s="318"/>
      <c r="AF181" s="318"/>
      <c r="AG181" s="318"/>
      <c r="AH181" s="318"/>
      <c r="AI181" s="318"/>
      <c r="AJ181" s="318"/>
      <c r="AK181" s="1405">
        <f>AK41+AK57+AK65+AK73+AK81+AK114+AK122+AK131</f>
        <v>0</v>
      </c>
      <c r="AL181" s="319">
        <f>AL41+AL57+AL65+AL73+AL81+AL114+AL122+AL131</f>
        <v>0</v>
      </c>
      <c r="AM181" s="319">
        <f>AM41+AM57+AM65+AM73+AM81+AM114+AM122+AM131</f>
        <v>0</v>
      </c>
      <c r="AN181" s="1406">
        <f>AN41+AN57+AN65+AN73+AN81+AN114+AN122+AN131</f>
        <v>0</v>
      </c>
      <c r="AO181" s="362"/>
      <c r="AP181" s="1405">
        <f>AP41+AP57+AP65+AP73+AP81+AP114+AP122+AP131</f>
        <v>0</v>
      </c>
      <c r="AQ181" s="319">
        <f>AQ41+AQ57+AQ65+AQ73+AQ81+AQ114+AQ122+AQ131</f>
        <v>0</v>
      </c>
      <c r="AR181" s="319">
        <f>AR41+AR57+AR65+AR73+AR81+AR114+AR122+AR131</f>
        <v>0</v>
      </c>
      <c r="AS181" s="1406">
        <f>AS41+AS57+AS65+AS73+AS81+AS114+AS122+AS131</f>
        <v>0</v>
      </c>
      <c r="AT181" s="362"/>
      <c r="AU181" s="1405">
        <f>AU41+AU57+AU65+AU73+AU81+AU114+AU122+AU131</f>
        <v>0</v>
      </c>
      <c r="AV181" s="319">
        <f>AV41+AV57+AV65+AV73+AV81+AV114+AV122+AV131</f>
        <v>0</v>
      </c>
      <c r="AW181" s="319">
        <f>AW41+AW57+AW65+AW73+AW81+AW114+AW122+AW131</f>
        <v>0</v>
      </c>
      <c r="AX181" s="1406">
        <f>AX41+AX57+AX65+AX73+AX81+AX114+AX122+AX131</f>
        <v>0</v>
      </c>
      <c r="AY181" s="362"/>
      <c r="AZ181" s="1405">
        <f>AZ41+AZ57+AZ65+AZ73+AZ81+AZ114+AZ122+AZ131</f>
        <v>0</v>
      </c>
      <c r="BA181" s="319">
        <f>BA41+BA57+BA65+BA73+BA81+BA114+BA122+BA131</f>
        <v>-300</v>
      </c>
      <c r="BB181" s="319">
        <f>BB41+BB57+BB65+BB73+BB81+BB114+BB122+BB131</f>
        <v>0</v>
      </c>
      <c r="BC181" s="1406">
        <f>BC41+BC57+BC65+BC73+BC81+BC114+BC122+BC131</f>
        <v>0</v>
      </c>
      <c r="BD181" s="362"/>
      <c r="BE181" s="1405">
        <f>BE41+BE57+BE65+BE73+BE81+BE114+BE122+BE131</f>
        <v>0</v>
      </c>
      <c r="BF181" s="319">
        <f>BF41+BF57+BF65+BF73+BF81+BF114+BF122+BF131</f>
        <v>0</v>
      </c>
      <c r="BG181" s="319">
        <f>BG41+BG57+BG65+BG73+BG81+BG114+BG122+BG131</f>
        <v>0</v>
      </c>
      <c r="BH181" s="1406">
        <f>BH41+BH57+BH65+BH73+BH81+BH114+BH122+BH131</f>
        <v>0</v>
      </c>
      <c r="BI181" s="362"/>
      <c r="BJ181" s="1405">
        <f>BJ41+BJ57+BJ65+BJ73+BJ81+BJ114+BJ122+BJ131</f>
        <v>-35</v>
      </c>
      <c r="BK181" s="319">
        <f>BK41+BK57+BK65+BK73+BK81+BK114+BK122+BK131</f>
        <v>0</v>
      </c>
      <c r="BL181" s="319">
        <f>BL41+BL57+BL65+BL73+BL81+BL114+BL122+BL131</f>
        <v>-150</v>
      </c>
      <c r="BM181" s="1406">
        <f>BM41+BM57+BM65+BM73+BM81+BM114+BM122+BM131</f>
        <v>0</v>
      </c>
      <c r="BN181" s="362"/>
      <c r="BO181" s="1405">
        <f>BO41+BO57+BO65+BO73+BO81+BO114+BO122+BO131</f>
        <v>0</v>
      </c>
      <c r="BP181" s="319">
        <f>BP41+BP57+BP65+BP73+BP81+BP114+BP122+BP131</f>
        <v>0</v>
      </c>
      <c r="BQ181" s="319">
        <f>BQ41+BQ57+BQ65+BQ73+BQ81+BQ114+BQ122+BQ131</f>
        <v>0</v>
      </c>
      <c r="BR181" s="1406">
        <f>BR41+BR57+BR65+BR73+BR81+BR114+BR122+BR131</f>
        <v>0</v>
      </c>
      <c r="BS181" s="362"/>
      <c r="BT181" s="1405">
        <f>BT41+BT57+BT65+BT73+BT81+BT114+BT122+BT131</f>
        <v>0</v>
      </c>
      <c r="BU181" s="319">
        <f>BU41+BU57+BU65+BU73+BU81+BU114+BU122+BU131+BU105</f>
        <v>-921</v>
      </c>
      <c r="BV181" s="319">
        <f>BV41+BV57+BV65+BV73+BV81+BV114+BV122+BV131</f>
        <v>-11</v>
      </c>
      <c r="BW181" s="1406">
        <f>BW41+BW57+BW65+BW73+BW81+BW114+BW122+BW131</f>
        <v>-51</v>
      </c>
      <c r="BX181" s="362"/>
      <c r="BY181" s="1405">
        <f>BY41+BY57+BY65+BY73+BY81+BY114+BY122+BY131</f>
        <v>0</v>
      </c>
      <c r="BZ181" s="319">
        <f>BZ41+BZ57+BZ65+BZ73+BZ81+BZ114+BZ122+BZ131+BZ105+BZ97</f>
        <v>-108</v>
      </c>
      <c r="CA181" s="319">
        <f>CA41+CA57+CA65+CA73+CA81+CA114+CA122+CA131+CA105+CA97</f>
        <v>578</v>
      </c>
      <c r="CB181" s="1406">
        <f>CB41+CB57+CB65+CB73+CB81+CB114+CB122+CB131+CB105+CB97</f>
        <v>-202</v>
      </c>
      <c r="CC181" s="362"/>
      <c r="CD181" s="1405">
        <f t="shared" ref="CD181:CG181" si="48">CD41+CD57+CD65+CD73+CD81+CD114+CD122+CD131+CD105+CD97</f>
        <v>0</v>
      </c>
      <c r="CE181" s="319">
        <f t="shared" si="48"/>
        <v>0</v>
      </c>
      <c r="CF181" s="319">
        <f t="shared" si="48"/>
        <v>0</v>
      </c>
      <c r="CG181" s="1406">
        <f t="shared" si="48"/>
        <v>0</v>
      </c>
      <c r="CH181" s="362"/>
      <c r="CI181" s="1405">
        <f t="shared" ref="CI181:CL181" si="49">CI41+CI57+CI65+CI73+CI81+CI114+CI122+CI131+CI105+CI97</f>
        <v>0</v>
      </c>
      <c r="CJ181" s="319">
        <f t="shared" si="49"/>
        <v>0</v>
      </c>
      <c r="CK181" s="319">
        <f t="shared" si="49"/>
        <v>0</v>
      </c>
      <c r="CL181" s="1406">
        <f t="shared" si="49"/>
        <v>0</v>
      </c>
      <c r="CM181" s="362"/>
      <c r="CN181" s="1405">
        <f t="shared" ref="CN181:CQ181" si="50">CN41+CN57+CN65+CN73+CN81+CN114+CN122+CN131+CN105+CN97</f>
        <v>0</v>
      </c>
      <c r="CO181" s="319">
        <f t="shared" si="50"/>
        <v>0</v>
      </c>
      <c r="CP181" s="319">
        <f t="shared" si="50"/>
        <v>0</v>
      </c>
      <c r="CQ181" s="1406">
        <f t="shared" si="50"/>
        <v>0</v>
      </c>
      <c r="CR181" s="1453"/>
    </row>
    <row r="182" spans="1:96" ht="6.2" customHeight="1">
      <c r="A182" s="317"/>
      <c r="B182" s="317"/>
      <c r="C182" s="317"/>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c r="AH182" s="318"/>
      <c r="AI182" s="318"/>
      <c r="AJ182" s="318"/>
      <c r="AK182" s="1405"/>
      <c r="AL182" s="319"/>
      <c r="AM182" s="319"/>
      <c r="AN182" s="1406"/>
      <c r="AO182" s="362"/>
      <c r="AP182" s="1405"/>
      <c r="AQ182" s="319"/>
      <c r="AR182" s="319"/>
      <c r="AS182" s="1406"/>
      <c r="AT182" s="362"/>
      <c r="AU182" s="1405"/>
      <c r="AV182" s="319"/>
      <c r="AW182" s="319"/>
      <c r="AX182" s="1406"/>
      <c r="AY182" s="362"/>
      <c r="AZ182" s="1405"/>
      <c r="BA182" s="319"/>
      <c r="BB182" s="319"/>
      <c r="BC182" s="1406"/>
      <c r="BD182" s="362"/>
      <c r="BE182" s="1405"/>
      <c r="BF182" s="319"/>
      <c r="BG182" s="319"/>
      <c r="BH182" s="1406"/>
      <c r="BI182" s="362"/>
      <c r="BJ182" s="1405"/>
      <c r="BK182" s="319"/>
      <c r="BL182" s="319"/>
      <c r="BM182" s="1406"/>
      <c r="BN182" s="362"/>
      <c r="BO182" s="1405"/>
      <c r="BP182" s="319"/>
      <c r="BQ182" s="319"/>
      <c r="BR182" s="1406"/>
      <c r="BS182" s="362"/>
      <c r="BT182" s="1405"/>
      <c r="BU182" s="319"/>
      <c r="BV182" s="319"/>
      <c r="BW182" s="1406"/>
      <c r="BX182" s="362"/>
      <c r="BY182" s="1405"/>
      <c r="BZ182" s="319"/>
      <c r="CA182" s="319"/>
      <c r="CB182" s="1406"/>
      <c r="CC182" s="362"/>
      <c r="CD182" s="1405"/>
      <c r="CE182" s="319"/>
      <c r="CF182" s="319"/>
      <c r="CG182" s="1406"/>
      <c r="CH182" s="362"/>
      <c r="CI182" s="1405"/>
      <c r="CJ182" s="319"/>
      <c r="CK182" s="319"/>
      <c r="CL182" s="1406"/>
      <c r="CM182" s="362"/>
      <c r="CN182" s="1405"/>
      <c r="CO182" s="319"/>
      <c r="CP182" s="319"/>
      <c r="CQ182" s="1406"/>
      <c r="CR182" s="1453"/>
    </row>
    <row r="183" spans="1:96" ht="13.5" customHeight="1">
      <c r="A183" s="334" t="s">
        <v>121</v>
      </c>
      <c r="B183" s="317"/>
      <c r="C183" s="317"/>
      <c r="D183" s="318"/>
      <c r="E183" s="318"/>
      <c r="F183" s="318"/>
      <c r="G183" s="338">
        <v>0</v>
      </c>
      <c r="H183" s="318"/>
      <c r="I183" s="318"/>
      <c r="J183" s="318"/>
      <c r="K183" s="318"/>
      <c r="L183" s="318"/>
      <c r="M183" s="318"/>
      <c r="N183" s="318"/>
      <c r="O183" s="318"/>
      <c r="P183" s="318"/>
      <c r="Q183" s="318"/>
      <c r="R183" s="318"/>
      <c r="S183" s="318"/>
      <c r="T183" s="318"/>
      <c r="U183" s="318"/>
      <c r="V183" s="318"/>
      <c r="W183" s="318"/>
      <c r="X183" s="318"/>
      <c r="Y183" s="318"/>
      <c r="Z183" s="318"/>
      <c r="AA183" s="318"/>
      <c r="AB183" s="318"/>
      <c r="AC183" s="318"/>
      <c r="AD183" s="318"/>
      <c r="AE183" s="318"/>
      <c r="AF183" s="318"/>
      <c r="AG183" s="318"/>
      <c r="AH183" s="318"/>
      <c r="AI183" s="318"/>
      <c r="AJ183" s="318"/>
      <c r="AK183" s="1405"/>
      <c r="AL183" s="319"/>
      <c r="AM183" s="319"/>
      <c r="AN183" s="1406"/>
      <c r="AO183" s="362"/>
      <c r="AP183" s="1405"/>
      <c r="AQ183" s="319"/>
      <c r="AR183" s="319"/>
      <c r="AS183" s="1406"/>
      <c r="AT183" s="362"/>
      <c r="AU183" s="1405"/>
      <c r="AV183" s="319"/>
      <c r="AW183" s="319"/>
      <c r="AX183" s="1406"/>
      <c r="AY183" s="362"/>
      <c r="AZ183" s="1405"/>
      <c r="BA183" s="319"/>
      <c r="BB183" s="319"/>
      <c r="BC183" s="1406"/>
      <c r="BD183" s="362"/>
      <c r="BE183" s="1405"/>
      <c r="BF183" s="319"/>
      <c r="BG183" s="319"/>
      <c r="BH183" s="1406"/>
      <c r="BI183" s="362"/>
      <c r="BJ183" s="1405"/>
      <c r="BK183" s="319"/>
      <c r="BL183" s="319"/>
      <c r="BM183" s="1406"/>
      <c r="BN183" s="362"/>
      <c r="BO183" s="1405"/>
      <c r="BP183" s="319"/>
      <c r="BQ183" s="319"/>
      <c r="BR183" s="1406"/>
      <c r="BS183" s="362"/>
      <c r="BT183" s="1405"/>
      <c r="BU183" s="319"/>
      <c r="BV183" s="319"/>
      <c r="BW183" s="1406"/>
      <c r="BX183" s="362"/>
      <c r="BY183" s="1405"/>
      <c r="BZ183" s="319"/>
      <c r="CA183" s="319"/>
      <c r="CB183" s="1406"/>
      <c r="CC183" s="362"/>
      <c r="CD183" s="1405"/>
      <c r="CE183" s="319"/>
      <c r="CF183" s="319"/>
      <c r="CG183" s="1406"/>
      <c r="CH183" s="362"/>
      <c r="CI183" s="1405"/>
      <c r="CJ183" s="319"/>
      <c r="CK183" s="319"/>
      <c r="CL183" s="1406"/>
      <c r="CM183" s="362"/>
      <c r="CN183" s="1405"/>
      <c r="CO183" s="319"/>
      <c r="CP183" s="319"/>
      <c r="CQ183" s="1406"/>
      <c r="CR183" s="1453"/>
    </row>
    <row r="184" spans="1:96" ht="13.5" customHeight="1">
      <c r="A184" s="334"/>
      <c r="B184" s="327" t="s">
        <v>122</v>
      </c>
      <c r="C184" s="317"/>
      <c r="D184" s="318"/>
      <c r="E184" s="318"/>
      <c r="F184" s="318"/>
      <c r="G184" s="356"/>
      <c r="H184" s="318"/>
      <c r="I184" s="318"/>
      <c r="J184" s="318"/>
      <c r="K184" s="318"/>
      <c r="L184" s="318"/>
      <c r="M184" s="318"/>
      <c r="N184" s="318"/>
      <c r="O184" s="318"/>
      <c r="P184" s="318"/>
      <c r="Q184" s="318"/>
      <c r="R184" s="318"/>
      <c r="S184" s="318"/>
      <c r="T184" s="318"/>
      <c r="U184" s="318"/>
      <c r="V184" s="318"/>
      <c r="W184" s="318"/>
      <c r="X184" s="318"/>
      <c r="Y184" s="318"/>
      <c r="Z184" s="318"/>
      <c r="AA184" s="318"/>
      <c r="AB184" s="318"/>
      <c r="AC184" s="318"/>
      <c r="AD184" s="318"/>
      <c r="AE184" s="318"/>
      <c r="AF184" s="318"/>
      <c r="AG184" s="318"/>
      <c r="AH184" s="318"/>
      <c r="AI184" s="318"/>
      <c r="AJ184" s="318"/>
      <c r="AK184" s="1400">
        <f>AK188/AK187</f>
        <v>2.1563342318059301E-3</v>
      </c>
      <c r="AL184" s="326">
        <f>AL188/AL187</f>
        <v>6.4913988964621875E-4</v>
      </c>
      <c r="AM184" s="326">
        <f>$G183/10000+AM5</f>
        <v>2.3227687499999998E-3</v>
      </c>
      <c r="AN184" s="1397">
        <f>$G183/10000+AN5</f>
        <v>1.8248901639344251E-3</v>
      </c>
      <c r="AO184" s="362"/>
      <c r="AP184" s="1400">
        <f>$G183/10000+AP5</f>
        <v>1.8388770491803283E-3</v>
      </c>
      <c r="AQ184" s="326">
        <f>$G183/10000+AQ5</f>
        <v>2.7903508196721314E-3</v>
      </c>
      <c r="AR184" s="326">
        <f>$G183/10000+AR5</f>
        <v>2.5060547169811318E-3</v>
      </c>
      <c r="AS184" s="1397">
        <f>$G183/10000+AS5</f>
        <v>1.6639999999999999E-3</v>
      </c>
      <c r="AT184" s="362"/>
      <c r="AU184" s="1400">
        <f>$G183/10000+AU5</f>
        <v>1.8269599386619984E-3</v>
      </c>
      <c r="AV184" s="326">
        <f>$G183/10000+AV5</f>
        <v>3.1702481449815689E-3</v>
      </c>
      <c r="AW184" s="326">
        <f>$G183/10000+AW5</f>
        <v>3.5086286316077242E-3</v>
      </c>
      <c r="AX184" s="1397">
        <f>$G183/10000+AX5</f>
        <v>3.5000000000000001E-3</v>
      </c>
      <c r="AY184" s="362"/>
      <c r="AZ184" s="1400">
        <f>$G183/10000+AZ5</f>
        <v>5.0000000000000001E-3</v>
      </c>
      <c r="BA184" s="326">
        <f>$G183/10000+BA5</f>
        <v>5.0000000000000001E-3</v>
      </c>
      <c r="BB184" s="326">
        <f>$G183/10000+BB5</f>
        <v>5.0000000000000001E-3</v>
      </c>
      <c r="BC184" s="1397">
        <f>$G183/10000+BC5</f>
        <v>5.0000000000000001E-3</v>
      </c>
      <c r="BD184" s="362"/>
      <c r="BE184" s="1400">
        <f>$G183/10000+BE5</f>
        <v>5.0000000000000001E-3</v>
      </c>
      <c r="BF184" s="326">
        <f>$G183/10000+BF5</f>
        <v>5.0000000000000001E-3</v>
      </c>
      <c r="BG184" s="326">
        <f>$G183/10000+BG5</f>
        <v>5.0000000000000001E-3</v>
      </c>
      <c r="BH184" s="1397">
        <f>$G183/10000+BH5</f>
        <v>5.0000000000000001E-3</v>
      </c>
      <c r="BI184" s="362"/>
      <c r="BJ184" s="1400">
        <f>$G183/10000+BJ5</f>
        <v>5.0000000000000001E-3</v>
      </c>
      <c r="BK184" s="326">
        <f>$G183/10000+BK5</f>
        <v>5.0000000000000001E-3</v>
      </c>
      <c r="BL184" s="326">
        <f>$G183/10000+BL5</f>
        <v>5.0000000000000001E-3</v>
      </c>
      <c r="BM184" s="1397">
        <f>$G183/10000+BM5</f>
        <v>5.0000000000000001E-3</v>
      </c>
      <c r="BN184" s="362"/>
      <c r="BO184" s="1400">
        <f>$G183/10000+BO5</f>
        <v>5.0000000000000001E-3</v>
      </c>
      <c r="BP184" s="326">
        <f>$G183/10000+BP5</f>
        <v>5.0000000000000001E-3</v>
      </c>
      <c r="BQ184" s="326">
        <f>$G183/10000+BQ5</f>
        <v>5.0000000000000001E-3</v>
      </c>
      <c r="BR184" s="1397">
        <f>$G183/10000+BR5</f>
        <v>5.0000000000000001E-3</v>
      </c>
      <c r="BS184" s="362"/>
      <c r="BT184" s="1400">
        <f>$G183/10000+BT5</f>
        <v>5.0000000000000001E-3</v>
      </c>
      <c r="BU184" s="326">
        <f>$G183/10000+BU5</f>
        <v>5.0000000000000001E-3</v>
      </c>
      <c r="BV184" s="326">
        <f>$G183/10000+BV5</f>
        <v>5.0000000000000001E-3</v>
      </c>
      <c r="BW184" s="1397">
        <f>$G183/10000+BW5</f>
        <v>5.0000000000000001E-3</v>
      </c>
      <c r="BX184" s="362"/>
      <c r="BY184" s="1400">
        <f>$G183/10000+BY5</f>
        <v>5.0000000000000001E-3</v>
      </c>
      <c r="BZ184" s="326">
        <f>$G183/10000+BZ5</f>
        <v>5.0000000000000001E-3</v>
      </c>
      <c r="CA184" s="326">
        <f>$G183/10000+CA5</f>
        <v>5.0000000000000001E-3</v>
      </c>
      <c r="CB184" s="1508">
        <v>5.0000000000000001E-3</v>
      </c>
      <c r="CC184" s="362"/>
      <c r="CD184" s="1527">
        <f>$G183/10000+CD5</f>
        <v>5.0000000000000001E-3</v>
      </c>
      <c r="CE184" s="326">
        <f t="shared" ref="CE184:CG184" si="51">$G183/10000+CE5</f>
        <v>5.0000000000000001E-3</v>
      </c>
      <c r="CF184" s="326">
        <f t="shared" si="51"/>
        <v>5.0000000000000001E-3</v>
      </c>
      <c r="CG184" s="1397">
        <f t="shared" si="51"/>
        <v>5.0000000000000001E-3</v>
      </c>
      <c r="CH184" s="362"/>
      <c r="CI184" s="1400">
        <f t="shared" ref="CI184:CL184" si="52">$G183/10000+CI5</f>
        <v>5.0000000000000001E-3</v>
      </c>
      <c r="CJ184" s="326">
        <f t="shared" si="52"/>
        <v>5.0000000000000001E-3</v>
      </c>
      <c r="CK184" s="326">
        <f t="shared" si="52"/>
        <v>5.0000000000000001E-3</v>
      </c>
      <c r="CL184" s="1397">
        <f t="shared" si="52"/>
        <v>5.0000000000000001E-3</v>
      </c>
      <c r="CM184" s="362"/>
      <c r="CN184" s="1400">
        <f t="shared" ref="CN184:CQ184" si="53">$G183/10000+CN5</f>
        <v>5.0000000000000001E-3</v>
      </c>
      <c r="CO184" s="326">
        <f t="shared" si="53"/>
        <v>5.0000000000000001E-3</v>
      </c>
      <c r="CP184" s="326">
        <f t="shared" si="53"/>
        <v>5.0000000000000001E-3</v>
      </c>
      <c r="CQ184" s="1397">
        <f t="shared" si="53"/>
        <v>5.0000000000000001E-3</v>
      </c>
      <c r="CR184" s="1453"/>
    </row>
    <row r="185" spans="1:96" ht="13.5" customHeight="1">
      <c r="A185" s="317"/>
      <c r="B185" s="317" t="s">
        <v>87</v>
      </c>
      <c r="C185" s="317"/>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c r="AA185" s="318"/>
      <c r="AB185" s="318"/>
      <c r="AC185" s="318"/>
      <c r="AD185" s="318"/>
      <c r="AE185" s="318"/>
      <c r="AF185" s="318"/>
      <c r="AG185" s="318"/>
      <c r="AH185" s="318"/>
      <c r="AI185" s="335"/>
      <c r="AJ185" s="318"/>
      <c r="AK185" s="1401">
        <f>+AJ186</f>
        <v>724</v>
      </c>
      <c r="AL185" s="336">
        <f>+AK186</f>
        <v>1131</v>
      </c>
      <c r="AM185" s="336">
        <f>+AL186</f>
        <v>1950</v>
      </c>
      <c r="AN185" s="1402">
        <f>+AM186</f>
        <v>1543</v>
      </c>
      <c r="AO185" s="336"/>
      <c r="AP185" s="1401">
        <f>+AO186</f>
        <v>0</v>
      </c>
      <c r="AQ185" s="336">
        <f>+AP186</f>
        <v>1386</v>
      </c>
      <c r="AR185" s="336">
        <f>+AQ186</f>
        <v>947</v>
      </c>
      <c r="AS185" s="1402">
        <f>+AR186</f>
        <v>643</v>
      </c>
      <c r="AT185" s="336"/>
      <c r="AU185" s="1401">
        <f>+AT186</f>
        <v>578</v>
      </c>
      <c r="AV185" s="336">
        <f>+AU186</f>
        <v>421</v>
      </c>
      <c r="AW185" s="336">
        <f>+AV186</f>
        <v>393</v>
      </c>
      <c r="AX185" s="1402">
        <f>+AW186</f>
        <v>270</v>
      </c>
      <c r="AY185" s="336"/>
      <c r="AZ185" s="1401">
        <f>+AY186</f>
        <v>408</v>
      </c>
      <c r="BA185" s="336">
        <f>+AZ186</f>
        <v>652</v>
      </c>
      <c r="BB185" s="336">
        <f>+BA186</f>
        <v>565</v>
      </c>
      <c r="BC185" s="1402">
        <f>+BB186</f>
        <v>536</v>
      </c>
      <c r="BD185" s="336"/>
      <c r="BE185" s="1401">
        <f>+BD186</f>
        <v>570</v>
      </c>
      <c r="BF185" s="336">
        <f>+BE186</f>
        <v>733</v>
      </c>
      <c r="BG185" s="336">
        <f>+BF186</f>
        <v>767</v>
      </c>
      <c r="BH185" s="1402">
        <f>+BG186</f>
        <v>697</v>
      </c>
      <c r="BI185" s="336"/>
      <c r="BJ185" s="1401">
        <f>+BI186</f>
        <v>604</v>
      </c>
      <c r="BK185" s="336">
        <f>+BJ186</f>
        <v>1099</v>
      </c>
      <c r="BL185" s="336">
        <f>+BK186</f>
        <v>1471</v>
      </c>
      <c r="BM185" s="1402">
        <f>+BL186</f>
        <v>1257</v>
      </c>
      <c r="BN185" s="336"/>
      <c r="BO185" s="1401">
        <f>+BN186</f>
        <v>1354</v>
      </c>
      <c r="BP185" s="336">
        <f>+BO186</f>
        <v>1266</v>
      </c>
      <c r="BQ185" s="336">
        <f>+BP186</f>
        <v>1210</v>
      </c>
      <c r="BR185" s="1402">
        <f>+BQ186</f>
        <v>1165</v>
      </c>
      <c r="BS185" s="336"/>
      <c r="BT185" s="1401">
        <f>+BS186</f>
        <v>755</v>
      </c>
      <c r="BU185" s="336">
        <f>+BT186</f>
        <v>705</v>
      </c>
      <c r="BV185" s="336">
        <f>+BU186</f>
        <v>820</v>
      </c>
      <c r="BW185" s="1402">
        <f>+BV186</f>
        <v>1445</v>
      </c>
      <c r="BX185" s="336"/>
      <c r="BY185" s="1401">
        <f>+BX186</f>
        <v>1515</v>
      </c>
      <c r="BZ185" s="336">
        <f>+BY186</f>
        <v>1326</v>
      </c>
      <c r="CA185" s="336">
        <f>+BZ186</f>
        <v>1522</v>
      </c>
      <c r="CB185" s="1402">
        <f>+CA186</f>
        <v>1694</v>
      </c>
      <c r="CC185" s="336"/>
      <c r="CD185" s="1401">
        <f>+CC186</f>
        <v>1553</v>
      </c>
      <c r="CE185" s="336">
        <f>+CD186</f>
        <v>1284.1190544180361</v>
      </c>
      <c r="CF185" s="336">
        <f>+CE186</f>
        <v>1438.5773632061537</v>
      </c>
      <c r="CG185" s="1402">
        <f>+CF186</f>
        <v>1580.4610264687171</v>
      </c>
      <c r="CH185" s="336"/>
      <c r="CI185" s="1401">
        <f>+CH186</f>
        <v>1799.935359927933</v>
      </c>
      <c r="CJ185" s="336">
        <f>+CI186</f>
        <v>2127.5772709672055</v>
      </c>
      <c r="CK185" s="336">
        <f>+CJ186</f>
        <v>1759.9625462109548</v>
      </c>
      <c r="CL185" s="1402">
        <f>+CK186</f>
        <v>2579.253049384613</v>
      </c>
      <c r="CM185" s="336"/>
      <c r="CN185" s="1401">
        <f>+CM186</f>
        <v>2142.9895091421022</v>
      </c>
      <c r="CO185" s="336">
        <f>+CN186</f>
        <v>2819.5863531618711</v>
      </c>
      <c r="CP185" s="336">
        <f>+CO186</f>
        <v>2088.7597268419022</v>
      </c>
      <c r="CQ185" s="1402">
        <f>+CP186</f>
        <v>3113.3718796066751</v>
      </c>
      <c r="CR185" s="1402"/>
    </row>
    <row r="186" spans="1:96" ht="13.5" customHeight="1">
      <c r="A186" s="317"/>
      <c r="B186" s="317" t="s">
        <v>90</v>
      </c>
      <c r="C186" s="317"/>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c r="AA186" s="318"/>
      <c r="AB186" s="318"/>
      <c r="AC186" s="318"/>
      <c r="AD186" s="318"/>
      <c r="AE186" s="318"/>
      <c r="AF186" s="318"/>
      <c r="AG186" s="318"/>
      <c r="AH186" s="318"/>
      <c r="AI186" s="335">
        <f>Financials!AI121</f>
        <v>724</v>
      </c>
      <c r="AJ186" s="335">
        <f>AI186</f>
        <v>724</v>
      </c>
      <c r="AK186" s="1401">
        <f>Financials!AJ121</f>
        <v>1131</v>
      </c>
      <c r="AL186" s="336">
        <f>Financials!AK121</f>
        <v>1950</v>
      </c>
      <c r="AM186" s="336">
        <f>Financials!AL121</f>
        <v>1543</v>
      </c>
      <c r="AN186" s="1402">
        <f>Financials!AM121</f>
        <v>1218</v>
      </c>
      <c r="AO186" s="336"/>
      <c r="AP186" s="1401">
        <f>Financials!AO121</f>
        <v>1386</v>
      </c>
      <c r="AQ186" s="336">
        <f>Financials!AP121</f>
        <v>947</v>
      </c>
      <c r="AR186" s="336">
        <f>Financials!AQ121</f>
        <v>643</v>
      </c>
      <c r="AS186" s="1402">
        <f>Financials!AR121</f>
        <v>578</v>
      </c>
      <c r="AT186" s="343">
        <f>+AS186</f>
        <v>578</v>
      </c>
      <c r="AU186" s="1401">
        <f>Financials!AT121</f>
        <v>421</v>
      </c>
      <c r="AV186" s="336">
        <f>Financials!AU121</f>
        <v>393</v>
      </c>
      <c r="AW186" s="336">
        <f>Financials!AV121</f>
        <v>270</v>
      </c>
      <c r="AX186" s="1402">
        <f>Financials!AW121</f>
        <v>408</v>
      </c>
      <c r="AY186" s="343">
        <f>+AX186</f>
        <v>408</v>
      </c>
      <c r="AZ186" s="1401">
        <f>Financials!AY121</f>
        <v>652</v>
      </c>
      <c r="BA186" s="336">
        <f>Financials!AZ121</f>
        <v>565</v>
      </c>
      <c r="BB186" s="336">
        <f>Financials!BA121</f>
        <v>536</v>
      </c>
      <c r="BC186" s="1402">
        <f>Financials!BB121</f>
        <v>570</v>
      </c>
      <c r="BD186" s="343">
        <f>+BC186</f>
        <v>570</v>
      </c>
      <c r="BE186" s="1401">
        <f>Financials!BD121</f>
        <v>733</v>
      </c>
      <c r="BF186" s="336">
        <f>Financials!BE121</f>
        <v>767</v>
      </c>
      <c r="BG186" s="336">
        <f>Financials!BF121</f>
        <v>697</v>
      </c>
      <c r="BH186" s="1402">
        <f>Financials!BG121</f>
        <v>604</v>
      </c>
      <c r="BI186" s="343">
        <f>+BH186</f>
        <v>604</v>
      </c>
      <c r="BJ186" s="1401">
        <f>Financials!BI121</f>
        <v>1099</v>
      </c>
      <c r="BK186" s="336">
        <f>Financials!BJ121</f>
        <v>1471</v>
      </c>
      <c r="BL186" s="336">
        <f>Financials!BK121</f>
        <v>1257</v>
      </c>
      <c r="BM186" s="1402">
        <f>Financials!BL121</f>
        <v>1354</v>
      </c>
      <c r="BN186" s="343">
        <f>+BM186</f>
        <v>1354</v>
      </c>
      <c r="BO186" s="1401">
        <f>Financials!BN121</f>
        <v>1266</v>
      </c>
      <c r="BP186" s="336">
        <f>Financials!BO121</f>
        <v>1210</v>
      </c>
      <c r="BQ186" s="336">
        <f>Financials!BP121</f>
        <v>1165</v>
      </c>
      <c r="BR186" s="1402">
        <f>Financials!BQ121</f>
        <v>755</v>
      </c>
      <c r="BS186" s="742">
        <f>+BR186</f>
        <v>755</v>
      </c>
      <c r="BT186" s="1401">
        <f>Financials!BS121</f>
        <v>705</v>
      </c>
      <c r="BU186" s="336">
        <f>Financials!BT121</f>
        <v>820</v>
      </c>
      <c r="BV186" s="336">
        <f>Financials!BU121</f>
        <v>1445</v>
      </c>
      <c r="BW186" s="1402">
        <f>Financials!BV121</f>
        <v>1515</v>
      </c>
      <c r="BX186" s="742">
        <f>+BW186</f>
        <v>1515</v>
      </c>
      <c r="BY186" s="1401">
        <f>Financials!BX121</f>
        <v>1326</v>
      </c>
      <c r="BZ186" s="336">
        <f>Financials!BY121</f>
        <v>1522</v>
      </c>
      <c r="CA186" s="336">
        <f>Financials!BZ121</f>
        <v>1694</v>
      </c>
      <c r="CB186" s="1402">
        <f>Financials!CA121</f>
        <v>1553</v>
      </c>
      <c r="CC186" s="343">
        <f>+CB186</f>
        <v>1553</v>
      </c>
      <c r="CD186" s="1401">
        <f>Financials!CC121</f>
        <v>1284.1190544180361</v>
      </c>
      <c r="CE186" s="336">
        <f>Financials!CD121</f>
        <v>1438.5773632061537</v>
      </c>
      <c r="CF186" s="336">
        <f>Financials!CE121</f>
        <v>1580.4610264687171</v>
      </c>
      <c r="CG186" s="1402">
        <f>Financials!CF121</f>
        <v>1799.935359927933</v>
      </c>
      <c r="CH186" s="343">
        <f>+CG186</f>
        <v>1799.935359927933</v>
      </c>
      <c r="CI186" s="1401">
        <f>Financials!CH121</f>
        <v>2127.5772709672055</v>
      </c>
      <c r="CJ186" s="336">
        <f>Financials!CI121</f>
        <v>1759.9625462109548</v>
      </c>
      <c r="CK186" s="336">
        <f>Financials!CJ121</f>
        <v>2579.253049384613</v>
      </c>
      <c r="CL186" s="1402">
        <f>Financials!CK121</f>
        <v>2142.9895091421022</v>
      </c>
      <c r="CM186" s="343">
        <f>+CL186</f>
        <v>2142.9895091421022</v>
      </c>
      <c r="CN186" s="1401">
        <f>Financials!CM121</f>
        <v>2819.5863531618711</v>
      </c>
      <c r="CO186" s="336">
        <f>Financials!CN121</f>
        <v>2088.7597268419022</v>
      </c>
      <c r="CP186" s="336">
        <f>Financials!CO121</f>
        <v>3113.3718796066751</v>
      </c>
      <c r="CQ186" s="1402">
        <f>Financials!CP121</f>
        <v>2477.0344010399399</v>
      </c>
      <c r="CR186" s="1451">
        <f>+CQ186</f>
        <v>2477.0344010399399</v>
      </c>
    </row>
    <row r="187" spans="1:96" ht="13.5" customHeight="1">
      <c r="A187" s="317"/>
      <c r="B187" s="317" t="s">
        <v>91</v>
      </c>
      <c r="C187" s="317"/>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c r="AA187" s="318"/>
      <c r="AB187" s="318"/>
      <c r="AC187" s="318"/>
      <c r="AD187" s="318"/>
      <c r="AE187" s="318"/>
      <c r="AF187" s="318"/>
      <c r="AG187" s="318"/>
      <c r="AH187" s="318"/>
      <c r="AI187" s="335"/>
      <c r="AJ187" s="318"/>
      <c r="AK187" s="1401">
        <f>+AVERAGE(AK185,AK186)</f>
        <v>927.5</v>
      </c>
      <c r="AL187" s="336">
        <f>+AVERAGE(AL185,AL186)</f>
        <v>1540.5</v>
      </c>
      <c r="AM187" s="336">
        <f>+AVERAGE(AM185,AM186)</f>
        <v>1746.5</v>
      </c>
      <c r="AN187" s="1402">
        <f>+AVERAGE(AN185,AN186)</f>
        <v>1380.5</v>
      </c>
      <c r="AO187" s="336"/>
      <c r="AP187" s="1401">
        <f>+AVERAGE(AP185,AP186)</f>
        <v>693</v>
      </c>
      <c r="AQ187" s="336">
        <f>+AVERAGE(AQ185,AQ186)</f>
        <v>1166.5</v>
      </c>
      <c r="AR187" s="336">
        <f>+AVERAGE(AR185,AR186)</f>
        <v>795</v>
      </c>
      <c r="AS187" s="1402">
        <f>+AVERAGE(AS185,AS186)</f>
        <v>610.5</v>
      </c>
      <c r="AT187" s="336"/>
      <c r="AU187" s="1401">
        <f>+AVERAGE(AU185,AU186)</f>
        <v>499.5</v>
      </c>
      <c r="AV187" s="336">
        <f>+AVERAGE(AV185,AV186)</f>
        <v>407</v>
      </c>
      <c r="AW187" s="336">
        <f>+AVERAGE(AW185,AW186)</f>
        <v>331.5</v>
      </c>
      <c r="AX187" s="1402">
        <f>+AVERAGE(AX185,AX186)</f>
        <v>339</v>
      </c>
      <c r="AY187" s="336"/>
      <c r="AZ187" s="1401">
        <f>+AVERAGE(AZ185,AZ186)</f>
        <v>530</v>
      </c>
      <c r="BA187" s="336">
        <f>+AVERAGE(BA185,BA186)</f>
        <v>608.5</v>
      </c>
      <c r="BB187" s="336">
        <f>+AVERAGE(BB185,BB186)</f>
        <v>550.5</v>
      </c>
      <c r="BC187" s="1402">
        <f>+AVERAGE(BC185,BC186)</f>
        <v>553</v>
      </c>
      <c r="BD187" s="336"/>
      <c r="BE187" s="1401">
        <f>+AVERAGE(BE185,BE186)</f>
        <v>651.5</v>
      </c>
      <c r="BF187" s="336">
        <f>+AVERAGE(BF185,BF186)</f>
        <v>750</v>
      </c>
      <c r="BG187" s="336">
        <f>+AVERAGE(BG185,BG186)</f>
        <v>732</v>
      </c>
      <c r="BH187" s="1402">
        <f>+AVERAGE(BH185,BH186)</f>
        <v>650.5</v>
      </c>
      <c r="BI187" s="336"/>
      <c r="BJ187" s="1401">
        <f>+AVERAGE(BJ185,BJ186)</f>
        <v>851.5</v>
      </c>
      <c r="BK187" s="336">
        <f>+AVERAGE(BK185,BK186)</f>
        <v>1285</v>
      </c>
      <c r="BL187" s="336">
        <f>+AVERAGE(BL185,BL186)</f>
        <v>1364</v>
      </c>
      <c r="BM187" s="1402">
        <f>+AVERAGE(BM185,BM186)</f>
        <v>1305.5</v>
      </c>
      <c r="BN187" s="336"/>
      <c r="BO187" s="1401">
        <f>+AVERAGE(BO185,BO186)</f>
        <v>1310</v>
      </c>
      <c r="BP187" s="336">
        <f>+AVERAGE(BP185,BP186)</f>
        <v>1238</v>
      </c>
      <c r="BQ187" s="336">
        <f>+AVERAGE(BQ185,BQ186)</f>
        <v>1187.5</v>
      </c>
      <c r="BR187" s="1402">
        <f>+AVERAGE(BR185,BR186)</f>
        <v>960</v>
      </c>
      <c r="BS187" s="336"/>
      <c r="BT187" s="1401">
        <f>+AVERAGE(BT185,BT186)</f>
        <v>730</v>
      </c>
      <c r="BU187" s="336">
        <f>+AVERAGE(BU185,BU186)</f>
        <v>762.5</v>
      </c>
      <c r="BV187" s="336">
        <f>+AVERAGE(BV185,BV186)</f>
        <v>1132.5</v>
      </c>
      <c r="BW187" s="1402">
        <f>+AVERAGE(BW185,BW186)</f>
        <v>1480</v>
      </c>
      <c r="BX187" s="336"/>
      <c r="BY187" s="1401">
        <f>+AVERAGE(BY185,BY186)</f>
        <v>1420.5</v>
      </c>
      <c r="BZ187" s="336">
        <f>+AVERAGE(BZ185,BZ186)</f>
        <v>1424</v>
      </c>
      <c r="CA187" s="336">
        <f>+AVERAGE(CA185,CA186)</f>
        <v>1608</v>
      </c>
      <c r="CB187" s="1402">
        <f>+AVERAGE(CB185,CB186)</f>
        <v>1623.5</v>
      </c>
      <c r="CC187" s="336"/>
      <c r="CD187" s="1401">
        <f>+AVERAGE(CD185,CD186)</f>
        <v>1418.5595272090181</v>
      </c>
      <c r="CE187" s="336">
        <f>+AVERAGE(CE185,CE186)</f>
        <v>1361.348208812095</v>
      </c>
      <c r="CF187" s="336">
        <f>+AVERAGE(CF185,CF186)</f>
        <v>1509.5191948374354</v>
      </c>
      <c r="CG187" s="1402">
        <f>+AVERAGE(CG185,CG186)</f>
        <v>1690.198193198325</v>
      </c>
      <c r="CH187" s="336"/>
      <c r="CI187" s="1401">
        <f>+AVERAGE(CI185,CI186)</f>
        <v>1963.7563154475692</v>
      </c>
      <c r="CJ187" s="336">
        <f>+AVERAGE(CJ185,CJ186)</f>
        <v>1943.7699085890802</v>
      </c>
      <c r="CK187" s="336">
        <f>+AVERAGE(CK185,CK186)</f>
        <v>2169.6077977977839</v>
      </c>
      <c r="CL187" s="1402">
        <f>+AVERAGE(CL185,CL186)</f>
        <v>2361.1212792633578</v>
      </c>
      <c r="CM187" s="336"/>
      <c r="CN187" s="1401">
        <f>+AVERAGE(CN185,CN186)</f>
        <v>2481.2879311519864</v>
      </c>
      <c r="CO187" s="336">
        <f>+AVERAGE(CO185,CO186)</f>
        <v>2454.1730400018869</v>
      </c>
      <c r="CP187" s="336">
        <f>+AVERAGE(CP185,CP186)</f>
        <v>2601.0658032242886</v>
      </c>
      <c r="CQ187" s="1402">
        <f>+AVERAGE(CQ185,CQ186)</f>
        <v>2795.2031403233077</v>
      </c>
      <c r="CR187" s="1402"/>
    </row>
    <row r="188" spans="1:96" ht="13.5" customHeight="1">
      <c r="A188" s="317"/>
      <c r="B188" s="317" t="s">
        <v>728</v>
      </c>
      <c r="C188" s="317"/>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c r="AA188" s="318"/>
      <c r="AB188" s="318"/>
      <c r="AC188" s="318"/>
      <c r="AD188" s="318"/>
      <c r="AE188" s="318"/>
      <c r="AF188" s="318"/>
      <c r="AG188" s="318"/>
      <c r="AH188" s="318"/>
      <c r="AI188" s="335"/>
      <c r="AJ188" s="318"/>
      <c r="AK188" s="1401">
        <f>Financials!AJ42</f>
        <v>2</v>
      </c>
      <c r="AL188" s="336">
        <f>Financials!AK42</f>
        <v>1</v>
      </c>
      <c r="AM188" s="336">
        <f>Financials!AL42</f>
        <v>2</v>
      </c>
      <c r="AN188" s="1402">
        <f>+AN187*AN184/4</f>
        <v>0.62981521782786842</v>
      </c>
      <c r="AO188" s="336">
        <f>SUM(AK188:AN188)</f>
        <v>5.6298152178278684</v>
      </c>
      <c r="AP188" s="1401">
        <f>+AP187*AP184/4</f>
        <v>0.31858544877049189</v>
      </c>
      <c r="AQ188" s="336">
        <f>+AQ185*AQ184/4</f>
        <v>0.96685655901639356</v>
      </c>
      <c r="AR188" s="336">
        <f>+AR185*AR184/4</f>
        <v>0.59330845424528289</v>
      </c>
      <c r="AS188" s="1402">
        <f>+AS185*AS184/4</f>
        <v>0.267488</v>
      </c>
      <c r="AT188" s="336">
        <f>SUM(AP188:AS188)</f>
        <v>2.1462384620321684</v>
      </c>
      <c r="AU188" s="1401">
        <f>+AU185*AU184/4</f>
        <v>0.26399571113665876</v>
      </c>
      <c r="AV188" s="336">
        <f>+AV185*AV184/4</f>
        <v>0.33366861725931013</v>
      </c>
      <c r="AW188" s="336">
        <f>+AW185*AW184/4</f>
        <v>0.3447227630554589</v>
      </c>
      <c r="AX188" s="1402">
        <f>+AX185*AX184/4</f>
        <v>0.23625000000000002</v>
      </c>
      <c r="AY188" s="336">
        <f>SUM(AU188:AX188)</f>
        <v>1.1786370914514277</v>
      </c>
      <c r="AZ188" s="1401">
        <f>+AZ185*AZ184/4</f>
        <v>0.51</v>
      </c>
      <c r="BA188" s="336">
        <f>+BA185*BA184/4</f>
        <v>0.81500000000000006</v>
      </c>
      <c r="BB188" s="336">
        <f>+BB185*BB184/4</f>
        <v>0.70625000000000004</v>
      </c>
      <c r="BC188" s="1402">
        <f>+BC185*BC184/4</f>
        <v>0.67</v>
      </c>
      <c r="BD188" s="336">
        <f>SUM(AZ188:BC188)</f>
        <v>2.7012499999999999</v>
      </c>
      <c r="BE188" s="1401">
        <f>+BE185*BE184/4</f>
        <v>0.71250000000000002</v>
      </c>
      <c r="BF188" s="336">
        <f>+BF185*BF184/4</f>
        <v>0.91625000000000001</v>
      </c>
      <c r="BG188" s="336">
        <f>+BG185*BG184/4</f>
        <v>0.95874999999999999</v>
      </c>
      <c r="BH188" s="1402">
        <f>+BH185*BH184/4</f>
        <v>0.87124999999999997</v>
      </c>
      <c r="BI188" s="336">
        <f>SUM(BE188:BH188)</f>
        <v>3.4587500000000002</v>
      </c>
      <c r="BJ188" s="1401">
        <f>+BJ185*BJ184/4</f>
        <v>0.755</v>
      </c>
      <c r="BK188" s="336">
        <f>+BK185*BK184/4</f>
        <v>1.37375</v>
      </c>
      <c r="BL188" s="336">
        <f>+BL185*BL184/4</f>
        <v>1.8387500000000001</v>
      </c>
      <c r="BM188" s="1402">
        <f>+BM185*BM184/4</f>
        <v>1.57125</v>
      </c>
      <c r="BN188" s="336">
        <f>SUM(BJ188:BM188)</f>
        <v>5.5387500000000003</v>
      </c>
      <c r="BO188" s="1401">
        <f>+BO185*BO184/4</f>
        <v>1.6925000000000001</v>
      </c>
      <c r="BP188" s="336">
        <f>+BP185*BP184/4</f>
        <v>1.5825</v>
      </c>
      <c r="BQ188" s="336">
        <f>+BQ185*BQ184/4</f>
        <v>1.5125</v>
      </c>
      <c r="BR188" s="1402">
        <f>+BR185*BR184/4</f>
        <v>1.45625</v>
      </c>
      <c r="BS188" s="336">
        <f>SUM(BO188:BR188)</f>
        <v>6.2437500000000004</v>
      </c>
      <c r="BT188" s="1401">
        <f>+BT185*BT184/4</f>
        <v>0.94374999999999998</v>
      </c>
      <c r="BU188" s="336">
        <f>+BU185*BU184/4</f>
        <v>0.88124999999999998</v>
      </c>
      <c r="BV188" s="336">
        <f>+BV185*BV184/4</f>
        <v>1.0249999999999999</v>
      </c>
      <c r="BW188" s="1402">
        <f>+BW185*BW184/4</f>
        <v>1.8062500000000001</v>
      </c>
      <c r="BX188" s="336">
        <f>SUM(BT188:BW188)</f>
        <v>4.65625</v>
      </c>
      <c r="BY188" s="1401">
        <f>+BY185*BY184/4</f>
        <v>1.89375</v>
      </c>
      <c r="BZ188" s="336">
        <f>+BZ185*BZ184/4</f>
        <v>1.6575</v>
      </c>
      <c r="CA188" s="336">
        <f>+CA185*CA184/4</f>
        <v>1.9025000000000001</v>
      </c>
      <c r="CB188" s="1402">
        <f>+CB185*CB184/4</f>
        <v>2.1175000000000002</v>
      </c>
      <c r="CC188" s="336">
        <f>SUM(BY188:CB188)</f>
        <v>7.5712500000000009</v>
      </c>
      <c r="CD188" s="1401">
        <f>+CD185*CD184/4</f>
        <v>1.9412500000000001</v>
      </c>
      <c r="CE188" s="336">
        <f>+CE185*CE184/4</f>
        <v>1.6051488180225451</v>
      </c>
      <c r="CF188" s="336">
        <f>+CF185*CF184/4</f>
        <v>1.7982217040076922</v>
      </c>
      <c r="CG188" s="1402">
        <f>+CG185*CG184/4</f>
        <v>1.9755762830858965</v>
      </c>
      <c r="CH188" s="336">
        <f>SUM(CD188:CG188)</f>
        <v>7.3201968051161339</v>
      </c>
      <c r="CI188" s="1401">
        <f>+CI185*CI184/4</f>
        <v>2.2499191999099164</v>
      </c>
      <c r="CJ188" s="336">
        <f>+CJ185*CJ184/4</f>
        <v>2.6594715887090068</v>
      </c>
      <c r="CK188" s="336">
        <f>+CK185*CK184/4</f>
        <v>2.1999531827636933</v>
      </c>
      <c r="CL188" s="1402">
        <f>+CL185*CL184/4</f>
        <v>3.2240663117307662</v>
      </c>
      <c r="CM188" s="336">
        <f>SUM(CI188:CL188)</f>
        <v>10.333410283113382</v>
      </c>
      <c r="CN188" s="1401">
        <f>+CN185*CN184/4</f>
        <v>2.678736886427628</v>
      </c>
      <c r="CO188" s="336">
        <f>+CO185*CO184/4</f>
        <v>3.5244829414523391</v>
      </c>
      <c r="CP188" s="336">
        <f>+CP185*CP184/4</f>
        <v>2.6109496585523777</v>
      </c>
      <c r="CQ188" s="1402">
        <f>+CQ185*CQ184/4</f>
        <v>3.891714849508344</v>
      </c>
      <c r="CR188" s="1402">
        <f>SUM(CN188:CQ188)</f>
        <v>12.705884335940688</v>
      </c>
    </row>
    <row r="189" spans="1:96" ht="6.2" customHeight="1">
      <c r="A189" s="363"/>
      <c r="B189" s="363"/>
      <c r="C189" s="363"/>
      <c r="D189" s="364"/>
      <c r="E189" s="364"/>
      <c r="F189" s="364"/>
      <c r="G189" s="364"/>
      <c r="H189" s="364"/>
      <c r="I189" s="364"/>
      <c r="J189" s="364"/>
      <c r="K189" s="364"/>
      <c r="L189" s="364"/>
      <c r="M189" s="364"/>
      <c r="N189" s="364"/>
      <c r="O189" s="364"/>
      <c r="P189" s="364"/>
      <c r="Q189" s="364"/>
      <c r="R189" s="364"/>
      <c r="S189" s="364"/>
      <c r="T189" s="364"/>
      <c r="U189" s="364"/>
      <c r="V189" s="364"/>
      <c r="W189" s="364"/>
      <c r="X189" s="364"/>
      <c r="Y189" s="364"/>
      <c r="Z189" s="364"/>
      <c r="AA189" s="364"/>
      <c r="AB189" s="364"/>
      <c r="AC189" s="364"/>
      <c r="AD189" s="364"/>
      <c r="AE189" s="364"/>
      <c r="AF189" s="364"/>
      <c r="AG189" s="364"/>
      <c r="AH189" s="364"/>
      <c r="AI189" s="364"/>
      <c r="AJ189" s="364"/>
      <c r="AK189" s="1415"/>
      <c r="AL189" s="364"/>
      <c r="AM189" s="364"/>
      <c r="AN189" s="1416"/>
      <c r="AO189" s="365"/>
      <c r="AP189" s="1415"/>
      <c r="AQ189" s="364"/>
      <c r="AR189" s="364"/>
      <c r="AS189" s="1416"/>
      <c r="AT189" s="365"/>
      <c r="AU189" s="1415"/>
      <c r="AV189" s="364"/>
      <c r="AW189" s="364"/>
      <c r="AX189" s="1416"/>
      <c r="AY189" s="365"/>
      <c r="AZ189" s="1415"/>
      <c r="BA189" s="364"/>
      <c r="BB189" s="364"/>
      <c r="BC189" s="1416"/>
      <c r="BD189" s="365"/>
      <c r="BE189" s="1415"/>
      <c r="BF189" s="364"/>
      <c r="BG189" s="364"/>
      <c r="BH189" s="1416"/>
      <c r="BI189" s="365"/>
      <c r="BJ189" s="1415"/>
      <c r="BK189" s="364"/>
      <c r="BL189" s="364"/>
      <c r="BM189" s="1416"/>
      <c r="BN189" s="365"/>
      <c r="BO189" s="1415"/>
      <c r="BP189" s="364"/>
      <c r="BQ189" s="364"/>
      <c r="BR189" s="1416"/>
      <c r="BS189" s="365"/>
      <c r="BT189" s="1415"/>
      <c r="BU189" s="364"/>
      <c r="BV189" s="364"/>
      <c r="BW189" s="1416"/>
      <c r="BX189" s="365"/>
      <c r="BY189" s="1415"/>
      <c r="BZ189" s="364"/>
      <c r="CA189" s="364"/>
      <c r="CB189" s="1416"/>
      <c r="CC189" s="365"/>
      <c r="CD189" s="1415"/>
      <c r="CE189" s="364"/>
      <c r="CF189" s="364"/>
      <c r="CG189" s="1416"/>
      <c r="CH189" s="365"/>
      <c r="CI189" s="1415"/>
      <c r="CJ189" s="364"/>
      <c r="CK189" s="364"/>
      <c r="CL189" s="1416"/>
      <c r="CM189" s="365"/>
      <c r="CN189" s="1415"/>
      <c r="CO189" s="364"/>
      <c r="CP189" s="364"/>
      <c r="CQ189" s="1416"/>
      <c r="CR189" s="1454"/>
    </row>
    <row r="190" spans="1:96" ht="13.5" customHeight="1">
      <c r="A190" s="317"/>
      <c r="B190" s="317"/>
      <c r="C190" s="317"/>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c r="AA190" s="318"/>
      <c r="AB190" s="318"/>
      <c r="AC190" s="318"/>
      <c r="AD190" s="318"/>
      <c r="AE190" s="318"/>
      <c r="AF190" s="318"/>
      <c r="AG190" s="318"/>
      <c r="AH190" s="318"/>
      <c r="AI190" s="318"/>
      <c r="AJ190" s="318"/>
      <c r="AK190" s="1405"/>
      <c r="AL190" s="319"/>
      <c r="AM190" s="319"/>
      <c r="AN190" s="1406"/>
      <c r="AO190" s="362"/>
      <c r="AP190" s="1405"/>
      <c r="AQ190" s="319"/>
      <c r="AR190" s="319"/>
      <c r="AS190" s="1406"/>
      <c r="AT190" s="362"/>
      <c r="AU190" s="1405"/>
      <c r="AV190" s="319"/>
      <c r="AW190" s="319"/>
      <c r="AX190" s="1406"/>
      <c r="AY190" s="362"/>
      <c r="AZ190" s="1405"/>
      <c r="BA190" s="319"/>
      <c r="BB190" s="319"/>
      <c r="BC190" s="1406"/>
      <c r="BD190" s="362"/>
      <c r="BE190" s="1405"/>
      <c r="BF190" s="319"/>
      <c r="BG190" s="319"/>
      <c r="BH190" s="1406"/>
      <c r="BI190" s="362"/>
      <c r="BJ190" s="1405"/>
      <c r="BK190" s="319"/>
      <c r="BL190" s="319"/>
      <c r="BM190" s="1406"/>
      <c r="BN190" s="362"/>
      <c r="BO190" s="1405"/>
      <c r="BP190" s="319"/>
      <c r="BQ190" s="319"/>
      <c r="BR190" s="1406"/>
      <c r="BS190" s="362"/>
      <c r="BT190" s="1405"/>
      <c r="BU190" s="319"/>
      <c r="BV190" s="319"/>
      <c r="BW190" s="1406"/>
      <c r="BX190" s="362"/>
      <c r="BY190" s="1405"/>
      <c r="BZ190" s="319"/>
      <c r="CA190" s="319"/>
      <c r="CB190" s="1406"/>
      <c r="CC190" s="362"/>
      <c r="CD190" s="1405"/>
      <c r="CE190" s="319"/>
      <c r="CF190" s="319"/>
      <c r="CG190" s="1406"/>
      <c r="CH190" s="362"/>
      <c r="CI190" s="1405"/>
      <c r="CJ190" s="319"/>
      <c r="CK190" s="319"/>
      <c r="CL190" s="1406"/>
      <c r="CM190" s="362"/>
      <c r="CN190" s="1405"/>
      <c r="CO190" s="319"/>
      <c r="CP190" s="319"/>
      <c r="CQ190" s="1406"/>
      <c r="CR190" s="1453"/>
    </row>
    <row r="191" spans="1:96" ht="13.5" customHeight="1">
      <c r="A191" s="317"/>
      <c r="B191" s="334" t="s">
        <v>123</v>
      </c>
      <c r="C191" s="317"/>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c r="AA191" s="318"/>
      <c r="AB191" s="318"/>
      <c r="AC191" s="318"/>
      <c r="AD191" s="318"/>
      <c r="AE191" s="318"/>
      <c r="AF191" s="318"/>
      <c r="AG191" s="318"/>
      <c r="AH191" s="318"/>
      <c r="AI191" s="318"/>
      <c r="AJ191" s="318"/>
      <c r="AK191" s="1405"/>
      <c r="AL191" s="319"/>
      <c r="AM191" s="319"/>
      <c r="AN191" s="1406"/>
      <c r="AO191" s="362"/>
      <c r="AP191" s="1405"/>
      <c r="AQ191" s="319"/>
      <c r="AR191" s="319"/>
      <c r="AS191" s="1406"/>
      <c r="AT191" s="362"/>
      <c r="AU191" s="1405"/>
      <c r="AV191" s="319"/>
      <c r="AW191" s="319"/>
      <c r="AX191" s="1406"/>
      <c r="AY191" s="362"/>
      <c r="AZ191" s="1405"/>
      <c r="BA191" s="319"/>
      <c r="BB191" s="319"/>
      <c r="BC191" s="1406"/>
      <c r="BD191" s="362"/>
      <c r="BE191" s="1405"/>
      <c r="BF191" s="319"/>
      <c r="BG191" s="319"/>
      <c r="BH191" s="1406"/>
      <c r="BI191" s="362"/>
      <c r="BJ191" s="1405"/>
      <c r="BK191" s="319"/>
      <c r="BL191" s="319"/>
      <c r="BM191" s="1406"/>
      <c r="BN191" s="362"/>
      <c r="BO191" s="1405"/>
      <c r="BP191" s="319"/>
      <c r="BQ191" s="319"/>
      <c r="BR191" s="1406"/>
      <c r="BS191" s="362"/>
      <c r="BT191" s="1405"/>
      <c r="BU191" s="319"/>
      <c r="BV191" s="319"/>
      <c r="BW191" s="1406"/>
      <c r="BX191" s="362"/>
      <c r="BY191" s="1405"/>
      <c r="BZ191" s="319"/>
      <c r="CA191" s="319"/>
      <c r="CB191" s="1406"/>
      <c r="CC191" s="362"/>
      <c r="CD191" s="1405"/>
      <c r="CE191" s="319"/>
      <c r="CF191" s="319"/>
      <c r="CG191" s="1406"/>
      <c r="CH191" s="362"/>
      <c r="CI191" s="1405"/>
      <c r="CJ191" s="319"/>
      <c r="CK191" s="319"/>
      <c r="CL191" s="1406"/>
      <c r="CM191" s="362"/>
      <c r="CN191" s="1405"/>
      <c r="CO191" s="319"/>
      <c r="CP191" s="319"/>
      <c r="CQ191" s="1406"/>
      <c r="CR191" s="1453"/>
    </row>
    <row r="192" spans="1:96" ht="13.5" customHeight="1">
      <c r="A192" s="362"/>
      <c r="B192" s="362" t="s">
        <v>124</v>
      </c>
      <c r="C192" s="362"/>
      <c r="D192" s="319"/>
      <c r="E192" s="319"/>
      <c r="F192" s="362"/>
      <c r="G192" s="362"/>
      <c r="H192" s="362"/>
      <c r="I192" s="362"/>
      <c r="J192" s="362"/>
      <c r="K192" s="362"/>
      <c r="L192" s="362"/>
      <c r="M192" s="362"/>
      <c r="N192" s="362"/>
      <c r="O192" s="362"/>
      <c r="P192" s="362"/>
      <c r="Q192" s="362"/>
      <c r="R192" s="362"/>
      <c r="S192" s="362"/>
      <c r="T192" s="362"/>
      <c r="U192" s="362"/>
      <c r="V192" s="362"/>
      <c r="W192" s="362"/>
      <c r="X192" s="362"/>
      <c r="Y192" s="362"/>
      <c r="Z192" s="362"/>
      <c r="AA192" s="362"/>
      <c r="AB192" s="362"/>
      <c r="AC192" s="362"/>
      <c r="AD192" s="362"/>
      <c r="AE192" s="362"/>
      <c r="AF192" s="362"/>
      <c r="AG192" s="362"/>
      <c r="AH192" s="362"/>
      <c r="AI192" s="336"/>
      <c r="AJ192" s="336"/>
      <c r="AK192" s="1401">
        <f>AK14+AK168</f>
        <v>0</v>
      </c>
      <c r="AL192" s="336">
        <f>AL14+AL168</f>
        <v>0</v>
      </c>
      <c r="AM192" s="336">
        <f>AM14+AM168</f>
        <v>0</v>
      </c>
      <c r="AN192" s="1402">
        <f>AN14+AN168</f>
        <v>0</v>
      </c>
      <c r="AO192" s="336">
        <f>SUM(AK192:AN192)</f>
        <v>0</v>
      </c>
      <c r="AP192" s="1401">
        <f>AP14+AP168</f>
        <v>0</v>
      </c>
      <c r="AQ192" s="336">
        <f>AQ14+AQ168</f>
        <v>0</v>
      </c>
      <c r="AR192" s="336">
        <f>AR14+AR168</f>
        <v>0</v>
      </c>
      <c r="AS192" s="1402">
        <f>AS14+AS168</f>
        <v>0</v>
      </c>
      <c r="AT192" s="336">
        <f>SUM(AP192:AS192)</f>
        <v>0</v>
      </c>
      <c r="AU192" s="1401">
        <f>AU14+AU168</f>
        <v>0</v>
      </c>
      <c r="AV192" s="336">
        <f>AV14+AV168</f>
        <v>0</v>
      </c>
      <c r="AW192" s="336">
        <f>AW14+AW168</f>
        <v>0</v>
      </c>
      <c r="AX192" s="1402">
        <f>AX14+AX168</f>
        <v>0</v>
      </c>
      <c r="AY192" s="336">
        <f>SUM(AU192:AX192)</f>
        <v>0</v>
      </c>
      <c r="AZ192" s="1401">
        <f>AZ14+AZ168</f>
        <v>0</v>
      </c>
      <c r="BA192" s="336">
        <f>BA14+BA168</f>
        <v>0</v>
      </c>
      <c r="BB192" s="336">
        <f>BB14+BB168</f>
        <v>0</v>
      </c>
      <c r="BC192" s="1402">
        <f>BC14+BC168</f>
        <v>0</v>
      </c>
      <c r="BD192" s="336">
        <f>SUM(AZ192:BC192)</f>
        <v>0</v>
      </c>
      <c r="BE192" s="1401">
        <f>BE14+BE168</f>
        <v>0</v>
      </c>
      <c r="BF192" s="336">
        <f>BF14+BF168</f>
        <v>0</v>
      </c>
      <c r="BG192" s="336">
        <f>BG14+BG168</f>
        <v>0</v>
      </c>
      <c r="BH192" s="1402">
        <f>BH14+BH168</f>
        <v>0</v>
      </c>
      <c r="BI192" s="336">
        <f>SUM(BE192:BH192)</f>
        <v>0</v>
      </c>
      <c r="BJ192" s="1401">
        <f>BJ14+BJ168</f>
        <v>0</v>
      </c>
      <c r="BK192" s="336">
        <f>BK14+BK168</f>
        <v>0</v>
      </c>
      <c r="BL192" s="336">
        <f>BL14+BL168</f>
        <v>0</v>
      </c>
      <c r="BM192" s="1402">
        <f>BM14+BM168</f>
        <v>0</v>
      </c>
      <c r="BN192" s="336">
        <f>SUM(BJ192:BM192)</f>
        <v>0</v>
      </c>
      <c r="BO192" s="1401">
        <f>BO14+BO168</f>
        <v>0</v>
      </c>
      <c r="BP192" s="336">
        <f>BP14+BP168</f>
        <v>0</v>
      </c>
      <c r="BQ192" s="336">
        <f>BQ14+BQ168</f>
        <v>0</v>
      </c>
      <c r="BR192" s="1402">
        <f>BR14+BR168</f>
        <v>0</v>
      </c>
      <c r="BS192" s="336">
        <f>SUM(BO192:BR192)</f>
        <v>0</v>
      </c>
      <c r="BT192" s="1401">
        <f>BT14+BT168</f>
        <v>0</v>
      </c>
      <c r="BU192" s="336">
        <f>BU14+BU168</f>
        <v>0</v>
      </c>
      <c r="BV192" s="336">
        <f>BV14+BV168</f>
        <v>0</v>
      </c>
      <c r="BW192" s="1402">
        <f>BW14+BW168</f>
        <v>0</v>
      </c>
      <c r="BX192" s="336">
        <f>SUM(BT192:BW192)</f>
        <v>0</v>
      </c>
      <c r="BY192" s="1401">
        <f>BY14+BY168</f>
        <v>0</v>
      </c>
      <c r="BZ192" s="336">
        <f>BZ14+BZ168</f>
        <v>0</v>
      </c>
      <c r="CA192" s="336">
        <f>CA14+CA168</f>
        <v>0</v>
      </c>
      <c r="CB192" s="1402">
        <f>CB14+CB168</f>
        <v>0</v>
      </c>
      <c r="CC192" s="336">
        <f>SUM(BY192:CB192)</f>
        <v>0</v>
      </c>
      <c r="CD192" s="1401">
        <f>CD14+CD168</f>
        <v>0</v>
      </c>
      <c r="CE192" s="336">
        <f>CE14+CE168</f>
        <v>0</v>
      </c>
      <c r="CF192" s="336">
        <f>CF14+CF168</f>
        <v>0</v>
      </c>
      <c r="CG192" s="1402">
        <f>CG14+CG168</f>
        <v>0</v>
      </c>
      <c r="CH192" s="336">
        <f>SUM(CD192:CG192)</f>
        <v>0</v>
      </c>
      <c r="CI192" s="1401">
        <f>CI14+CI168</f>
        <v>0</v>
      </c>
      <c r="CJ192" s="336">
        <f>CJ14+CJ168</f>
        <v>0</v>
      </c>
      <c r="CK192" s="336">
        <f>CK14+CK168</f>
        <v>0</v>
      </c>
      <c r="CL192" s="1402">
        <f>CL14+CL168</f>
        <v>0</v>
      </c>
      <c r="CM192" s="336">
        <f>SUM(CI192:CL192)</f>
        <v>0</v>
      </c>
      <c r="CN192" s="1401">
        <f>CN14+CN168</f>
        <v>0</v>
      </c>
      <c r="CO192" s="336">
        <f>CO14+CO168</f>
        <v>0</v>
      </c>
      <c r="CP192" s="336">
        <f>CP14+CP168</f>
        <v>0</v>
      </c>
      <c r="CQ192" s="1402">
        <f>CQ14+CQ168</f>
        <v>0</v>
      </c>
      <c r="CR192" s="1402">
        <f>SUM(CN192:CQ192)</f>
        <v>0</v>
      </c>
    </row>
    <row r="193" spans="1:96" ht="13.5" customHeight="1">
      <c r="A193" s="362"/>
      <c r="B193" s="362" t="s">
        <v>125</v>
      </c>
      <c r="C193" s="362"/>
      <c r="D193" s="319"/>
      <c r="E193" s="319"/>
      <c r="F193" s="362"/>
      <c r="G193" s="362"/>
      <c r="H193" s="362"/>
      <c r="I193" s="362"/>
      <c r="J193" s="362"/>
      <c r="K193" s="362"/>
      <c r="L193" s="362"/>
      <c r="M193" s="362"/>
      <c r="N193" s="362"/>
      <c r="O193" s="362"/>
      <c r="P193" s="362"/>
      <c r="Q193" s="362"/>
      <c r="R193" s="362"/>
      <c r="S193" s="362"/>
      <c r="T193" s="362"/>
      <c r="U193" s="362"/>
      <c r="V193" s="362"/>
      <c r="W193" s="362"/>
      <c r="X193" s="362"/>
      <c r="Y193" s="362"/>
      <c r="Z193" s="362"/>
      <c r="AA193" s="362"/>
      <c r="AB193" s="362"/>
      <c r="AC193" s="362"/>
      <c r="AD193" s="362"/>
      <c r="AE193" s="362"/>
      <c r="AF193" s="362"/>
      <c r="AG193" s="362"/>
      <c r="AH193" s="362"/>
      <c r="AI193" s="336"/>
      <c r="AJ193" s="336"/>
      <c r="AK193" s="1401"/>
      <c r="AL193" s="336">
        <f>AL140</f>
        <v>862.5</v>
      </c>
      <c r="AM193" s="336"/>
      <c r="AN193" s="1402"/>
      <c r="AO193" s="336"/>
      <c r="AP193" s="1403">
        <v>600</v>
      </c>
      <c r="AQ193" s="336"/>
      <c r="AR193" s="336"/>
      <c r="AS193" s="1402"/>
      <c r="AT193" s="336"/>
      <c r="AU193" s="1401"/>
      <c r="AV193" s="336"/>
      <c r="AW193" s="336"/>
      <c r="AX193" s="1402"/>
      <c r="AY193" s="336"/>
      <c r="AZ193" s="1401">
        <f>AZ50</f>
        <v>400</v>
      </c>
      <c r="BA193" s="336"/>
      <c r="BB193" s="336"/>
      <c r="BC193" s="1402"/>
      <c r="BD193" s="336"/>
      <c r="BE193" s="1401">
        <f>BE50</f>
        <v>400</v>
      </c>
      <c r="BF193" s="336"/>
      <c r="BG193" s="336"/>
      <c r="BH193" s="1402"/>
      <c r="BI193" s="336"/>
      <c r="BJ193" s="1401"/>
      <c r="BK193" s="336"/>
      <c r="BL193" s="336"/>
      <c r="BM193" s="1402"/>
      <c r="BN193" s="336"/>
      <c r="BO193" s="1401"/>
      <c r="BP193" s="336"/>
      <c r="BQ193" s="336"/>
      <c r="BR193" s="1402"/>
      <c r="BS193" s="336"/>
      <c r="BT193" s="1401"/>
      <c r="BU193" s="336"/>
      <c r="BV193" s="336"/>
      <c r="BW193" s="1402"/>
      <c r="BX193" s="336"/>
      <c r="BY193" s="1401"/>
      <c r="BZ193" s="336"/>
      <c r="CA193" s="336"/>
      <c r="CB193" s="1402"/>
      <c r="CC193" s="336"/>
      <c r="CD193" s="1401"/>
      <c r="CE193" s="336"/>
      <c r="CF193" s="336"/>
      <c r="CG193" s="1402"/>
      <c r="CH193" s="336"/>
      <c r="CI193" s="1401"/>
      <c r="CJ193" s="336"/>
      <c r="CK193" s="336"/>
      <c r="CL193" s="1402"/>
      <c r="CM193" s="336"/>
      <c r="CN193" s="1401"/>
      <c r="CO193" s="336"/>
      <c r="CP193" s="336"/>
      <c r="CQ193" s="1402"/>
      <c r="CR193" s="1402"/>
    </row>
    <row r="194" spans="1:96" ht="13.5" customHeight="1">
      <c r="A194" s="362"/>
      <c r="B194" s="362" t="s">
        <v>126</v>
      </c>
      <c r="C194" s="362"/>
      <c r="D194" s="319"/>
      <c r="E194" s="319"/>
      <c r="F194" s="362"/>
      <c r="G194" s="362"/>
      <c r="H194" s="362"/>
      <c r="I194" s="362"/>
      <c r="J194" s="362"/>
      <c r="K194" s="362"/>
      <c r="L194" s="362"/>
      <c r="M194" s="362"/>
      <c r="N194" s="362"/>
      <c r="O194" s="362"/>
      <c r="P194" s="362"/>
      <c r="Q194" s="362"/>
      <c r="R194" s="362"/>
      <c r="S194" s="362"/>
      <c r="T194" s="362"/>
      <c r="U194" s="362"/>
      <c r="V194" s="362"/>
      <c r="W194" s="362"/>
      <c r="X194" s="362"/>
      <c r="Y194" s="362"/>
      <c r="Z194" s="362"/>
      <c r="AA194" s="362"/>
      <c r="AB194" s="362"/>
      <c r="AC194" s="362"/>
      <c r="AD194" s="362"/>
      <c r="AE194" s="362"/>
      <c r="AF194" s="362"/>
      <c r="AG194" s="362"/>
      <c r="AH194" s="362"/>
      <c r="AI194" s="336"/>
      <c r="AJ194" s="336"/>
      <c r="AK194" s="1401">
        <f>AK15+AK25+AK33+AK41+AK65+AK73+AK81+AK122+AK131+AK169</f>
        <v>0</v>
      </c>
      <c r="AL194" s="336">
        <f>AL15+AL25+AL33+AL41+AL65+AL73+AL81+AL122+AL131+AL169</f>
        <v>-655</v>
      </c>
      <c r="AM194" s="336">
        <f>AM15+AM25+AM33+AM41+AM65+AM73+AM81+AM122+AM131+AM169</f>
        <v>0</v>
      </c>
      <c r="AN194" s="1402">
        <f>AN15+AN25+AN33+AN41+AN65+AN73+AN81+AN122+AN131+AN169</f>
        <v>0</v>
      </c>
      <c r="AO194" s="336">
        <f>SUM(AK194:AN194)</f>
        <v>-655</v>
      </c>
      <c r="AP194" s="1403">
        <v>-270</v>
      </c>
      <c r="AQ194" s="336">
        <f>AQ15+AQ41+AQ57+AQ65+AQ73+AQ81+AQ122+AQ131+AQ139+AQ169</f>
        <v>0</v>
      </c>
      <c r="AR194" s="336">
        <f>AR15+AR41+AR57+AR65+AR73+AR81+AR122+AR131+AR139+AR169</f>
        <v>0</v>
      </c>
      <c r="AS194" s="1402">
        <f>AS15+AS41+AS57+AS65+AS73+AS81+AS122+AS131+AS139+AS169</f>
        <v>0</v>
      </c>
      <c r="AT194" s="336">
        <f>SUM(AP194:AS194)</f>
        <v>-270</v>
      </c>
      <c r="AU194" s="1401">
        <f>AU15+AU41+AU57+AU65+AU73+AU81+AU122+AU131+AU139+AU169</f>
        <v>0</v>
      </c>
      <c r="AV194" s="336">
        <f>AV15+AV41+AV57+AV65+AV73+AV81+AV122+AV131+AV139+AV169</f>
        <v>0</v>
      </c>
      <c r="AW194" s="336">
        <f>AW15+AW41+AW57+AW65+AW73+AW81+AW122+AW131+AW139+AW169</f>
        <v>0</v>
      </c>
      <c r="AX194" s="1402">
        <f>AX15+AX41+AX57+AX65+AX73+AX81+AX122+AX131+AX139+AX169</f>
        <v>0</v>
      </c>
      <c r="AY194" s="336">
        <f>SUM(AU194:AX194)</f>
        <v>0</v>
      </c>
      <c r="AZ194" s="1401">
        <f>AZ15+AZ41+AZ57+AZ65+AZ73+AZ81+AZ122+AZ131+AZ139+AZ169</f>
        <v>0</v>
      </c>
      <c r="BA194" s="336">
        <f>BA15+BA41+BA57+BA65+BA73+BA81+BA122+BA131+BA139+BA169+BA49</f>
        <v>-300</v>
      </c>
      <c r="BB194" s="336">
        <f>BB15+BB41+BB57+BB65+BB73+BB81+BB122+BB131+BB139+BB169+BB49</f>
        <v>0</v>
      </c>
      <c r="BC194" s="1402">
        <f>BC15+BC41+BC57+BC65+BC73+BC81+BC122+BC131+BC139+BC169+BC49</f>
        <v>0</v>
      </c>
      <c r="BD194" s="336">
        <f>SUM(AZ194:BC194)</f>
        <v>-300</v>
      </c>
      <c r="BE194" s="1401">
        <f>BE15+BE41+BE57+BE65+BE73+BE81+BE122+BE131+BE139+BE169</f>
        <v>-541.89800000000002</v>
      </c>
      <c r="BF194" s="336">
        <f>BF15+BF41+BF57+BF65+BF73+BF81+BF122+BF131+BF139+BF169+BF49+BF147+BF89</f>
        <v>0</v>
      </c>
      <c r="BG194" s="336">
        <f>BG15+BG41+BG57+BG65+BG73+BG81+BG122+BG131+BG139+BG169+BG49+BG147+BG89</f>
        <v>0</v>
      </c>
      <c r="BH194" s="1402">
        <f>BH15+BH41+BH57+BH65+BH73+BH81+BH122+BH131+BH139+BH169+BH49+BH147+BH89</f>
        <v>0</v>
      </c>
      <c r="BI194" s="336">
        <f>SUM(BE194:BH194)</f>
        <v>-541.89800000000002</v>
      </c>
      <c r="BJ194" s="1401">
        <f>BJ15+BJ41+BJ57+BJ65+BJ73+BJ81+BJ122+BJ131+BJ139+BJ169+BJ49+BJ147+BJ89</f>
        <v>-35</v>
      </c>
      <c r="BK194" s="336">
        <f>BK15+BK41+BK57+BK65+BK73+BK81+BK122+BK131+BK139+BK169+BK49+BK147+BK89</f>
        <v>-320.60199999999998</v>
      </c>
      <c r="BL194" s="336">
        <f>BL15+BL41+BL57+BL65+BL73+BL81+BL122+BL131+BL139+BL169+BL49+BL147+BL89</f>
        <v>0</v>
      </c>
      <c r="BM194" s="1402">
        <f>BM15+BM41+BM57+BM65+BM73+BM81+BM122+BM131+BM139+BM169+BM49+BM147+BM89</f>
        <v>0</v>
      </c>
      <c r="BN194" s="336">
        <f>SUM(BJ194:BM194)</f>
        <v>-355.60199999999998</v>
      </c>
      <c r="BO194" s="1401">
        <f>BO15+BO41+BO57+BO65+BO73+BO81+BO122+BO131+BO139+BO169+BO49+BO147+BO89</f>
        <v>0</v>
      </c>
      <c r="BP194" s="336">
        <f>BP15+BP41+BP57+BP65+BP73+BP81+BP122+BP131+BP139+BP169+BP49+BP147+BP89</f>
        <v>0</v>
      </c>
      <c r="BQ194" s="336">
        <f>BQ15+BQ41+BQ57+BQ65+BQ73+BQ81+BQ122+BQ131+BQ139+BQ169+BQ49+BQ147+BQ89</f>
        <v>0</v>
      </c>
      <c r="BR194" s="1402">
        <f>BR15+BR41+BR57+BR65+BR73+BR81+BR122+BR131+BR139+BR169+BR49+BR147+BR89</f>
        <v>-316</v>
      </c>
      <c r="BS194" s="336">
        <f>SUM(BO194:BR194)</f>
        <v>-316</v>
      </c>
      <c r="BT194" s="1401">
        <f>BT15+BT41+BT57+BT65+BT73+BT81+BT122+BT131+BT139+BT169+BT49+BT147+BT89</f>
        <v>0</v>
      </c>
      <c r="BU194" s="336">
        <f>BU15+BU41+BU57+BU65+BU73+BU81+BU122+BU131+BU139+BU169+BU49+BU147+BU89+BU105</f>
        <v>-945</v>
      </c>
      <c r="BV194" s="336">
        <f>BV15+BV41+BV57+BV65+BV73+BV81+BV122+BV131+BV139+BV169+BV49+BV147+BV89</f>
        <v>-62</v>
      </c>
      <c r="BW194" s="1402">
        <f>BW15+BW41+BW57+BW65+BW73+BW81+BW122+BW131+BW139+BW169+BW49+BW147+BW89</f>
        <v>-51</v>
      </c>
      <c r="BX194" s="336">
        <f>SUM(BT194:BW194)</f>
        <v>-1058</v>
      </c>
      <c r="BY194" s="1401">
        <f>BY15+BY41+BY57+BY65+BY73+BY81+BY122+BY131+BY139+BY169+BY49+BY147+BY89</f>
        <v>0</v>
      </c>
      <c r="BZ194" s="336">
        <f>BZ15+BZ41+BZ57+BZ65+BZ73+BZ81+BZ122+BZ131+BZ139+BZ169+BZ49+BZ147+BZ89</f>
        <v>-108</v>
      </c>
      <c r="CA194" s="336">
        <f>CA15+CA41+CA57+CA65+CA73+CA81+CA122+CA131+CA139+CA169+CA49+CA147+CA89</f>
        <v>-772</v>
      </c>
      <c r="CB194" s="1402">
        <f>CB15+CB41+CB57+CB65+CB73+CB81+CB122+CB131+CB139+CB169+CB49+CB147+CB89</f>
        <v>-2</v>
      </c>
      <c r="CC194" s="336">
        <f>SUM(BY194:CB194)</f>
        <v>-882</v>
      </c>
      <c r="CD194" s="1401">
        <f>CD15+CD41+CD57+CD65+CD73+CD81+CD122+CD131+CD139+CD169+CD49+CD147+CD89</f>
        <v>0</v>
      </c>
      <c r="CE194" s="336">
        <f>CE15+CE41+CE57+CE65+CE73+CE81+CE122+CE131+CE139+CE169+CE49+CE147+CE89</f>
        <v>0</v>
      </c>
      <c r="CF194" s="336">
        <f>CF15+CF41+CF57+CF65+CF73+CF81+CF122+CF131+CF139+CF169+CF49+CF147+CF89</f>
        <v>0</v>
      </c>
      <c r="CG194" s="1402">
        <f>CG15+CG41+CG57+CG65+CG73+CG81+CG122+CG131+CG139+CG169+CG49+CG147+CG89</f>
        <v>0</v>
      </c>
      <c r="CH194" s="336">
        <f>SUM(CD194:CG194)</f>
        <v>0</v>
      </c>
      <c r="CI194" s="1401">
        <f>CI15+CI41+CI57+CI65+CI73+CI81+CI122+CI131+CI139+CI169+CI49+CI147+CI89</f>
        <v>0</v>
      </c>
      <c r="CJ194" s="336">
        <f>CJ15+CJ41+CJ57+CJ65+CJ73+CJ81+CJ122+CJ131+CJ139+CJ169+CJ49+CJ147+CJ89</f>
        <v>0</v>
      </c>
      <c r="CK194" s="336">
        <f>CK15+CK41+CK57+CK65+CK73+CK81+CK122+CK131+CK139+CK169+CK49+CK147+CK89</f>
        <v>0</v>
      </c>
      <c r="CL194" s="1402">
        <f>CL15+CL41+CL57+CL65+CL73+CL81+CL122+CL131+CL139+CL169+CL49+CL147+CL89</f>
        <v>0</v>
      </c>
      <c r="CM194" s="336">
        <f>SUM(CI194:CL194)</f>
        <v>0</v>
      </c>
      <c r="CN194" s="1401">
        <f>CN15+CN41+CN57+CN65+CN73+CN81+CN122+CN131+CN139+CN169+CN49+CN147+CN89</f>
        <v>0</v>
      </c>
      <c r="CO194" s="336">
        <f>CO15+CO41+CO57+CO65+CO73+CO81+CO122+CO131+CO139+CO169+CO49+CO147+CO89</f>
        <v>0</v>
      </c>
      <c r="CP194" s="336">
        <f>CP15+CP41+CP57+CP65+CP73+CP81+CP122+CP131+CP139+CP169+CP49+CP147+CP89</f>
        <v>0</v>
      </c>
      <c r="CQ194" s="1402">
        <f>CQ15+CQ41+CQ57+CQ65+CQ73+CQ81+CQ122+CQ131+CQ139+CQ169+CQ49+CQ147+CQ89</f>
        <v>0</v>
      </c>
      <c r="CR194" s="1402">
        <f>SUM(CN194:CQ194)</f>
        <v>0</v>
      </c>
    </row>
    <row r="195" spans="1:96" ht="13.5" customHeight="1">
      <c r="A195" s="362"/>
      <c r="B195" s="362" t="s">
        <v>127</v>
      </c>
      <c r="C195" s="362"/>
      <c r="D195" s="319"/>
      <c r="E195" s="319"/>
      <c r="F195" s="362"/>
      <c r="G195" s="362"/>
      <c r="H195" s="362"/>
      <c r="I195" s="362"/>
      <c r="J195" s="362"/>
      <c r="K195" s="362"/>
      <c r="L195" s="362"/>
      <c r="M195" s="362"/>
      <c r="N195" s="362"/>
      <c r="O195" s="362"/>
      <c r="P195" s="362"/>
      <c r="Q195" s="362"/>
      <c r="R195" s="362"/>
      <c r="S195" s="362"/>
      <c r="T195" s="362"/>
      <c r="U195" s="362"/>
      <c r="V195" s="362"/>
      <c r="W195" s="362"/>
      <c r="X195" s="362"/>
      <c r="Y195" s="362"/>
      <c r="Z195" s="362"/>
      <c r="AA195" s="362"/>
      <c r="AB195" s="362"/>
      <c r="AC195" s="362"/>
      <c r="AD195" s="362"/>
      <c r="AE195" s="362"/>
      <c r="AF195" s="362"/>
      <c r="AG195" s="362"/>
      <c r="AH195" s="362"/>
      <c r="AI195" s="336"/>
      <c r="AJ195" s="336"/>
      <c r="AK195" s="1401">
        <f>SUM(AI201:AI202)-SUM(AK201:AK202)</f>
        <v>2.3445058875628817</v>
      </c>
      <c r="AL195" s="336">
        <f>SUM(AK201:AK202)-SUM(AL201:AL202)</f>
        <v>-1.2543778291062111</v>
      </c>
      <c r="AM195" s="336">
        <f>SUM(AL201:AL202)-SUM(AM201:AM202)</f>
        <v>-1.214465548973223</v>
      </c>
      <c r="AN195" s="1402">
        <f>SUM(AM201:AM202)-SUM(AN201:AN202)</f>
        <v>0.96754213477052531</v>
      </c>
      <c r="AO195" s="336">
        <f>SUM(AK195:AN195)</f>
        <v>0.8432046442539729</v>
      </c>
      <c r="AP195" s="1401">
        <f>SUM(AN201:AN202)-SUM(AP201:AP202)</f>
        <v>0.67351717507998643</v>
      </c>
      <c r="AQ195" s="336">
        <f>SUM(AP201:AP202)-SUM(AQ201:AQ202)</f>
        <v>3.5960554654930377</v>
      </c>
      <c r="AR195" s="336">
        <f>SUM(AQ201:AQ202)-SUM(AR201:AR202)</f>
        <v>-8.112777284826997</v>
      </c>
      <c r="AS195" s="1402">
        <f>SUM(AR201:AR202)-SUM(AS201:AS202)</f>
        <v>3.6349023758460675</v>
      </c>
      <c r="AT195" s="336">
        <f>SUM(AP195:AS195)</f>
        <v>-0.20830226840790544</v>
      </c>
      <c r="AU195" s="1401">
        <f>SUM(AS201:AS202)-SUM(AU201:AU202)</f>
        <v>1.933254881207688</v>
      </c>
      <c r="AV195" s="336">
        <f>SUM(AU201:AU202)-SUM(AV201:AV202)</f>
        <v>1.9332548812077022</v>
      </c>
      <c r="AW195" s="336">
        <f>SUM(AV201:AV202)-SUM(AW201:AW202)</f>
        <v>1.9332548812077022</v>
      </c>
      <c r="AX195" s="1402">
        <f>SUM(AW201:AW202)-SUM(AX201:AX202)</f>
        <v>1.9332548812076951</v>
      </c>
      <c r="AY195" s="336">
        <f>SUM(AU195:AX195)</f>
        <v>7.7330195248307874</v>
      </c>
      <c r="AZ195" s="1401">
        <f>SUM(AX201:AX202)-SUM(AZ201:AZ202)</f>
        <v>1.9332548812076951</v>
      </c>
      <c r="BA195" s="336">
        <f>SUM(AZ201:AZ202)-SUM(BA201:BA202)</f>
        <v>1.9332548812077022</v>
      </c>
      <c r="BB195" s="336">
        <f>SUM(BA201:BA202)-SUM(BB201:BB202)</f>
        <v>1.9332548812076986</v>
      </c>
      <c r="BC195" s="1402">
        <f>SUM(BB201:BB202)-SUM(BC201:BC202)</f>
        <v>1.9332548812077022</v>
      </c>
      <c r="BD195" s="336">
        <f>SUM(AZ195:BC195)</f>
        <v>7.733019524830798</v>
      </c>
      <c r="BE195" s="1401">
        <f>SUM(BC201:BC202)-SUM(BE201:BE202)</f>
        <v>1.9332548812076986</v>
      </c>
      <c r="BF195" s="336">
        <f>SUM(BE201:BE202)-SUM(BF201:BF202)</f>
        <v>2.3096812443050894</v>
      </c>
      <c r="BG195" s="336">
        <f>SUM(BF201:BF202)-SUM(BG201:BG202)</f>
        <v>1.8956122448979578</v>
      </c>
      <c r="BH195" s="1402">
        <f>SUM(BG201:BG202)-SUM(BH201:BH202)</f>
        <v>1.8956122448979578</v>
      </c>
      <c r="BI195" s="336">
        <f>SUM(BE195:BH195)</f>
        <v>8.0341606153087035</v>
      </c>
      <c r="BJ195" s="1401">
        <f>SUM(BH201:BH202)-SUM(BJ201:BJ202)</f>
        <v>1.8956122448979578</v>
      </c>
      <c r="BK195" s="336">
        <f>SUM(BJ201:BJ202)-SUM(BK201:BK202)</f>
        <v>1.8956122448979578</v>
      </c>
      <c r="BL195" s="336">
        <f>SUM(BK201:BK202)-SUM(BL201:BL202)</f>
        <v>1.8956122448979613</v>
      </c>
      <c r="BM195" s="1402">
        <f>SUM(BL201:BL202)-SUM(BM201:BM202)</f>
        <v>1.8956122448979578</v>
      </c>
      <c r="BN195" s="336">
        <f>SUM(BJ195:BM195)</f>
        <v>7.5824489795918346</v>
      </c>
      <c r="BO195" s="1401">
        <f>SUM(BM201:BM202)-SUM(BO201:BO202)</f>
        <v>6.6824489795918138</v>
      </c>
      <c r="BP195" s="336">
        <f>SUM(BO201:BO202)-SUM(BP201:BP202)</f>
        <v>0.29999999999999982</v>
      </c>
      <c r="BQ195" s="336">
        <f>SUM(BP201:BP202)-SUM(BQ201:BQ202)</f>
        <v>0.29999999999999982</v>
      </c>
      <c r="BR195" s="1402">
        <f>SUM(BQ201:BQ202)-SUM(BR201:BR202)</f>
        <v>0.29999999999999982</v>
      </c>
      <c r="BS195" s="336">
        <f>SUM(BO195:BR195)</f>
        <v>7.5824489795918133</v>
      </c>
      <c r="BT195" s="1401">
        <f>SUM(BR201:BR202)-SUM(BT201:BT202)</f>
        <v>0.29999999999999982</v>
      </c>
      <c r="BU195" s="336">
        <f>SUM(BT201:BT202)-SUM(BU201:BU202)</f>
        <v>0</v>
      </c>
      <c r="BV195" s="336">
        <f>SUM(BU201:BU202)-SUM(BV201:BV202)</f>
        <v>0.29999999999999982</v>
      </c>
      <c r="BW195" s="1402">
        <f>SUM(BV201:BV202)-SUM(BW201:BW202)</f>
        <v>0.29999999999999982</v>
      </c>
      <c r="BX195" s="336">
        <f>SUM(BT195:BW195)</f>
        <v>0.89999999999999947</v>
      </c>
      <c r="BY195" s="1401">
        <f>SUM(BW201:BW202)-SUM(BY201:BY202)</f>
        <v>-33.900000000000006</v>
      </c>
      <c r="BZ195" s="336">
        <f>SUM(BY201:BY202)-SUM(BZ201:BZ202)</f>
        <v>0.29999999999999716</v>
      </c>
      <c r="CA195" s="336">
        <f>SUM(BZ201:BZ202)-SUM(CA201:CA202)</f>
        <v>0.29999999999999716</v>
      </c>
      <c r="CB195" s="1402">
        <f>SUM(CA201:CA202)-SUM(CB201:CB202)</f>
        <v>0.29999999999999716</v>
      </c>
      <c r="CC195" s="336">
        <f>SUM(BY195:CB195)</f>
        <v>-33.000000000000014</v>
      </c>
      <c r="CD195" s="1401">
        <f>SUM(CB201:CB202)-SUM(CD201:CD202)</f>
        <v>2.8000000000000114</v>
      </c>
      <c r="CE195" s="336">
        <f>SUM(CD201:CD202)-SUM(CE201:CE202)</f>
        <v>0</v>
      </c>
      <c r="CF195" s="336">
        <f>SUM(CE201:CE202)-SUM(CF201:CF202)</f>
        <v>0</v>
      </c>
      <c r="CG195" s="1402">
        <f>SUM(CF201:CF202)-SUM(CG201:CG202)</f>
        <v>0</v>
      </c>
      <c r="CH195" s="336">
        <f>SUM(CD195:CG195)</f>
        <v>2.8000000000000114</v>
      </c>
      <c r="CI195" s="1401">
        <f>SUM(CG201:CG202)-SUM(CI201:CI202)</f>
        <v>0</v>
      </c>
      <c r="CJ195" s="336">
        <f>SUM(CI201:CI202)-SUM(CJ201:CJ202)</f>
        <v>0</v>
      </c>
      <c r="CK195" s="336">
        <f>SUM(CJ201:CJ202)-SUM(CK201:CK202)</f>
        <v>0</v>
      </c>
      <c r="CL195" s="1402">
        <f>SUM(CK201:CK202)-SUM(CL201:CL202)</f>
        <v>0</v>
      </c>
      <c r="CM195" s="336">
        <f>SUM(CI195:CL195)</f>
        <v>0</v>
      </c>
      <c r="CN195" s="1401">
        <f>SUM(CL201:CL202)-SUM(CN201:CN202)</f>
        <v>0</v>
      </c>
      <c r="CO195" s="336">
        <f>SUM(CN201:CN202)-SUM(CO201:CO202)</f>
        <v>0</v>
      </c>
      <c r="CP195" s="336">
        <f>SUM(CO201:CO202)-SUM(CP201:CP202)</f>
        <v>0</v>
      </c>
      <c r="CQ195" s="1402">
        <f>SUM(CP201:CP202)-SUM(CQ201:CQ202)</f>
        <v>0</v>
      </c>
      <c r="CR195" s="1402">
        <f>SUM(CN195:CQ195)</f>
        <v>0</v>
      </c>
    </row>
    <row r="196" spans="1:96" ht="13.5" customHeight="1">
      <c r="A196" s="362"/>
      <c r="B196" s="317" t="s">
        <v>108</v>
      </c>
      <c r="C196" s="362"/>
      <c r="D196" s="319"/>
      <c r="E196" s="319"/>
      <c r="F196" s="362"/>
      <c r="G196" s="362"/>
      <c r="H196" s="362"/>
      <c r="I196" s="362"/>
      <c r="J196" s="362"/>
      <c r="K196" s="362"/>
      <c r="L196" s="362"/>
      <c r="M196" s="362"/>
      <c r="N196" s="362"/>
      <c r="O196" s="362"/>
      <c r="P196" s="362"/>
      <c r="Q196" s="362"/>
      <c r="R196" s="362"/>
      <c r="S196" s="362"/>
      <c r="T196" s="362"/>
      <c r="U196" s="362"/>
      <c r="V196" s="362"/>
      <c r="W196" s="362"/>
      <c r="X196" s="362"/>
      <c r="Y196" s="362"/>
      <c r="Z196" s="362"/>
      <c r="AA196" s="362"/>
      <c r="AB196" s="362"/>
      <c r="AC196" s="362"/>
      <c r="AD196" s="362"/>
      <c r="AE196" s="362"/>
      <c r="AF196" s="362"/>
      <c r="AG196" s="362"/>
      <c r="AH196" s="362"/>
      <c r="AI196" s="336"/>
      <c r="AJ196" s="336"/>
      <c r="AK196" s="1401">
        <f>AK174+AK127</f>
        <v>4.4722704071803889</v>
      </c>
      <c r="AL196" s="336">
        <f>AL174+AL127</f>
        <v>1.9042404693505404</v>
      </c>
      <c r="AM196" s="336">
        <f>AM174+AM127</f>
        <v>4.8054293194646789</v>
      </c>
      <c r="AN196" s="1402">
        <f>AN174+AN127</f>
        <v>5.9172608728526086</v>
      </c>
      <c r="AO196" s="336">
        <f>SUM(AK196:AN196)</f>
        <v>17.099201068848217</v>
      </c>
      <c r="AP196" s="1401">
        <f>AP174+AP127</f>
        <v>13.163123311874301</v>
      </c>
      <c r="AQ196" s="336">
        <f>AQ174+AQ127</f>
        <v>-154.49071469316567</v>
      </c>
      <c r="AR196" s="336">
        <f>AR174+AR127</f>
        <v>5.0641501216661879</v>
      </c>
      <c r="AS196" s="1402">
        <f>AS174+AS127</f>
        <v>0</v>
      </c>
      <c r="AT196" s="336">
        <f>SUM(AP196:AS196)</f>
        <v>-136.26344125962518</v>
      </c>
      <c r="AU196" s="1401">
        <f>AU174+AU127</f>
        <v>0</v>
      </c>
      <c r="AV196" s="336">
        <f>AV174+AV127</f>
        <v>0</v>
      </c>
      <c r="AW196" s="336">
        <f>AW174+AW127</f>
        <v>0</v>
      </c>
      <c r="AX196" s="1402">
        <f>AX174+AX127</f>
        <v>0</v>
      </c>
      <c r="AY196" s="336">
        <f>SUM(AU196:AX196)</f>
        <v>0</v>
      </c>
      <c r="AZ196" s="1401">
        <f>AZ174+AZ127</f>
        <v>0</v>
      </c>
      <c r="BA196" s="336">
        <f>BA174+BA127</f>
        <v>0</v>
      </c>
      <c r="BB196" s="336">
        <f>BB174+BB127</f>
        <v>0</v>
      </c>
      <c r="BC196" s="1402">
        <f>BC174+BC127</f>
        <v>0</v>
      </c>
      <c r="BD196" s="336">
        <f>SUM(AZ196:BC196)</f>
        <v>0</v>
      </c>
      <c r="BE196" s="1401">
        <f>BE174+BE127</f>
        <v>0</v>
      </c>
      <c r="BF196" s="336">
        <f>BF174+BF127</f>
        <v>-3.3701919059688521</v>
      </c>
      <c r="BG196" s="336">
        <f>BG174+BG127</f>
        <v>0</v>
      </c>
      <c r="BH196" s="1402">
        <f>BH174+BH127</f>
        <v>0</v>
      </c>
      <c r="BI196" s="336">
        <f>SUM(BE196:BH196)</f>
        <v>-3.3701919059688521</v>
      </c>
      <c r="BJ196" s="1401">
        <f>BJ174+BJ127</f>
        <v>0</v>
      </c>
      <c r="BK196" s="336">
        <f>BK174+BK127</f>
        <v>0</v>
      </c>
      <c r="BL196" s="336">
        <f>BL174+BL127</f>
        <v>-142.85714285714286</v>
      </c>
      <c r="BM196" s="1402">
        <f>BM174+BM127</f>
        <v>0</v>
      </c>
      <c r="BN196" s="336">
        <f>SUM(BJ196:BM196)</f>
        <v>-142.85714285714286</v>
      </c>
      <c r="BO196" s="1401">
        <f>BO174+BO127</f>
        <v>0</v>
      </c>
      <c r="BP196" s="336">
        <f>BP174+BP127</f>
        <v>0</v>
      </c>
      <c r="BQ196" s="336">
        <f>BQ174+BQ127</f>
        <v>0</v>
      </c>
      <c r="BR196" s="1402">
        <f>BR174+BR127</f>
        <v>0</v>
      </c>
      <c r="BS196" s="336">
        <f>SUM(BO196:BR196)</f>
        <v>0</v>
      </c>
      <c r="BT196" s="1401">
        <f>BT174+BT127</f>
        <v>0</v>
      </c>
      <c r="BU196" s="336">
        <f>BU174+BU127</f>
        <v>0</v>
      </c>
      <c r="BV196" s="336">
        <f>BV174+BV127</f>
        <v>0</v>
      </c>
      <c r="BW196" s="1402">
        <f>BW174+BW127</f>
        <v>0</v>
      </c>
      <c r="BX196" s="336">
        <f>SUM(BT196:BW196)</f>
        <v>0</v>
      </c>
      <c r="BY196" s="1401">
        <f>BY174+BY127</f>
        <v>0</v>
      </c>
      <c r="BZ196" s="336">
        <f>BZ174+BZ127</f>
        <v>0</v>
      </c>
      <c r="CA196" s="336">
        <f>CA174+CA127</f>
        <v>0</v>
      </c>
      <c r="CB196" s="1402">
        <f>CB174+CB127</f>
        <v>0</v>
      </c>
      <c r="CC196" s="336">
        <f>SUM(BY196:CB196)</f>
        <v>0</v>
      </c>
      <c r="CD196" s="1401">
        <f>CD174+CD127</f>
        <v>0</v>
      </c>
      <c r="CE196" s="336">
        <f>CE174+CE127</f>
        <v>0</v>
      </c>
      <c r="CF196" s="336">
        <f>CF174+CF127</f>
        <v>0</v>
      </c>
      <c r="CG196" s="1402">
        <f>CG174+CG127</f>
        <v>0</v>
      </c>
      <c r="CH196" s="336">
        <f>SUM(CD196:CG196)</f>
        <v>0</v>
      </c>
      <c r="CI196" s="1401">
        <f>CI174+CI127</f>
        <v>0</v>
      </c>
      <c r="CJ196" s="336">
        <f>CJ174+CJ127</f>
        <v>0</v>
      </c>
      <c r="CK196" s="336">
        <f>CK174+CK127</f>
        <v>0</v>
      </c>
      <c r="CL196" s="1402">
        <f>CL174+CL127</f>
        <v>0</v>
      </c>
      <c r="CM196" s="336">
        <f>SUM(CI196:CL196)</f>
        <v>0</v>
      </c>
      <c r="CN196" s="1401">
        <f>CN174+CN127</f>
        <v>0</v>
      </c>
      <c r="CO196" s="336">
        <f>CO174+CO127</f>
        <v>0</v>
      </c>
      <c r="CP196" s="336">
        <f>CP174+CP127</f>
        <v>0</v>
      </c>
      <c r="CQ196" s="1402">
        <f>CQ174+CQ127</f>
        <v>0</v>
      </c>
      <c r="CR196" s="1402">
        <f>SUM(CN196:CQ196)</f>
        <v>0</v>
      </c>
    </row>
    <row r="197" spans="1:96" ht="13.5" customHeight="1">
      <c r="A197" s="362"/>
      <c r="B197" s="317" t="s">
        <v>128</v>
      </c>
      <c r="C197" s="362"/>
      <c r="D197" s="319"/>
      <c r="E197" s="319"/>
      <c r="F197" s="362"/>
      <c r="G197" s="362"/>
      <c r="H197" s="362"/>
      <c r="I197" s="362"/>
      <c r="J197" s="362"/>
      <c r="K197" s="362"/>
      <c r="L197" s="362"/>
      <c r="M197" s="362"/>
      <c r="N197" s="362"/>
      <c r="O197" s="362"/>
      <c r="P197" s="362"/>
      <c r="Q197" s="362"/>
      <c r="R197" s="362"/>
      <c r="S197" s="362"/>
      <c r="T197" s="362"/>
      <c r="U197" s="362"/>
      <c r="V197" s="362"/>
      <c r="W197" s="362"/>
      <c r="X197" s="362"/>
      <c r="Y197" s="362"/>
      <c r="Z197" s="362"/>
      <c r="AA197" s="362"/>
      <c r="AB197" s="362"/>
      <c r="AC197" s="362"/>
      <c r="AD197" s="362"/>
      <c r="AE197" s="362"/>
      <c r="AF197" s="362"/>
      <c r="AG197" s="362"/>
      <c r="AH197" s="362"/>
      <c r="AI197" s="336"/>
      <c r="AJ197" s="336"/>
      <c r="AK197" s="1401">
        <f>-(SUM(AK192:AK196)-SUM(AK203:AK204)+SUM(AI203:AI204))</f>
        <v>-27.816776294743249</v>
      </c>
      <c r="AL197" s="336">
        <f>-(SUM(AL192:AL196)-SUM(AL203:AL204)+SUM(AK203:AK204))</f>
        <v>18.850137359755536</v>
      </c>
      <c r="AM197" s="336">
        <f>-(SUM(AM192:AM196)-SUM(AM203:AM204)+SUM(AL203:AL204))</f>
        <v>10.409036229508729</v>
      </c>
      <c r="AN197" s="1402">
        <f>-(SUM(AN192:AN196)-SUM(AN203:AN204)+SUM(AM203:AM204))</f>
        <v>-7.8848030076233044</v>
      </c>
      <c r="AO197" s="336">
        <f>SUM(AK197:AN197)</f>
        <v>-6.4424057131022892</v>
      </c>
      <c r="AP197" s="1401">
        <f>-(SUM(AP192:AP196)-SUM(AP203:AP204)+SUM(AN203:AN204))</f>
        <v>-35.836640486954366</v>
      </c>
      <c r="AQ197" s="336">
        <f>-(SUM(AQ192:AQ196)-SUM(AQ203:AQ204)+SUM(AP203:AP204))</f>
        <v>138.89465922767249</v>
      </c>
      <c r="AR197" s="336">
        <f>-(SUM(AR192:AR196)-SUM(AR203:AR204)+SUM(AQ203:AQ204))</f>
        <v>2.0486271631607451</v>
      </c>
      <c r="AS197" s="1402">
        <f>-(SUM(AS192:AS196)-SUM(AS203:AS204)+SUM(AR203:AR204))</f>
        <v>-13.634902375846195</v>
      </c>
      <c r="AT197" s="336">
        <f>SUM(AP197:AS197)</f>
        <v>91.471743528032675</v>
      </c>
      <c r="AU197" s="1401">
        <f>-(SUM(AU192:AU196)-SUM(AU203:AU204)+SUM(AS203:AS204))</f>
        <v>84.066745118792369</v>
      </c>
      <c r="AV197" s="336">
        <f>-(SUM(AV192:AV196)-SUM(AV203:AV204)+SUM(AU203:AU204))</f>
        <v>164.06674511879237</v>
      </c>
      <c r="AW197" s="336">
        <f>-(SUM(AW192:AW196)-SUM(AW203:AW204)+SUM(AV203:AV204))</f>
        <v>-44.933254881207631</v>
      </c>
      <c r="AX197" s="1402">
        <f>-(SUM(AX192:AX196)-SUM(AX203:AX204)+SUM(AW203:AW204))</f>
        <v>-11.933254881207631</v>
      </c>
      <c r="AY197" s="336">
        <f>SUM(AU197:AX197)</f>
        <v>191.26698047516948</v>
      </c>
      <c r="AZ197" s="1401">
        <f>-(SUM(AZ192:AZ196)-SUM(AZ203:AZ204)+SUM(AX203:AX204))</f>
        <v>-132.93325488120763</v>
      </c>
      <c r="BA197" s="336">
        <f>-(SUM(BA192:BA196)-SUM(BA203:BA204)+SUM(AZ203:AZ204))</f>
        <v>-12.933254881208086</v>
      </c>
      <c r="BB197" s="336">
        <f>-(SUM(BB192:BB196)-SUM(BB203:BB204)+SUM(BA203:BA204))</f>
        <v>132.06674511879237</v>
      </c>
      <c r="BC197" s="1402">
        <f>-(SUM(BC192:BC196)-SUM(BC203:BC204)+SUM(BB203:BB204))</f>
        <v>-3.9332548812076311</v>
      </c>
      <c r="BD197" s="336">
        <f>SUM(AZ197:BC197)</f>
        <v>-17.733019524830979</v>
      </c>
      <c r="BE197" s="1401">
        <f>-(SUM(BE192:BE196)-SUM(BE203:BE204)+SUM(BC203:BC204))</f>
        <v>135.96474511879251</v>
      </c>
      <c r="BF197" s="336">
        <f>-(SUM(BF192:BF196)-SUM(BF203:BF204)+SUM(BE203:BE204))</f>
        <v>6.0510661663556675E-2</v>
      </c>
      <c r="BG197" s="336">
        <f>-(SUM(BG192:BG196)-SUM(BG203:BG204)+SUM(BF203:BF204))</f>
        <v>5.104387755101925</v>
      </c>
      <c r="BH197" s="1402">
        <f>-(SUM(BH192:BH196)-SUM(BH203:BH204)+SUM(BG203:BG204))</f>
        <v>-2.895612244898075</v>
      </c>
      <c r="BI197" s="336">
        <f>SUM(BE197:BH197)</f>
        <v>138.23403129065991</v>
      </c>
      <c r="BJ197" s="1401">
        <f>-(SUM(BJ192:BJ196)-SUM(BJ203:BJ204)+SUM(BH203:BH204))</f>
        <v>32.104387755101925</v>
      </c>
      <c r="BK197" s="336">
        <f>-(SUM(BK192:BK196)-SUM(BK203:BK204)+SUM(BJ203:BJ204))</f>
        <v>5.7063877551017868</v>
      </c>
      <c r="BL197" s="336">
        <f>-(SUM(BL192:BL196)-SUM(BL203:BL204)+SUM(BK203:BK204))</f>
        <v>13.961530612245042</v>
      </c>
      <c r="BM197" s="1402">
        <f>-(SUM(BM192:BM196)-SUM(BM203:BM204)+SUM(BL203:BL204))</f>
        <v>-1.895612244898075</v>
      </c>
      <c r="BN197" s="336">
        <f>SUM(BJ197:BM197)</f>
        <v>49.876693877550679</v>
      </c>
      <c r="BO197" s="1401">
        <f>-(SUM(BO192:BO196)-SUM(BO203:BO204)+SUM(BM203:BM204))</f>
        <v>-2.6824489795917543</v>
      </c>
      <c r="BP197" s="336">
        <f>-(SUM(BP192:BP196)-SUM(BP203:BP204)+SUM(BO203:BO204))</f>
        <v>-16.300000000000182</v>
      </c>
      <c r="BQ197" s="336">
        <f>-(SUM(BQ192:BQ196)-SUM(BQ203:BQ204)+SUM(BP203:BP204))</f>
        <v>2.6999999999998181</v>
      </c>
      <c r="BR197" s="1402">
        <f>-(SUM(BR192:BR196)-SUM(BR203:BR204)+SUM(BQ203:BQ204))</f>
        <v>-12.300000000000182</v>
      </c>
      <c r="BS197" s="336">
        <f>SUM(BO197:BR197)</f>
        <v>-28.5824489795923</v>
      </c>
      <c r="BT197" s="1401">
        <f>-(SUM(BT192:BT196)-SUM(BT203:BT204)+SUM(BR203:BR204))</f>
        <v>-40.300000000000182</v>
      </c>
      <c r="BU197" s="336">
        <f>-(SUM(BU192:BU196)-SUM(BU203:BU204)+SUM(BT203:BT204))</f>
        <v>964</v>
      </c>
      <c r="BV197" s="336">
        <f>-(SUM(BV192:BV196)-SUM(BV203:BV204)+SUM(BU203:BU204))</f>
        <v>1.6999999999998181</v>
      </c>
      <c r="BW197" s="1402">
        <f>-(SUM(BW192:BW196)-SUM(BW203:BW204)+SUM(BV203:BV204))</f>
        <v>1.6999999999998181</v>
      </c>
      <c r="BX197" s="336">
        <f>SUM(BT197:BW197)</f>
        <v>927.09999999999945</v>
      </c>
      <c r="BY197" s="1401">
        <f>-(SUM(BY192:BY196)-SUM(BY203:BY204)+SUM(BW203:BW204))</f>
        <v>35.900000000000091</v>
      </c>
      <c r="BZ197" s="336">
        <f>-(SUM(BZ192:BZ196)-SUM(BZ203:BZ204)+SUM(BY203:BY204))</f>
        <v>1.6999999999998181</v>
      </c>
      <c r="CA197" s="336">
        <f>-(SUM(CA192:CA196)-SUM(CA203:CA204)+SUM(BZ203:BZ204))</f>
        <v>743.69999999999982</v>
      </c>
      <c r="CB197" s="1402">
        <f>-(SUM(CB192:CB196)-SUM(CB203:CB204)+SUM(CA203:CA204))</f>
        <v>-194.30000000000018</v>
      </c>
      <c r="CC197" s="336">
        <f>SUM(BY197:CB197)</f>
        <v>586.99999999999955</v>
      </c>
      <c r="CD197" s="1401">
        <f>-(SUM(CD192:CD196)-SUM(CD203:CD204)+SUM(CB203:CB204))</f>
        <v>-2.8000000000001819</v>
      </c>
      <c r="CE197" s="336">
        <f>-(SUM(CE192:CE196)-SUM(CE203:CE204)+SUM(CD203:CD204))</f>
        <v>0</v>
      </c>
      <c r="CF197" s="336">
        <f>-(SUM(CF192:CF196)-SUM(CF203:CF204)+SUM(CE203:CE204))</f>
        <v>0</v>
      </c>
      <c r="CG197" s="1402">
        <f>-(SUM(CG192:CG196)-SUM(CG203:CG204)+SUM(CF203:CF204))</f>
        <v>0</v>
      </c>
      <c r="CH197" s="336">
        <f>SUM(CD197:CG197)</f>
        <v>-2.8000000000001819</v>
      </c>
      <c r="CI197" s="1401">
        <f>-(SUM(CI192:CI196)-SUM(CI203:CI204)+SUM(CG203:CG204))</f>
        <v>0</v>
      </c>
      <c r="CJ197" s="336">
        <f>-(SUM(CJ192:CJ196)-SUM(CJ203:CJ204)+SUM(CI203:CI204))</f>
        <v>0</v>
      </c>
      <c r="CK197" s="336">
        <f>-(SUM(CK192:CK196)-SUM(CK203:CK204)+SUM(CJ203:CJ204))</f>
        <v>0</v>
      </c>
      <c r="CL197" s="1402">
        <f>-(SUM(CL192:CL196)-SUM(CL203:CL204)+SUM(CK203:CK204))</f>
        <v>0</v>
      </c>
      <c r="CM197" s="336">
        <f>SUM(CI197:CL197)</f>
        <v>0</v>
      </c>
      <c r="CN197" s="1401">
        <f>-(SUM(CN192:CN196)-SUM(CN203:CN204)+SUM(CL203:CL204))</f>
        <v>0</v>
      </c>
      <c r="CO197" s="336">
        <f>-(SUM(CO192:CO196)-SUM(CO203:CO204)+SUM(CN203:CN204))</f>
        <v>0</v>
      </c>
      <c r="CP197" s="336">
        <f>-(SUM(CP192:CP196)-SUM(CP203:CP204)+SUM(CO203:CO204))</f>
        <v>0</v>
      </c>
      <c r="CQ197" s="1402">
        <f>-(SUM(CQ192:CQ196)-SUM(CQ203:CQ204)+SUM(CP203:CP204))</f>
        <v>0</v>
      </c>
      <c r="CR197" s="1402">
        <f>SUM(CN197:CQ197)</f>
        <v>0</v>
      </c>
    </row>
    <row r="198" spans="1:96" ht="13.5" customHeight="1">
      <c r="A198" s="366"/>
      <c r="B198" s="334" t="s">
        <v>595</v>
      </c>
      <c r="C198" s="366"/>
      <c r="D198" s="367"/>
      <c r="E198" s="367"/>
      <c r="F198" s="366"/>
      <c r="G198" s="366"/>
      <c r="H198" s="366"/>
      <c r="I198" s="366"/>
      <c r="J198" s="366"/>
      <c r="K198" s="366"/>
      <c r="L198" s="366"/>
      <c r="M198" s="366"/>
      <c r="N198" s="366"/>
      <c r="O198" s="366"/>
      <c r="P198" s="366"/>
      <c r="Q198" s="366"/>
      <c r="R198" s="366"/>
      <c r="S198" s="366"/>
      <c r="T198" s="366"/>
      <c r="U198" s="366"/>
      <c r="V198" s="366"/>
      <c r="W198" s="366"/>
      <c r="X198" s="366"/>
      <c r="Y198" s="366"/>
      <c r="Z198" s="366"/>
      <c r="AA198" s="366"/>
      <c r="AB198" s="366"/>
      <c r="AC198" s="366"/>
      <c r="AD198" s="366"/>
      <c r="AE198" s="366"/>
      <c r="AF198" s="366"/>
      <c r="AG198" s="366"/>
      <c r="AH198" s="366"/>
      <c r="AI198" s="368"/>
      <c r="AJ198" s="368"/>
      <c r="AK198" s="1417">
        <f>SUM(AK192:AK197)</f>
        <v>-20.999999999999979</v>
      </c>
      <c r="AL198" s="368">
        <f>SUM(AL192:AL197)</f>
        <v>226.99999999999989</v>
      </c>
      <c r="AM198" s="368">
        <f>SUM(AM192:AM197)</f>
        <v>14.000000000000185</v>
      </c>
      <c r="AN198" s="1418">
        <f>SUM(AN192:AN197)</f>
        <v>-1.0000000000001705</v>
      </c>
      <c r="AO198" s="368">
        <f>SUM(AO192:AO197)</f>
        <v>-643.50000000000011</v>
      </c>
      <c r="AP198" s="1417">
        <f t="shared" ref="AP198:BU198" si="54">SUM(AP192:AP197)</f>
        <v>307.99999999999994</v>
      </c>
      <c r="AQ198" s="368">
        <f t="shared" si="54"/>
        <v>-12.000000000000142</v>
      </c>
      <c r="AR198" s="368">
        <f t="shared" si="54"/>
        <v>-1.0000000000000639</v>
      </c>
      <c r="AS198" s="1418">
        <f t="shared" si="54"/>
        <v>-10.000000000000128</v>
      </c>
      <c r="AT198" s="368">
        <f t="shared" si="54"/>
        <v>-315.00000000000045</v>
      </c>
      <c r="AU198" s="1417">
        <f t="shared" si="54"/>
        <v>86.000000000000057</v>
      </c>
      <c r="AV198" s="368">
        <f t="shared" si="54"/>
        <v>166.00000000000006</v>
      </c>
      <c r="AW198" s="368">
        <f t="shared" si="54"/>
        <v>-42.999999999999929</v>
      </c>
      <c r="AX198" s="1418">
        <f t="shared" si="54"/>
        <v>-9.9999999999999361</v>
      </c>
      <c r="AY198" s="368">
        <f t="shared" si="54"/>
        <v>199.00000000000026</v>
      </c>
      <c r="AZ198" s="1417">
        <f t="shared" si="54"/>
        <v>269.00000000000006</v>
      </c>
      <c r="BA198" s="368">
        <f t="shared" si="54"/>
        <v>-311.0000000000004</v>
      </c>
      <c r="BB198" s="368">
        <f t="shared" si="54"/>
        <v>134.00000000000006</v>
      </c>
      <c r="BC198" s="1418">
        <f t="shared" si="54"/>
        <v>-1.9999999999999289</v>
      </c>
      <c r="BD198" s="368">
        <f t="shared" si="54"/>
        <v>-310.00000000000017</v>
      </c>
      <c r="BE198" s="1417">
        <f t="shared" si="54"/>
        <v>-3.9999999999998295</v>
      </c>
      <c r="BF198" s="368">
        <f t="shared" si="54"/>
        <v>-1.0000000000002061</v>
      </c>
      <c r="BG198" s="368">
        <f t="shared" si="54"/>
        <v>6.9999999999998828</v>
      </c>
      <c r="BH198" s="1418">
        <f t="shared" si="54"/>
        <v>-1.0000000000001172</v>
      </c>
      <c r="BI198" s="368">
        <f t="shared" si="54"/>
        <v>-399.00000000000023</v>
      </c>
      <c r="BJ198" s="1417">
        <f t="shared" si="54"/>
        <v>-1.0000000000001137</v>
      </c>
      <c r="BK198" s="368">
        <f t="shared" si="54"/>
        <v>-313.00000000000023</v>
      </c>
      <c r="BL198" s="368">
        <f t="shared" si="54"/>
        <v>-126.99999999999986</v>
      </c>
      <c r="BM198" s="1418">
        <f t="shared" si="54"/>
        <v>-1.1723955140041653E-13</v>
      </c>
      <c r="BN198" s="368">
        <f t="shared" si="54"/>
        <v>-441.00000000000034</v>
      </c>
      <c r="BO198" s="1417">
        <f t="shared" si="54"/>
        <v>4.0000000000000595</v>
      </c>
      <c r="BP198" s="368">
        <f t="shared" si="54"/>
        <v>-16.000000000000181</v>
      </c>
      <c r="BQ198" s="368">
        <f t="shared" si="54"/>
        <v>2.9999999999998179</v>
      </c>
      <c r="BR198" s="1418">
        <f t="shared" si="54"/>
        <v>-328.00000000000017</v>
      </c>
      <c r="BS198" s="368">
        <f t="shared" si="54"/>
        <v>-337.00000000000051</v>
      </c>
      <c r="BT198" s="1417">
        <f t="shared" si="54"/>
        <v>-40.000000000000185</v>
      </c>
      <c r="BU198" s="368">
        <f t="shared" si="54"/>
        <v>19</v>
      </c>
      <c r="BV198" s="368">
        <f t="shared" ref="BV198:CR198" si="55">SUM(BV192:BV197)</f>
        <v>-60.000000000000185</v>
      </c>
      <c r="BW198" s="1418">
        <f t="shared" si="55"/>
        <v>-49.000000000000185</v>
      </c>
      <c r="BX198" s="368">
        <f t="shared" si="55"/>
        <v>-130.00000000000045</v>
      </c>
      <c r="BY198" s="1417">
        <f t="shared" si="55"/>
        <v>2.0000000000000853</v>
      </c>
      <c r="BZ198" s="368">
        <f t="shared" si="55"/>
        <v>-106.00000000000018</v>
      </c>
      <c r="CA198" s="368">
        <f t="shared" si="55"/>
        <v>-28.000000000000227</v>
      </c>
      <c r="CB198" s="1418">
        <f t="shared" si="55"/>
        <v>-196.00000000000017</v>
      </c>
      <c r="CC198" s="368">
        <f t="shared" si="55"/>
        <v>-328.00000000000045</v>
      </c>
      <c r="CD198" s="1417">
        <f t="shared" si="55"/>
        <v>-1.7053025658242404E-13</v>
      </c>
      <c r="CE198" s="368">
        <f t="shared" si="55"/>
        <v>0</v>
      </c>
      <c r="CF198" s="368">
        <f t="shared" si="55"/>
        <v>0</v>
      </c>
      <c r="CG198" s="1418">
        <f t="shared" si="55"/>
        <v>0</v>
      </c>
      <c r="CH198" s="368">
        <f t="shared" si="55"/>
        <v>-1.7053025658242404E-13</v>
      </c>
      <c r="CI198" s="1417">
        <f t="shared" si="55"/>
        <v>0</v>
      </c>
      <c r="CJ198" s="368">
        <f t="shared" si="55"/>
        <v>0</v>
      </c>
      <c r="CK198" s="368">
        <f t="shared" si="55"/>
        <v>0</v>
      </c>
      <c r="CL198" s="1418">
        <f t="shared" si="55"/>
        <v>0</v>
      </c>
      <c r="CM198" s="368">
        <f t="shared" si="55"/>
        <v>0</v>
      </c>
      <c r="CN198" s="1417">
        <f t="shared" si="55"/>
        <v>0</v>
      </c>
      <c r="CO198" s="368">
        <f t="shared" si="55"/>
        <v>0</v>
      </c>
      <c r="CP198" s="368">
        <f t="shared" si="55"/>
        <v>0</v>
      </c>
      <c r="CQ198" s="1418">
        <f t="shared" si="55"/>
        <v>0</v>
      </c>
      <c r="CR198" s="1418">
        <f t="shared" si="55"/>
        <v>0</v>
      </c>
    </row>
    <row r="199" spans="1:96" ht="6.2" customHeight="1">
      <c r="A199" s="362"/>
      <c r="B199" s="362"/>
      <c r="C199" s="362"/>
      <c r="D199" s="319"/>
      <c r="E199" s="319"/>
      <c r="F199" s="362"/>
      <c r="G199" s="362"/>
      <c r="H199" s="362"/>
      <c r="I199" s="362"/>
      <c r="J199" s="362"/>
      <c r="K199" s="362"/>
      <c r="L199" s="362"/>
      <c r="M199" s="362"/>
      <c r="N199" s="362"/>
      <c r="O199" s="362"/>
      <c r="P199" s="362"/>
      <c r="Q199" s="362"/>
      <c r="R199" s="362"/>
      <c r="S199" s="362"/>
      <c r="T199" s="362"/>
      <c r="U199" s="362"/>
      <c r="V199" s="362"/>
      <c r="W199" s="362"/>
      <c r="X199" s="362"/>
      <c r="Y199" s="362"/>
      <c r="Z199" s="362"/>
      <c r="AA199" s="362"/>
      <c r="AB199" s="362"/>
      <c r="AC199" s="362"/>
      <c r="AD199" s="362"/>
      <c r="AE199" s="362"/>
      <c r="AF199" s="362"/>
      <c r="AG199" s="362"/>
      <c r="AH199" s="362"/>
      <c r="AI199" s="336"/>
      <c r="AJ199" s="336"/>
      <c r="AK199" s="1401"/>
      <c r="AL199" s="336"/>
      <c r="AM199" s="336"/>
      <c r="AN199" s="1402"/>
      <c r="AO199" s="336"/>
      <c r="AP199" s="1401"/>
      <c r="AQ199" s="336"/>
      <c r="AR199" s="336"/>
      <c r="AS199" s="1402"/>
      <c r="AT199" s="336"/>
      <c r="AU199" s="1401"/>
      <c r="AV199" s="336"/>
      <c r="AW199" s="336"/>
      <c r="AX199" s="1402"/>
      <c r="AY199" s="336"/>
      <c r="AZ199" s="1401"/>
      <c r="BA199" s="336"/>
      <c r="BB199" s="336"/>
      <c r="BC199" s="1402"/>
      <c r="BD199" s="336"/>
      <c r="BE199" s="1401"/>
      <c r="BF199" s="336"/>
      <c r="BG199" s="336"/>
      <c r="BH199" s="1402"/>
      <c r="BI199" s="336"/>
      <c r="BJ199" s="1401"/>
      <c r="BK199" s="336"/>
      <c r="BL199" s="336"/>
      <c r="BM199" s="1402"/>
      <c r="BN199" s="336"/>
      <c r="BO199" s="1401"/>
      <c r="BP199" s="336"/>
      <c r="BQ199" s="336"/>
      <c r="BR199" s="1402"/>
      <c r="BS199" s="336"/>
      <c r="BT199" s="1401"/>
      <c r="BU199" s="336"/>
      <c r="BV199" s="336"/>
      <c r="BW199" s="1402"/>
      <c r="BX199" s="336"/>
      <c r="BY199" s="1401"/>
      <c r="BZ199" s="336"/>
      <c r="CA199" s="336"/>
      <c r="CB199" s="1402"/>
      <c r="CC199" s="336"/>
      <c r="CD199" s="1401"/>
      <c r="CE199" s="336"/>
      <c r="CF199" s="336"/>
      <c r="CG199" s="1402"/>
      <c r="CH199" s="336"/>
      <c r="CI199" s="1401"/>
      <c r="CJ199" s="336"/>
      <c r="CK199" s="336"/>
      <c r="CL199" s="1402"/>
      <c r="CM199" s="336"/>
      <c r="CN199" s="1401"/>
      <c r="CO199" s="336"/>
      <c r="CP199" s="336"/>
      <c r="CQ199" s="1402"/>
      <c r="CR199" s="1402"/>
    </row>
    <row r="200" spans="1:96" ht="13.5" customHeight="1">
      <c r="A200" s="362"/>
      <c r="B200" s="366" t="s">
        <v>600</v>
      </c>
      <c r="C200" s="362"/>
      <c r="D200" s="319"/>
      <c r="E200" s="319"/>
      <c r="F200" s="362"/>
      <c r="G200" s="362"/>
      <c r="H200" s="362"/>
      <c r="I200" s="362"/>
      <c r="J200" s="362"/>
      <c r="K200" s="362"/>
      <c r="L200" s="362"/>
      <c r="M200" s="362"/>
      <c r="N200" s="362"/>
      <c r="O200" s="362"/>
      <c r="P200" s="362"/>
      <c r="Q200" s="362"/>
      <c r="R200" s="362"/>
      <c r="S200" s="362"/>
      <c r="T200" s="362"/>
      <c r="U200" s="362"/>
      <c r="V200" s="362"/>
      <c r="W200" s="362"/>
      <c r="X200" s="362"/>
      <c r="Y200" s="362"/>
      <c r="Z200" s="362"/>
      <c r="AA200" s="362"/>
      <c r="AB200" s="362"/>
      <c r="AC200" s="362"/>
      <c r="AD200" s="362"/>
      <c r="AE200" s="362"/>
      <c r="AF200" s="362"/>
      <c r="AG200" s="362"/>
      <c r="AH200" s="362"/>
      <c r="AI200" s="336"/>
      <c r="AJ200" s="336"/>
      <c r="AK200" s="1401"/>
      <c r="AL200" s="336"/>
      <c r="AM200" s="336"/>
      <c r="AN200" s="1402"/>
      <c r="AO200" s="336"/>
      <c r="AP200" s="1401"/>
      <c r="AQ200" s="336"/>
      <c r="AR200" s="336"/>
      <c r="AS200" s="1402"/>
      <c r="AT200" s="336"/>
      <c r="AU200" s="1401"/>
      <c r="AV200" s="336"/>
      <c r="AW200" s="336"/>
      <c r="AX200" s="1402"/>
      <c r="AY200" s="336"/>
      <c r="AZ200" s="1401"/>
      <c r="BA200" s="336"/>
      <c r="BB200" s="336"/>
      <c r="BC200" s="1402"/>
      <c r="BD200" s="336"/>
      <c r="BE200" s="1401"/>
      <c r="BF200" s="336"/>
      <c r="BG200" s="336"/>
      <c r="BH200" s="1402"/>
      <c r="BI200" s="336"/>
      <c r="BJ200" s="1401"/>
      <c r="BK200" s="336"/>
      <c r="BL200" s="336"/>
      <c r="BM200" s="1402"/>
      <c r="BN200" s="336"/>
      <c r="BO200" s="1401"/>
      <c r="BP200" s="336"/>
      <c r="BQ200" s="336"/>
      <c r="BR200" s="1402"/>
      <c r="BS200" s="336"/>
      <c r="BT200" s="1401"/>
      <c r="BU200" s="336"/>
      <c r="BV200" s="336"/>
      <c r="BW200" s="1402"/>
      <c r="BX200" s="336"/>
      <c r="BY200" s="1401"/>
      <c r="BZ200" s="336"/>
      <c r="CA200" s="336"/>
      <c r="CB200" s="1402"/>
      <c r="CC200" s="336"/>
      <c r="CD200" s="1401"/>
      <c r="CE200" s="336"/>
      <c r="CF200" s="336"/>
      <c r="CG200" s="1402"/>
      <c r="CH200" s="336"/>
      <c r="CI200" s="1401"/>
      <c r="CJ200" s="336"/>
      <c r="CK200" s="336"/>
      <c r="CL200" s="1402"/>
      <c r="CM200" s="336"/>
      <c r="CN200" s="1401"/>
      <c r="CO200" s="336"/>
      <c r="CP200" s="336"/>
      <c r="CQ200" s="1402"/>
      <c r="CR200" s="1402"/>
    </row>
    <row r="201" spans="1:96" ht="13.5" customHeight="1">
      <c r="A201" s="362"/>
      <c r="B201" s="362" t="s">
        <v>129</v>
      </c>
      <c r="C201" s="362"/>
      <c r="D201" s="319"/>
      <c r="E201" s="319"/>
      <c r="F201" s="362"/>
      <c r="G201" s="362"/>
      <c r="H201" s="362"/>
      <c r="I201" s="362"/>
      <c r="J201" s="362"/>
      <c r="K201" s="362"/>
      <c r="L201" s="362"/>
      <c r="M201" s="362"/>
      <c r="N201" s="362"/>
      <c r="O201" s="362"/>
      <c r="P201" s="362"/>
      <c r="Q201" s="362"/>
      <c r="R201" s="362"/>
      <c r="S201" s="362"/>
      <c r="T201" s="362"/>
      <c r="U201" s="362"/>
      <c r="V201" s="362"/>
      <c r="W201" s="362"/>
      <c r="X201" s="362"/>
      <c r="Y201" s="362"/>
      <c r="Z201" s="362"/>
      <c r="AA201" s="362"/>
      <c r="AB201" s="362"/>
      <c r="AC201" s="362"/>
      <c r="AD201" s="362"/>
      <c r="AE201" s="362"/>
      <c r="AF201" s="362"/>
      <c r="AG201" s="362"/>
      <c r="AH201" s="362"/>
      <c r="AI201" s="336">
        <f>AI124</f>
        <v>38</v>
      </c>
      <c r="AJ201" s="336"/>
      <c r="AK201" s="1401">
        <f>AK124</f>
        <v>35.955494112437115</v>
      </c>
      <c r="AL201" s="336">
        <f>AL124</f>
        <v>37.509871941543331</v>
      </c>
      <c r="AM201" s="336">
        <f>AM124</f>
        <v>39.024337490516551</v>
      </c>
      <c r="AN201" s="1402">
        <f>AN124</f>
        <v>38.356795355746023</v>
      </c>
      <c r="AO201" s="336">
        <f>AN201</f>
        <v>38.356795355746023</v>
      </c>
      <c r="AP201" s="1401">
        <f>AP124</f>
        <v>37.983278180666041</v>
      </c>
      <c r="AQ201" s="336">
        <f>AQ124</f>
        <v>34.687222715173</v>
      </c>
      <c r="AR201" s="662">
        <v>36</v>
      </c>
      <c r="AS201" s="1402">
        <f>AS124</f>
        <v>32.665097624153937</v>
      </c>
      <c r="AT201" s="336">
        <f>AS201</f>
        <v>32.665097624153937</v>
      </c>
      <c r="AU201" s="1401">
        <f>AU124</f>
        <v>31.031842742946242</v>
      </c>
      <c r="AV201" s="336">
        <f>AV124</f>
        <v>29.398587861738545</v>
      </c>
      <c r="AW201" s="336">
        <f>AW124</f>
        <v>27.765332980530847</v>
      </c>
      <c r="AX201" s="1402">
        <f>AX124</f>
        <v>26.132078099323149</v>
      </c>
      <c r="AY201" s="336">
        <f>AX201</f>
        <v>26.132078099323149</v>
      </c>
      <c r="AZ201" s="1401">
        <f>AZ124</f>
        <v>24.498823218115451</v>
      </c>
      <c r="BA201" s="336">
        <f>BA124</f>
        <v>22.865568336907753</v>
      </c>
      <c r="BB201" s="336">
        <f>BB124</f>
        <v>21.232313455700055</v>
      </c>
      <c r="BC201" s="1402">
        <f>BC124</f>
        <v>19.599058574492354</v>
      </c>
      <c r="BD201" s="336">
        <f>BC201</f>
        <v>19.599058574492354</v>
      </c>
      <c r="BE201" s="1401">
        <f>BE124</f>
        <v>17.965803693284656</v>
      </c>
      <c r="BF201" s="336">
        <f>BF124</f>
        <v>15.956122448979567</v>
      </c>
      <c r="BG201" s="336">
        <f>BG124</f>
        <v>14.360510204081608</v>
      </c>
      <c r="BH201" s="1402">
        <f>BH124</f>
        <v>12.764897959183649</v>
      </c>
      <c r="BI201" s="336">
        <f>BH201</f>
        <v>12.764897959183649</v>
      </c>
      <c r="BJ201" s="1401">
        <f>BJ124</f>
        <v>11.169285714285691</v>
      </c>
      <c r="BK201" s="336">
        <f>BK124</f>
        <v>9.5736734693877317</v>
      </c>
      <c r="BL201" s="336">
        <f>BL124</f>
        <v>7.9780612244897728</v>
      </c>
      <c r="BM201" s="1402">
        <f>BM124</f>
        <v>6.382448979591814</v>
      </c>
      <c r="BN201" s="336">
        <f>BM201</f>
        <v>6.382448979591814</v>
      </c>
      <c r="BO201" s="1401">
        <f>BO124</f>
        <v>0</v>
      </c>
      <c r="BP201" s="336">
        <f>BP124</f>
        <v>0</v>
      </c>
      <c r="BQ201" s="336">
        <f>BQ124</f>
        <v>0</v>
      </c>
      <c r="BR201" s="1402">
        <f>BR124</f>
        <v>0</v>
      </c>
      <c r="BS201" s="336">
        <f>BR201</f>
        <v>0</v>
      </c>
      <c r="BT201" s="1401">
        <f>BT124</f>
        <v>0</v>
      </c>
      <c r="BU201" s="336">
        <f>BU124</f>
        <v>0</v>
      </c>
      <c r="BV201" s="336">
        <f>BV124</f>
        <v>0</v>
      </c>
      <c r="BW201" s="1402">
        <f>BW124</f>
        <v>0</v>
      </c>
      <c r="BX201" s="336">
        <f>BW201</f>
        <v>0</v>
      </c>
      <c r="BY201" s="1401">
        <f>BY124</f>
        <v>0</v>
      </c>
      <c r="BZ201" s="336">
        <f>BZ124</f>
        <v>0</v>
      </c>
      <c r="CA201" s="336">
        <f>CA124</f>
        <v>0</v>
      </c>
      <c r="CB201" s="1402">
        <f>CB124</f>
        <v>0</v>
      </c>
      <c r="CC201" s="336">
        <f>CB201</f>
        <v>0</v>
      </c>
      <c r="CD201" s="1401">
        <f>CD124</f>
        <v>0</v>
      </c>
      <c r="CE201" s="336">
        <f>CE124</f>
        <v>0</v>
      </c>
      <c r="CF201" s="336">
        <f>CF124</f>
        <v>0</v>
      </c>
      <c r="CG201" s="1402">
        <f>CG124</f>
        <v>0</v>
      </c>
      <c r="CH201" s="336">
        <f>CG201</f>
        <v>0</v>
      </c>
      <c r="CI201" s="1401">
        <f>CI124</f>
        <v>0</v>
      </c>
      <c r="CJ201" s="336">
        <f>CJ124</f>
        <v>0</v>
      </c>
      <c r="CK201" s="336">
        <f>CK124</f>
        <v>0</v>
      </c>
      <c r="CL201" s="1402">
        <f>CL124</f>
        <v>0</v>
      </c>
      <c r="CM201" s="336">
        <f>CL201</f>
        <v>0</v>
      </c>
      <c r="CN201" s="1401">
        <f>CN124</f>
        <v>0</v>
      </c>
      <c r="CO201" s="336">
        <f>CO124</f>
        <v>0</v>
      </c>
      <c r="CP201" s="336">
        <f>CP124</f>
        <v>0</v>
      </c>
      <c r="CQ201" s="1402">
        <f>CQ124</f>
        <v>0</v>
      </c>
      <c r="CR201" s="1402">
        <f>CQ201</f>
        <v>0</v>
      </c>
    </row>
    <row r="202" spans="1:96" ht="13.5" customHeight="1">
      <c r="A202" s="362"/>
      <c r="B202" s="362" t="s">
        <v>130</v>
      </c>
      <c r="C202" s="362"/>
      <c r="D202" s="319"/>
      <c r="E202" s="319"/>
      <c r="F202" s="362"/>
      <c r="G202" s="362"/>
      <c r="H202" s="362"/>
      <c r="I202" s="362"/>
      <c r="J202" s="362"/>
      <c r="K202" s="362"/>
      <c r="L202" s="362"/>
      <c r="M202" s="362"/>
      <c r="N202" s="362"/>
      <c r="O202" s="362"/>
      <c r="P202" s="362"/>
      <c r="Q202" s="362"/>
      <c r="R202" s="362"/>
      <c r="S202" s="362"/>
      <c r="T202" s="362"/>
      <c r="U202" s="362"/>
      <c r="V202" s="362"/>
      <c r="W202" s="362"/>
      <c r="X202" s="362"/>
      <c r="Y202" s="362"/>
      <c r="Z202" s="362"/>
      <c r="AA202" s="362"/>
      <c r="AB202" s="362"/>
      <c r="AC202" s="362"/>
      <c r="AD202" s="362"/>
      <c r="AE202" s="362"/>
      <c r="AF202" s="362"/>
      <c r="AG202" s="362"/>
      <c r="AH202" s="362"/>
      <c r="AI202" s="662">
        <v>6</v>
      </c>
      <c r="AJ202" s="336"/>
      <c r="AK202" s="1401">
        <f>AI202-$AI202/20</f>
        <v>5.7</v>
      </c>
      <c r="AL202" s="336">
        <f>AK202-$AI202/20</f>
        <v>5.4</v>
      </c>
      <c r="AM202" s="336">
        <f>AL202-$AI202/20</f>
        <v>5.1000000000000005</v>
      </c>
      <c r="AN202" s="1402">
        <f>AM202-$AI202/20</f>
        <v>4.8000000000000007</v>
      </c>
      <c r="AO202" s="336">
        <f>AN202</f>
        <v>4.8000000000000007</v>
      </c>
      <c r="AP202" s="1401">
        <f>AN202-$AI202/20</f>
        <v>4.5000000000000009</v>
      </c>
      <c r="AQ202" s="336">
        <f>AP202-$AI202/20</f>
        <v>4.2000000000000011</v>
      </c>
      <c r="AR202" s="662">
        <v>11</v>
      </c>
      <c r="AS202" s="1402">
        <f>AR202-$AI202/20</f>
        <v>10.7</v>
      </c>
      <c r="AT202" s="336">
        <f>AS202</f>
        <v>10.7</v>
      </c>
      <c r="AU202" s="1401">
        <f>AS202-$AI202/20</f>
        <v>10.399999999999999</v>
      </c>
      <c r="AV202" s="336">
        <f>AU202-$AI202/20</f>
        <v>10.099999999999998</v>
      </c>
      <c r="AW202" s="336">
        <f>AV202-$AI202/20</f>
        <v>9.7999999999999972</v>
      </c>
      <c r="AX202" s="1402">
        <f>AW202-$AI202/20</f>
        <v>9.4999999999999964</v>
      </c>
      <c r="AY202" s="336">
        <f>AX202</f>
        <v>9.4999999999999964</v>
      </c>
      <c r="AZ202" s="1401">
        <f>AX202-$AI202/20</f>
        <v>9.1999999999999957</v>
      </c>
      <c r="BA202" s="336">
        <f>AZ202-$AI202/20</f>
        <v>8.899999999999995</v>
      </c>
      <c r="BB202" s="336">
        <f>BA202-$AI202/20</f>
        <v>8.5999999999999943</v>
      </c>
      <c r="BC202" s="1402">
        <f>BB202-$AI202/20</f>
        <v>8.2999999999999936</v>
      </c>
      <c r="BD202" s="336">
        <f>BC202</f>
        <v>8.2999999999999936</v>
      </c>
      <c r="BE202" s="1401">
        <f>BC202-$AI202/20</f>
        <v>7.9999999999999938</v>
      </c>
      <c r="BF202" s="336">
        <f>BE202-$AI202/20</f>
        <v>7.699999999999994</v>
      </c>
      <c r="BG202" s="336">
        <f>BF202-$AI202/20</f>
        <v>7.3999999999999941</v>
      </c>
      <c r="BH202" s="1402">
        <f>BG202-$AI202/20</f>
        <v>7.0999999999999943</v>
      </c>
      <c r="BI202" s="336">
        <f>BH202</f>
        <v>7.0999999999999943</v>
      </c>
      <c r="BJ202" s="1401">
        <f>BH202-$AI202/20</f>
        <v>6.7999999999999945</v>
      </c>
      <c r="BK202" s="336">
        <f>BJ202-$AI202/20</f>
        <v>6.4999999999999947</v>
      </c>
      <c r="BL202" s="336">
        <f>BK202-$AI202/20</f>
        <v>6.1999999999999948</v>
      </c>
      <c r="BM202" s="1402">
        <f>BL202-$AI202/20</f>
        <v>5.899999999999995</v>
      </c>
      <c r="BN202" s="336">
        <f>BM202</f>
        <v>5.899999999999995</v>
      </c>
      <c r="BO202" s="1401">
        <f>BM202-$AI202/20</f>
        <v>5.5999999999999952</v>
      </c>
      <c r="BP202" s="336">
        <f>BO202-$AI202/20</f>
        <v>5.2999999999999954</v>
      </c>
      <c r="BQ202" s="336">
        <f>BP202-$AI202/20</f>
        <v>4.9999999999999956</v>
      </c>
      <c r="BR202" s="1402">
        <f>BQ202-$AI202/20</f>
        <v>4.6999999999999957</v>
      </c>
      <c r="BS202" s="336">
        <f>BR202</f>
        <v>4.6999999999999957</v>
      </c>
      <c r="BT202" s="1401">
        <f>BR202-$AI202/20</f>
        <v>4.3999999999999959</v>
      </c>
      <c r="BU202" s="336">
        <f>BS202-$AI202/20</f>
        <v>4.3999999999999959</v>
      </c>
      <c r="BV202" s="616">
        <f>BU202-$AI202/20</f>
        <v>4.0999999999999961</v>
      </c>
      <c r="BW202" s="1443">
        <f>BV202-$AI202/20</f>
        <v>3.7999999999999963</v>
      </c>
      <c r="BX202" s="1533">
        <v>38</v>
      </c>
      <c r="BY202" s="1534">
        <f>BX202-$AI202/20</f>
        <v>37.700000000000003</v>
      </c>
      <c r="BZ202" s="1533">
        <f>BY202-$AI202/20</f>
        <v>37.400000000000006</v>
      </c>
      <c r="CA202" s="1533">
        <f>BZ202-$AI202/20</f>
        <v>37.100000000000009</v>
      </c>
      <c r="CB202" s="1535">
        <f>CA202-$AI202/20</f>
        <v>36.800000000000011</v>
      </c>
      <c r="CC202" s="1533">
        <v>34</v>
      </c>
      <c r="CD202" s="1542">
        <f>CC202</f>
        <v>34</v>
      </c>
      <c r="CE202" s="1543">
        <f t="shared" ref="CE202:CR202" si="56">CD202</f>
        <v>34</v>
      </c>
      <c r="CF202" s="1543">
        <f t="shared" si="56"/>
        <v>34</v>
      </c>
      <c r="CG202" s="1544">
        <f t="shared" si="56"/>
        <v>34</v>
      </c>
      <c r="CH202" s="1543">
        <f t="shared" si="56"/>
        <v>34</v>
      </c>
      <c r="CI202" s="1542">
        <f t="shared" si="56"/>
        <v>34</v>
      </c>
      <c r="CJ202" s="1543">
        <f t="shared" si="56"/>
        <v>34</v>
      </c>
      <c r="CK202" s="1543">
        <f t="shared" si="56"/>
        <v>34</v>
      </c>
      <c r="CL202" s="1544">
        <f t="shared" si="56"/>
        <v>34</v>
      </c>
      <c r="CM202" s="1543">
        <f t="shared" si="56"/>
        <v>34</v>
      </c>
      <c r="CN202" s="1542">
        <f t="shared" si="56"/>
        <v>34</v>
      </c>
      <c r="CO202" s="1543">
        <f t="shared" si="56"/>
        <v>34</v>
      </c>
      <c r="CP202" s="1543">
        <f t="shared" si="56"/>
        <v>34</v>
      </c>
      <c r="CQ202" s="1544">
        <f t="shared" si="56"/>
        <v>34</v>
      </c>
      <c r="CR202" s="1544">
        <f t="shared" si="56"/>
        <v>34</v>
      </c>
    </row>
    <row r="203" spans="1:96" ht="13.5" customHeight="1">
      <c r="A203" s="366"/>
      <c r="B203" s="366" t="s">
        <v>131</v>
      </c>
      <c r="C203" s="366"/>
      <c r="D203" s="367"/>
      <c r="E203" s="367"/>
      <c r="F203" s="366"/>
      <c r="G203" s="366"/>
      <c r="H203" s="366"/>
      <c r="I203" s="366"/>
      <c r="J203" s="366"/>
      <c r="K203" s="366"/>
      <c r="L203" s="366"/>
      <c r="M203" s="366"/>
      <c r="N203" s="366"/>
      <c r="O203" s="366"/>
      <c r="P203" s="366"/>
      <c r="Q203" s="366"/>
      <c r="R203" s="366"/>
      <c r="S203" s="366"/>
      <c r="T203" s="366"/>
      <c r="U203" s="366"/>
      <c r="V203" s="366"/>
      <c r="W203" s="366"/>
      <c r="X203" s="366"/>
      <c r="Y203" s="366"/>
      <c r="Z203" s="366"/>
      <c r="AA203" s="366"/>
      <c r="AB203" s="366"/>
      <c r="AC203" s="366"/>
      <c r="AD203" s="366"/>
      <c r="AE203" s="366"/>
      <c r="AF203" s="366"/>
      <c r="AG203" s="366"/>
      <c r="AH203" s="366"/>
      <c r="AI203" s="368">
        <f>Financials!AH149</f>
        <v>81</v>
      </c>
      <c r="AJ203" s="368"/>
      <c r="AK203" s="1417">
        <f>Financials!AJ149</f>
        <v>81</v>
      </c>
      <c r="AL203" s="368">
        <f>Financials!AK149</f>
        <v>18</v>
      </c>
      <c r="AM203" s="368">
        <f>Financials!AL149</f>
        <v>19</v>
      </c>
      <c r="AN203" s="1418">
        <f>Financials!AM149</f>
        <v>19</v>
      </c>
      <c r="AO203" s="368">
        <f>AN203</f>
        <v>19</v>
      </c>
      <c r="AP203" s="1417">
        <f>Financials!AO149</f>
        <v>21</v>
      </c>
      <c r="AQ203" s="368">
        <f>Financials!AP149</f>
        <v>21</v>
      </c>
      <c r="AR203" s="368">
        <f>Financials!AQ149</f>
        <v>20</v>
      </c>
      <c r="AS203" s="1418">
        <f>Financials!AR149</f>
        <v>132</v>
      </c>
      <c r="AT203" s="368">
        <f>AS203</f>
        <v>132</v>
      </c>
      <c r="AU203" s="1417">
        <f>Financials!AT149</f>
        <v>217</v>
      </c>
      <c r="AV203" s="368">
        <f>Financials!AU149</f>
        <v>217</v>
      </c>
      <c r="AW203" s="368">
        <f>Financials!AV149</f>
        <v>217</v>
      </c>
      <c r="AX203" s="1418">
        <f>Financials!AW149</f>
        <v>20</v>
      </c>
      <c r="AY203" s="368">
        <f>AX203</f>
        <v>20</v>
      </c>
      <c r="AZ203" s="1417">
        <f>Financials!AY149</f>
        <v>315</v>
      </c>
      <c r="BA203" s="368">
        <f>Financials!AZ149</f>
        <v>5</v>
      </c>
      <c r="BB203" s="368">
        <f>Financials!BA149</f>
        <v>1</v>
      </c>
      <c r="BC203" s="1418">
        <f>Financials!BB149</f>
        <v>2</v>
      </c>
      <c r="BD203" s="368">
        <f>BC203</f>
        <v>2</v>
      </c>
      <c r="BE203" s="1417">
        <f>Financials!BD149</f>
        <v>2</v>
      </c>
      <c r="BF203" s="368">
        <f>Financials!BE149</f>
        <v>322</v>
      </c>
      <c r="BG203" s="368">
        <f>Financials!BF149</f>
        <v>322</v>
      </c>
      <c r="BH203" s="1418">
        <f>Financials!BG149</f>
        <v>323</v>
      </c>
      <c r="BI203" s="368">
        <f>BH203</f>
        <v>323</v>
      </c>
      <c r="BJ203" s="1417">
        <f>Financials!BI149</f>
        <v>323</v>
      </c>
      <c r="BK203" s="368">
        <f>Financials!BJ149</f>
        <v>20</v>
      </c>
      <c r="BL203" s="368">
        <f>Financials!BK149</f>
        <v>336</v>
      </c>
      <c r="BM203" s="1418">
        <f>Financials!BL149</f>
        <v>378</v>
      </c>
      <c r="BN203" s="368">
        <f>BM203</f>
        <v>378</v>
      </c>
      <c r="BO203" s="1417">
        <f>Financials!BN149</f>
        <v>378</v>
      </c>
      <c r="BP203" s="368">
        <f>Financials!BO149</f>
        <v>362</v>
      </c>
      <c r="BQ203" s="368">
        <f>Financials!BP149</f>
        <v>362</v>
      </c>
      <c r="BR203" s="1418">
        <f>Financials!BQ149</f>
        <v>45</v>
      </c>
      <c r="BS203" s="368">
        <f>BR203</f>
        <v>45</v>
      </c>
      <c r="BT203" s="1444">
        <f>Financials!BS149</f>
        <v>45</v>
      </c>
      <c r="BU203" s="739">
        <f>Financials!BT149</f>
        <v>82</v>
      </c>
      <c r="BV203" s="739">
        <f>Financials!BU149</f>
        <v>92</v>
      </c>
      <c r="BW203" s="1445">
        <f>Financials!BV149</f>
        <v>50</v>
      </c>
      <c r="BX203" s="739">
        <f>BW203</f>
        <v>50</v>
      </c>
      <c r="BY203" s="1444">
        <f>Financials!BX149</f>
        <v>281</v>
      </c>
      <c r="BZ203" s="739">
        <f>Financials!BY149</f>
        <v>175</v>
      </c>
      <c r="CA203" s="739">
        <f>Financials!BZ149</f>
        <v>3</v>
      </c>
      <c r="CB203" s="1445">
        <f>Financials!CA149</f>
        <v>3</v>
      </c>
      <c r="CC203" s="739">
        <f>CB203</f>
        <v>3</v>
      </c>
      <c r="CD203" s="1448">
        <f>-SUM(CE194:CG194,CT194)</f>
        <v>0</v>
      </c>
      <c r="CE203" s="737">
        <f>-SUM(CF194:CG194,CT194:CU194)</f>
        <v>0</v>
      </c>
      <c r="CF203" s="737">
        <f>-SUM(CG194,CT194:CV194)</f>
        <v>0</v>
      </c>
      <c r="CG203" s="1447">
        <f>-SUM(CT194:CW194)</f>
        <v>0</v>
      </c>
      <c r="CH203" s="739">
        <f>CG203</f>
        <v>0</v>
      </c>
      <c r="CI203" s="1448">
        <f>-SUM(CJ194:CL194,CZ194)</f>
        <v>0</v>
      </c>
      <c r="CJ203" s="737">
        <f>-SUM(CK194:CL194,CZ194:DA194)</f>
        <v>0</v>
      </c>
      <c r="CK203" s="737">
        <f>-SUM(CL194,CZ194:DB194)</f>
        <v>0</v>
      </c>
      <c r="CL203" s="1447">
        <f>-SUM(CZ194:DC194)</f>
        <v>0</v>
      </c>
      <c r="CM203" s="739">
        <f>CL203</f>
        <v>0</v>
      </c>
      <c r="CN203" s="1448">
        <f>-SUM(CO194:CQ194,DF194)</f>
        <v>0</v>
      </c>
      <c r="CO203" s="737">
        <f>-SUM(CP194:CQ194,DF194:DG194)</f>
        <v>0</v>
      </c>
      <c r="CP203" s="737">
        <f>-SUM(CQ194,DF194:DH194)</f>
        <v>0</v>
      </c>
      <c r="CQ203" s="1447">
        <f>-SUM(DF194:DI194)</f>
        <v>0</v>
      </c>
      <c r="CR203" s="1445">
        <f>CQ203</f>
        <v>0</v>
      </c>
    </row>
    <row r="204" spans="1:96" ht="13.5" customHeight="1">
      <c r="A204" s="366"/>
      <c r="B204" s="366" t="s">
        <v>132</v>
      </c>
      <c r="C204" s="366"/>
      <c r="D204" s="367"/>
      <c r="E204" s="367"/>
      <c r="F204" s="366"/>
      <c r="G204" s="366"/>
      <c r="H204" s="366"/>
      <c r="I204" s="366"/>
      <c r="J204" s="366"/>
      <c r="K204" s="366"/>
      <c r="L204" s="366"/>
      <c r="M204" s="366"/>
      <c r="N204" s="366"/>
      <c r="O204" s="366"/>
      <c r="P204" s="366"/>
      <c r="Q204" s="366"/>
      <c r="R204" s="366"/>
      <c r="S204" s="366"/>
      <c r="T204" s="366"/>
      <c r="U204" s="366"/>
      <c r="V204" s="366"/>
      <c r="W204" s="366"/>
      <c r="X204" s="366"/>
      <c r="Y204" s="366"/>
      <c r="Z204" s="366"/>
      <c r="AA204" s="366"/>
      <c r="AB204" s="366"/>
      <c r="AC204" s="366"/>
      <c r="AD204" s="366"/>
      <c r="AE204" s="366"/>
      <c r="AF204" s="366"/>
      <c r="AG204" s="366"/>
      <c r="AH204" s="366"/>
      <c r="AI204" s="368">
        <f>Financials!AH154</f>
        <v>3064</v>
      </c>
      <c r="AJ204" s="368"/>
      <c r="AK204" s="1417">
        <f>Financials!AJ154</f>
        <v>3043</v>
      </c>
      <c r="AL204" s="368">
        <f>Financials!AK154</f>
        <v>3333</v>
      </c>
      <c r="AM204" s="368">
        <f>Financials!AL154</f>
        <v>3346</v>
      </c>
      <c r="AN204" s="1418">
        <f>Financials!AM154</f>
        <v>3345</v>
      </c>
      <c r="AO204" s="368">
        <f>AN204</f>
        <v>3345</v>
      </c>
      <c r="AP204" s="1417">
        <f>Financials!AO154</f>
        <v>3651</v>
      </c>
      <c r="AQ204" s="368">
        <f>Financials!AP154</f>
        <v>3639</v>
      </c>
      <c r="AR204" s="368">
        <f>Financials!AQ154</f>
        <v>3639</v>
      </c>
      <c r="AS204" s="1418">
        <f>Financials!AR154</f>
        <v>3517</v>
      </c>
      <c r="AT204" s="368">
        <f>AT176-AT203-AT201-AT202</f>
        <v>3531.3622371389579</v>
      </c>
      <c r="AU204" s="1417">
        <f>Financials!AT154</f>
        <v>3518</v>
      </c>
      <c r="AV204" s="368">
        <f>Financials!AU154</f>
        <v>3684</v>
      </c>
      <c r="AW204" s="368">
        <f>Financials!AV154</f>
        <v>3641</v>
      </c>
      <c r="AX204" s="1418">
        <f>Financials!AW154</f>
        <v>3828</v>
      </c>
      <c r="AY204" s="368">
        <f>AY176-AY203-AY201-AY202</f>
        <v>3651.0952566637884</v>
      </c>
      <c r="AZ204" s="1417">
        <f>Financials!AY154</f>
        <v>3802</v>
      </c>
      <c r="BA204" s="368">
        <f>Financials!AZ154</f>
        <v>3801</v>
      </c>
      <c r="BB204" s="368">
        <f>Financials!BA154</f>
        <v>3939</v>
      </c>
      <c r="BC204" s="1418">
        <f>Financials!BB154</f>
        <v>3936</v>
      </c>
      <c r="BD204" s="368">
        <f>BD176-BD203-BD201-BD202</f>
        <v>3776.8282761886189</v>
      </c>
      <c r="BE204" s="1417">
        <f>Financials!BD154</f>
        <v>3932</v>
      </c>
      <c r="BF204" s="368">
        <f>Financials!BE154</f>
        <v>3611</v>
      </c>
      <c r="BG204" s="368">
        <f>Financials!BF154</f>
        <v>3618</v>
      </c>
      <c r="BH204" s="1418">
        <f>Financials!BG154</f>
        <v>3616</v>
      </c>
      <c r="BI204" s="368">
        <f>BI176-BI203-BI201-BI202</f>
        <v>3665.8942448979597</v>
      </c>
      <c r="BJ204" s="1417">
        <f>Financials!BI154</f>
        <v>3615</v>
      </c>
      <c r="BK204" s="368">
        <f>Financials!BJ154</f>
        <v>3605</v>
      </c>
      <c r="BL204" s="368">
        <f>Financials!BK154</f>
        <v>3162</v>
      </c>
      <c r="BM204" s="1418">
        <f>Financials!BL154</f>
        <v>3120</v>
      </c>
      <c r="BN204" s="368">
        <f>BN176-BN203-BN201-BN202</f>
        <v>3050.0175510204081</v>
      </c>
      <c r="BO204" s="1417">
        <f>Financials!BN154</f>
        <v>3124</v>
      </c>
      <c r="BP204" s="368">
        <f>Financials!BO154</f>
        <v>3124</v>
      </c>
      <c r="BQ204" s="368">
        <f>Financials!BP154</f>
        <v>3127</v>
      </c>
      <c r="BR204" s="1418">
        <f>Financials!BQ154</f>
        <v>3116</v>
      </c>
      <c r="BS204" s="368">
        <f>BS176-BS203-BS201-BS202</f>
        <v>3116.3</v>
      </c>
      <c r="BT204" s="1444">
        <f>Financials!BS154</f>
        <v>3076</v>
      </c>
      <c r="BU204" s="739">
        <f>Financials!BT154</f>
        <v>3058</v>
      </c>
      <c r="BV204" s="739">
        <f>Financials!BU154</f>
        <v>2988</v>
      </c>
      <c r="BW204" s="1445">
        <f>Financials!BV154</f>
        <v>2981</v>
      </c>
      <c r="BX204" s="739">
        <f>BX176-BX203-BX201-BX202</f>
        <v>2981</v>
      </c>
      <c r="BY204" s="1444">
        <f>Financials!BX154</f>
        <v>2752</v>
      </c>
      <c r="BZ204" s="739">
        <f>Financials!BY154</f>
        <v>2752</v>
      </c>
      <c r="CA204" s="739">
        <f>Financials!BZ154</f>
        <v>2896</v>
      </c>
      <c r="CB204" s="1445">
        <f>Financials!CA154</f>
        <v>2700</v>
      </c>
      <c r="CC204" s="368">
        <f t="shared" ref="CC204:CR204" si="57">CC176-CC203-CC201-CC202</f>
        <v>2700</v>
      </c>
      <c r="CD204" s="1448">
        <f>CD176-CD203-CD201-CD202</f>
        <v>2703</v>
      </c>
      <c r="CE204" s="737">
        <f t="shared" si="57"/>
        <v>2703</v>
      </c>
      <c r="CF204" s="737">
        <f t="shared" si="57"/>
        <v>2703</v>
      </c>
      <c r="CG204" s="1447">
        <f t="shared" si="57"/>
        <v>2703</v>
      </c>
      <c r="CH204" s="368">
        <f t="shared" si="57"/>
        <v>2703</v>
      </c>
      <c r="CI204" s="1448">
        <f t="shared" si="57"/>
        <v>2703</v>
      </c>
      <c r="CJ204" s="737">
        <f t="shared" si="57"/>
        <v>2703</v>
      </c>
      <c r="CK204" s="737">
        <f t="shared" si="57"/>
        <v>2703</v>
      </c>
      <c r="CL204" s="1447">
        <f t="shared" si="57"/>
        <v>2703</v>
      </c>
      <c r="CM204" s="368">
        <f t="shared" si="57"/>
        <v>2703</v>
      </c>
      <c r="CN204" s="1448">
        <f t="shared" si="57"/>
        <v>2703</v>
      </c>
      <c r="CO204" s="737">
        <f t="shared" si="57"/>
        <v>2703</v>
      </c>
      <c r="CP204" s="737">
        <f t="shared" si="57"/>
        <v>2703</v>
      </c>
      <c r="CQ204" s="1447">
        <f t="shared" si="57"/>
        <v>2703</v>
      </c>
      <c r="CR204" s="1418">
        <f t="shared" si="57"/>
        <v>2703</v>
      </c>
    </row>
    <row r="205" spans="1:96" ht="6.2" customHeight="1">
      <c r="A205" s="366"/>
      <c r="B205" s="366"/>
      <c r="C205" s="362"/>
      <c r="D205" s="319"/>
      <c r="E205" s="319"/>
      <c r="F205" s="362"/>
      <c r="G205" s="362"/>
      <c r="H205" s="362"/>
      <c r="I205" s="362"/>
      <c r="J205" s="362"/>
      <c r="K205" s="362"/>
      <c r="L205" s="362"/>
      <c r="M205" s="362"/>
      <c r="N205" s="362"/>
      <c r="O205" s="362"/>
      <c r="P205" s="362"/>
      <c r="Q205" s="362"/>
      <c r="R205" s="362"/>
      <c r="S205" s="362"/>
      <c r="T205" s="362"/>
      <c r="U205" s="362"/>
      <c r="V205" s="362"/>
      <c r="W205" s="362"/>
      <c r="X205" s="362"/>
      <c r="Y205" s="362"/>
      <c r="Z205" s="362"/>
      <c r="AA205" s="362"/>
      <c r="AB205" s="362"/>
      <c r="AC205" s="362"/>
      <c r="AD205" s="362"/>
      <c r="AE205" s="362"/>
      <c r="AF205" s="362"/>
      <c r="AG205" s="362"/>
      <c r="AH205" s="362"/>
      <c r="AI205" s="368"/>
      <c r="AJ205" s="368"/>
      <c r="AK205" s="1417"/>
      <c r="AL205" s="368"/>
      <c r="AM205" s="368"/>
      <c r="AN205" s="1418"/>
      <c r="AO205" s="368"/>
      <c r="AP205" s="1417"/>
      <c r="AQ205" s="368"/>
      <c r="AR205" s="368"/>
      <c r="AS205" s="1418"/>
      <c r="AT205" s="368"/>
      <c r="AU205" s="1417"/>
      <c r="AV205" s="368"/>
      <c r="AW205" s="368"/>
      <c r="AX205" s="1418"/>
      <c r="AY205" s="368"/>
      <c r="AZ205" s="1417"/>
      <c r="BA205" s="368"/>
      <c r="BB205" s="368"/>
      <c r="BC205" s="1418"/>
      <c r="BD205" s="368"/>
      <c r="BE205" s="1417"/>
      <c r="BF205" s="368"/>
      <c r="BG205" s="368"/>
      <c r="BH205" s="1418"/>
      <c r="BI205" s="368"/>
      <c r="BJ205" s="1417"/>
      <c r="BK205" s="368"/>
      <c r="BL205" s="368"/>
      <c r="BM205" s="1418"/>
      <c r="BN205" s="368"/>
      <c r="BO205" s="1417"/>
      <c r="BP205" s="368"/>
      <c r="BQ205" s="368"/>
      <c r="BR205" s="1418"/>
      <c r="BS205" s="368"/>
      <c r="BT205" s="1417"/>
      <c r="BU205" s="368"/>
      <c r="BV205" s="368"/>
      <c r="BW205" s="1418"/>
      <c r="BX205" s="368"/>
      <c r="BY205" s="1417"/>
      <c r="BZ205" s="368"/>
      <c r="CA205" s="368"/>
      <c r="CB205" s="1418"/>
      <c r="CC205" s="368"/>
      <c r="CD205" s="1417"/>
      <c r="CE205" s="368"/>
      <c r="CF205" s="368"/>
      <c r="CG205" s="1418"/>
      <c r="CH205" s="368"/>
      <c r="CI205" s="1417"/>
      <c r="CJ205" s="368"/>
      <c r="CK205" s="368"/>
      <c r="CL205" s="1418"/>
      <c r="CM205" s="368"/>
      <c r="CN205" s="1417"/>
      <c r="CO205" s="368"/>
      <c r="CP205" s="368"/>
      <c r="CQ205" s="1418"/>
      <c r="CR205" s="1418"/>
    </row>
    <row r="206" spans="1:96" ht="13.5" customHeight="1">
      <c r="A206" s="362"/>
      <c r="B206" s="366" t="s">
        <v>133</v>
      </c>
      <c r="C206" s="362"/>
      <c r="D206" s="319"/>
      <c r="E206" s="319"/>
      <c r="F206" s="362"/>
      <c r="G206" s="362"/>
      <c r="H206" s="362"/>
      <c r="I206" s="362"/>
      <c r="J206" s="362"/>
      <c r="K206" s="362"/>
      <c r="L206" s="362"/>
      <c r="M206" s="362"/>
      <c r="N206" s="362"/>
      <c r="O206" s="362"/>
      <c r="P206" s="362"/>
      <c r="Q206" s="362"/>
      <c r="R206" s="362"/>
      <c r="S206" s="362"/>
      <c r="T206" s="362"/>
      <c r="U206" s="362"/>
      <c r="V206" s="362"/>
      <c r="W206" s="362"/>
      <c r="X206" s="362"/>
      <c r="Y206" s="362"/>
      <c r="Z206" s="362"/>
      <c r="AA206" s="362"/>
      <c r="AB206" s="362"/>
      <c r="AC206" s="362"/>
      <c r="AD206" s="362"/>
      <c r="AE206" s="362"/>
      <c r="AF206" s="362"/>
      <c r="AG206" s="362"/>
      <c r="AH206" s="362"/>
      <c r="AI206" s="336"/>
      <c r="AJ206" s="336"/>
      <c r="AK206" s="1401"/>
      <c r="AL206" s="336"/>
      <c r="AM206" s="336"/>
      <c r="AN206" s="1402"/>
      <c r="AO206" s="336"/>
      <c r="AP206" s="1401"/>
      <c r="AQ206" s="336"/>
      <c r="AR206" s="336"/>
      <c r="AS206" s="1402"/>
      <c r="AT206" s="336"/>
      <c r="AU206" s="1401"/>
      <c r="AV206" s="336"/>
      <c r="AW206" s="336"/>
      <c r="AX206" s="1402"/>
      <c r="AY206" s="336"/>
      <c r="AZ206" s="1401"/>
      <c r="BA206" s="336"/>
      <c r="BB206" s="336"/>
      <c r="BC206" s="1402"/>
      <c r="BD206" s="336"/>
      <c r="BE206" s="1401"/>
      <c r="BF206" s="662">
        <v>7</v>
      </c>
      <c r="BG206" s="336"/>
      <c r="BH206" s="1402"/>
      <c r="BI206" s="336"/>
      <c r="BJ206" s="1401"/>
      <c r="BK206" s="336"/>
      <c r="BL206" s="336"/>
      <c r="BM206" s="1402"/>
      <c r="BN206" s="336"/>
      <c r="BO206" s="1401"/>
      <c r="BP206" s="336"/>
      <c r="BQ206" s="336"/>
      <c r="BR206" s="1402"/>
      <c r="BS206" s="336"/>
      <c r="BT206" s="1401"/>
      <c r="BU206" s="336"/>
      <c r="BV206" s="336"/>
      <c r="BW206" s="1402"/>
      <c r="BX206" s="336"/>
      <c r="BY206" s="1401"/>
      <c r="BZ206" s="336"/>
      <c r="CA206" s="336"/>
      <c r="CB206" s="1402"/>
      <c r="CC206" s="336"/>
      <c r="CD206" s="1401"/>
      <c r="CE206" s="336"/>
      <c r="CF206" s="336"/>
      <c r="CG206" s="1402"/>
      <c r="CH206" s="336"/>
      <c r="CI206" s="1401"/>
      <c r="CJ206" s="336"/>
      <c r="CK206" s="336"/>
      <c r="CL206" s="1402"/>
      <c r="CM206" s="336"/>
      <c r="CN206" s="1401"/>
      <c r="CO206" s="336"/>
      <c r="CP206" s="336"/>
      <c r="CQ206" s="1402"/>
      <c r="CR206" s="1402"/>
    </row>
    <row r="207" spans="1:96" ht="13.5" customHeight="1">
      <c r="A207" s="365"/>
      <c r="B207" s="365" t="s">
        <v>729</v>
      </c>
      <c r="C207" s="365"/>
      <c r="D207" s="364"/>
      <c r="E207" s="364"/>
      <c r="F207" s="365"/>
      <c r="G207" s="365"/>
      <c r="H207" s="365"/>
      <c r="I207" s="365"/>
      <c r="J207" s="365"/>
      <c r="K207" s="365"/>
      <c r="L207" s="365"/>
      <c r="M207" s="365"/>
      <c r="N207" s="365"/>
      <c r="O207" s="365"/>
      <c r="P207" s="365"/>
      <c r="Q207" s="365"/>
      <c r="R207" s="365"/>
      <c r="S207" s="365"/>
      <c r="T207" s="365"/>
      <c r="U207" s="365"/>
      <c r="V207" s="365"/>
      <c r="W207" s="365"/>
      <c r="X207" s="365"/>
      <c r="Y207" s="365"/>
      <c r="Z207" s="365"/>
      <c r="AA207" s="365"/>
      <c r="AB207" s="365"/>
      <c r="AC207" s="365"/>
      <c r="AD207" s="365"/>
      <c r="AE207" s="365"/>
      <c r="AF207" s="365"/>
      <c r="AG207" s="365"/>
      <c r="AH207" s="365"/>
      <c r="AI207" s="371"/>
      <c r="AJ207" s="371"/>
      <c r="AK207" s="1419">
        <f>-Financials!AJ43</f>
        <v>36</v>
      </c>
      <c r="AL207" s="371">
        <f>AL178</f>
        <v>43.267282759122949</v>
      </c>
      <c r="AM207" s="371">
        <f>AM178</f>
        <v>44.998460867695073</v>
      </c>
      <c r="AN207" s="1420">
        <f>AN178</f>
        <v>45.066081366053169</v>
      </c>
      <c r="AO207" s="371">
        <f>SUM(AK207:AN207)</f>
        <v>169.33182499287119</v>
      </c>
      <c r="AP207" s="1419">
        <f>AP178</f>
        <v>50.696610384076386</v>
      </c>
      <c r="AQ207" s="371">
        <f>AQ178</f>
        <v>55.708678316686061</v>
      </c>
      <c r="AR207" s="371">
        <f>AR178</f>
        <v>55.04485166361124</v>
      </c>
      <c r="AS207" s="1420">
        <f>AS178</f>
        <v>55.08007321811548</v>
      </c>
      <c r="AT207" s="371">
        <f>SUM(AP207:AS207)</f>
        <v>216.53021358248915</v>
      </c>
      <c r="AU207" s="1419">
        <f>AU178</f>
        <v>55.080073218115473</v>
      </c>
      <c r="AV207" s="371">
        <f>AV178</f>
        <v>55.080073218115473</v>
      </c>
      <c r="AW207" s="371">
        <f>AW178</f>
        <v>55.080073218115473</v>
      </c>
      <c r="AX207" s="1420">
        <f>AX178</f>
        <v>55.080073218115473</v>
      </c>
      <c r="AY207" s="371">
        <f>SUM(AU207:AX207)</f>
        <v>220.32029287246189</v>
      </c>
      <c r="AZ207" s="1419">
        <f>AZ178</f>
        <v>56.823823218115471</v>
      </c>
      <c r="BA207" s="371">
        <f>BA178</f>
        <v>58.342573218115476</v>
      </c>
      <c r="BB207" s="371">
        <f>BB178</f>
        <v>58.342573218115476</v>
      </c>
      <c r="BC207" s="1420">
        <f>BC178</f>
        <v>58.342573218115476</v>
      </c>
      <c r="BD207" s="371">
        <f>SUM(AZ207:BC207)</f>
        <v>231.85154287246189</v>
      </c>
      <c r="BE207" s="1419">
        <f>BE178</f>
        <v>59.08364571811547</v>
      </c>
      <c r="BF207" s="371">
        <f>BF178+BF206</f>
        <v>69.238915625438722</v>
      </c>
      <c r="BG207" s="371">
        <f>BG178</f>
        <v>62.216150102040821</v>
      </c>
      <c r="BH207" s="1420">
        <f>BH178</f>
        <v>62.216150102040821</v>
      </c>
      <c r="BI207" s="371">
        <f>SUM(BE207:BH207)</f>
        <v>252.75486154763581</v>
      </c>
      <c r="BJ207" s="1419">
        <f>BJ178</f>
        <v>61.942712602040821</v>
      </c>
      <c r="BK207" s="371">
        <f>BK178</f>
        <v>60.066265102040816</v>
      </c>
      <c r="BL207" s="371">
        <f>BL178</f>
        <v>58.284683673469388</v>
      </c>
      <c r="BM207" s="1420">
        <f>BM178</f>
        <v>57.559237244897957</v>
      </c>
      <c r="BN207" s="371">
        <f>SUM(BJ207:BM207)</f>
        <v>237.85289862244898</v>
      </c>
      <c r="BO207" s="1419">
        <f>BO178</f>
        <v>55.41675</v>
      </c>
      <c r="BP207" s="371">
        <f>BP178</f>
        <v>55.41675</v>
      </c>
      <c r="BQ207" s="371">
        <f>BQ178</f>
        <v>56.087593749999996</v>
      </c>
      <c r="BR207" s="1420">
        <f>BR178</f>
        <v>55.3284375</v>
      </c>
      <c r="BS207" s="371">
        <f>SUM(BO207:BR207)</f>
        <v>222.24953125000002</v>
      </c>
      <c r="BT207" s="1419">
        <f>BT178</f>
        <v>53.739312500000004</v>
      </c>
      <c r="BU207" s="371">
        <f>BU178</f>
        <v>66.291812500000006</v>
      </c>
      <c r="BV207" s="371">
        <f>BV178</f>
        <v>57.945000000000007</v>
      </c>
      <c r="BW207" s="1420">
        <f>BW178</f>
        <v>56.997031249999992</v>
      </c>
      <c r="BX207" s="371">
        <f>SUM(BT207:BW207)</f>
        <v>234.97315625000002</v>
      </c>
      <c r="BY207" s="1419">
        <f>BY178</f>
        <v>56.588750000000005</v>
      </c>
      <c r="BZ207" s="371">
        <f>BZ178</f>
        <v>55.745000000000005</v>
      </c>
      <c r="CA207" s="371">
        <f>CA178</f>
        <v>54.383125000000007</v>
      </c>
      <c r="CB207" s="1420">
        <f>CB178</f>
        <v>51.755625000000002</v>
      </c>
      <c r="CC207" s="371">
        <f>SUM(BY207:CB207)</f>
        <v>218.47250000000003</v>
      </c>
      <c r="CD207" s="1419">
        <f>CD178</f>
        <v>49.646250000000002</v>
      </c>
      <c r="CE207" s="371">
        <f>CE178</f>
        <v>49.646250000000002</v>
      </c>
      <c r="CF207" s="371">
        <f>CF178</f>
        <v>49.646250000000002</v>
      </c>
      <c r="CG207" s="1420">
        <f>CG178</f>
        <v>49.646250000000002</v>
      </c>
      <c r="CH207" s="371">
        <f>SUM(CD207:CG207)</f>
        <v>198.58500000000001</v>
      </c>
      <c r="CI207" s="1419">
        <f>CI178</f>
        <v>49.646250000000002</v>
      </c>
      <c r="CJ207" s="371">
        <f>CJ178</f>
        <v>49.646250000000002</v>
      </c>
      <c r="CK207" s="371">
        <f>CK178</f>
        <v>49.646250000000002</v>
      </c>
      <c r="CL207" s="1420">
        <f>CL178</f>
        <v>49.646250000000002</v>
      </c>
      <c r="CM207" s="371">
        <f>SUM(CI207:CL207)</f>
        <v>198.58500000000001</v>
      </c>
      <c r="CN207" s="1419">
        <f>CN178</f>
        <v>49.646250000000002</v>
      </c>
      <c r="CO207" s="371">
        <f>CO178</f>
        <v>49.646250000000002</v>
      </c>
      <c r="CP207" s="371">
        <f>CP178</f>
        <v>49.646250000000002</v>
      </c>
      <c r="CQ207" s="1420">
        <f>CQ178</f>
        <v>49.646250000000002</v>
      </c>
      <c r="CR207" s="1420">
        <f>SUM(CN207:CQ207)</f>
        <v>198.58500000000001</v>
      </c>
    </row>
    <row r="208" spans="1:96" s="1541" customFormat="1" ht="11.25">
      <c r="A208" s="1536"/>
      <c r="B208" s="1536" t="s">
        <v>1011</v>
      </c>
      <c r="C208" s="1536"/>
      <c r="D208" s="318"/>
      <c r="E208" s="318"/>
      <c r="F208" s="1536"/>
      <c r="G208" s="1536"/>
      <c r="H208" s="1536"/>
      <c r="I208" s="1536"/>
      <c r="J208" s="1536"/>
      <c r="K208" s="1536"/>
      <c r="L208" s="1536"/>
      <c r="M208" s="1536"/>
      <c r="N208" s="1536"/>
      <c r="O208" s="1536"/>
      <c r="P208" s="1536"/>
      <c r="Q208" s="1536"/>
      <c r="R208" s="1536"/>
      <c r="S208" s="1536"/>
      <c r="T208" s="1536"/>
      <c r="U208" s="1536"/>
      <c r="V208" s="1536"/>
      <c r="W208" s="1536"/>
      <c r="X208" s="1536"/>
      <c r="Y208" s="1536"/>
      <c r="Z208" s="1536"/>
      <c r="AA208" s="1536"/>
      <c r="AB208" s="1536"/>
      <c r="AC208" s="1536"/>
      <c r="AD208" s="1536"/>
      <c r="AE208" s="1536"/>
      <c r="AF208" s="1536"/>
      <c r="AG208" s="1536"/>
      <c r="AH208" s="1536"/>
      <c r="AI208" s="1536"/>
      <c r="AJ208" s="1536"/>
      <c r="AK208" s="1537"/>
      <c r="AL208" s="362"/>
      <c r="AM208" s="362"/>
      <c r="AN208" s="1453"/>
      <c r="AO208" s="1536"/>
      <c r="AP208" s="1537"/>
      <c r="AQ208" s="362"/>
      <c r="AR208" s="362"/>
      <c r="AS208" s="1453"/>
      <c r="AT208" s="1536"/>
      <c r="AU208" s="1537"/>
      <c r="AV208" s="362"/>
      <c r="AW208" s="362"/>
      <c r="AX208" s="1453"/>
      <c r="AY208" s="1536"/>
      <c r="AZ208" s="1537"/>
      <c r="BA208" s="362"/>
      <c r="BB208" s="362"/>
      <c r="BC208" s="1453"/>
      <c r="BD208" s="1536"/>
      <c r="BE208" s="1537"/>
      <c r="BF208" s="362"/>
      <c r="BG208" s="362"/>
      <c r="BH208" s="1453"/>
      <c r="BI208" s="1536"/>
      <c r="BJ208" s="1537"/>
      <c r="BK208" s="362"/>
      <c r="BL208" s="362"/>
      <c r="BM208" s="1453"/>
      <c r="BN208" s="1536"/>
      <c r="BO208" s="1537"/>
      <c r="BP208" s="362"/>
      <c r="BQ208" s="362"/>
      <c r="BR208" s="1453"/>
      <c r="BS208" s="1536"/>
      <c r="BT208" s="1537"/>
      <c r="BU208" s="362"/>
      <c r="BV208" s="362"/>
      <c r="BW208" s="1453"/>
      <c r="BX208" s="1536"/>
      <c r="BY208" s="1537"/>
      <c r="BZ208" s="362"/>
      <c r="CA208" s="362"/>
      <c r="CB208" s="1453"/>
      <c r="CC208" s="1536"/>
      <c r="CD208" s="1538">
        <v>20</v>
      </c>
      <c r="CE208" s="1539">
        <v>20</v>
      </c>
      <c r="CF208" s="1539">
        <v>20</v>
      </c>
      <c r="CG208" s="1540">
        <v>20</v>
      </c>
      <c r="CH208" s="1536">
        <f>SUM(CD208:CG208)</f>
        <v>80</v>
      </c>
      <c r="CI208" s="1538">
        <v>20</v>
      </c>
      <c r="CJ208" s="1539">
        <v>20</v>
      </c>
      <c r="CK208" s="1539">
        <v>20</v>
      </c>
      <c r="CL208" s="1540">
        <v>20</v>
      </c>
      <c r="CM208" s="1536">
        <f>SUM(CI208:CL208)</f>
        <v>80</v>
      </c>
      <c r="CN208" s="1538">
        <v>20</v>
      </c>
      <c r="CO208" s="1539">
        <v>20</v>
      </c>
      <c r="CP208" s="1539">
        <v>20</v>
      </c>
      <c r="CQ208" s="1540">
        <v>20</v>
      </c>
      <c r="CR208" s="1453">
        <f>SUM(CN208:CQ208)</f>
        <v>80</v>
      </c>
    </row>
    <row r="209" spans="1:96">
      <c r="A209" s="369"/>
      <c r="B209" s="369"/>
      <c r="C209" s="369"/>
      <c r="D209" s="370"/>
      <c r="E209" s="370"/>
      <c r="F209" s="369"/>
      <c r="G209" s="369"/>
      <c r="H209" s="369"/>
      <c r="I209" s="369"/>
      <c r="J209" s="369"/>
      <c r="K209" s="369"/>
      <c r="L209" s="369"/>
      <c r="M209" s="369"/>
      <c r="N209" s="369"/>
      <c r="O209" s="369"/>
      <c r="P209" s="369"/>
      <c r="Q209" s="369"/>
      <c r="R209" s="369"/>
      <c r="S209" s="369"/>
      <c r="T209" s="369"/>
      <c r="U209" s="369"/>
      <c r="V209" s="369"/>
      <c r="W209" s="369"/>
      <c r="X209" s="369"/>
      <c r="Y209" s="369"/>
      <c r="Z209" s="369"/>
      <c r="AA209" s="369"/>
      <c r="AB209" s="369"/>
      <c r="AC209" s="369"/>
      <c r="AD209" s="369"/>
      <c r="AE209" s="369"/>
      <c r="AF209" s="369"/>
      <c r="AG209" s="369"/>
      <c r="AH209" s="369"/>
      <c r="AI209" s="369"/>
      <c r="AJ209" s="369"/>
      <c r="AK209" s="1421"/>
      <c r="AL209" s="1422"/>
      <c r="AM209" s="1422"/>
      <c r="AN209" s="1423"/>
      <c r="AO209" s="369"/>
      <c r="AP209" s="1421"/>
      <c r="AQ209" s="1422"/>
      <c r="AR209" s="1422"/>
      <c r="AS209" s="1423"/>
      <c r="AT209" s="369"/>
      <c r="AU209" s="1421"/>
      <c r="AV209" s="1422"/>
      <c r="AW209" s="1422"/>
      <c r="AX209" s="1423"/>
      <c r="AY209" s="369"/>
      <c r="AZ209" s="1421"/>
      <c r="BA209" s="1422"/>
      <c r="BB209" s="1422"/>
      <c r="BC209" s="1423"/>
      <c r="BD209" s="369"/>
      <c r="BE209" s="1421"/>
      <c r="BF209" s="1422"/>
      <c r="BG209" s="1422"/>
      <c r="BH209" s="1423"/>
      <c r="BI209" s="369"/>
      <c r="BJ209" s="1421"/>
      <c r="BK209" s="1422"/>
      <c r="BL209" s="1422"/>
      <c r="BM209" s="1423"/>
      <c r="BN209" s="369"/>
      <c r="BO209" s="1421"/>
      <c r="BP209" s="1422"/>
      <c r="BQ209" s="1422"/>
      <c r="BR209" s="1423"/>
      <c r="BS209" s="369"/>
      <c r="BT209" s="1421"/>
      <c r="BU209" s="1422"/>
      <c r="BV209" s="1422"/>
      <c r="BW209" s="1423"/>
      <c r="BX209" s="369"/>
      <c r="BY209" s="1421"/>
      <c r="BZ209" s="1422"/>
      <c r="CA209" s="1422"/>
      <c r="CB209" s="1423"/>
      <c r="CC209" s="369"/>
      <c r="CD209" s="1421"/>
      <c r="CE209" s="1422"/>
      <c r="CF209" s="1422"/>
      <c r="CG209" s="1423"/>
      <c r="CH209" s="369"/>
      <c r="CI209" s="1421"/>
      <c r="CJ209" s="1422"/>
      <c r="CK209" s="1422"/>
      <c r="CL209" s="1423"/>
      <c r="CM209" s="369"/>
      <c r="CN209" s="1421"/>
      <c r="CO209" s="1422"/>
      <c r="CP209" s="1422"/>
      <c r="CQ209" s="1423"/>
      <c r="CR209" s="1423"/>
    </row>
    <row r="210" spans="1:96" ht="13.5" customHeight="1">
      <c r="A210" s="369"/>
      <c r="B210" s="372" t="s">
        <v>134</v>
      </c>
      <c r="C210" s="373"/>
      <c r="D210" s="373"/>
      <c r="E210" s="373"/>
      <c r="F210" s="373"/>
      <c r="G210" s="373"/>
      <c r="H210" s="373"/>
      <c r="I210" s="373"/>
      <c r="J210" s="373"/>
      <c r="K210" s="373"/>
      <c r="L210" s="373"/>
      <c r="M210" s="373"/>
      <c r="N210" s="373"/>
      <c r="O210" s="373"/>
      <c r="P210" s="373"/>
      <c r="Q210" s="373"/>
      <c r="R210" s="373"/>
      <c r="S210" s="373"/>
      <c r="T210" s="373"/>
      <c r="U210" s="373"/>
      <c r="V210" s="373"/>
      <c r="W210" s="373"/>
      <c r="X210" s="373"/>
      <c r="Y210" s="373"/>
      <c r="Z210" s="373"/>
      <c r="AA210" s="373"/>
      <c r="AB210" s="373"/>
      <c r="AC210" s="373"/>
      <c r="AD210" s="373"/>
      <c r="AE210" s="373"/>
      <c r="AF210" s="373"/>
      <c r="AG210" s="373"/>
      <c r="AH210" s="369"/>
      <c r="AI210" s="369"/>
      <c r="AJ210" s="369"/>
      <c r="AK210" s="1424">
        <f>Financials!AJ233+Financials!AJ243</f>
        <v>425</v>
      </c>
      <c r="AL210" s="373">
        <f>Financials!AK233+Financials!AK243</f>
        <v>-79</v>
      </c>
      <c r="AM210" s="373">
        <f>Financials!AL233+Financials!AL243</f>
        <v>-438</v>
      </c>
      <c r="AN210" s="1425">
        <f>Financials!AM233+Financials!AM243</f>
        <v>-343</v>
      </c>
      <c r="AO210" s="373"/>
      <c r="AP210" s="1424">
        <f>Financials!AO233+Financials!AO243</f>
        <v>-123</v>
      </c>
      <c r="AQ210" s="373">
        <f>Financials!AP233+Financials!AP243</f>
        <v>-410</v>
      </c>
      <c r="AR210" s="373">
        <f>Financials!AQ233+Financials!AQ243</f>
        <v>-303</v>
      </c>
      <c r="AS210" s="1425">
        <f>Financials!AR233+Financials!AR243</f>
        <v>-126</v>
      </c>
      <c r="AT210" s="369"/>
      <c r="AU210" s="1424">
        <f>Financials!AT233+Financials!AT243</f>
        <v>-155</v>
      </c>
      <c r="AV210" s="373">
        <f>Financials!AU233+Financials!AU243</f>
        <v>-186</v>
      </c>
      <c r="AW210" s="373">
        <f>Financials!AV233+Financials!AV243</f>
        <v>-162</v>
      </c>
      <c r="AX210" s="1425">
        <f>Financials!AW233+Financials!AW243</f>
        <v>-142</v>
      </c>
      <c r="AY210" s="369"/>
      <c r="AZ210" s="1424">
        <f>Financials!AY233+Financials!AY243</f>
        <v>370</v>
      </c>
      <c r="BA210" s="373">
        <f>Financials!AZ233+Financials!AZ243</f>
        <v>236</v>
      </c>
      <c r="BB210" s="373">
        <f>Financials!BA233+Financials!BA243</f>
        <v>-114</v>
      </c>
      <c r="BC210" s="1425">
        <f>Financials!BB233+Financials!BB243</f>
        <v>41</v>
      </c>
      <c r="BD210" s="369"/>
      <c r="BE210" s="1424">
        <f>Financials!BD233+Financials!BD243</f>
        <v>141</v>
      </c>
      <c r="BF210" s="373">
        <f>Financials!BE233+Financials!BE243</f>
        <v>39</v>
      </c>
      <c r="BG210" s="373">
        <f>Financials!BF233+Financials!BF243</f>
        <v>-68</v>
      </c>
      <c r="BH210" s="1425">
        <f>Financials!BG233+Financials!BG243</f>
        <v>-91</v>
      </c>
      <c r="BI210" s="369"/>
      <c r="BJ210" s="1424">
        <f>Financials!BI233+Financials!BI243</f>
        <v>504</v>
      </c>
      <c r="BK210" s="373">
        <f>Financials!BJ233+Financials!BJ243</f>
        <v>702</v>
      </c>
      <c r="BL210" s="373">
        <f>Financials!BK233+Financials!BK243</f>
        <v>-193</v>
      </c>
      <c r="BM210" s="1425">
        <f>Financials!BL233+Financials!BL243</f>
        <v>113</v>
      </c>
      <c r="BN210" s="369"/>
      <c r="BO210" s="1424">
        <f>Financials!BN233+Financials!BN243</f>
        <v>-35</v>
      </c>
      <c r="BP210" s="373">
        <f>Financials!BO233+Financials!BO243</f>
        <v>-45</v>
      </c>
      <c r="BQ210" s="373">
        <f>Financials!BP233+Financials!BP243</f>
        <v>-38</v>
      </c>
      <c r="BR210" s="1425">
        <f>Financials!BQ233+Financials!BQ243</f>
        <v>-33</v>
      </c>
      <c r="BS210" s="369"/>
      <c r="BT210" s="1424">
        <f>Financials!BS233+Financials!BS243</f>
        <v>-39</v>
      </c>
      <c r="BU210" s="373">
        <f>Financials!BT233+Financials!BT243</f>
        <v>118</v>
      </c>
      <c r="BV210" s="373">
        <f>Financials!BU233+Financials!BU243</f>
        <v>216</v>
      </c>
      <c r="BW210" s="1425">
        <f>Financials!BV233+Financials!BV243</f>
        <v>114</v>
      </c>
      <c r="BX210" s="369"/>
      <c r="BY210" s="1424">
        <f>Financials!BX233+Financials!BX243</f>
        <v>-186</v>
      </c>
      <c r="BZ210" s="373">
        <f>Financials!BY233+Financials!BY243</f>
        <v>306</v>
      </c>
      <c r="CA210" s="373">
        <f>Financials!BZ233+Financials!BZ243</f>
        <v>231</v>
      </c>
      <c r="CB210" s="1425">
        <f>Financials!CA233+Financials!CA243</f>
        <v>62</v>
      </c>
      <c r="CC210" s="369"/>
      <c r="CD210" s="1424">
        <f>Financials!CC233+Financials!CC243</f>
        <v>-260.13122238196371</v>
      </c>
      <c r="CE210" s="373">
        <f>Financials!CD233+Financials!CD243</f>
        <v>163.20803198811751</v>
      </c>
      <c r="CF210" s="373">
        <f>Financials!CE233+Financials!CE243</f>
        <v>150.63338646256341</v>
      </c>
      <c r="CG210" s="1425">
        <f>Financials!CF233+Financials!CF243</f>
        <v>228.22405665921582</v>
      </c>
      <c r="CH210" s="369"/>
      <c r="CI210" s="1424">
        <f>Financials!CH233+Financials!CH243</f>
        <v>336.39163423927243</v>
      </c>
      <c r="CJ210" s="373">
        <f>Financials!CI233+Financials!CI243</f>
        <v>-358.86500155625072</v>
      </c>
      <c r="CK210" s="373">
        <f>Financials!CJ233+Financials!CJ243</f>
        <v>828.04022637365824</v>
      </c>
      <c r="CL210" s="1425">
        <f>Financials!CK233+Financials!CK243</f>
        <v>-427.5138170425106</v>
      </c>
      <c r="CM210" s="369"/>
      <c r="CN210" s="1424">
        <f>Financials!CM233+Financials!CM243</f>
        <v>685.34656721976876</v>
      </c>
      <c r="CO210" s="373">
        <f>Financials!CN233+Financials!CN243</f>
        <v>-722.07690311996919</v>
      </c>
      <c r="CP210" s="373">
        <f>Financials!CO233+Financials!CO243</f>
        <v>1033.3618759647732</v>
      </c>
      <c r="CQ210" s="1425">
        <f>Financials!CP233+Financials!CP243</f>
        <v>-627.58775536673534</v>
      </c>
      <c r="CR210" s="1423"/>
    </row>
    <row r="211" spans="1:96" ht="13.5" customHeight="1">
      <c r="A211" s="369"/>
      <c r="B211" s="374" t="s">
        <v>135</v>
      </c>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c r="AA211" s="375"/>
      <c r="AB211" s="375"/>
      <c r="AC211" s="375"/>
      <c r="AD211" s="375"/>
      <c r="AE211" s="375"/>
      <c r="AF211" s="375"/>
      <c r="AG211" s="375"/>
      <c r="AH211" s="369"/>
      <c r="AI211" s="369"/>
      <c r="AJ211" s="369"/>
      <c r="AK211" s="1426">
        <f>Financials!AJ262</f>
        <v>724</v>
      </c>
      <c r="AL211" s="375">
        <f>Financials!AK262</f>
        <v>1131</v>
      </c>
      <c r="AM211" s="375">
        <f>Financials!AL262</f>
        <v>1950</v>
      </c>
      <c r="AN211" s="1427">
        <f>Financials!AM262</f>
        <v>1543</v>
      </c>
      <c r="AO211" s="375"/>
      <c r="AP211" s="1426">
        <f>Financials!AO262</f>
        <v>1218</v>
      </c>
      <c r="AQ211" s="375">
        <f>Financials!AP262</f>
        <v>1386</v>
      </c>
      <c r="AR211" s="375">
        <f>Financials!AQ262</f>
        <v>947</v>
      </c>
      <c r="AS211" s="1427">
        <f>Financials!AR262</f>
        <v>643</v>
      </c>
      <c r="AT211" s="369"/>
      <c r="AU211" s="1426">
        <f>Financials!AT262</f>
        <v>578</v>
      </c>
      <c r="AV211" s="375">
        <f>Financials!AU262</f>
        <v>421</v>
      </c>
      <c r="AW211" s="375">
        <f>Financials!AV262</f>
        <v>393</v>
      </c>
      <c r="AX211" s="1427">
        <f>Financials!AW262</f>
        <v>270</v>
      </c>
      <c r="AY211" s="369"/>
      <c r="AZ211" s="1426">
        <f>Financials!AY262</f>
        <v>408</v>
      </c>
      <c r="BA211" s="375">
        <f>Financials!AZ262</f>
        <v>652</v>
      </c>
      <c r="BB211" s="375">
        <f>Financials!BA262</f>
        <v>565</v>
      </c>
      <c r="BC211" s="1427">
        <f>Financials!BB262</f>
        <v>536</v>
      </c>
      <c r="BD211" s="369"/>
      <c r="BE211" s="1426">
        <f>Financials!BD262</f>
        <v>570</v>
      </c>
      <c r="BF211" s="375">
        <f>Financials!BE262</f>
        <v>733</v>
      </c>
      <c r="BG211" s="375">
        <f>Financials!BF262</f>
        <v>767</v>
      </c>
      <c r="BH211" s="1427">
        <f>Financials!BG262</f>
        <v>697</v>
      </c>
      <c r="BI211" s="369"/>
      <c r="BJ211" s="1426">
        <f>Financials!BI262</f>
        <v>604</v>
      </c>
      <c r="BK211" s="375">
        <f>Financials!BJ262</f>
        <v>1099</v>
      </c>
      <c r="BL211" s="375">
        <f>Financials!BK262</f>
        <v>1471</v>
      </c>
      <c r="BM211" s="1427">
        <f>Financials!BL262</f>
        <v>1257</v>
      </c>
      <c r="BN211" s="369"/>
      <c r="BO211" s="1426">
        <f>Financials!BN262</f>
        <v>1354</v>
      </c>
      <c r="BP211" s="375">
        <f>Financials!BO262</f>
        <v>1266</v>
      </c>
      <c r="BQ211" s="375">
        <f>Financials!BP262</f>
        <v>1210</v>
      </c>
      <c r="BR211" s="1427">
        <f>Financials!BQ262</f>
        <v>1165</v>
      </c>
      <c r="BS211" s="369"/>
      <c r="BT211" s="1426">
        <f>Financials!BS262</f>
        <v>755</v>
      </c>
      <c r="BU211" s="375">
        <f>Financials!BT262</f>
        <v>705</v>
      </c>
      <c r="BV211" s="375">
        <f>Financials!BU262</f>
        <v>820</v>
      </c>
      <c r="BW211" s="1427">
        <f>Financials!BV262</f>
        <v>1445</v>
      </c>
      <c r="BX211" s="369"/>
      <c r="BY211" s="1426">
        <f>Financials!BX262</f>
        <v>1515</v>
      </c>
      <c r="BZ211" s="375">
        <f>Financials!BY262</f>
        <v>1326</v>
      </c>
      <c r="CA211" s="375">
        <f>Financials!BZ262</f>
        <v>1522</v>
      </c>
      <c r="CB211" s="1427">
        <f>Financials!CA262</f>
        <v>1694</v>
      </c>
      <c r="CC211" s="369"/>
      <c r="CD211" s="1426">
        <f>Financials!CC262</f>
        <v>1553</v>
      </c>
      <c r="CE211" s="375">
        <f>Financials!CD262</f>
        <v>1284.1190544180361</v>
      </c>
      <c r="CF211" s="375">
        <f>Financials!CE262</f>
        <v>1438.5773632061537</v>
      </c>
      <c r="CG211" s="1427">
        <f>Financials!CF262</f>
        <v>1580.4610264687171</v>
      </c>
      <c r="CH211" s="369"/>
      <c r="CI211" s="1426">
        <f>Financials!CH262</f>
        <v>1799.935359927933</v>
      </c>
      <c r="CJ211" s="375">
        <f>Financials!CI262</f>
        <v>2127.5772709672055</v>
      </c>
      <c r="CK211" s="375">
        <f>Financials!CJ262</f>
        <v>1759.9625462109548</v>
      </c>
      <c r="CL211" s="1427">
        <f>Financials!CK262</f>
        <v>2579.253049384613</v>
      </c>
      <c r="CM211" s="369"/>
      <c r="CN211" s="1426">
        <f>Financials!CM262</f>
        <v>2142.9895091421022</v>
      </c>
      <c r="CO211" s="375">
        <f>Financials!CN262</f>
        <v>2819.5863531618711</v>
      </c>
      <c r="CP211" s="375">
        <f>Financials!CO262</f>
        <v>2088.7597268419022</v>
      </c>
      <c r="CQ211" s="1427">
        <f>Financials!CP262</f>
        <v>3113.3718796066751</v>
      </c>
      <c r="CR211" s="1423"/>
    </row>
    <row r="212" spans="1:96" ht="13.5" customHeight="1">
      <c r="A212" s="369"/>
      <c r="B212" s="374" t="s">
        <v>136</v>
      </c>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c r="AA212" s="375"/>
      <c r="AB212" s="375"/>
      <c r="AC212" s="375"/>
      <c r="AD212" s="375"/>
      <c r="AE212" s="375"/>
      <c r="AF212" s="375"/>
      <c r="AG212" s="376"/>
      <c r="AH212" s="369"/>
      <c r="AI212" s="369"/>
      <c r="AJ212" s="369"/>
      <c r="AK212" s="1428">
        <v>-300</v>
      </c>
      <c r="AL212" s="664">
        <v>-300</v>
      </c>
      <c r="AM212" s="664">
        <v>-300</v>
      </c>
      <c r="AN212" s="1429">
        <v>-300</v>
      </c>
      <c r="AO212" s="375"/>
      <c r="AP212" s="1428">
        <v>-300</v>
      </c>
      <c r="AQ212" s="664">
        <v>-300</v>
      </c>
      <c r="AR212" s="664">
        <v>-300</v>
      </c>
      <c r="AS212" s="1429">
        <v>-300</v>
      </c>
      <c r="AT212" s="369"/>
      <c r="AU212" s="1428">
        <v>-300</v>
      </c>
      <c r="AV212" s="664">
        <v>-300</v>
      </c>
      <c r="AW212" s="664">
        <v>-300</v>
      </c>
      <c r="AX212" s="1429">
        <v>-300</v>
      </c>
      <c r="AY212" s="369"/>
      <c r="AZ212" s="1428">
        <v>-200</v>
      </c>
      <c r="BA212" s="664">
        <v>-200</v>
      </c>
      <c r="BB212" s="664">
        <v>-200</v>
      </c>
      <c r="BC212" s="1429">
        <v>-200</v>
      </c>
      <c r="BD212" s="369"/>
      <c r="BE212" s="1428">
        <v>-200</v>
      </c>
      <c r="BF212" s="664">
        <v>-200</v>
      </c>
      <c r="BG212" s="664">
        <v>-200</v>
      </c>
      <c r="BH212" s="1429">
        <v>-200</v>
      </c>
      <c r="BI212" s="369"/>
      <c r="BJ212" s="1428">
        <v>-200</v>
      </c>
      <c r="BK212" s="664">
        <v>-200</v>
      </c>
      <c r="BL212" s="664">
        <v>-200</v>
      </c>
      <c r="BM212" s="1429">
        <v>-200</v>
      </c>
      <c r="BN212" s="369"/>
      <c r="BO212" s="1428">
        <v>-200</v>
      </c>
      <c r="BP212" s="664">
        <v>-200</v>
      </c>
      <c r="BQ212" s="664">
        <v>-200</v>
      </c>
      <c r="BR212" s="1429">
        <v>-200</v>
      </c>
      <c r="BS212" s="369"/>
      <c r="BT212" s="1428">
        <v>-200</v>
      </c>
      <c r="BU212" s="664">
        <v>-200</v>
      </c>
      <c r="BV212" s="664">
        <v>-200</v>
      </c>
      <c r="BW212" s="1429">
        <v>-200</v>
      </c>
      <c r="BX212" s="369"/>
      <c r="BY212" s="1428">
        <v>-200</v>
      </c>
      <c r="BZ212" s="664">
        <v>-200</v>
      </c>
      <c r="CA212" s="664">
        <v>-200</v>
      </c>
      <c r="CB212" s="1429">
        <v>-200</v>
      </c>
      <c r="CC212" s="369"/>
      <c r="CD212" s="1428">
        <v>-200</v>
      </c>
      <c r="CE212" s="664">
        <v>-200</v>
      </c>
      <c r="CF212" s="664">
        <v>-200</v>
      </c>
      <c r="CG212" s="1429">
        <v>-200</v>
      </c>
      <c r="CH212" s="369"/>
      <c r="CI212" s="1428">
        <v>-200</v>
      </c>
      <c r="CJ212" s="664">
        <v>-200</v>
      </c>
      <c r="CK212" s="664">
        <v>-200</v>
      </c>
      <c r="CL212" s="1429">
        <v>-200</v>
      </c>
      <c r="CM212" s="369"/>
      <c r="CN212" s="1428">
        <v>-200</v>
      </c>
      <c r="CO212" s="664">
        <v>-200</v>
      </c>
      <c r="CP212" s="664">
        <v>-200</v>
      </c>
      <c r="CQ212" s="1429">
        <v>-200</v>
      </c>
      <c r="CR212" s="1423"/>
    </row>
    <row r="213" spans="1:96" ht="13.5" customHeight="1">
      <c r="A213" s="369"/>
      <c r="B213" s="372" t="s">
        <v>137</v>
      </c>
      <c r="C213" s="373"/>
      <c r="D213" s="373"/>
      <c r="E213" s="373"/>
      <c r="F213" s="373"/>
      <c r="G213" s="377"/>
      <c r="H213" s="377"/>
      <c r="I213" s="377"/>
      <c r="J213" s="377"/>
      <c r="K213" s="377"/>
      <c r="L213" s="377"/>
      <c r="M213" s="377"/>
      <c r="N213" s="377"/>
      <c r="O213" s="377"/>
      <c r="P213" s="377"/>
      <c r="Q213" s="377"/>
      <c r="R213" s="377"/>
      <c r="S213" s="377"/>
      <c r="T213" s="377"/>
      <c r="U213" s="377"/>
      <c r="V213" s="377"/>
      <c r="W213" s="377"/>
      <c r="X213" s="377"/>
      <c r="Y213" s="377"/>
      <c r="Z213" s="377"/>
      <c r="AA213" s="377"/>
      <c r="AB213" s="377"/>
      <c r="AC213" s="377"/>
      <c r="AD213" s="377"/>
      <c r="AE213" s="377"/>
      <c r="AF213" s="377"/>
      <c r="AG213" s="377"/>
      <c r="AH213" s="369"/>
      <c r="AI213" s="369"/>
      <c r="AJ213" s="369"/>
      <c r="AK213" s="1424">
        <f>SUM(AK210:AK212)</f>
        <v>849</v>
      </c>
      <c r="AL213" s="373">
        <f>SUM(AL210:AL212)</f>
        <v>752</v>
      </c>
      <c r="AM213" s="373">
        <f>SUM(AM210:AM212)</f>
        <v>1212</v>
      </c>
      <c r="AN213" s="1425">
        <f>SUM(AN210:AN212)</f>
        <v>900</v>
      </c>
      <c r="AO213" s="377"/>
      <c r="AP213" s="1424">
        <f>SUM(AP210:AP212)</f>
        <v>795</v>
      </c>
      <c r="AQ213" s="373">
        <f>SUM(AQ210:AQ212)</f>
        <v>676</v>
      </c>
      <c r="AR213" s="373">
        <f>SUM(AR210:AR212)</f>
        <v>344</v>
      </c>
      <c r="AS213" s="1425">
        <f>SUM(AS210:AS212)</f>
        <v>217</v>
      </c>
      <c r="AT213" s="369"/>
      <c r="AU213" s="1424">
        <f>SUM(AU210:AU212)</f>
        <v>123</v>
      </c>
      <c r="AV213" s="373">
        <f>SUM(AV210:AV212)</f>
        <v>-65</v>
      </c>
      <c r="AW213" s="373">
        <f>SUM(AW210:AW212)</f>
        <v>-69</v>
      </c>
      <c r="AX213" s="1425">
        <f>SUM(AX210:AX212)</f>
        <v>-172</v>
      </c>
      <c r="AY213" s="369"/>
      <c r="AZ213" s="1424">
        <f>SUM(AZ210:AZ212)</f>
        <v>578</v>
      </c>
      <c r="BA213" s="373">
        <f>SUM(BA210:BA212)</f>
        <v>688</v>
      </c>
      <c r="BB213" s="373">
        <f>SUM(BB210:BB212)</f>
        <v>251</v>
      </c>
      <c r="BC213" s="1425">
        <f>SUM(BC210:BC212)</f>
        <v>377</v>
      </c>
      <c r="BD213" s="369"/>
      <c r="BE213" s="1424">
        <f>SUM(BE210:BE212)</f>
        <v>511</v>
      </c>
      <c r="BF213" s="373">
        <f>SUM(BF210:BF212)</f>
        <v>572</v>
      </c>
      <c r="BG213" s="373">
        <f>SUM(BG210:BG212)</f>
        <v>499</v>
      </c>
      <c r="BH213" s="1425">
        <f>SUM(BH210:BH212)</f>
        <v>406</v>
      </c>
      <c r="BI213" s="369"/>
      <c r="BJ213" s="1424">
        <f>SUM(BJ210:BJ212)</f>
        <v>908</v>
      </c>
      <c r="BK213" s="373">
        <f>SUM(BK210:BK212)</f>
        <v>1601</v>
      </c>
      <c r="BL213" s="373">
        <f>SUM(BL210:BL212)</f>
        <v>1078</v>
      </c>
      <c r="BM213" s="1425">
        <f>SUM(BM210:BM212)</f>
        <v>1170</v>
      </c>
      <c r="BN213" s="369"/>
      <c r="BO213" s="1424">
        <f>SUM(BO210:BO212)</f>
        <v>1119</v>
      </c>
      <c r="BP213" s="373">
        <f>SUM(BP210:BP212)</f>
        <v>1021</v>
      </c>
      <c r="BQ213" s="373">
        <f>SUM(BQ210:BQ212)</f>
        <v>972</v>
      </c>
      <c r="BR213" s="1425">
        <f>SUM(BR210:BR212)</f>
        <v>932</v>
      </c>
      <c r="BS213" s="369"/>
      <c r="BT213" s="1424">
        <f>SUM(BT210:BT212)</f>
        <v>516</v>
      </c>
      <c r="BU213" s="373">
        <f>SUM(BU210:BU212)</f>
        <v>623</v>
      </c>
      <c r="BV213" s="373">
        <f>SUM(BV210:BV212)</f>
        <v>836</v>
      </c>
      <c r="BW213" s="1425">
        <f>SUM(BW210:BW212)</f>
        <v>1359</v>
      </c>
      <c r="BX213" s="369"/>
      <c r="BY213" s="1424">
        <f>SUM(BY210:BY212)</f>
        <v>1129</v>
      </c>
      <c r="BZ213" s="373">
        <f>SUM(BZ210:BZ212)</f>
        <v>1432</v>
      </c>
      <c r="CA213" s="373">
        <f>SUM(CA210:CA212)</f>
        <v>1553</v>
      </c>
      <c r="CB213" s="1425">
        <f>SUM(CB210:CB212)</f>
        <v>1556</v>
      </c>
      <c r="CC213" s="369"/>
      <c r="CD213" s="1424">
        <f>SUM(CD210:CD212)</f>
        <v>1092.8687776180363</v>
      </c>
      <c r="CE213" s="373">
        <f>SUM(CE210:CE212)</f>
        <v>1247.3270864061535</v>
      </c>
      <c r="CF213" s="373">
        <f>SUM(CF210:CF212)</f>
        <v>1389.2107496687172</v>
      </c>
      <c r="CG213" s="1425">
        <f>SUM(CG210:CG212)</f>
        <v>1608.685083127933</v>
      </c>
      <c r="CH213" s="369"/>
      <c r="CI213" s="1424">
        <f>SUM(CI210:CI212)</f>
        <v>1936.3269941672052</v>
      </c>
      <c r="CJ213" s="373">
        <f>SUM(CJ210:CJ212)</f>
        <v>1568.7122694109548</v>
      </c>
      <c r="CK213" s="373">
        <f>SUM(CK210:CK212)</f>
        <v>2388.002772584613</v>
      </c>
      <c r="CL213" s="1425">
        <f>SUM(CL210:CL212)</f>
        <v>1951.7392323421022</v>
      </c>
      <c r="CM213" s="369"/>
      <c r="CN213" s="1424">
        <f>SUM(CN210:CN212)</f>
        <v>2628.3360763618712</v>
      </c>
      <c r="CO213" s="373">
        <f>SUM(CO210:CO212)</f>
        <v>1897.5094500419018</v>
      </c>
      <c r="CP213" s="373">
        <f>SUM(CP210:CP212)</f>
        <v>2922.1216028066756</v>
      </c>
      <c r="CQ213" s="1425">
        <f>SUM(CQ210:CQ212)</f>
        <v>2285.78412423994</v>
      </c>
      <c r="CR213" s="1423"/>
    </row>
    <row r="214" spans="1:96" ht="6.2" customHeight="1">
      <c r="A214" s="369"/>
      <c r="B214" s="378"/>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c r="AA214" s="375"/>
      <c r="AB214" s="375"/>
      <c r="AC214" s="375"/>
      <c r="AD214" s="375"/>
      <c r="AE214" s="375"/>
      <c r="AF214" s="375"/>
      <c r="AG214" s="379"/>
      <c r="AH214" s="369"/>
      <c r="AI214" s="369"/>
      <c r="AJ214" s="369"/>
      <c r="AK214" s="1426"/>
      <c r="AL214" s="375"/>
      <c r="AM214" s="375"/>
      <c r="AN214" s="1427"/>
      <c r="AO214" s="375"/>
      <c r="AP214" s="1426"/>
      <c r="AQ214" s="375"/>
      <c r="AR214" s="375"/>
      <c r="AS214" s="1427"/>
      <c r="AT214" s="369"/>
      <c r="AU214" s="1426"/>
      <c r="AV214" s="375"/>
      <c r="AW214" s="375"/>
      <c r="AX214" s="1427"/>
      <c r="AY214" s="369"/>
      <c r="AZ214" s="1426"/>
      <c r="BA214" s="375"/>
      <c r="BB214" s="375"/>
      <c r="BC214" s="1427"/>
      <c r="BD214" s="369"/>
      <c r="BE214" s="1426"/>
      <c r="BF214" s="375"/>
      <c r="BG214" s="375"/>
      <c r="BH214" s="1427"/>
      <c r="BI214" s="369"/>
      <c r="BJ214" s="1426"/>
      <c r="BK214" s="375"/>
      <c r="BL214" s="375"/>
      <c r="BM214" s="1427"/>
      <c r="BN214" s="369"/>
      <c r="BO214" s="1426"/>
      <c r="BP214" s="375"/>
      <c r="BQ214" s="375"/>
      <c r="BR214" s="1427"/>
      <c r="BS214" s="369"/>
      <c r="BT214" s="1426"/>
      <c r="BU214" s="375"/>
      <c r="BV214" s="375"/>
      <c r="BW214" s="1427"/>
      <c r="BX214" s="369"/>
      <c r="BY214" s="1426"/>
      <c r="BZ214" s="375"/>
      <c r="CA214" s="375"/>
      <c r="CB214" s="1427"/>
      <c r="CC214" s="369"/>
      <c r="CD214" s="1426"/>
      <c r="CE214" s="375"/>
      <c r="CF214" s="375"/>
      <c r="CG214" s="1427"/>
      <c r="CH214" s="369"/>
      <c r="CI214" s="1426"/>
      <c r="CJ214" s="375"/>
      <c r="CK214" s="375"/>
      <c r="CL214" s="1427"/>
      <c r="CM214" s="369"/>
      <c r="CN214" s="1426"/>
      <c r="CO214" s="375"/>
      <c r="CP214" s="375"/>
      <c r="CQ214" s="1427"/>
      <c r="CR214" s="1423"/>
    </row>
    <row r="215" spans="1:96" ht="13.5" customHeight="1">
      <c r="A215" s="369"/>
      <c r="B215" s="372" t="s">
        <v>138</v>
      </c>
      <c r="C215" s="81"/>
      <c r="D215" s="81"/>
      <c r="E215" s="81"/>
      <c r="F215" s="81"/>
      <c r="G215" s="378"/>
      <c r="H215" s="378"/>
      <c r="I215" s="378"/>
      <c r="J215" s="378"/>
      <c r="K215" s="378"/>
      <c r="L215" s="378"/>
      <c r="M215" s="378"/>
      <c r="N215" s="378"/>
      <c r="O215" s="378"/>
      <c r="P215" s="378"/>
      <c r="Q215" s="378"/>
      <c r="R215" s="378"/>
      <c r="S215" s="378"/>
      <c r="T215" s="378"/>
      <c r="U215" s="378"/>
      <c r="V215" s="378"/>
      <c r="W215" s="378"/>
      <c r="X215" s="378"/>
      <c r="Y215" s="378"/>
      <c r="Z215" s="378"/>
      <c r="AA215" s="378"/>
      <c r="AB215" s="378"/>
      <c r="AC215" s="378"/>
      <c r="AD215" s="378"/>
      <c r="AE215" s="378"/>
      <c r="AF215" s="378"/>
      <c r="AG215" s="379"/>
      <c r="AH215" s="369"/>
      <c r="AI215" s="369"/>
      <c r="AJ215" s="369"/>
      <c r="AK215" s="904"/>
      <c r="AL215" s="378"/>
      <c r="AM215" s="378"/>
      <c r="AN215" s="1430"/>
      <c r="AO215" s="378"/>
      <c r="AP215" s="904"/>
      <c r="AQ215" s="378"/>
      <c r="AR215" s="378"/>
      <c r="AS215" s="1430"/>
      <c r="AT215" s="369"/>
      <c r="AU215" s="904"/>
      <c r="AV215" s="378"/>
      <c r="AW215" s="378"/>
      <c r="AX215" s="1430"/>
      <c r="AY215" s="369"/>
      <c r="AZ215" s="904"/>
      <c r="BA215" s="378"/>
      <c r="BB215" s="378"/>
      <c r="BC215" s="1430"/>
      <c r="BD215" s="369"/>
      <c r="BE215" s="904"/>
      <c r="BF215" s="378"/>
      <c r="BG215" s="378"/>
      <c r="BH215" s="1430"/>
      <c r="BI215" s="369"/>
      <c r="BJ215" s="904"/>
      <c r="BK215" s="378"/>
      <c r="BL215" s="378"/>
      <c r="BM215" s="1430"/>
      <c r="BN215" s="369"/>
      <c r="BO215" s="904"/>
      <c r="BP215" s="378"/>
      <c r="BQ215" s="378"/>
      <c r="BR215" s="1430"/>
      <c r="BS215" s="369"/>
      <c r="BT215" s="904"/>
      <c r="BU215" s="378"/>
      <c r="BV215" s="378"/>
      <c r="BW215" s="1430"/>
      <c r="BX215" s="369"/>
      <c r="BY215" s="904"/>
      <c r="BZ215" s="378"/>
      <c r="CA215" s="378"/>
      <c r="CB215" s="1430"/>
      <c r="CC215" s="369"/>
      <c r="CD215" s="904"/>
      <c r="CE215" s="378"/>
      <c r="CF215" s="378"/>
      <c r="CG215" s="1430"/>
      <c r="CH215" s="369"/>
      <c r="CI215" s="904"/>
      <c r="CJ215" s="378"/>
      <c r="CK215" s="378"/>
      <c r="CL215" s="1430"/>
      <c r="CM215" s="369"/>
      <c r="CN215" s="904"/>
      <c r="CO215" s="378"/>
      <c r="CP215" s="378"/>
      <c r="CQ215" s="1430"/>
      <c r="CR215" s="1423"/>
    </row>
    <row r="216" spans="1:96" ht="13.5" customHeight="1">
      <c r="A216" s="369"/>
      <c r="B216" s="374" t="s">
        <v>139</v>
      </c>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c r="AA216" s="375"/>
      <c r="AB216" s="375"/>
      <c r="AC216" s="375"/>
      <c r="AD216" s="375"/>
      <c r="AE216" s="375"/>
      <c r="AF216" s="375"/>
      <c r="AG216" s="375"/>
      <c r="AH216" s="369"/>
      <c r="AI216" s="369"/>
      <c r="AJ216" s="369"/>
      <c r="AK216" s="1426">
        <f>Financials!AJ253</f>
        <v>-35</v>
      </c>
      <c r="AL216" s="375">
        <f>Financials!AK253</f>
        <v>-7</v>
      </c>
      <c r="AM216" s="375">
        <f>Financials!AL253</f>
        <v>-7</v>
      </c>
      <c r="AN216" s="1427">
        <f>Financials!AM253</f>
        <v>-7</v>
      </c>
      <c r="AO216" s="375"/>
      <c r="AP216" s="1426">
        <f>Financials!AO253</f>
        <v>-7</v>
      </c>
      <c r="AQ216" s="375">
        <f>Financials!AP253</f>
        <v>-7</v>
      </c>
      <c r="AR216" s="375">
        <f>Financials!AQ253</f>
        <v>-8</v>
      </c>
      <c r="AS216" s="1427">
        <f>Financials!AR253</f>
        <v>-7</v>
      </c>
      <c r="AT216" s="369"/>
      <c r="AU216" s="1426">
        <f>Financials!AT253</f>
        <v>-7</v>
      </c>
      <c r="AV216" s="375">
        <f>Financials!AU253</f>
        <v>-7</v>
      </c>
      <c r="AW216" s="375">
        <f>Financials!AV253</f>
        <v>-8</v>
      </c>
      <c r="AX216" s="1427">
        <f>Financials!AW253</f>
        <v>-7</v>
      </c>
      <c r="AY216" s="369"/>
      <c r="AZ216" s="1426">
        <f>Financials!AY253</f>
        <v>-7</v>
      </c>
      <c r="BA216" s="375">
        <f>Financials!AZ253</f>
        <v>-7</v>
      </c>
      <c r="BB216" s="375">
        <f>Financials!BA253</f>
        <v>-8</v>
      </c>
      <c r="BC216" s="1427">
        <f>Financials!BB253</f>
        <v>-7</v>
      </c>
      <c r="BD216" s="369"/>
      <c r="BE216" s="1426">
        <f>Financials!BD253</f>
        <v>-7</v>
      </c>
      <c r="BF216" s="375">
        <f>Financials!BE253</f>
        <v>-7</v>
      </c>
      <c r="BG216" s="375">
        <f>Financials!BF253</f>
        <v>-8</v>
      </c>
      <c r="BH216" s="1427">
        <f>Financials!BG253</f>
        <v>-7</v>
      </c>
      <c r="BI216" s="369"/>
      <c r="BJ216" s="1426">
        <f>Financials!BI253</f>
        <v>-7</v>
      </c>
      <c r="BK216" s="375">
        <f>Financials!BJ253</f>
        <v>-8</v>
      </c>
      <c r="BL216" s="375">
        <f>Financials!BK253</f>
        <v>-7</v>
      </c>
      <c r="BM216" s="1427">
        <f>Financials!BL253</f>
        <v>-7</v>
      </c>
      <c r="BN216" s="369"/>
      <c r="BO216" s="1426">
        <f>Financials!BN253</f>
        <v>-7</v>
      </c>
      <c r="BP216" s="375">
        <f>Financials!BO253</f>
        <v>-8</v>
      </c>
      <c r="BQ216" s="375">
        <f>Financials!BP253</f>
        <v>-7</v>
      </c>
      <c r="BR216" s="1427">
        <f>Financials!BQ253</f>
        <v>-7</v>
      </c>
      <c r="BS216" s="369"/>
      <c r="BT216" s="1426">
        <f>Financials!BS253</f>
        <v>-7</v>
      </c>
      <c r="BU216" s="375">
        <f>Financials!BT253</f>
        <v>-8</v>
      </c>
      <c r="BV216" s="375">
        <f>Financials!BU253</f>
        <v>-7</v>
      </c>
      <c r="BW216" s="1427">
        <f>Financials!BV253</f>
        <v>-9</v>
      </c>
      <c r="BX216" s="369"/>
      <c r="BY216" s="1426">
        <f>Financials!BX253</f>
        <v>-9</v>
      </c>
      <c r="BZ216" s="375">
        <f>Financials!BY253</f>
        <v>-9</v>
      </c>
      <c r="CA216" s="375">
        <f>Financials!BZ253</f>
        <v>-8</v>
      </c>
      <c r="CB216" s="1427">
        <f>Financials!CA253</f>
        <v>-9</v>
      </c>
      <c r="CC216" s="369"/>
      <c r="CD216" s="1426">
        <f>Financials!CC253</f>
        <v>-8.7497232</v>
      </c>
      <c r="CE216" s="375">
        <f>Financials!CD253</f>
        <v>-8.7497232</v>
      </c>
      <c r="CF216" s="375">
        <f>Financials!CE253</f>
        <v>-8.7497232</v>
      </c>
      <c r="CG216" s="1427">
        <f>Financials!CF253</f>
        <v>-8.7497232</v>
      </c>
      <c r="CH216" s="369"/>
      <c r="CI216" s="1426">
        <f>Financials!CH253</f>
        <v>-8.7497232</v>
      </c>
      <c r="CJ216" s="375">
        <f>Financials!CI253</f>
        <v>-8.7497232</v>
      </c>
      <c r="CK216" s="375">
        <f>Financials!CJ253</f>
        <v>-8.7497232</v>
      </c>
      <c r="CL216" s="1427">
        <f>Financials!CK253</f>
        <v>-8.7497232</v>
      </c>
      <c r="CM216" s="369"/>
      <c r="CN216" s="1426">
        <f>Financials!CM253</f>
        <v>-8.7497232</v>
      </c>
      <c r="CO216" s="375">
        <f>Financials!CN253</f>
        <v>-8.7497232</v>
      </c>
      <c r="CP216" s="375">
        <f>Financials!CO253</f>
        <v>-8.7497232</v>
      </c>
      <c r="CQ216" s="1427">
        <f>Financials!CP253</f>
        <v>-8.7497232</v>
      </c>
      <c r="CR216" s="1423"/>
    </row>
    <row r="217" spans="1:96" ht="13.5" customHeight="1">
      <c r="A217" s="369"/>
      <c r="B217" s="374" t="s">
        <v>140</v>
      </c>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c r="AA217" s="375"/>
      <c r="AB217" s="375"/>
      <c r="AC217" s="375"/>
      <c r="AD217" s="375"/>
      <c r="AE217" s="375"/>
      <c r="AF217" s="375"/>
      <c r="AG217" s="375"/>
      <c r="AH217" s="369"/>
      <c r="AI217" s="369"/>
      <c r="AJ217" s="369"/>
      <c r="AK217" s="1426">
        <f>Financials!AJ247</f>
        <v>0</v>
      </c>
      <c r="AL217" s="375">
        <f>Financials!AK247</f>
        <v>0</v>
      </c>
      <c r="AM217" s="375">
        <f>Financials!AL247</f>
        <v>0</v>
      </c>
      <c r="AN217" s="1427">
        <f>Financials!AM247</f>
        <v>0</v>
      </c>
      <c r="AO217" s="375"/>
      <c r="AP217" s="1426">
        <f>Financials!AO247</f>
        <v>0</v>
      </c>
      <c r="AQ217" s="375">
        <f>Financials!AP247</f>
        <v>0</v>
      </c>
      <c r="AR217" s="375">
        <f>Financials!AQ247</f>
        <v>0</v>
      </c>
      <c r="AS217" s="1427">
        <f>Financials!AR247</f>
        <v>0</v>
      </c>
      <c r="AT217" s="375">
        <f>Financials!AS247</f>
        <v>0</v>
      </c>
      <c r="AU217" s="1426">
        <f>Financials!AT247</f>
        <v>0</v>
      </c>
      <c r="AV217" s="375">
        <f>Financials!AU247</f>
        <v>0</v>
      </c>
      <c r="AW217" s="375">
        <f>Financials!AV247</f>
        <v>0</v>
      </c>
      <c r="AX217" s="1427">
        <f>Financials!AW247</f>
        <v>0</v>
      </c>
      <c r="AY217" s="375">
        <f>Financials!AX247</f>
        <v>0</v>
      </c>
      <c r="AZ217" s="1426">
        <f>Financials!AY247</f>
        <v>0</v>
      </c>
      <c r="BA217" s="375">
        <f>Financials!AZ247</f>
        <v>0</v>
      </c>
      <c r="BB217" s="375">
        <f>Financials!BA247</f>
        <v>0</v>
      </c>
      <c r="BC217" s="1427">
        <f>Financials!BB247</f>
        <v>0</v>
      </c>
      <c r="BD217" s="375">
        <f>Financials!BC247</f>
        <v>0</v>
      </c>
      <c r="BE217" s="1426">
        <f>Financials!BD247</f>
        <v>0</v>
      </c>
      <c r="BF217" s="375">
        <f>Financials!BE247</f>
        <v>0</v>
      </c>
      <c r="BG217" s="375">
        <f>Financials!BF247</f>
        <v>0</v>
      </c>
      <c r="BH217" s="1427">
        <f>Financials!BG247</f>
        <v>0</v>
      </c>
      <c r="BI217" s="375">
        <f>Financials!BH247</f>
        <v>0</v>
      </c>
      <c r="BJ217" s="1426">
        <f>Financials!BI247</f>
        <v>0</v>
      </c>
      <c r="BK217" s="375">
        <f>Financials!BJ247</f>
        <v>0</v>
      </c>
      <c r="BL217" s="375">
        <f>Financials!BK247</f>
        <v>0</v>
      </c>
      <c r="BM217" s="1427">
        <f>Financials!BL247</f>
        <v>0</v>
      </c>
      <c r="BN217" s="375">
        <f>Financials!BM247</f>
        <v>0</v>
      </c>
      <c r="BO217" s="1426">
        <f>Financials!BN247</f>
        <v>0</v>
      </c>
      <c r="BP217" s="375">
        <f>Financials!BO247</f>
        <v>0</v>
      </c>
      <c r="BQ217" s="375">
        <f>Financials!BP247</f>
        <v>0</v>
      </c>
      <c r="BR217" s="1427">
        <f>Financials!BQ247</f>
        <v>0</v>
      </c>
      <c r="BS217" s="375">
        <f>Financials!BR247</f>
        <v>0</v>
      </c>
      <c r="BT217" s="1426">
        <f>Financials!BS247</f>
        <v>0</v>
      </c>
      <c r="BU217" s="375">
        <f>Financials!BT247</f>
        <v>0</v>
      </c>
      <c r="BV217" s="375">
        <f>Financials!BU247</f>
        <v>0</v>
      </c>
      <c r="BW217" s="1427">
        <f>Financials!BV247</f>
        <v>0</v>
      </c>
      <c r="BX217" s="375">
        <f>Financials!BW247</f>
        <v>0</v>
      </c>
      <c r="BY217" s="1426">
        <f>Financials!BX247</f>
        <v>0</v>
      </c>
      <c r="BZ217" s="375">
        <f>Financials!BY247</f>
        <v>0</v>
      </c>
      <c r="CA217" s="375">
        <f>Financials!BZ247</f>
        <v>0</v>
      </c>
      <c r="CB217" s="1427">
        <f>Financials!CA247</f>
        <v>0</v>
      </c>
      <c r="CC217" s="375">
        <f>Financials!CB247</f>
        <v>0</v>
      </c>
      <c r="CD217" s="1426">
        <f>Financials!CC247</f>
        <v>0</v>
      </c>
      <c r="CE217" s="375">
        <f>Financials!CD247</f>
        <v>0</v>
      </c>
      <c r="CF217" s="375">
        <f>Financials!CE247</f>
        <v>0</v>
      </c>
      <c r="CG217" s="1427">
        <f>Financials!CF247</f>
        <v>0</v>
      </c>
      <c r="CH217" s="375">
        <f>Financials!CG247</f>
        <v>0</v>
      </c>
      <c r="CI217" s="1426">
        <f>Financials!CH247</f>
        <v>0</v>
      </c>
      <c r="CJ217" s="375">
        <f>Financials!CI247</f>
        <v>0</v>
      </c>
      <c r="CK217" s="375">
        <f>Financials!CJ247</f>
        <v>0</v>
      </c>
      <c r="CL217" s="1427">
        <f>Financials!CK247</f>
        <v>0</v>
      </c>
      <c r="CM217" s="375">
        <f>Financials!CL247</f>
        <v>0</v>
      </c>
      <c r="CN217" s="1426">
        <f>Financials!CM247</f>
        <v>0</v>
      </c>
      <c r="CO217" s="375">
        <f>Financials!CN247</f>
        <v>0</v>
      </c>
      <c r="CP217" s="375">
        <f>Financials!CO247</f>
        <v>0</v>
      </c>
      <c r="CQ217" s="1427">
        <f>Financials!CP247</f>
        <v>0</v>
      </c>
      <c r="CR217" s="1427">
        <f>Financials!CQ247</f>
        <v>0</v>
      </c>
    </row>
    <row r="218" spans="1:96" ht="13.5" customHeight="1">
      <c r="A218" s="369"/>
      <c r="B218" s="374" t="s">
        <v>699</v>
      </c>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c r="AA218" s="375"/>
      <c r="AB218" s="375"/>
      <c r="AC218" s="375"/>
      <c r="AD218" s="375"/>
      <c r="AE218" s="375"/>
      <c r="AF218" s="375"/>
      <c r="AG218" s="375"/>
      <c r="AH218" s="369"/>
      <c r="AI218" s="369"/>
      <c r="AJ218" s="369"/>
      <c r="AK218" s="1426">
        <f>Financials!AJ246+Financials!AJ248+Financials!AJ251+Financials!AJ252+Financials!AJ254+Financials!AJ255+Financials!AJ249+Financials!AJ250</f>
        <v>33</v>
      </c>
      <c r="AL218" s="375">
        <f>Financials!AK246+Financials!AK248+Financials!AK251+Financials!AK252+Financials!AK254+Financials!AK255+Financials!AK249+Financials!AK250</f>
        <v>895</v>
      </c>
      <c r="AM218" s="375">
        <f>Financials!AL246+Financials!AL248+Financials!AL251+Financials!AL252+Financials!AL254+Financials!AL255+Financials!AL249+Financials!AL250</f>
        <v>34</v>
      </c>
      <c r="AN218" s="1427">
        <f>Financials!AM246+Financials!AM248+Financials!AM251+Financials!AM252+Financials!AM254+Financials!AM255+Financials!AM249+Financials!AM250</f>
        <v>32</v>
      </c>
      <c r="AO218" s="375"/>
      <c r="AP218" s="1426">
        <f>Financials!AO246+Financials!AO248+Financials!AO251+Financials!AO252+Financials!AO254+Financials!AO255+Financials!AO249+Financials!AO250</f>
        <v>309</v>
      </c>
      <c r="AQ218" s="375">
        <f>Financials!AP246+Financials!AP248+Financials!AP251+Financials!AP252+Financials!AP254+Financials!AP255+Financials!AP249+Financials!AP250</f>
        <v>-11</v>
      </c>
      <c r="AR218" s="375">
        <f>Financials!AQ246+Financials!AQ248+Financials!AQ251+Financials!AQ252+Financials!AQ254+Financials!AQ255+Financials!AQ249+Financials!AQ250</f>
        <v>-3</v>
      </c>
      <c r="AS218" s="1427">
        <f>Financials!AR246+Financials!AR248+Financials!AR251+Financials!AR252+Financials!AR254+Financials!AR255+Financials!AR249+Financials!AR250</f>
        <v>69</v>
      </c>
      <c r="AT218" s="369"/>
      <c r="AU218" s="1426">
        <f>Financials!AT246+Financials!AT248+Financials!AT251+Financials!AT252+Financials!AT254+Financials!AT255+Financials!AT249+Financials!AT250</f>
        <v>0</v>
      </c>
      <c r="AV218" s="375">
        <f>Financials!AU246+Financials!AU248+Financials!AU251+Financials!AU252+Financials!AU254+Financials!AU255+Financials!AU249+Financials!AU250</f>
        <v>163</v>
      </c>
      <c r="AW218" s="375">
        <f>Financials!AV246+Financials!AV248+Financials!AV251+Financials!AV252+Financials!AV254+Financials!AV255+Financials!AV249+Financials!AV250</f>
        <v>52</v>
      </c>
      <c r="AX218" s="1427">
        <f>Financials!AW246+Financials!AW248+Financials!AW251+Financials!AW252+Financials!AW254+Financials!AW255+Financials!AW249+Financials!AW250</f>
        <v>291</v>
      </c>
      <c r="AY218" s="369"/>
      <c r="AZ218" s="1426">
        <f>Financials!AY246+Financials!AY248+Financials!AY251+Financials!AY252+Financials!AY254+Financials!AY255+AZ14+AZ15</f>
        <v>0</v>
      </c>
      <c r="BA218" s="375">
        <f>Financials!AZ246+Financials!AZ248+Financials!AZ251+Financials!AZ252+Financials!AZ254+Financials!AZ255+BA14+BA15</f>
        <v>0</v>
      </c>
      <c r="BB218" s="375">
        <f>Financials!BA246+Financials!BA248+Financials!BA251+Financials!BA252+Financials!BA254+Financials!BA255+BB14+BB15</f>
        <v>-380</v>
      </c>
      <c r="BC218" s="1427">
        <f>Financials!BB246+Financials!BB248+Financials!BB251+Financials!BB252+Financials!BB254+Financials!BB255+BC14+BC15</f>
        <v>0</v>
      </c>
      <c r="BD218" s="369"/>
      <c r="BE218" s="1426">
        <f>Financials!BD246+Financials!BD248+Financials!BD251+Financials!BD252+Financials!BD254+Financials!BD255+BE14+BE15</f>
        <v>0</v>
      </c>
      <c r="BF218" s="375">
        <f>Financials!BE246+Financials!BE248+Financials!BE251+Financials!BE252+Financials!BE254+Financials!BE255+BF14+BF15</f>
        <v>0</v>
      </c>
      <c r="BG218" s="375">
        <f>Financials!BF246+Financials!BF248+Financials!BF251+Financials!BF252+Financials!BF254+Financials!BF255+BG14+BG15</f>
        <v>0</v>
      </c>
      <c r="BH218" s="1427">
        <f>Financials!BG246+Financials!BG248+Financials!BG251+Financials!BG252+Financials!BG254+Financials!BG255+BH14+BH15</f>
        <v>0</v>
      </c>
      <c r="BI218" s="369"/>
      <c r="BJ218" s="1426">
        <f>Financials!BI246+Financials!BI248+Financials!BI251+Financials!BI252+Financials!BI254+Financials!BI255+BJ14+BJ15</f>
        <v>0</v>
      </c>
      <c r="BK218" s="375">
        <f>Financials!BJ246+Financials!BJ248+Financials!BJ251+Financials!BJ252+Financials!BJ254+Financials!BJ255+BK14+BK15</f>
        <v>1</v>
      </c>
      <c r="BL218" s="375">
        <f>Financials!BK246+Financials!BK248+Financials!BK251+Financials!BK252+Financials!BK254+Financials!BK255+BL14+BL15</f>
        <v>9</v>
      </c>
      <c r="BM218" s="1427">
        <f>Financials!BL246+Financials!BL248+Financials!BL251+Financials!BL252+Financials!BL254+Financials!BL255+BM14+BM15</f>
        <v>3</v>
      </c>
      <c r="BN218" s="369"/>
      <c r="BO218" s="1426">
        <f>Financials!BN246+Financials!BN248+Financials!BN251+Financials!BN252+Financials!BN254+Financials!BN255+BO14+BO15</f>
        <v>0</v>
      </c>
      <c r="BP218" s="375">
        <f>Financials!BO246+Financials!BO248+Financials!BO251+Financials!BO252+Financials!BO254+Financials!BO255+BP14+BP15</f>
        <v>1</v>
      </c>
      <c r="BQ218" s="375">
        <f>Financials!BP246+Financials!BP248+Financials!BP251+Financials!BP252+Financials!BP254+Financials!BP255+BQ14+BQ15</f>
        <v>0</v>
      </c>
      <c r="BR218" s="1427">
        <f>Financials!BQ246+Financials!BQ248+Financials!BQ251+Financials!BQ252+Financials!BQ254+Financials!BQ255+BR14+BR15</f>
        <v>0</v>
      </c>
      <c r="BS218" s="369"/>
      <c r="BT218" s="1426">
        <f>Financials!BS246+Financials!BS248+Financials!BS251+Financials!BS252+Financials!BS254+Financials!BS255+BT14+BT15</f>
        <v>0</v>
      </c>
      <c r="BU218" s="375">
        <f>Financials!BT246+Financials!BT248+Financials!BT251+Financials!BT252+Financials!BT254+Financials!BT255+BU14+BU15</f>
        <v>0</v>
      </c>
      <c r="BV218" s="375">
        <f>Financials!BU246+Financials!BU248+Financials!BU251+Financials!BU252+Financials!BU254+Financials!BU255+BV14+BV15</f>
        <v>471</v>
      </c>
      <c r="BW218" s="1427">
        <f>Financials!BV246+Financials!BV248+Financials!BV251+Financials!BV252+Financials!BV254+Financials!BV255+BW14+BW15</f>
        <v>31</v>
      </c>
      <c r="BX218" s="369"/>
      <c r="BY218" s="1426">
        <f>Financials!BX246+Financials!BX248+Financials!BX251+Financials!BX252+Financials!BX254+Financials!BX255+BY14+BY15</f>
        <v>5</v>
      </c>
      <c r="BZ218" s="375">
        <f>Financials!BY246+Financials!BY248+Financials!BY251+Financials!BY252+Financials!BY254+Financials!BY255+BZ14+BZ15</f>
        <v>-2</v>
      </c>
      <c r="CA218" s="375">
        <f>Financials!BZ246+Financials!BZ248+Financials!BZ251+Financials!BZ252+Financials!BZ254+Financials!BZ255+CA14+CA15</f>
        <v>1</v>
      </c>
      <c r="CB218" s="1427">
        <f>Financials!CA246+Financials!CA248+Financials!CA251+Financials!CA252+Financials!CA254+Financials!CA255+CB14+CB15</f>
        <v>6</v>
      </c>
      <c r="CC218" s="369"/>
      <c r="CD218" s="1426">
        <f>Financials!CC246+Financials!CC248+Financials!CC251+Financials!CC252+Financials!CC254+Financials!CC255+CD14+CD15</f>
        <v>-1.7053025658242404E-13</v>
      </c>
      <c r="CE218" s="375">
        <f>Financials!CD246+Financials!CD248+Financials!CD251+Financials!CD252+Financials!CD254+Financials!CD255+CE14+CE15</f>
        <v>0</v>
      </c>
      <c r="CF218" s="375">
        <f>Financials!CE246+Financials!CE248+Financials!CE251+Financials!CE252+Financials!CE254+Financials!CE255+CF14+CF15</f>
        <v>0</v>
      </c>
      <c r="CG218" s="1427">
        <f>Financials!CF246+Financials!CF248+Financials!CF251+Financials!CF252+Financials!CF254+Financials!CF255+CG14+CG15</f>
        <v>0</v>
      </c>
      <c r="CH218" s="369"/>
      <c r="CI218" s="1426">
        <f>Financials!CH246+Financials!CH248+Financials!CH251+Financials!CH252+Financials!CH254+Financials!CH255+CI14+CI15</f>
        <v>0</v>
      </c>
      <c r="CJ218" s="375">
        <f>Financials!CI246+Financials!CI248+Financials!CI251+Financials!CI252+Financials!CI254+Financials!CI255+CJ14+CJ15</f>
        <v>0</v>
      </c>
      <c r="CK218" s="375">
        <f>Financials!CJ246+Financials!CJ248+Financials!CJ251+Financials!CJ252+Financials!CJ254+Financials!CJ255+CK14+CK15</f>
        <v>0</v>
      </c>
      <c r="CL218" s="1427">
        <f>Financials!CK246+Financials!CK248+Financials!CK251+Financials!CK252+Financials!CK254+Financials!CK255+CL14+CL15</f>
        <v>0</v>
      </c>
      <c r="CM218" s="369"/>
      <c r="CN218" s="1426">
        <f>Financials!CM246+Financials!CM248+Financials!CM251+Financials!CM252+Financials!CM254+Financials!CM255+CN14+CN15</f>
        <v>0</v>
      </c>
      <c r="CO218" s="375">
        <f>Financials!CN246+Financials!CN248+Financials!CN251+Financials!CN252+Financials!CN254+Financials!CN255+CO14+CO15</f>
        <v>0</v>
      </c>
      <c r="CP218" s="375">
        <f>Financials!CO246+Financials!CO248+Financials!CO251+Financials!CO252+Financials!CO254+Financials!CO255+CP14+CP15</f>
        <v>0</v>
      </c>
      <c r="CQ218" s="1427">
        <f>Financials!CP246+Financials!CP248+Financials!CP251+Financials!CP252+Financials!CP254+Financials!CP255+CQ14+CQ15</f>
        <v>0</v>
      </c>
      <c r="CR218" s="1423"/>
    </row>
    <row r="219" spans="1:96" ht="13.5" customHeight="1">
      <c r="A219" s="369"/>
      <c r="B219" s="372" t="s">
        <v>141</v>
      </c>
      <c r="C219" s="373"/>
      <c r="D219" s="373"/>
      <c r="E219" s="373"/>
      <c r="F219" s="373"/>
      <c r="G219" s="373"/>
      <c r="H219" s="373"/>
      <c r="I219" s="373"/>
      <c r="J219" s="373"/>
      <c r="K219" s="373"/>
      <c r="L219" s="373"/>
      <c r="M219" s="373"/>
      <c r="N219" s="373"/>
      <c r="O219" s="373"/>
      <c r="P219" s="373"/>
      <c r="Q219" s="373"/>
      <c r="R219" s="373"/>
      <c r="S219" s="373"/>
      <c r="T219" s="373"/>
      <c r="U219" s="373"/>
      <c r="V219" s="373"/>
      <c r="W219" s="373"/>
      <c r="X219" s="373"/>
      <c r="Y219" s="373"/>
      <c r="Z219" s="373"/>
      <c r="AA219" s="373"/>
      <c r="AB219" s="373"/>
      <c r="AC219" s="373"/>
      <c r="AD219" s="373"/>
      <c r="AE219" s="373"/>
      <c r="AF219" s="373"/>
      <c r="AG219" s="373"/>
      <c r="AH219" s="369"/>
      <c r="AI219" s="369"/>
      <c r="AJ219" s="369"/>
      <c r="AK219" s="1424">
        <f>SUM(AK216:AK218)</f>
        <v>-2</v>
      </c>
      <c r="AL219" s="373">
        <f>SUM(AL216:AL218)</f>
        <v>888</v>
      </c>
      <c r="AM219" s="373">
        <f>SUM(AM216:AM218)</f>
        <v>27</v>
      </c>
      <c r="AN219" s="1425">
        <f>SUM(AN216:AN218)</f>
        <v>25</v>
      </c>
      <c r="AO219" s="373"/>
      <c r="AP219" s="1424">
        <f>SUM(AP216:AP218)</f>
        <v>302</v>
      </c>
      <c r="AQ219" s="373">
        <f>SUM(AQ216:AQ218)</f>
        <v>-18</v>
      </c>
      <c r="AR219" s="373">
        <f>SUM(AR216:AR218)</f>
        <v>-11</v>
      </c>
      <c r="AS219" s="1425">
        <f>SUM(AS216:AS218)</f>
        <v>62</v>
      </c>
      <c r="AT219" s="369"/>
      <c r="AU219" s="1424">
        <f>SUM(AU216:AU218)</f>
        <v>-7</v>
      </c>
      <c r="AV219" s="373">
        <f>SUM(AV216:AV218)</f>
        <v>156</v>
      </c>
      <c r="AW219" s="373">
        <f>SUM(AW216:AW218)</f>
        <v>44</v>
      </c>
      <c r="AX219" s="1425">
        <f>SUM(AX216:AX218)</f>
        <v>284</v>
      </c>
      <c r="AY219" s="369"/>
      <c r="AZ219" s="1424">
        <f>SUM(AZ216:AZ218)</f>
        <v>-7</v>
      </c>
      <c r="BA219" s="373">
        <f>SUM(BA216:BA218)</f>
        <v>-7</v>
      </c>
      <c r="BB219" s="373">
        <f>SUM(BB216:BB218)</f>
        <v>-388</v>
      </c>
      <c r="BC219" s="1425">
        <f>SUM(BC216:BC218)</f>
        <v>-7</v>
      </c>
      <c r="BD219" s="369"/>
      <c r="BE219" s="1424">
        <f>SUM(BE216:BE218)</f>
        <v>-7</v>
      </c>
      <c r="BF219" s="373">
        <f>SUM(BF216:BF218)</f>
        <v>-7</v>
      </c>
      <c r="BG219" s="373">
        <f>SUM(BG216:BG218)</f>
        <v>-8</v>
      </c>
      <c r="BH219" s="1425">
        <f>SUM(BH216:BH218)</f>
        <v>-7</v>
      </c>
      <c r="BI219" s="369"/>
      <c r="BJ219" s="1424">
        <f>SUM(BJ216:BJ218)</f>
        <v>-7</v>
      </c>
      <c r="BK219" s="373">
        <f>SUM(BK216:BK218)</f>
        <v>-7</v>
      </c>
      <c r="BL219" s="373">
        <f>SUM(BL216:BL218)</f>
        <v>2</v>
      </c>
      <c r="BM219" s="1425">
        <f>SUM(BM216:BM218)</f>
        <v>-4</v>
      </c>
      <c r="BN219" s="369"/>
      <c r="BO219" s="1424">
        <f>SUM(BO216:BO218)</f>
        <v>-7</v>
      </c>
      <c r="BP219" s="373">
        <f>SUM(BP216:BP218)</f>
        <v>-7</v>
      </c>
      <c r="BQ219" s="373">
        <f>SUM(BQ216:BQ218)</f>
        <v>-7</v>
      </c>
      <c r="BR219" s="1425">
        <f>SUM(BR216:BR218)</f>
        <v>-7</v>
      </c>
      <c r="BS219" s="369"/>
      <c r="BT219" s="1424">
        <f>SUM(BT216:BT218)</f>
        <v>-7</v>
      </c>
      <c r="BU219" s="373">
        <f>SUM(BU216:BU218)</f>
        <v>-8</v>
      </c>
      <c r="BV219" s="373">
        <f>SUM(BV216:BV218)</f>
        <v>464</v>
      </c>
      <c r="BW219" s="1425">
        <f>SUM(BW216:BW218)</f>
        <v>22</v>
      </c>
      <c r="BX219" s="369"/>
      <c r="BY219" s="1424">
        <f>SUM(BY216:BY218)</f>
        <v>-4</v>
      </c>
      <c r="BZ219" s="373">
        <f>SUM(BZ216:BZ218)</f>
        <v>-11</v>
      </c>
      <c r="CA219" s="373">
        <f>SUM(CA216:CA218)</f>
        <v>-7</v>
      </c>
      <c r="CB219" s="1425">
        <f>SUM(CB216:CB218)</f>
        <v>-3</v>
      </c>
      <c r="CC219" s="369"/>
      <c r="CD219" s="1424">
        <f>SUM(CD216:CD218)</f>
        <v>-8.7497232000001706</v>
      </c>
      <c r="CE219" s="373">
        <f>SUM(CE216:CE218)</f>
        <v>-8.7497232</v>
      </c>
      <c r="CF219" s="373">
        <f>SUM(CF216:CF218)</f>
        <v>-8.7497232</v>
      </c>
      <c r="CG219" s="1425">
        <f>SUM(CG216:CG218)</f>
        <v>-8.7497232</v>
      </c>
      <c r="CH219" s="369"/>
      <c r="CI219" s="1424">
        <f>SUM(CI216:CI218)</f>
        <v>-8.7497232</v>
      </c>
      <c r="CJ219" s="373">
        <f>SUM(CJ216:CJ218)</f>
        <v>-8.7497232</v>
      </c>
      <c r="CK219" s="373">
        <f>SUM(CK216:CK218)</f>
        <v>-8.7497232</v>
      </c>
      <c r="CL219" s="1425">
        <f>SUM(CL216:CL218)</f>
        <v>-8.7497232</v>
      </c>
      <c r="CM219" s="369"/>
      <c r="CN219" s="1424">
        <f>SUM(CN216:CN218)</f>
        <v>-8.7497232</v>
      </c>
      <c r="CO219" s="373">
        <f>SUM(CO216:CO218)</f>
        <v>-8.7497232</v>
      </c>
      <c r="CP219" s="373">
        <f>SUM(CP216:CP218)</f>
        <v>-8.7497232</v>
      </c>
      <c r="CQ219" s="1425">
        <f>SUM(CQ216:CQ218)</f>
        <v>-8.7497232</v>
      </c>
      <c r="CR219" s="1423"/>
    </row>
    <row r="220" spans="1:96" ht="6.2" customHeight="1">
      <c r="A220" s="369"/>
      <c r="B220" s="378"/>
      <c r="C220" s="375"/>
      <c r="D220" s="375"/>
      <c r="E220" s="375"/>
      <c r="F220" s="375"/>
      <c r="G220" s="273"/>
      <c r="H220" s="273"/>
      <c r="I220" s="273"/>
      <c r="J220" s="273"/>
      <c r="K220" s="273"/>
      <c r="L220" s="273"/>
      <c r="M220" s="273"/>
      <c r="N220" s="273"/>
      <c r="O220" s="273"/>
      <c r="P220" s="273"/>
      <c r="Q220" s="273"/>
      <c r="R220" s="273"/>
      <c r="S220" s="273"/>
      <c r="T220" s="273"/>
      <c r="U220" s="273"/>
      <c r="V220" s="273"/>
      <c r="W220" s="273"/>
      <c r="X220" s="273"/>
      <c r="Y220" s="273"/>
      <c r="Z220" s="273"/>
      <c r="AA220" s="273"/>
      <c r="AB220" s="273"/>
      <c r="AC220" s="273"/>
      <c r="AD220" s="273"/>
      <c r="AE220" s="273"/>
      <c r="AF220" s="273"/>
      <c r="AG220" s="379"/>
      <c r="AH220" s="369"/>
      <c r="AI220" s="369"/>
      <c r="AJ220" s="369"/>
      <c r="AK220" s="1426"/>
      <c r="AL220" s="273"/>
      <c r="AM220" s="273"/>
      <c r="AN220" s="1246"/>
      <c r="AO220" s="273"/>
      <c r="AP220" s="1426"/>
      <c r="AQ220" s="273"/>
      <c r="AR220" s="273"/>
      <c r="AS220" s="1246"/>
      <c r="AT220" s="369"/>
      <c r="AU220" s="1426"/>
      <c r="AV220" s="273"/>
      <c r="AW220" s="273"/>
      <c r="AX220" s="1246"/>
      <c r="AY220" s="369"/>
      <c r="AZ220" s="1426"/>
      <c r="BA220" s="273"/>
      <c r="BB220" s="273"/>
      <c r="BC220" s="1246"/>
      <c r="BD220" s="369"/>
      <c r="BE220" s="1426"/>
      <c r="BF220" s="273"/>
      <c r="BG220" s="273"/>
      <c r="BH220" s="1246"/>
      <c r="BI220" s="369"/>
      <c r="BJ220" s="1426"/>
      <c r="BK220" s="273"/>
      <c r="BL220" s="273"/>
      <c r="BM220" s="1246"/>
      <c r="BN220" s="369"/>
      <c r="BO220" s="1426"/>
      <c r="BP220" s="273"/>
      <c r="BQ220" s="273"/>
      <c r="BR220" s="1246"/>
      <c r="BS220" s="369"/>
      <c r="BT220" s="1426"/>
      <c r="BU220" s="273"/>
      <c r="BV220" s="273"/>
      <c r="BW220" s="1246"/>
      <c r="BX220" s="369"/>
      <c r="BY220" s="1426"/>
      <c r="BZ220" s="273"/>
      <c r="CA220" s="273"/>
      <c r="CB220" s="1246"/>
      <c r="CC220" s="369"/>
      <c r="CD220" s="1426"/>
      <c r="CE220" s="273"/>
      <c r="CF220" s="273"/>
      <c r="CG220" s="1246"/>
      <c r="CH220" s="369"/>
      <c r="CI220" s="1426"/>
      <c r="CJ220" s="273"/>
      <c r="CK220" s="273"/>
      <c r="CL220" s="1246"/>
      <c r="CM220" s="369"/>
      <c r="CN220" s="1426"/>
      <c r="CO220" s="273"/>
      <c r="CP220" s="273"/>
      <c r="CQ220" s="1246"/>
      <c r="CR220" s="1423"/>
    </row>
    <row r="221" spans="1:96" ht="13.5" customHeight="1">
      <c r="A221" s="369"/>
      <c r="B221" s="372" t="s">
        <v>142</v>
      </c>
      <c r="C221" s="373"/>
      <c r="D221" s="373"/>
      <c r="E221" s="373"/>
      <c r="F221" s="373"/>
      <c r="G221" s="373"/>
      <c r="H221" s="373"/>
      <c r="I221" s="373"/>
      <c r="J221" s="373"/>
      <c r="K221" s="373"/>
      <c r="L221" s="373"/>
      <c r="M221" s="373"/>
      <c r="N221" s="373"/>
      <c r="O221" s="373"/>
      <c r="P221" s="373"/>
      <c r="Q221" s="373"/>
      <c r="R221" s="373"/>
      <c r="S221" s="373"/>
      <c r="T221" s="373"/>
      <c r="U221" s="373"/>
      <c r="V221" s="373"/>
      <c r="W221" s="373"/>
      <c r="X221" s="373"/>
      <c r="Y221" s="373"/>
      <c r="Z221" s="373"/>
      <c r="AA221" s="373"/>
      <c r="AB221" s="373"/>
      <c r="AC221" s="373"/>
      <c r="AD221" s="373"/>
      <c r="AE221" s="373"/>
      <c r="AF221" s="373"/>
      <c r="AG221" s="373"/>
      <c r="AH221" s="369"/>
      <c r="AI221" s="369"/>
      <c r="AJ221" s="369"/>
      <c r="AK221" s="1424">
        <f>AK213+AK219</f>
        <v>847</v>
      </c>
      <c r="AL221" s="373">
        <f>AL213+AL219</f>
        <v>1640</v>
      </c>
      <c r="AM221" s="373">
        <f>AM213+AM219</f>
        <v>1239</v>
      </c>
      <c r="AN221" s="1425">
        <f>AN213+AN219</f>
        <v>925</v>
      </c>
      <c r="AO221" s="373"/>
      <c r="AP221" s="1424">
        <f>AP213+AP219</f>
        <v>1097</v>
      </c>
      <c r="AQ221" s="373">
        <f>AQ213+AQ219</f>
        <v>658</v>
      </c>
      <c r="AR221" s="373">
        <f>AR213+AR219</f>
        <v>333</v>
      </c>
      <c r="AS221" s="1425">
        <f>AS213+AS219</f>
        <v>279</v>
      </c>
      <c r="AT221" s="369"/>
      <c r="AU221" s="1424">
        <f>AU213+AU219</f>
        <v>116</v>
      </c>
      <c r="AV221" s="373">
        <f>AV213+AV219</f>
        <v>91</v>
      </c>
      <c r="AW221" s="373">
        <f>AW213+AW219</f>
        <v>-25</v>
      </c>
      <c r="AX221" s="1425">
        <f>AX213+AX219</f>
        <v>112</v>
      </c>
      <c r="AY221" s="369"/>
      <c r="AZ221" s="1424">
        <f>AZ213+AZ219</f>
        <v>571</v>
      </c>
      <c r="BA221" s="373">
        <f>BA213+BA219</f>
        <v>681</v>
      </c>
      <c r="BB221" s="373">
        <f>BB213+BB219</f>
        <v>-137</v>
      </c>
      <c r="BC221" s="1425">
        <f>BC213+BC219</f>
        <v>370</v>
      </c>
      <c r="BD221" s="369"/>
      <c r="BE221" s="1424">
        <f>BE213+BE219</f>
        <v>504</v>
      </c>
      <c r="BF221" s="373">
        <f>BF213+BF219</f>
        <v>565</v>
      </c>
      <c r="BG221" s="373">
        <f>BG213+BG219</f>
        <v>491</v>
      </c>
      <c r="BH221" s="1425">
        <f>BH213+BH219</f>
        <v>399</v>
      </c>
      <c r="BI221" s="369"/>
      <c r="BJ221" s="1424">
        <f>BJ213+BJ219</f>
        <v>901</v>
      </c>
      <c r="BK221" s="373">
        <f>BK213+BK219</f>
        <v>1594</v>
      </c>
      <c r="BL221" s="373">
        <f>BL213+BL219</f>
        <v>1080</v>
      </c>
      <c r="BM221" s="1425">
        <f>BM213+BM219</f>
        <v>1166</v>
      </c>
      <c r="BN221" s="369"/>
      <c r="BO221" s="1424">
        <f>BO213+BO219</f>
        <v>1112</v>
      </c>
      <c r="BP221" s="373">
        <f>BP213+BP219</f>
        <v>1014</v>
      </c>
      <c r="BQ221" s="373">
        <f>BQ213+BQ219</f>
        <v>965</v>
      </c>
      <c r="BR221" s="1425">
        <f>BR213+BR219</f>
        <v>925</v>
      </c>
      <c r="BS221" s="369"/>
      <c r="BT221" s="1424">
        <f>BT213+BT219</f>
        <v>509</v>
      </c>
      <c r="BU221" s="373">
        <f>BU213+BU219</f>
        <v>615</v>
      </c>
      <c r="BV221" s="373">
        <f>BV213+BV219</f>
        <v>1300</v>
      </c>
      <c r="BW221" s="1425">
        <f>BW213+BW219</f>
        <v>1381</v>
      </c>
      <c r="BX221" s="369"/>
      <c r="BY221" s="1424">
        <f>BY213+BY219</f>
        <v>1125</v>
      </c>
      <c r="BZ221" s="373">
        <f>BZ213+BZ219</f>
        <v>1421</v>
      </c>
      <c r="CA221" s="373">
        <f>CA213+CA219</f>
        <v>1546</v>
      </c>
      <c r="CB221" s="1425">
        <f>CB213+CB219</f>
        <v>1553</v>
      </c>
      <c r="CC221" s="369"/>
      <c r="CD221" s="1424">
        <f>CD213+CD219</f>
        <v>1084.1190544180363</v>
      </c>
      <c r="CE221" s="373">
        <f>CE213+CE219</f>
        <v>1238.5773632061534</v>
      </c>
      <c r="CF221" s="373">
        <f>CF213+CF219</f>
        <v>1380.4610264687171</v>
      </c>
      <c r="CG221" s="1425">
        <f>CG213+CG219</f>
        <v>1599.935359927933</v>
      </c>
      <c r="CH221" s="369"/>
      <c r="CI221" s="1424">
        <f>CI213+CI219</f>
        <v>1927.5772709672051</v>
      </c>
      <c r="CJ221" s="373">
        <f>CJ213+CJ219</f>
        <v>1559.9625462109548</v>
      </c>
      <c r="CK221" s="373">
        <f>CK213+CK219</f>
        <v>2379.253049384613</v>
      </c>
      <c r="CL221" s="1425">
        <f>CL213+CL219</f>
        <v>1942.9895091421022</v>
      </c>
      <c r="CM221" s="369"/>
      <c r="CN221" s="1424">
        <f>CN213+CN219</f>
        <v>2619.5863531618711</v>
      </c>
      <c r="CO221" s="373">
        <f>CO213+CO219</f>
        <v>1888.7597268419017</v>
      </c>
      <c r="CP221" s="373">
        <f>CP213+CP219</f>
        <v>2913.3718796066755</v>
      </c>
      <c r="CQ221" s="1425">
        <f>CQ213+CQ219</f>
        <v>2277.0344010399399</v>
      </c>
      <c r="CR221" s="1423"/>
    </row>
    <row r="222" spans="1:96" ht="13.5" customHeight="1">
      <c r="A222" s="369"/>
      <c r="B222" s="380" t="s">
        <v>143</v>
      </c>
      <c r="C222" s="381"/>
      <c r="D222" s="382"/>
      <c r="E222" s="382"/>
      <c r="F222" s="380"/>
      <c r="G222" s="380"/>
      <c r="H222" s="380"/>
      <c r="I222" s="380"/>
      <c r="J222" s="380"/>
      <c r="K222" s="380"/>
      <c r="L222" s="380"/>
      <c r="M222" s="380"/>
      <c r="N222" s="380"/>
      <c r="O222" s="380"/>
      <c r="P222" s="380"/>
      <c r="Q222" s="380"/>
      <c r="R222" s="380"/>
      <c r="S222" s="380"/>
      <c r="T222" s="380"/>
      <c r="U222" s="380"/>
      <c r="V222" s="380"/>
      <c r="W222" s="380"/>
      <c r="X222" s="380"/>
      <c r="Y222" s="380"/>
      <c r="Z222" s="380"/>
      <c r="AA222" s="380"/>
      <c r="AB222" s="380"/>
      <c r="AC222" s="380"/>
      <c r="AD222" s="380"/>
      <c r="AE222" s="380"/>
      <c r="AF222" s="380"/>
      <c r="AG222" s="383"/>
      <c r="AH222" s="369"/>
      <c r="AI222" s="369"/>
      <c r="AJ222" s="369"/>
      <c r="AK222" s="1431">
        <f>AK221+AK194</f>
        <v>847</v>
      </c>
      <c r="AL222" s="1432">
        <f>AL221+AL194</f>
        <v>985</v>
      </c>
      <c r="AM222" s="1432">
        <f>AM221+AM194</f>
        <v>1239</v>
      </c>
      <c r="AN222" s="1433">
        <f>AN221+AN194</f>
        <v>925</v>
      </c>
      <c r="AO222" s="383"/>
      <c r="AP222" s="1431">
        <f>AP221+AP194</f>
        <v>827</v>
      </c>
      <c r="AQ222" s="1432">
        <f>AQ221+AQ194</f>
        <v>658</v>
      </c>
      <c r="AR222" s="1432">
        <f>AR221+AR194</f>
        <v>333</v>
      </c>
      <c r="AS222" s="1433">
        <f>AS221+AS194</f>
        <v>279</v>
      </c>
      <c r="AT222" s="369"/>
      <c r="AU222" s="1431">
        <f>AU221+AU181</f>
        <v>116</v>
      </c>
      <c r="AV222" s="1432">
        <f>AV221+AV181</f>
        <v>91</v>
      </c>
      <c r="AW222" s="1432">
        <f>AW221+AW181</f>
        <v>-25</v>
      </c>
      <c r="AX222" s="1433">
        <f>AX221+AX181</f>
        <v>112</v>
      </c>
      <c r="AY222" s="369"/>
      <c r="AZ222" s="1431">
        <f>AZ221+AZ181</f>
        <v>571</v>
      </c>
      <c r="BA222" s="1432">
        <f>BA221+BA181</f>
        <v>381</v>
      </c>
      <c r="BB222" s="1432">
        <f>BB221+BB181</f>
        <v>-137</v>
      </c>
      <c r="BC222" s="1433">
        <f>BC221+BC181</f>
        <v>370</v>
      </c>
      <c r="BD222" s="369"/>
      <c r="BE222" s="1431">
        <f>BE221+BE181</f>
        <v>504</v>
      </c>
      <c r="BF222" s="1432">
        <f>BF221+BF181</f>
        <v>565</v>
      </c>
      <c r="BG222" s="1432">
        <f>BG221+BG181</f>
        <v>491</v>
      </c>
      <c r="BH222" s="1433">
        <f>BH221+BH181</f>
        <v>399</v>
      </c>
      <c r="BI222" s="369"/>
      <c r="BJ222" s="1431">
        <f>BJ221+BJ181</f>
        <v>866</v>
      </c>
      <c r="BK222" s="1432">
        <f>BK221+BK181</f>
        <v>1594</v>
      </c>
      <c r="BL222" s="1432">
        <f>BL221+BL181</f>
        <v>930</v>
      </c>
      <c r="BM222" s="1433">
        <f>BM221+BM181</f>
        <v>1166</v>
      </c>
      <c r="BN222" s="369"/>
      <c r="BO222" s="1431">
        <f>BO221+BO181</f>
        <v>1112</v>
      </c>
      <c r="BP222" s="1432">
        <f>BP221+BP181</f>
        <v>1014</v>
      </c>
      <c r="BQ222" s="1432">
        <f>BQ221+BQ181</f>
        <v>965</v>
      </c>
      <c r="BR222" s="1433">
        <f>BR221+BR181</f>
        <v>925</v>
      </c>
      <c r="BS222" s="369"/>
      <c r="BT222" s="1431">
        <f>BT221+BT181</f>
        <v>509</v>
      </c>
      <c r="BU222" s="1432">
        <f>BU221+BU181</f>
        <v>-306</v>
      </c>
      <c r="BV222" s="1432">
        <f>BV221+BV181</f>
        <v>1289</v>
      </c>
      <c r="BW222" s="1433">
        <f>BW221+BW181</f>
        <v>1330</v>
      </c>
      <c r="BX222" s="369"/>
      <c r="BY222" s="1431">
        <f>BY221+BY181</f>
        <v>1125</v>
      </c>
      <c r="BZ222" s="1432">
        <f>BZ221+BZ181</f>
        <v>1313</v>
      </c>
      <c r="CA222" s="1432">
        <f>CA221+CA181</f>
        <v>2124</v>
      </c>
      <c r="CB222" s="1433">
        <f>CB221+CB181</f>
        <v>1351</v>
      </c>
      <c r="CC222" s="369"/>
      <c r="CD222" s="1431">
        <f>CD221+CD181</f>
        <v>1084.1190544180363</v>
      </c>
      <c r="CE222" s="1432">
        <f>CE221+CE181</f>
        <v>1238.5773632061534</v>
      </c>
      <c r="CF222" s="1432">
        <f>CF221+CF181</f>
        <v>1380.4610264687171</v>
      </c>
      <c r="CG222" s="1433">
        <f>CG221+CG181</f>
        <v>1599.935359927933</v>
      </c>
      <c r="CH222" s="369"/>
      <c r="CI222" s="1431">
        <f>CI221+CI181</f>
        <v>1927.5772709672051</v>
      </c>
      <c r="CJ222" s="1432">
        <f>CJ221+CJ181</f>
        <v>1559.9625462109548</v>
      </c>
      <c r="CK222" s="1432">
        <f>CK221+CK181</f>
        <v>2379.253049384613</v>
      </c>
      <c r="CL222" s="1433">
        <f>CL221+CL181</f>
        <v>1942.9895091421022</v>
      </c>
      <c r="CM222" s="369"/>
      <c r="CN222" s="1431">
        <f>CN221+CN181</f>
        <v>2619.5863531618711</v>
      </c>
      <c r="CO222" s="1432">
        <f>CO221+CO181</f>
        <v>1888.7597268419017</v>
      </c>
      <c r="CP222" s="1432">
        <f>CP221+CP181</f>
        <v>2913.3718796066755</v>
      </c>
      <c r="CQ222" s="1433">
        <f>CQ221+CQ181</f>
        <v>2277.0344010399399</v>
      </c>
      <c r="CR222" s="1423"/>
    </row>
    <row r="223" spans="1:96" ht="13.5" customHeight="1">
      <c r="AK223" s="1000"/>
      <c r="AL223" s="1001"/>
      <c r="AM223" s="1001"/>
      <c r="AN223" s="1002"/>
      <c r="AP223" s="1000"/>
      <c r="AQ223" s="1001"/>
      <c r="AR223" s="1001"/>
      <c r="AS223" s="1002"/>
      <c r="AU223" s="1000"/>
      <c r="AV223" s="1001"/>
      <c r="AW223" s="1001"/>
      <c r="AX223" s="1002"/>
      <c r="AZ223" s="1000"/>
      <c r="BA223" s="1001"/>
      <c r="BB223" s="1001"/>
      <c r="BC223" s="1002"/>
      <c r="BE223" s="1000"/>
      <c r="BF223" s="1001"/>
      <c r="BG223" s="1001"/>
      <c r="BH223" s="1002"/>
      <c r="BJ223" s="1000"/>
      <c r="BK223" s="1001"/>
      <c r="BL223" s="1001"/>
      <c r="BM223" s="1002"/>
      <c r="BO223" s="1000"/>
      <c r="BP223" s="1001"/>
      <c r="BQ223" s="1001"/>
      <c r="BR223" s="1002"/>
      <c r="BT223" s="1000"/>
      <c r="BU223" s="1001"/>
      <c r="BV223" s="1001"/>
      <c r="BW223" s="1002"/>
      <c r="BY223" s="1000"/>
      <c r="BZ223" s="1001"/>
      <c r="CA223" s="1001"/>
      <c r="CB223" s="1002"/>
      <c r="CD223" s="1000"/>
      <c r="CE223" s="1001"/>
      <c r="CF223" s="1001"/>
      <c r="CG223" s="1002"/>
      <c r="CI223" s="1000"/>
      <c r="CJ223" s="1001"/>
      <c r="CK223" s="1001"/>
      <c r="CL223" s="1002"/>
      <c r="CN223" s="1000"/>
      <c r="CO223" s="1001"/>
      <c r="CP223" s="1001"/>
      <c r="CQ223" s="1002"/>
      <c r="CR223" s="1002"/>
    </row>
  </sheetData>
  <phoneticPr fontId="27" type="noConversion"/>
  <pageMargins left="0.75" right="0.75" top="0.66" bottom="1" header="0.5" footer="0.5"/>
  <pageSetup scale="18" orientation="landscape" r:id="rId1"/>
  <headerFooter alignWithMargins="0">
    <oddFooter>&amp;L&amp;8Morgan Stanley&amp;C&amp;8&amp;F&amp;R&amp;8&amp;P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enableFormatConditionsCalculation="0">
    <tabColor indexed="19"/>
    <pageSetUpPr fitToPage="1"/>
  </sheetPr>
  <dimension ref="A1:AA41"/>
  <sheetViews>
    <sheetView showGridLines="0" zoomScaleNormal="100" workbookViewId="0">
      <pane xSplit="2" ySplit="4" topLeftCell="C5" activePane="bottomRight" state="frozen"/>
      <selection pane="topRight"/>
      <selection pane="bottomLeft"/>
      <selection pane="bottomRight"/>
    </sheetView>
  </sheetViews>
  <sheetFormatPr defaultRowHeight="12.75" outlineLevelCol="1"/>
  <cols>
    <col min="1" max="1" width="1.42578125" customWidth="1"/>
    <col min="2" max="2" width="21.42578125" customWidth="1"/>
    <col min="3" max="3" width="6.42578125" customWidth="1"/>
    <col min="4" max="6" width="6.42578125" hidden="1" customWidth="1" outlineLevel="1"/>
    <col min="7" max="7" width="6.42578125" customWidth="1" collapsed="1"/>
    <col min="8" max="9" width="6.42578125" customWidth="1"/>
    <col min="10" max="10" width="1.42578125" hidden="1" customWidth="1" outlineLevel="1"/>
    <col min="11" max="17" width="6.42578125" hidden="1" customWidth="1" outlineLevel="1"/>
    <col min="18" max="18" width="1.42578125" customWidth="1" collapsed="1"/>
    <col min="19" max="19" width="6.42578125" customWidth="1"/>
    <col min="20" max="22" width="6.42578125" hidden="1" customWidth="1" outlineLevel="1"/>
    <col min="23" max="23" width="6.42578125" customWidth="1" collapsed="1"/>
    <col min="24" max="25" width="6.42578125" customWidth="1"/>
    <col min="27" max="27" width="11.7109375" bestFit="1" customWidth="1"/>
  </cols>
  <sheetData>
    <row r="1" spans="1:27">
      <c r="A1" s="392"/>
      <c r="B1" s="392"/>
      <c r="C1" s="392"/>
      <c r="D1" s="392"/>
      <c r="E1" s="392"/>
      <c r="F1" s="392"/>
      <c r="G1" s="392"/>
      <c r="H1" s="392"/>
      <c r="I1" s="392"/>
      <c r="J1" s="392"/>
      <c r="K1" s="392"/>
      <c r="L1" s="392"/>
      <c r="M1" s="392"/>
      <c r="N1" s="392"/>
      <c r="O1" s="392"/>
      <c r="P1" s="392"/>
      <c r="Q1" s="392"/>
      <c r="R1" s="392"/>
      <c r="S1" s="392"/>
      <c r="T1" s="392"/>
      <c r="U1" s="392"/>
      <c r="V1" s="392"/>
      <c r="W1" s="392"/>
      <c r="X1" s="392"/>
      <c r="Y1" s="392"/>
    </row>
    <row r="2" spans="1:27">
      <c r="A2" s="392"/>
      <c r="B2" s="392"/>
      <c r="C2" s="683" t="s">
        <v>1000</v>
      </c>
      <c r="D2" s="683" t="s">
        <v>1001</v>
      </c>
      <c r="E2" s="683" t="s">
        <v>1002</v>
      </c>
      <c r="F2" s="683" t="s">
        <v>1003</v>
      </c>
      <c r="G2" s="683">
        <v>2018</v>
      </c>
      <c r="H2" s="683">
        <v>2019</v>
      </c>
      <c r="I2" s="683">
        <v>2020</v>
      </c>
      <c r="J2" s="392"/>
      <c r="K2" s="392"/>
      <c r="L2" s="392"/>
      <c r="M2" s="392"/>
      <c r="N2" s="392"/>
      <c r="O2" s="392"/>
      <c r="P2" s="392"/>
      <c r="Q2" s="392"/>
      <c r="R2" s="392"/>
      <c r="S2" s="392"/>
      <c r="T2" s="392"/>
      <c r="U2" s="392"/>
      <c r="V2" s="392"/>
      <c r="W2" s="392"/>
      <c r="X2" s="392"/>
      <c r="Y2" s="392"/>
    </row>
    <row r="3" spans="1:27">
      <c r="A3" s="393"/>
      <c r="B3" s="1567" t="s">
        <v>841</v>
      </c>
      <c r="C3" s="764" t="s">
        <v>164</v>
      </c>
      <c r="D3" s="764"/>
      <c r="E3" s="764"/>
      <c r="F3" s="764"/>
      <c r="G3" s="764"/>
      <c r="H3" s="764"/>
      <c r="I3" s="764"/>
      <c r="J3" s="765"/>
      <c r="K3" s="764" t="s">
        <v>1014</v>
      </c>
      <c r="L3" s="764"/>
      <c r="M3" s="764"/>
      <c r="N3" s="764"/>
      <c r="O3" s="764"/>
      <c r="P3" s="764"/>
      <c r="Q3" s="764"/>
      <c r="R3" s="765"/>
      <c r="S3" s="764" t="s">
        <v>165</v>
      </c>
      <c r="T3" s="766"/>
      <c r="U3" s="766"/>
      <c r="V3" s="766"/>
      <c r="W3" s="766"/>
      <c r="X3" s="766"/>
      <c r="Y3" s="766"/>
    </row>
    <row r="4" spans="1:27">
      <c r="A4" s="393"/>
      <c r="B4" s="1568"/>
      <c r="C4" s="768" t="s">
        <v>1004</v>
      </c>
      <c r="D4" s="768" t="s">
        <v>1005</v>
      </c>
      <c r="E4" s="768" t="s">
        <v>1006</v>
      </c>
      <c r="F4" s="768" t="s">
        <v>1007</v>
      </c>
      <c r="G4" s="768" t="s">
        <v>949</v>
      </c>
      <c r="H4" s="768" t="s">
        <v>973</v>
      </c>
      <c r="I4" s="768" t="s">
        <v>1013</v>
      </c>
      <c r="J4" s="768"/>
      <c r="K4" s="768" t="str">
        <f t="shared" ref="K4:Q4" si="0">C4</f>
        <v>1Q18e</v>
      </c>
      <c r="L4" s="768" t="str">
        <f t="shared" si="0"/>
        <v>2Q18e</v>
      </c>
      <c r="M4" s="768" t="str">
        <f t="shared" si="0"/>
        <v>3Q18e</v>
      </c>
      <c r="N4" s="768" t="str">
        <f t="shared" si="0"/>
        <v>4Q18e</v>
      </c>
      <c r="O4" s="768" t="str">
        <f t="shared" si="0"/>
        <v>2018e</v>
      </c>
      <c r="P4" s="768" t="str">
        <f t="shared" si="0"/>
        <v>2019e</v>
      </c>
      <c r="Q4" s="768" t="str">
        <f t="shared" si="0"/>
        <v>2020e</v>
      </c>
      <c r="R4" s="768"/>
      <c r="S4" s="767" t="str">
        <f t="shared" ref="S4:Y4" si="1">C4</f>
        <v>1Q18e</v>
      </c>
      <c r="T4" s="767" t="str">
        <f t="shared" si="1"/>
        <v>2Q18e</v>
      </c>
      <c r="U4" s="767" t="str">
        <f t="shared" si="1"/>
        <v>3Q18e</v>
      </c>
      <c r="V4" s="767" t="str">
        <f t="shared" si="1"/>
        <v>4Q18e</v>
      </c>
      <c r="W4" s="767" t="str">
        <f t="shared" si="1"/>
        <v>2018e</v>
      </c>
      <c r="X4" s="767" t="str">
        <f t="shared" si="1"/>
        <v>2019e</v>
      </c>
      <c r="Y4" s="767" t="str">
        <f t="shared" si="1"/>
        <v>2020e</v>
      </c>
    </row>
    <row r="5" spans="1:27" ht="5.25" customHeight="1">
      <c r="A5" s="393"/>
      <c r="B5" s="393"/>
      <c r="C5" s="395"/>
      <c r="D5" s="395"/>
      <c r="E5" s="395"/>
      <c r="F5" s="395"/>
      <c r="G5" s="395"/>
      <c r="H5" s="395"/>
      <c r="I5" s="395"/>
      <c r="J5" s="395"/>
      <c r="K5" s="394"/>
      <c r="L5" s="394"/>
      <c r="M5" s="394"/>
      <c r="N5" s="394"/>
      <c r="O5" s="394"/>
      <c r="P5" s="394"/>
      <c r="Q5" s="394"/>
      <c r="R5" s="395"/>
      <c r="S5" s="396"/>
      <c r="T5" s="396"/>
      <c r="U5" s="396"/>
      <c r="V5" s="396"/>
      <c r="W5" s="396"/>
      <c r="X5" s="396"/>
      <c r="Y5" s="396"/>
    </row>
    <row r="6" spans="1:27">
      <c r="A6" s="393"/>
      <c r="B6" s="769" t="s">
        <v>166</v>
      </c>
      <c r="C6" s="770"/>
      <c r="D6" s="770"/>
      <c r="E6" s="770"/>
      <c r="F6" s="770"/>
      <c r="G6" s="770"/>
      <c r="H6" s="770"/>
      <c r="I6" s="770"/>
      <c r="J6" s="770"/>
      <c r="K6" s="771"/>
      <c r="L6" s="771"/>
      <c r="M6" s="771"/>
      <c r="N6" s="771"/>
      <c r="O6" s="771"/>
      <c r="P6" s="771"/>
      <c r="Q6" s="771"/>
      <c r="R6" s="770"/>
      <c r="S6" s="772"/>
      <c r="T6" s="772"/>
      <c r="U6" s="772"/>
      <c r="V6" s="772"/>
      <c r="W6" s="772"/>
      <c r="X6" s="772"/>
      <c r="Y6" s="772"/>
    </row>
    <row r="7" spans="1:27">
      <c r="A7" s="393"/>
      <c r="B7" s="592" t="s">
        <v>176</v>
      </c>
      <c r="C7" s="1548">
        <f>Financials!CC32</f>
        <v>12.182773877665724</v>
      </c>
      <c r="D7" s="593">
        <f>Financials!CD32</f>
        <v>238.49193922147333</v>
      </c>
      <c r="E7" s="593">
        <f>Financials!CE32</f>
        <v>303.1320080755936</v>
      </c>
      <c r="F7" s="593">
        <f>Financials!CF32</f>
        <v>208.56297442298262</v>
      </c>
      <c r="G7" s="593">
        <f>Financials!CG32</f>
        <v>762.36969559771535</v>
      </c>
      <c r="H7" s="593">
        <f>Financials!CL32</f>
        <v>925.08480168749998</v>
      </c>
      <c r="I7" s="593">
        <f>Financials!CQ32</f>
        <v>660.762772579429</v>
      </c>
      <c r="J7" s="395"/>
      <c r="K7" s="684">
        <v>9.7547338776657142</v>
      </c>
      <c r="L7" s="684">
        <v>190.49960671247322</v>
      </c>
      <c r="M7" s="684">
        <v>266.51882960552842</v>
      </c>
      <c r="N7" s="684">
        <v>251.3530127281818</v>
      </c>
      <c r="O7" s="684">
        <v>718.12618292384923</v>
      </c>
      <c r="P7" s="684">
        <v>809.04924778299676</v>
      </c>
      <c r="Q7" s="684">
        <v>803.01375159210988</v>
      </c>
      <c r="R7" s="395"/>
      <c r="S7" s="594">
        <f t="shared" ref="S7:Y10" si="2">+C7-K7</f>
        <v>2.42804000000001</v>
      </c>
      <c r="T7" s="594">
        <f t="shared" si="2"/>
        <v>47.992332509000107</v>
      </c>
      <c r="U7" s="594">
        <f t="shared" si="2"/>
        <v>36.613178470065179</v>
      </c>
      <c r="V7" s="594">
        <f t="shared" si="2"/>
        <v>-42.790038305199175</v>
      </c>
      <c r="W7" s="594">
        <f t="shared" si="2"/>
        <v>44.243512673866121</v>
      </c>
      <c r="X7" s="594">
        <f t="shared" si="2"/>
        <v>116.03555390450322</v>
      </c>
      <c r="Y7" s="594">
        <f t="shared" si="2"/>
        <v>-142.25097901268089</v>
      </c>
    </row>
    <row r="8" spans="1:27">
      <c r="A8" s="393"/>
      <c r="B8" s="595" t="s">
        <v>174</v>
      </c>
      <c r="C8" s="1549">
        <f>Operations!CC34</f>
        <v>2428.04</v>
      </c>
      <c r="D8" s="596">
        <f>Operations!CD34</f>
        <v>2521.9699999999998</v>
      </c>
      <c r="E8" s="596">
        <f>Operations!CE34</f>
        <v>2798.4</v>
      </c>
      <c r="F8" s="596">
        <f>Operations!CF34</f>
        <v>2735.0400000000004</v>
      </c>
      <c r="G8" s="596">
        <f>Operations!CG34</f>
        <v>10483.450000000001</v>
      </c>
      <c r="H8" s="596">
        <f>Operations!CL34</f>
        <v>11255.27389</v>
      </c>
      <c r="I8" s="596">
        <f>Operations!CQ34</f>
        <v>11255.27389</v>
      </c>
      <c r="J8" s="395"/>
      <c r="K8" s="682">
        <v>2428.04</v>
      </c>
      <c r="L8" s="682">
        <v>2521.9699999999998</v>
      </c>
      <c r="M8" s="682">
        <v>2569.44</v>
      </c>
      <c r="N8" s="682">
        <v>2466.42</v>
      </c>
      <c r="O8" s="682">
        <v>9985.8700000000008</v>
      </c>
      <c r="P8" s="682">
        <v>10185.5874</v>
      </c>
      <c r="Q8" s="682">
        <v>10287.443274000001</v>
      </c>
      <c r="R8" s="395"/>
      <c r="S8" s="597">
        <f t="shared" si="2"/>
        <v>0</v>
      </c>
      <c r="T8" s="597">
        <f t="shared" si="2"/>
        <v>0</v>
      </c>
      <c r="U8" s="597">
        <f t="shared" si="2"/>
        <v>228.96000000000004</v>
      </c>
      <c r="V8" s="597">
        <f t="shared" si="2"/>
        <v>268.62000000000035</v>
      </c>
      <c r="W8" s="597">
        <f t="shared" si="2"/>
        <v>497.57999999999993</v>
      </c>
      <c r="X8" s="597">
        <f t="shared" si="2"/>
        <v>1069.68649</v>
      </c>
      <c r="Y8" s="597">
        <f t="shared" si="2"/>
        <v>967.83061599999928</v>
      </c>
      <c r="Z8" s="888">
        <f>W8/O8</f>
        <v>4.9828407539853799E-2</v>
      </c>
      <c r="AA8" s="888">
        <f t="shared" ref="AA8" si="3">X8/P8</f>
        <v>0.10501961722894843</v>
      </c>
    </row>
    <row r="9" spans="1:27">
      <c r="A9" s="392"/>
      <c r="B9" s="595" t="s">
        <v>175</v>
      </c>
      <c r="C9" s="1550">
        <f>Operations!CC51</f>
        <v>738.17412213988166</v>
      </c>
      <c r="D9" s="598">
        <f>Operations!CD51</f>
        <v>788.21788549791711</v>
      </c>
      <c r="E9" s="598">
        <f>Operations!CE51</f>
        <v>813.86551984854191</v>
      </c>
      <c r="F9" s="598">
        <f>Operations!CF51</f>
        <v>819.91036389397925</v>
      </c>
      <c r="G9" s="598">
        <f>Operations!CG51</f>
        <v>791.74194264468736</v>
      </c>
      <c r="H9" s="598">
        <f>Operations!CL51</f>
        <v>818.44806600725542</v>
      </c>
      <c r="I9" s="598">
        <f>Operations!CQ51</f>
        <v>749.08720483139575</v>
      </c>
      <c r="J9" s="398"/>
      <c r="K9" s="685">
        <v>738.17412213988166</v>
      </c>
      <c r="L9" s="685">
        <v>767.17388549791713</v>
      </c>
      <c r="M9" s="685">
        <v>784.76171984854193</v>
      </c>
      <c r="N9" s="685">
        <v>789.12320389397928</v>
      </c>
      <c r="O9" s="685">
        <v>770.06943065807241</v>
      </c>
      <c r="P9" s="685">
        <v>778.75506528471897</v>
      </c>
      <c r="Q9" s="685">
        <v>759.4305710019064</v>
      </c>
      <c r="R9" s="398"/>
      <c r="S9" s="599">
        <f t="shared" si="2"/>
        <v>0</v>
      </c>
      <c r="T9" s="599">
        <f t="shared" si="2"/>
        <v>21.043999999999983</v>
      </c>
      <c r="U9" s="599">
        <f t="shared" si="2"/>
        <v>29.103799999999978</v>
      </c>
      <c r="V9" s="599">
        <f t="shared" si="2"/>
        <v>30.787159999999972</v>
      </c>
      <c r="W9" s="599">
        <f t="shared" si="2"/>
        <v>21.67251198661495</v>
      </c>
      <c r="X9" s="599">
        <f t="shared" si="2"/>
        <v>39.693000722536453</v>
      </c>
      <c r="Y9" s="599">
        <f t="shared" si="2"/>
        <v>-10.343366170510649</v>
      </c>
      <c r="Z9" s="888">
        <f>W9/O9</f>
        <v>2.814358176521101E-2</v>
      </c>
      <c r="AA9" s="888">
        <f t="shared" ref="AA9" si="4">X9/P9</f>
        <v>5.0969813863136003E-2</v>
      </c>
    </row>
    <row r="10" spans="1:27">
      <c r="A10" s="392"/>
      <c r="B10" s="595" t="s">
        <v>157</v>
      </c>
      <c r="C10" s="1550">
        <f t="shared" ref="C10:F10" si="5">((C8/1000)*C9-C7)/(C8/1000)</f>
        <v>733.15658788275823</v>
      </c>
      <c r="D10" s="598">
        <f t="shared" si="5"/>
        <v>693.65215346245543</v>
      </c>
      <c r="E10" s="598">
        <f t="shared" si="5"/>
        <v>705.5421893469719</v>
      </c>
      <c r="F10" s="598">
        <f t="shared" si="5"/>
        <v>743.65445011466238</v>
      </c>
      <c r="G10" s="598">
        <f t="shared" ref="G10" si="6">((G8/1000)*G9-G7)/(G8/1000)</f>
        <v>719.0206824109174</v>
      </c>
      <c r="H10" s="598">
        <f t="shared" ref="H10:I10" si="7">((H8/1000)*H9-H7)/(H8/1000)</f>
        <v>736.25683630209346</v>
      </c>
      <c r="I10" s="598">
        <f t="shared" si="7"/>
        <v>690.38025740060073</v>
      </c>
      <c r="J10" s="398"/>
      <c r="K10" s="685">
        <v>734.15658788275823</v>
      </c>
      <c r="L10" s="685">
        <v>691.6378534624555</v>
      </c>
      <c r="M10" s="685">
        <v>681.03529323203077</v>
      </c>
      <c r="N10" s="685">
        <v>687.21314286293762</v>
      </c>
      <c r="O10" s="685">
        <v>698.15519755431194</v>
      </c>
      <c r="P10" s="685">
        <v>699.32427587506777</v>
      </c>
      <c r="Q10" s="685">
        <v>681.37291078407475</v>
      </c>
      <c r="R10" s="398"/>
      <c r="S10" s="599">
        <f t="shared" si="2"/>
        <v>-1</v>
      </c>
      <c r="T10" s="599">
        <f t="shared" si="2"/>
        <v>2.0142999999999347</v>
      </c>
      <c r="U10" s="599">
        <f t="shared" si="2"/>
        <v>24.506896114941128</v>
      </c>
      <c r="V10" s="599">
        <f t="shared" si="2"/>
        <v>56.441307251724766</v>
      </c>
      <c r="W10" s="599">
        <f t="shared" si="2"/>
        <v>20.865484856605462</v>
      </c>
      <c r="X10" s="599">
        <f t="shared" si="2"/>
        <v>36.932560427025692</v>
      </c>
      <c r="Y10" s="599">
        <f t="shared" si="2"/>
        <v>9.0073466165259788</v>
      </c>
    </row>
    <row r="11" spans="1:27" ht="5.25" customHeight="1">
      <c r="A11" s="392"/>
      <c r="B11" s="600"/>
      <c r="C11" s="1550"/>
      <c r="D11" s="598"/>
      <c r="E11" s="598"/>
      <c r="F11" s="598"/>
      <c r="G11" s="598"/>
      <c r="H11" s="598"/>
      <c r="I11" s="598"/>
      <c r="J11" s="398"/>
      <c r="K11" s="685"/>
      <c r="L11" s="685"/>
      <c r="M11" s="685"/>
      <c r="N11" s="685"/>
      <c r="O11" s="685"/>
      <c r="P11" s="685"/>
      <c r="Q11" s="685"/>
      <c r="R11" s="398"/>
      <c r="S11" s="594"/>
      <c r="T11" s="594"/>
      <c r="U11" s="594"/>
      <c r="V11" s="594"/>
      <c r="W11" s="594"/>
      <c r="X11" s="594"/>
      <c r="Y11" s="594"/>
    </row>
    <row r="12" spans="1:27">
      <c r="A12" s="392"/>
      <c r="B12" s="592" t="s">
        <v>177</v>
      </c>
      <c r="C12" s="1548">
        <f>Financials!CC33</f>
        <v>100.86178415942898</v>
      </c>
      <c r="D12" s="593">
        <f>Financials!CD33</f>
        <v>70.953121378025813</v>
      </c>
      <c r="E12" s="593">
        <f>Financials!CE33</f>
        <v>75.939801944990194</v>
      </c>
      <c r="F12" s="593">
        <f>Financials!CF33</f>
        <v>123.10618763336902</v>
      </c>
      <c r="G12" s="593">
        <f>Financials!CG33</f>
        <v>370.860895115814</v>
      </c>
      <c r="H12" s="593">
        <f>Financials!CL33</f>
        <v>404.95061448211607</v>
      </c>
      <c r="I12" s="593">
        <f>Financials!CQ33</f>
        <v>382.50934538169201</v>
      </c>
      <c r="J12" s="398"/>
      <c r="K12" s="684">
        <v>113.06078415942898</v>
      </c>
      <c r="L12" s="684">
        <v>90.001372839036222</v>
      </c>
      <c r="M12" s="684">
        <v>52.8486779396099</v>
      </c>
      <c r="N12" s="684">
        <v>112.79953042502274</v>
      </c>
      <c r="O12" s="684">
        <v>368.71036536309782</v>
      </c>
      <c r="P12" s="684">
        <v>380.18933629490135</v>
      </c>
      <c r="Q12" s="684">
        <v>404.02134265599932</v>
      </c>
      <c r="R12" s="398"/>
      <c r="S12" s="594">
        <f t="shared" ref="S12:Y15" si="8">+C12-K12</f>
        <v>-12.198999999999998</v>
      </c>
      <c r="T12" s="594">
        <f t="shared" si="8"/>
        <v>-19.048251461010409</v>
      </c>
      <c r="U12" s="594">
        <f t="shared" si="8"/>
        <v>23.091124005380294</v>
      </c>
      <c r="V12" s="594">
        <f t="shared" si="8"/>
        <v>10.30665720834628</v>
      </c>
      <c r="W12" s="594">
        <f t="shared" si="8"/>
        <v>2.1505297527161815</v>
      </c>
      <c r="X12" s="594">
        <f t="shared" si="8"/>
        <v>24.761278187214714</v>
      </c>
      <c r="Y12" s="594">
        <f t="shared" si="8"/>
        <v>-21.511997274307305</v>
      </c>
    </row>
    <row r="13" spans="1:27">
      <c r="A13" s="392"/>
      <c r="B13" s="595" t="s">
        <v>174</v>
      </c>
      <c r="C13" s="1549">
        <f>Operations!CC141</f>
        <v>1109</v>
      </c>
      <c r="D13" s="596">
        <f>Operations!CD141</f>
        <v>1157</v>
      </c>
      <c r="E13" s="596">
        <f>Operations!CE141</f>
        <v>1067</v>
      </c>
      <c r="F13" s="596">
        <f>Operations!CF141</f>
        <v>1252</v>
      </c>
      <c r="G13" s="596">
        <f>Operations!CG141</f>
        <v>4585</v>
      </c>
      <c r="H13" s="596">
        <f>Operations!CL141</f>
        <v>4585</v>
      </c>
      <c r="I13" s="596">
        <f>Operations!CQ141</f>
        <v>4585</v>
      </c>
      <c r="J13" s="398"/>
      <c r="K13" s="682">
        <v>1109</v>
      </c>
      <c r="L13" s="682">
        <v>1157</v>
      </c>
      <c r="M13" s="682">
        <v>1067</v>
      </c>
      <c r="N13" s="682">
        <v>1252</v>
      </c>
      <c r="O13" s="682">
        <v>4585</v>
      </c>
      <c r="P13" s="682">
        <v>4585</v>
      </c>
      <c r="Q13" s="682">
        <v>4585</v>
      </c>
      <c r="R13" s="398"/>
      <c r="S13" s="597">
        <f t="shared" si="8"/>
        <v>0</v>
      </c>
      <c r="T13" s="597">
        <f t="shared" si="8"/>
        <v>0</v>
      </c>
      <c r="U13" s="597">
        <f t="shared" si="8"/>
        <v>0</v>
      </c>
      <c r="V13" s="597">
        <f t="shared" si="8"/>
        <v>0</v>
      </c>
      <c r="W13" s="597">
        <f t="shared" si="8"/>
        <v>0</v>
      </c>
      <c r="X13" s="597">
        <f t="shared" si="8"/>
        <v>0</v>
      </c>
      <c r="Y13" s="597">
        <f t="shared" si="8"/>
        <v>0</v>
      </c>
      <c r="Z13" s="888">
        <f>W13/O13</f>
        <v>0</v>
      </c>
      <c r="AA13" s="888">
        <f t="shared" ref="AA13:AA14" si="9">X13/P13</f>
        <v>0</v>
      </c>
    </row>
    <row r="14" spans="1:27">
      <c r="A14" s="392"/>
      <c r="B14" s="595" t="s">
        <v>175</v>
      </c>
      <c r="C14" s="1550">
        <f>Operations!CC155</f>
        <v>726.40805393384903</v>
      </c>
      <c r="D14" s="598">
        <f>Operations!CD155</f>
        <v>741.68768141411465</v>
      </c>
      <c r="E14" s="598">
        <f>Operations!CE155</f>
        <v>719.94483338805537</v>
      </c>
      <c r="F14" s="598">
        <f>Operations!CF155</f>
        <v>689.48870448959258</v>
      </c>
      <c r="G14" s="598">
        <f>Operations!CG155</f>
        <v>719.38231830640291</v>
      </c>
      <c r="H14" s="598">
        <f>Operations!CL155</f>
        <v>719.38231830640291</v>
      </c>
      <c r="I14" s="598">
        <f>Operations!CQ155</f>
        <v>719.38231830640291</v>
      </c>
      <c r="J14" s="398"/>
      <c r="K14" s="685">
        <v>726.40805393384903</v>
      </c>
      <c r="L14" s="685">
        <v>709.52621293358072</v>
      </c>
      <c r="M14" s="685">
        <v>689.78576749261617</v>
      </c>
      <c r="N14" s="685">
        <v>684.21256971651144</v>
      </c>
      <c r="O14" s="685">
        <v>702.48315101913943</v>
      </c>
      <c r="P14" s="685">
        <v>702.48315101913943</v>
      </c>
      <c r="Q14" s="685">
        <v>702.48315101913943</v>
      </c>
      <c r="R14" s="398"/>
      <c r="S14" s="599">
        <f t="shared" si="8"/>
        <v>0</v>
      </c>
      <c r="T14" s="599">
        <f t="shared" si="8"/>
        <v>32.161468480533927</v>
      </c>
      <c r="U14" s="599">
        <f t="shared" si="8"/>
        <v>30.159065895439198</v>
      </c>
      <c r="V14" s="599">
        <f t="shared" si="8"/>
        <v>5.2761347730811394</v>
      </c>
      <c r="W14" s="599">
        <f t="shared" si="8"/>
        <v>16.899167287263481</v>
      </c>
      <c r="X14" s="599">
        <f t="shared" si="8"/>
        <v>16.899167287263481</v>
      </c>
      <c r="Y14" s="599">
        <f t="shared" si="8"/>
        <v>16.899167287263481</v>
      </c>
      <c r="Z14" s="888">
        <f>W14/O14</f>
        <v>2.4056331120179502E-2</v>
      </c>
      <c r="AA14" s="888">
        <f t="shared" si="9"/>
        <v>2.4056331120179502E-2</v>
      </c>
    </row>
    <row r="15" spans="1:27">
      <c r="A15" s="392"/>
      <c r="B15" s="595" t="s">
        <v>157</v>
      </c>
      <c r="C15" s="1550">
        <f t="shared" ref="C15:F15" si="10">((C13/1000)*C14-C12)/(C13/1000)</f>
        <v>635.4596462156984</v>
      </c>
      <c r="D15" s="598">
        <f t="shared" si="10"/>
        <v>680.36259811417881</v>
      </c>
      <c r="E15" s="598">
        <f t="shared" si="10"/>
        <v>648.77351010315363</v>
      </c>
      <c r="F15" s="598">
        <f t="shared" si="10"/>
        <v>591.16107858434577</v>
      </c>
      <c r="G15" s="598">
        <f t="shared" ref="G15" si="11">((G13/1000)*G14-G12)/(G13/1000)</f>
        <v>638.49662689619265</v>
      </c>
      <c r="H15" s="598">
        <f t="shared" ref="H15:I15" si="12">((H13/1000)*H14-H12)/(H13/1000)</f>
        <v>631.0615735992892</v>
      </c>
      <c r="I15" s="598">
        <f t="shared" si="12"/>
        <v>635.95607067680805</v>
      </c>
      <c r="J15" s="398"/>
      <c r="K15" s="685">
        <v>624.4596462156984</v>
      </c>
      <c r="L15" s="685">
        <v>631.73764522481997</v>
      </c>
      <c r="M15" s="685">
        <v>640.25561009841749</v>
      </c>
      <c r="N15" s="685">
        <v>594.11709813103005</v>
      </c>
      <c r="O15" s="685">
        <v>622.06649554190972</v>
      </c>
      <c r="P15" s="685">
        <v>619.56290319037146</v>
      </c>
      <c r="Q15" s="685">
        <v>614.36508282808177</v>
      </c>
      <c r="R15" s="398"/>
      <c r="S15" s="599">
        <f t="shared" si="8"/>
        <v>11</v>
      </c>
      <c r="T15" s="599">
        <f t="shared" si="8"/>
        <v>48.624952889358838</v>
      </c>
      <c r="U15" s="599">
        <f t="shared" si="8"/>
        <v>8.5179000047361342</v>
      </c>
      <c r="V15" s="599">
        <f t="shared" si="8"/>
        <v>-2.9560195466842742</v>
      </c>
      <c r="W15" s="599">
        <f t="shared" si="8"/>
        <v>16.430131354282935</v>
      </c>
      <c r="X15" s="599">
        <f t="shared" si="8"/>
        <v>11.498670408917746</v>
      </c>
      <c r="Y15" s="599">
        <f t="shared" si="8"/>
        <v>21.590987848726286</v>
      </c>
    </row>
    <row r="16" spans="1:27" ht="5.25" customHeight="1">
      <c r="A16" s="392"/>
      <c r="B16" s="600"/>
      <c r="C16" s="1550"/>
      <c r="D16" s="598"/>
      <c r="E16" s="598"/>
      <c r="F16" s="598"/>
      <c r="G16" s="598"/>
      <c r="H16" s="598"/>
      <c r="I16" s="598"/>
      <c r="J16" s="398"/>
      <c r="K16" s="685"/>
      <c r="L16" s="685"/>
      <c r="M16" s="685"/>
      <c r="N16" s="685"/>
      <c r="O16" s="685"/>
      <c r="P16" s="685"/>
      <c r="Q16" s="685"/>
      <c r="R16" s="398"/>
      <c r="S16" s="594"/>
      <c r="T16" s="594"/>
      <c r="U16" s="594"/>
      <c r="V16" s="594"/>
      <c r="W16" s="594"/>
      <c r="X16" s="594"/>
      <c r="Y16" s="594"/>
    </row>
    <row r="17" spans="1:27">
      <c r="A17" s="392"/>
      <c r="B17" s="592" t="s">
        <v>178</v>
      </c>
      <c r="C17" s="1548">
        <f>Financials!CC34</f>
        <v>3.241913567999994</v>
      </c>
      <c r="D17" s="593">
        <f>Financials!CD34</f>
        <v>15.299131919999972</v>
      </c>
      <c r="E17" s="593">
        <f>Financials!CE34</f>
        <v>27.611343820000052</v>
      </c>
      <c r="F17" s="593">
        <f>Financials!CF34</f>
        <v>18.15830914600004</v>
      </c>
      <c r="G17" s="593">
        <f>Financials!CG34</f>
        <v>64.310698454000061</v>
      </c>
      <c r="H17" s="593">
        <f>Financials!CL34</f>
        <v>59.332384407620061</v>
      </c>
      <c r="I17" s="593">
        <f>Financials!CQ34</f>
        <v>62.552355939848667</v>
      </c>
      <c r="J17" s="398"/>
      <c r="K17" s="684">
        <v>-6.5860864320000072</v>
      </c>
      <c r="L17" s="684">
        <v>-2.8379755200000023</v>
      </c>
      <c r="M17" s="684">
        <v>-5.9060226699999898</v>
      </c>
      <c r="N17" s="684">
        <v>-8.714988598999998</v>
      </c>
      <c r="O17" s="684">
        <v>-24.045073220999996</v>
      </c>
      <c r="P17" s="684">
        <v>13.877174582370003</v>
      </c>
      <c r="Q17" s="684">
        <v>15.733489819841108</v>
      </c>
      <c r="R17" s="398"/>
      <c r="S17" s="594">
        <f t="shared" ref="S17:Y20" si="13">+C17-K17</f>
        <v>9.8280000000000012</v>
      </c>
      <c r="T17" s="594">
        <f t="shared" si="13"/>
        <v>18.137107439999973</v>
      </c>
      <c r="U17" s="594">
        <f t="shared" si="13"/>
        <v>33.517366490000043</v>
      </c>
      <c r="V17" s="594">
        <f t="shared" si="13"/>
        <v>26.873297745000038</v>
      </c>
      <c r="W17" s="594">
        <f t="shared" si="13"/>
        <v>88.355771675000057</v>
      </c>
      <c r="X17" s="594">
        <f t="shared" si="13"/>
        <v>45.455209825250058</v>
      </c>
      <c r="Y17" s="594">
        <f t="shared" si="13"/>
        <v>46.818866120007556</v>
      </c>
    </row>
    <row r="18" spans="1:27">
      <c r="A18" s="392"/>
      <c r="B18" s="595" t="s">
        <v>174</v>
      </c>
      <c r="C18" s="1549">
        <f>Operations!CC100</f>
        <v>151.20000000000002</v>
      </c>
      <c r="D18" s="596">
        <f>Operations!CD100</f>
        <v>216</v>
      </c>
      <c r="E18" s="596">
        <f>Operations!CE100</f>
        <v>222</v>
      </c>
      <c r="F18" s="596">
        <f>Operations!CF100</f>
        <v>187.95000000000002</v>
      </c>
      <c r="G18" s="596">
        <f>Operations!CG100</f>
        <v>777.15000000000009</v>
      </c>
      <c r="H18" s="596">
        <f>Operations!CL100</f>
        <v>800.46450000000004</v>
      </c>
      <c r="I18" s="596">
        <f>Operations!CQ100</f>
        <v>824.4784350000001</v>
      </c>
      <c r="J18" s="398"/>
      <c r="K18" s="682">
        <v>151.20000000000002</v>
      </c>
      <c r="L18" s="682">
        <v>189</v>
      </c>
      <c r="M18" s="682">
        <v>194.25</v>
      </c>
      <c r="N18" s="682">
        <v>187.95000000000002</v>
      </c>
      <c r="O18" s="682">
        <v>722.40000000000009</v>
      </c>
      <c r="P18" s="682">
        <v>744.07200000000012</v>
      </c>
      <c r="Q18" s="682">
        <v>766.39416000000006</v>
      </c>
      <c r="R18" s="398"/>
      <c r="S18" s="597">
        <f t="shared" si="13"/>
        <v>0</v>
      </c>
      <c r="T18" s="597">
        <f t="shared" si="13"/>
        <v>27</v>
      </c>
      <c r="U18" s="597">
        <f t="shared" si="13"/>
        <v>27.75</v>
      </c>
      <c r="V18" s="597">
        <f t="shared" si="13"/>
        <v>0</v>
      </c>
      <c r="W18" s="597">
        <f t="shared" si="13"/>
        <v>54.75</v>
      </c>
      <c r="X18" s="597">
        <f t="shared" si="13"/>
        <v>56.392499999999927</v>
      </c>
      <c r="Y18" s="597">
        <f t="shared" si="13"/>
        <v>58.084275000000048</v>
      </c>
      <c r="Z18" s="888">
        <f>W18/O18</f>
        <v>7.5789036544850488E-2</v>
      </c>
      <c r="AA18" s="888">
        <f t="shared" ref="AA18:AA19" si="14">X18/P18</f>
        <v>7.5789036544850391E-2</v>
      </c>
    </row>
    <row r="19" spans="1:27">
      <c r="A19" s="392"/>
      <c r="B19" s="595" t="s">
        <v>175</v>
      </c>
      <c r="C19" s="1550">
        <f>Operations!CC116</f>
        <v>1455.8063066666666</v>
      </c>
      <c r="D19" s="598">
        <f>Operations!CD116</f>
        <v>1586.3848699999999</v>
      </c>
      <c r="E19" s="598">
        <f>Operations!CE116</f>
        <v>1638.4294766666669</v>
      </c>
      <c r="F19" s="598">
        <f>Operations!CF116</f>
        <v>1620.4592133333335</v>
      </c>
      <c r="G19" s="598">
        <f>Operations!CG116</f>
        <v>1584.0876258817473</v>
      </c>
      <c r="H19" s="598">
        <f>Operations!CL116</f>
        <v>1584.0876258817477</v>
      </c>
      <c r="I19" s="598">
        <f>Operations!CQ116</f>
        <v>1584.0876258817473</v>
      </c>
      <c r="J19" s="398"/>
      <c r="K19" s="685">
        <v>1435.8063066666666</v>
      </c>
      <c r="L19" s="685">
        <v>1448.47632</v>
      </c>
      <c r="M19" s="685">
        <v>1431.3718266666667</v>
      </c>
      <c r="N19" s="685">
        <v>1417.4781133333333</v>
      </c>
      <c r="O19" s="685">
        <v>1433.1601976453487</v>
      </c>
      <c r="P19" s="685">
        <v>1433.1601976453487</v>
      </c>
      <c r="Q19" s="685">
        <v>1433.1601976453492</v>
      </c>
      <c r="R19" s="398"/>
      <c r="S19" s="599">
        <f t="shared" si="13"/>
        <v>20</v>
      </c>
      <c r="T19" s="599">
        <f t="shared" si="13"/>
        <v>137.90854999999988</v>
      </c>
      <c r="U19" s="599">
        <f t="shared" si="13"/>
        <v>207.05765000000019</v>
      </c>
      <c r="V19" s="599">
        <f t="shared" si="13"/>
        <v>202.9811000000002</v>
      </c>
      <c r="W19" s="599">
        <f t="shared" si="13"/>
        <v>150.92742823639855</v>
      </c>
      <c r="X19" s="599">
        <f t="shared" si="13"/>
        <v>150.92742823639901</v>
      </c>
      <c r="Y19" s="599">
        <f t="shared" si="13"/>
        <v>150.9274282363981</v>
      </c>
      <c r="Z19" s="888">
        <f>W19/O19</f>
        <v>0.10531092649961188</v>
      </c>
      <c r="AA19" s="888">
        <f t="shared" si="14"/>
        <v>0.1053109264996122</v>
      </c>
    </row>
    <row r="20" spans="1:27">
      <c r="A20" s="392"/>
      <c r="B20" s="595" t="s">
        <v>157</v>
      </c>
      <c r="C20" s="1550">
        <f t="shared" ref="C20:F20" si="15">((C18/1000)*C19-C17)/(C18/1000)</f>
        <v>1434.3650793650793</v>
      </c>
      <c r="D20" s="598">
        <f t="shared" si="15"/>
        <v>1515.5555555555557</v>
      </c>
      <c r="E20" s="598">
        <f t="shared" si="15"/>
        <v>1514.0540540540539</v>
      </c>
      <c r="F20" s="598">
        <f t="shared" si="15"/>
        <v>1523.8467677573824</v>
      </c>
      <c r="G20" s="598">
        <f t="shared" ref="G20" si="16">((G18/1000)*G19-G17)/(G18/1000)</f>
        <v>1501.3356494885156</v>
      </c>
      <c r="H20" s="598">
        <f t="shared" ref="H20:I20" si="17">((H18/1000)*H19-H17)/(H18/1000)</f>
        <v>1509.9651827157859</v>
      </c>
      <c r="I20" s="598">
        <f t="shared" si="17"/>
        <v>1508.2186239959083</v>
      </c>
      <c r="J20" s="398"/>
      <c r="K20" s="685">
        <v>1479.3650793650793</v>
      </c>
      <c r="L20" s="685">
        <v>1463.4920634920634</v>
      </c>
      <c r="M20" s="685">
        <v>1461.7760617760616</v>
      </c>
      <c r="N20" s="685">
        <v>1463.8467677573822</v>
      </c>
      <c r="O20" s="685">
        <v>1466.4451827242522</v>
      </c>
      <c r="P20" s="685">
        <v>1414.5098861400506</v>
      </c>
      <c r="Q20" s="685">
        <v>1412.6309574175257</v>
      </c>
      <c r="R20" s="398"/>
      <c r="S20" s="599">
        <f t="shared" si="13"/>
        <v>-45</v>
      </c>
      <c r="T20" s="599">
        <f t="shared" si="13"/>
        <v>52.063492063492276</v>
      </c>
      <c r="U20" s="599">
        <f t="shared" si="13"/>
        <v>52.277992277992325</v>
      </c>
      <c r="V20" s="599">
        <f t="shared" si="13"/>
        <v>60.000000000000227</v>
      </c>
      <c r="W20" s="599">
        <f t="shared" si="13"/>
        <v>34.890466764263465</v>
      </c>
      <c r="X20" s="599">
        <f t="shared" si="13"/>
        <v>95.455296575735247</v>
      </c>
      <c r="Y20" s="599">
        <f t="shared" si="13"/>
        <v>95.587666578382596</v>
      </c>
    </row>
    <row r="21" spans="1:27" ht="5.25" customHeight="1">
      <c r="A21" s="392"/>
      <c r="B21" s="595"/>
      <c r="C21" s="1550"/>
      <c r="D21" s="598"/>
      <c r="E21" s="598"/>
      <c r="F21" s="598"/>
      <c r="G21" s="598"/>
      <c r="H21" s="598"/>
      <c r="I21" s="598"/>
      <c r="J21" s="398"/>
      <c r="K21" s="685"/>
      <c r="L21" s="685"/>
      <c r="M21" s="685"/>
      <c r="N21" s="685"/>
      <c r="O21" s="685"/>
      <c r="P21" s="685"/>
      <c r="Q21" s="685"/>
      <c r="R21" s="398"/>
      <c r="S21" s="594"/>
      <c r="T21" s="594"/>
      <c r="U21" s="594"/>
      <c r="V21" s="594"/>
      <c r="W21" s="594"/>
      <c r="X21" s="594"/>
      <c r="Y21" s="594"/>
    </row>
    <row r="22" spans="1:27">
      <c r="A22" s="392"/>
      <c r="B22" s="592" t="s">
        <v>624</v>
      </c>
      <c r="C22" s="1548">
        <f>Financials!CC35</f>
        <v>12.5</v>
      </c>
      <c r="D22" s="593">
        <f>Financials!CD35</f>
        <v>12.5</v>
      </c>
      <c r="E22" s="593">
        <f>Financials!CE35</f>
        <v>12.5</v>
      </c>
      <c r="F22" s="593">
        <f>Financials!CF35</f>
        <v>12.5</v>
      </c>
      <c r="G22" s="593">
        <f>Financials!CG35</f>
        <v>50</v>
      </c>
      <c r="H22" s="593">
        <f>Financials!CL35</f>
        <v>50</v>
      </c>
      <c r="I22" s="593">
        <f>Financials!CQ35</f>
        <v>50</v>
      </c>
      <c r="J22" s="398"/>
      <c r="K22" s="684">
        <v>12.5</v>
      </c>
      <c r="L22" s="684">
        <v>12.5</v>
      </c>
      <c r="M22" s="684">
        <v>12.5</v>
      </c>
      <c r="N22" s="684">
        <v>12.5</v>
      </c>
      <c r="O22" s="684">
        <v>50</v>
      </c>
      <c r="P22" s="684">
        <v>50</v>
      </c>
      <c r="Q22" s="684">
        <v>50</v>
      </c>
      <c r="R22" s="398"/>
      <c r="S22" s="594">
        <f t="shared" ref="S22:Y22" si="18">+C22-K22</f>
        <v>0</v>
      </c>
      <c r="T22" s="594">
        <f t="shared" si="18"/>
        <v>0</v>
      </c>
      <c r="U22" s="594">
        <f t="shared" si="18"/>
        <v>0</v>
      </c>
      <c r="V22" s="594">
        <f t="shared" si="18"/>
        <v>0</v>
      </c>
      <c r="W22" s="594">
        <f t="shared" si="18"/>
        <v>0</v>
      </c>
      <c r="X22" s="594">
        <f t="shared" si="18"/>
        <v>0</v>
      </c>
      <c r="Y22" s="594">
        <f t="shared" si="18"/>
        <v>0</v>
      </c>
    </row>
    <row r="23" spans="1:27" ht="5.25" customHeight="1">
      <c r="A23" s="392"/>
      <c r="B23" s="392"/>
      <c r="C23" s="1551"/>
      <c r="D23" s="398"/>
      <c r="E23" s="398"/>
      <c r="F23" s="398"/>
      <c r="G23" s="398"/>
      <c r="H23" s="398"/>
      <c r="I23" s="398"/>
      <c r="J23" s="398"/>
      <c r="K23" s="686"/>
      <c r="L23" s="686"/>
      <c r="M23" s="686"/>
      <c r="N23" s="686"/>
      <c r="O23" s="686"/>
      <c r="P23" s="686"/>
      <c r="Q23" s="686"/>
      <c r="R23" s="398"/>
      <c r="S23" s="399"/>
      <c r="T23" s="399"/>
      <c r="U23" s="399"/>
      <c r="V23" s="399"/>
      <c r="W23" s="399"/>
      <c r="X23" s="399"/>
      <c r="Y23" s="399"/>
    </row>
    <row r="24" spans="1:27">
      <c r="A24" s="392"/>
      <c r="B24" s="773" t="s">
        <v>167</v>
      </c>
      <c r="C24" s="774"/>
      <c r="D24" s="774"/>
      <c r="E24" s="774"/>
      <c r="F24" s="774"/>
      <c r="G24" s="774"/>
      <c r="H24" s="774"/>
      <c r="I24" s="774"/>
      <c r="J24" s="774"/>
      <c r="K24" s="775"/>
      <c r="L24" s="775"/>
      <c r="M24" s="775"/>
      <c r="N24" s="775"/>
      <c r="O24" s="775"/>
      <c r="P24" s="775"/>
      <c r="Q24" s="775"/>
      <c r="R24" s="774"/>
      <c r="S24" s="776"/>
      <c r="T24" s="776"/>
      <c r="U24" s="776"/>
      <c r="V24" s="776"/>
      <c r="W24" s="776"/>
      <c r="X24" s="776"/>
      <c r="Y24" s="776"/>
    </row>
    <row r="25" spans="1:27">
      <c r="A25" s="392"/>
      <c r="B25" s="400" t="s">
        <v>580</v>
      </c>
      <c r="C25" s="1549">
        <f>Financials!CC14</f>
        <v>3135.5207409011568</v>
      </c>
      <c r="D25" s="409">
        <f>Financials!CD14</f>
        <v>3506.1536400053119</v>
      </c>
      <c r="E25" s="409">
        <f>Financials!CE14</f>
        <v>3726.9337517892145</v>
      </c>
      <c r="F25" s="409">
        <f>Financials!CF14</f>
        <v>3727.7928088315593</v>
      </c>
      <c r="G25" s="409">
        <f>Financials!CG14</f>
        <v>14096.400941527243</v>
      </c>
      <c r="H25" s="409">
        <f>Financials!CL14</f>
        <v>15045.003231514875</v>
      </c>
      <c r="I25" s="409">
        <f>Financials!CQ14</f>
        <v>14302.367919016533</v>
      </c>
      <c r="J25" s="398"/>
      <c r="K25" s="682">
        <v>3132.496740901157</v>
      </c>
      <c r="L25" s="682">
        <v>3346.9733768533351</v>
      </c>
      <c r="M25" s="682">
        <v>3347.9435446922589</v>
      </c>
      <c r="N25" s="682">
        <v>3386.8584012342608</v>
      </c>
      <c r="O25" s="682">
        <v>13214.272063681012</v>
      </c>
      <c r="P25" s="682">
        <v>13487.596066609069</v>
      </c>
      <c r="Q25" s="682">
        <v>13400.108436919871</v>
      </c>
      <c r="R25" s="398"/>
      <c r="S25" s="597">
        <f t="shared" ref="S25:S33" si="19">+C25-K25</f>
        <v>3.0239999999998872</v>
      </c>
      <c r="T25" s="597">
        <f t="shared" ref="T25:T33" si="20">+D25-L25</f>
        <v>159.18026315197676</v>
      </c>
      <c r="U25" s="597">
        <f t="shared" ref="U25:U33" si="21">+E25-M25</f>
        <v>378.9902070969556</v>
      </c>
      <c r="V25" s="597">
        <f t="shared" ref="V25:V33" si="22">+F25-N25</f>
        <v>340.93440759729856</v>
      </c>
      <c r="W25" s="597">
        <f t="shared" ref="W25:W33" si="23">+G25-O25</f>
        <v>882.12887784623126</v>
      </c>
      <c r="X25" s="597">
        <f t="shared" ref="X25:Y33" si="24">+H25-P25</f>
        <v>1557.407164905806</v>
      </c>
      <c r="Y25" s="597">
        <f t="shared" si="24"/>
        <v>902.2594820966624</v>
      </c>
    </row>
    <row r="26" spans="1:27">
      <c r="A26" s="392"/>
      <c r="B26" s="400" t="s">
        <v>586</v>
      </c>
      <c r="C26" s="1549">
        <f>Financials!CC23</f>
        <v>94.065622227034709</v>
      </c>
      <c r="D26" s="409">
        <f>Financials!CD23</f>
        <v>105.18460920015936</v>
      </c>
      <c r="E26" s="409">
        <f>Financials!CE23</f>
        <v>111.80801255367643</v>
      </c>
      <c r="F26" s="409">
        <f>Financials!CF23</f>
        <v>111.83378426494677</v>
      </c>
      <c r="G26" s="409">
        <f>Financials!CG23</f>
        <v>422.8920282458173</v>
      </c>
      <c r="H26" s="409">
        <f>Financials!CL23</f>
        <v>451.35009694544624</v>
      </c>
      <c r="I26" s="409">
        <f>Financials!CQ23</f>
        <v>429.07103757049595</v>
      </c>
      <c r="J26" s="398"/>
      <c r="K26" s="682">
        <v>93.974902227034704</v>
      </c>
      <c r="L26" s="682">
        <v>100.40920130560005</v>
      </c>
      <c r="M26" s="682">
        <v>100.43830634076777</v>
      </c>
      <c r="N26" s="682">
        <v>101.60575203702781</v>
      </c>
      <c r="O26" s="682">
        <v>396.42816191043033</v>
      </c>
      <c r="P26" s="682">
        <v>404.62788199827196</v>
      </c>
      <c r="Q26" s="682">
        <v>402.00325310759604</v>
      </c>
      <c r="R26" s="398"/>
      <c r="S26" s="597">
        <f t="shared" si="19"/>
        <v>9.0720000000004575E-2</v>
      </c>
      <c r="T26" s="597">
        <f t="shared" si="20"/>
        <v>4.7754078945593079</v>
      </c>
      <c r="U26" s="597">
        <f t="shared" si="21"/>
        <v>11.369706212908667</v>
      </c>
      <c r="V26" s="597">
        <f t="shared" si="22"/>
        <v>10.228032227918959</v>
      </c>
      <c r="W26" s="597">
        <f t="shared" si="23"/>
        <v>26.463866335386967</v>
      </c>
      <c r="X26" s="597">
        <f t="shared" si="24"/>
        <v>46.72221494717428</v>
      </c>
      <c r="Y26" s="597">
        <f t="shared" si="24"/>
        <v>27.067784462899908</v>
      </c>
    </row>
    <row r="27" spans="1:27">
      <c r="A27" s="392"/>
      <c r="B27" s="410" t="s">
        <v>705</v>
      </c>
      <c r="C27" s="1548">
        <f>Financials!CC39</f>
        <v>127.7864716050947</v>
      </c>
      <c r="D27" s="404">
        <f>Financials!CD39</f>
        <v>336.24419251949911</v>
      </c>
      <c r="E27" s="404">
        <f>Financials!CE39</f>
        <v>418.18315384058388</v>
      </c>
      <c r="F27" s="404">
        <f>Financials!CF39</f>
        <v>361.32747120235166</v>
      </c>
      <c r="G27" s="404">
        <f>Financials!CG39</f>
        <v>1243.5412891675294</v>
      </c>
      <c r="H27" s="404">
        <f>Financials!CL39</f>
        <v>1435.367800577236</v>
      </c>
      <c r="I27" s="404">
        <f>Financials!CQ39</f>
        <v>1151.8244739009697</v>
      </c>
      <c r="J27" s="398"/>
      <c r="K27" s="684">
        <v>127.7294316050947</v>
      </c>
      <c r="L27" s="684">
        <v>289.16300403150944</v>
      </c>
      <c r="M27" s="684">
        <v>324.96148487513835</v>
      </c>
      <c r="N27" s="684">
        <v>366.93755455420455</v>
      </c>
      <c r="O27" s="684">
        <v>1108.7914750659472</v>
      </c>
      <c r="P27" s="684">
        <v>1249.1157586602681</v>
      </c>
      <c r="Q27" s="684">
        <v>1268.7685840679501</v>
      </c>
      <c r="R27" s="398"/>
      <c r="S27" s="594">
        <f t="shared" si="19"/>
        <v>5.7040000000000646E-2</v>
      </c>
      <c r="T27" s="594">
        <f t="shared" si="20"/>
        <v>47.081188487989664</v>
      </c>
      <c r="U27" s="594">
        <f t="shared" si="21"/>
        <v>93.221668965445531</v>
      </c>
      <c r="V27" s="594">
        <f t="shared" si="22"/>
        <v>-5.610083351852893</v>
      </c>
      <c r="W27" s="594">
        <f t="shared" si="23"/>
        <v>134.74981410158216</v>
      </c>
      <c r="X27" s="594">
        <f t="shared" si="24"/>
        <v>186.25204191696798</v>
      </c>
      <c r="Y27" s="594">
        <f t="shared" si="24"/>
        <v>-116.94411016698041</v>
      </c>
    </row>
    <row r="28" spans="1:27">
      <c r="A28" s="392"/>
      <c r="B28" s="410" t="s">
        <v>588</v>
      </c>
      <c r="C28" s="1548">
        <f>Financials!CC101</f>
        <v>259.78647160509468</v>
      </c>
      <c r="D28" s="404">
        <f>Financials!CD101</f>
        <v>460.24419251949911</v>
      </c>
      <c r="E28" s="404">
        <f>Financials!CE101</f>
        <v>542.18315384058383</v>
      </c>
      <c r="F28" s="404">
        <f>Financials!CF101</f>
        <v>476.32747120235166</v>
      </c>
      <c r="G28" s="404">
        <f>Financials!CG101</f>
        <v>1738.5412891675294</v>
      </c>
      <c r="H28" s="404">
        <f>Financials!CL101</f>
        <v>1930.367800577236</v>
      </c>
      <c r="I28" s="404">
        <f>Financials!CQ101</f>
        <v>1646.8244739009697</v>
      </c>
      <c r="J28" s="398"/>
      <c r="K28" s="684">
        <v>259.7294316050947</v>
      </c>
      <c r="L28" s="684">
        <v>413.16300403150944</v>
      </c>
      <c r="M28" s="684">
        <v>448.96148487513835</v>
      </c>
      <c r="N28" s="684">
        <v>481.93755455420455</v>
      </c>
      <c r="O28" s="684">
        <v>1603.7914750659472</v>
      </c>
      <c r="P28" s="684">
        <v>1744.1157586602681</v>
      </c>
      <c r="Q28" s="684">
        <v>1763.7685840679501</v>
      </c>
      <c r="R28" s="398"/>
      <c r="S28" s="594">
        <f t="shared" si="19"/>
        <v>5.7039999999972224E-2</v>
      </c>
      <c r="T28" s="594">
        <f t="shared" si="20"/>
        <v>47.081188487989664</v>
      </c>
      <c r="U28" s="594">
        <f t="shared" si="21"/>
        <v>93.221668965445474</v>
      </c>
      <c r="V28" s="594">
        <f t="shared" si="22"/>
        <v>-5.610083351852893</v>
      </c>
      <c r="W28" s="594">
        <f t="shared" si="23"/>
        <v>134.74981410158216</v>
      </c>
      <c r="X28" s="594">
        <f t="shared" si="24"/>
        <v>186.25204191696798</v>
      </c>
      <c r="Y28" s="594">
        <f t="shared" si="24"/>
        <v>-116.94411016698041</v>
      </c>
      <c r="Z28" s="888">
        <f>W28/O28</f>
        <v>8.401953508079428E-2</v>
      </c>
      <c r="AA28" s="888">
        <f t="shared" ref="AA28" si="25">X28/P28</f>
        <v>0.10678880744706783</v>
      </c>
    </row>
    <row r="29" spans="1:27">
      <c r="A29" s="392"/>
      <c r="B29" s="400" t="s">
        <v>584</v>
      </c>
      <c r="C29" s="1549">
        <f>Financials!CC99</f>
        <v>132</v>
      </c>
      <c r="D29" s="409">
        <f>Financials!CD99</f>
        <v>124</v>
      </c>
      <c r="E29" s="409">
        <f>Financials!CE99</f>
        <v>124</v>
      </c>
      <c r="F29" s="409">
        <f>Financials!CF99</f>
        <v>115</v>
      </c>
      <c r="G29" s="409">
        <f>Financials!CG99</f>
        <v>495</v>
      </c>
      <c r="H29" s="409">
        <f>Financials!CL99</f>
        <v>495</v>
      </c>
      <c r="I29" s="409">
        <f>Financials!CQ99</f>
        <v>495</v>
      </c>
      <c r="J29" s="398"/>
      <c r="K29" s="682">
        <v>132</v>
      </c>
      <c r="L29" s="682">
        <v>124</v>
      </c>
      <c r="M29" s="682">
        <v>124</v>
      </c>
      <c r="N29" s="682">
        <v>115</v>
      </c>
      <c r="O29" s="682">
        <v>495</v>
      </c>
      <c r="P29" s="682">
        <v>495</v>
      </c>
      <c r="Q29" s="682">
        <v>495</v>
      </c>
      <c r="R29" s="398"/>
      <c r="S29" s="597">
        <f t="shared" si="19"/>
        <v>0</v>
      </c>
      <c r="T29" s="597">
        <f t="shared" si="20"/>
        <v>0</v>
      </c>
      <c r="U29" s="597">
        <f t="shared" si="21"/>
        <v>0</v>
      </c>
      <c r="V29" s="597">
        <f t="shared" si="22"/>
        <v>0</v>
      </c>
      <c r="W29" s="597">
        <f t="shared" si="23"/>
        <v>0</v>
      </c>
      <c r="X29" s="597">
        <f t="shared" si="24"/>
        <v>0</v>
      </c>
      <c r="Y29" s="597">
        <f t="shared" si="24"/>
        <v>0</v>
      </c>
    </row>
    <row r="30" spans="1:27">
      <c r="A30" s="392"/>
      <c r="B30" s="400" t="s">
        <v>730</v>
      </c>
      <c r="C30" s="1549">
        <f>-Financials!CC44</f>
        <v>67.705000000000013</v>
      </c>
      <c r="D30" s="409">
        <f>-Financials!CD44</f>
        <v>68.041101181977467</v>
      </c>
      <c r="E30" s="409">
        <f>-Financials!CE44</f>
        <v>67.848028295992322</v>
      </c>
      <c r="F30" s="409">
        <f>-Financials!CF44</f>
        <v>67.670673716914109</v>
      </c>
      <c r="G30" s="409">
        <f>-Financials!CG44</f>
        <v>271.26480319488388</v>
      </c>
      <c r="H30" s="409">
        <f>-Financials!CL44</f>
        <v>268.25158971688666</v>
      </c>
      <c r="I30" s="409">
        <f>-Financials!CQ44</f>
        <v>265.87911566405933</v>
      </c>
      <c r="J30" s="398"/>
      <c r="K30" s="682">
        <v>63.705000000000013</v>
      </c>
      <c r="L30" s="682">
        <v>64.062228282868062</v>
      </c>
      <c r="M30" s="682">
        <v>63.814139449482887</v>
      </c>
      <c r="N30" s="682">
        <v>63.712169055452598</v>
      </c>
      <c r="O30" s="682">
        <v>255.29353678780356</v>
      </c>
      <c r="P30" s="682">
        <v>252.3857734718778</v>
      </c>
      <c r="Q30" s="682">
        <v>250.79367426579489</v>
      </c>
      <c r="R30" s="398"/>
      <c r="S30" s="597">
        <f t="shared" si="19"/>
        <v>4</v>
      </c>
      <c r="T30" s="597">
        <f t="shared" si="20"/>
        <v>3.9788728991094047</v>
      </c>
      <c r="U30" s="597">
        <f t="shared" si="21"/>
        <v>4.0338888465094342</v>
      </c>
      <c r="V30" s="597">
        <f t="shared" si="22"/>
        <v>3.9585046614615109</v>
      </c>
      <c r="W30" s="597">
        <f t="shared" si="23"/>
        <v>15.971266407080321</v>
      </c>
      <c r="X30" s="597">
        <f t="shared" si="24"/>
        <v>15.865816245008858</v>
      </c>
      <c r="Y30" s="597">
        <f t="shared" si="24"/>
        <v>15.085441398264436</v>
      </c>
      <c r="AA30" s="888"/>
    </row>
    <row r="31" spans="1:27">
      <c r="A31" s="392"/>
      <c r="B31" s="400" t="s">
        <v>168</v>
      </c>
      <c r="C31" s="1549">
        <f>Financials!CC51</f>
        <v>21.180974673480083</v>
      </c>
      <c r="D31" s="409">
        <f>Financials!CD51</f>
        <v>14.900155489385421</v>
      </c>
      <c r="E31" s="409">
        <f>Financials!CE51</f>
        <v>15.94735840844794</v>
      </c>
      <c r="F31" s="409">
        <f>Financials!CF51</f>
        <v>25.852299403007493</v>
      </c>
      <c r="G31" s="409">
        <f>Financials!CG51</f>
        <v>77.880787974320938</v>
      </c>
      <c r="H31" s="409">
        <f>Financials!CL51</f>
        <v>85.039629041244368</v>
      </c>
      <c r="I31" s="409">
        <f>Financials!CQ51</f>
        <v>80.326962530155328</v>
      </c>
      <c r="J31" s="398"/>
      <c r="K31" s="682">
        <v>23.742764673480085</v>
      </c>
      <c r="L31" s="682">
        <v>18.900288296197605</v>
      </c>
      <c r="M31" s="682">
        <v>11.098222367318078</v>
      </c>
      <c r="N31" s="682">
        <v>23.687901389254773</v>
      </c>
      <c r="O31" s="682">
        <v>77.429176726250546</v>
      </c>
      <c r="P31" s="682">
        <v>79.839760621929273</v>
      </c>
      <c r="Q31" s="682">
        <v>84.844481957759854</v>
      </c>
      <c r="R31" s="398"/>
      <c r="S31" s="597">
        <f t="shared" si="19"/>
        <v>-2.561790000000002</v>
      </c>
      <c r="T31" s="597">
        <f t="shared" si="20"/>
        <v>-4.000132806812184</v>
      </c>
      <c r="U31" s="597">
        <f t="shared" si="21"/>
        <v>4.8491360411298619</v>
      </c>
      <c r="V31" s="597">
        <f t="shared" si="22"/>
        <v>2.1643980137527201</v>
      </c>
      <c r="W31" s="597">
        <f t="shared" si="23"/>
        <v>0.45161124807039243</v>
      </c>
      <c r="X31" s="597">
        <f t="shared" si="24"/>
        <v>5.199868419315095</v>
      </c>
      <c r="Y31" s="597">
        <f t="shared" si="24"/>
        <v>-4.5175194276045261</v>
      </c>
      <c r="AA31" s="888"/>
    </row>
    <row r="32" spans="1:27">
      <c r="A32" s="392"/>
      <c r="B32" s="410" t="s">
        <v>594</v>
      </c>
      <c r="C32" s="1548">
        <f>Financials!CC59</f>
        <v>38.900496931614612</v>
      </c>
      <c r="D32" s="404">
        <f>Financials!CD59</f>
        <v>253.30293584813623</v>
      </c>
      <c r="E32" s="404">
        <f>Financials!CE59</f>
        <v>334.38776713614362</v>
      </c>
      <c r="F32" s="404">
        <f>Financials!CF59</f>
        <v>267.80449808243009</v>
      </c>
      <c r="G32" s="404">
        <f>Financials!CG59</f>
        <v>894.39569799832464</v>
      </c>
      <c r="H32" s="404">
        <f>Financials!CL59</f>
        <v>1082.0765818191051</v>
      </c>
      <c r="I32" s="404">
        <f>Financials!CQ59</f>
        <v>805.618395706755</v>
      </c>
      <c r="J32" s="398"/>
      <c r="K32" s="684">
        <v>40.281666931614609</v>
      </c>
      <c r="L32" s="684">
        <v>206.20048745244378</v>
      </c>
      <c r="M32" s="684">
        <v>250.04912305833741</v>
      </c>
      <c r="N32" s="684">
        <v>279.5374841094972</v>
      </c>
      <c r="O32" s="684">
        <v>776.0687615518932</v>
      </c>
      <c r="P32" s="684">
        <v>916.89022456646103</v>
      </c>
      <c r="Q32" s="684">
        <v>933.1304278443954</v>
      </c>
      <c r="R32" s="398"/>
      <c r="S32" s="594">
        <f t="shared" si="19"/>
        <v>-1.3811699999999973</v>
      </c>
      <c r="T32" s="594">
        <f t="shared" si="20"/>
        <v>47.102448395692448</v>
      </c>
      <c r="U32" s="594">
        <f t="shared" si="21"/>
        <v>84.338644077806208</v>
      </c>
      <c r="V32" s="594">
        <f t="shared" si="22"/>
        <v>-11.732986027067113</v>
      </c>
      <c r="W32" s="594">
        <f t="shared" si="23"/>
        <v>118.32693644643143</v>
      </c>
      <c r="X32" s="594">
        <f t="shared" si="24"/>
        <v>165.18635725264403</v>
      </c>
      <c r="Y32" s="594">
        <f t="shared" si="24"/>
        <v>-127.5120321376404</v>
      </c>
      <c r="AA32" s="888"/>
    </row>
    <row r="33" spans="1:27">
      <c r="A33" s="392"/>
      <c r="B33" s="410" t="s">
        <v>145</v>
      </c>
      <c r="C33" s="1552">
        <f>Financials!CC64</f>
        <v>0.22229558605702299</v>
      </c>
      <c r="D33" s="601">
        <f>Financials!CD64</f>
        <v>1.4474911380518656</v>
      </c>
      <c r="E33" s="601">
        <f>Financials!CE64</f>
        <v>1.9108476890797164</v>
      </c>
      <c r="F33" s="601">
        <f>Financials!CF64</f>
        <v>1.5303598294539769</v>
      </c>
      <c r="G33" s="601">
        <f>Financials!CG64</f>
        <v>5.1109942426425823</v>
      </c>
      <c r="H33" s="601">
        <f>Financials!CL64</f>
        <v>6.1834903635529015</v>
      </c>
      <c r="I33" s="601">
        <f>Financials!CQ64</f>
        <v>4.6036793238599536</v>
      </c>
      <c r="J33" s="398"/>
      <c r="K33" s="687">
        <v>0.23018823573535796</v>
      </c>
      <c r="L33" s="687">
        <v>1.178325775222488</v>
      </c>
      <c r="M33" s="687">
        <v>1.4288973339084454</v>
      </c>
      <c r="N33" s="687">
        <v>1.5974075849022127</v>
      </c>
      <c r="O33" s="687">
        <v>4.4348189297685057</v>
      </c>
      <c r="P33" s="687">
        <v>5.2395384608650311</v>
      </c>
      <c r="Q33" s="687">
        <v>5.3323425582445596</v>
      </c>
      <c r="R33" s="398"/>
      <c r="S33" s="601">
        <f t="shared" si="19"/>
        <v>-7.8926496783349731E-3</v>
      </c>
      <c r="T33" s="601">
        <f t="shared" si="20"/>
        <v>0.26916536282937753</v>
      </c>
      <c r="U33" s="601">
        <f t="shared" si="21"/>
        <v>0.48195035517127094</v>
      </c>
      <c r="V33" s="601">
        <f t="shared" si="22"/>
        <v>-6.7047755448235824E-2</v>
      </c>
      <c r="W33" s="601">
        <f t="shared" si="23"/>
        <v>0.67617531287407662</v>
      </c>
      <c r="X33" s="601">
        <f t="shared" si="24"/>
        <v>0.94395190268787044</v>
      </c>
      <c r="Y33" s="601">
        <f t="shared" si="24"/>
        <v>-0.72866323438460601</v>
      </c>
      <c r="AA33" s="888"/>
    </row>
    <row r="34" spans="1:27" ht="5.25" customHeight="1">
      <c r="A34" s="392"/>
      <c r="B34" s="392"/>
      <c r="C34" s="1553"/>
      <c r="D34" s="392"/>
      <c r="E34" s="392"/>
      <c r="F34" s="392"/>
      <c r="G34" s="392"/>
      <c r="H34" s="392"/>
      <c r="I34" s="392"/>
      <c r="J34" s="392"/>
      <c r="K34" s="688"/>
      <c r="L34" s="688"/>
      <c r="M34" s="688"/>
      <c r="N34" s="688"/>
      <c r="O34" s="688"/>
      <c r="P34" s="688"/>
      <c r="Q34" s="688"/>
      <c r="R34" s="392"/>
      <c r="S34" s="392"/>
      <c r="T34" s="392"/>
      <c r="U34" s="392"/>
      <c r="V34" s="392"/>
      <c r="W34" s="392"/>
      <c r="X34" s="392"/>
      <c r="Y34" s="392"/>
      <c r="AA34" s="888"/>
    </row>
    <row r="35" spans="1:27">
      <c r="A35" s="392"/>
      <c r="B35" s="773" t="s">
        <v>565</v>
      </c>
      <c r="C35" s="774"/>
      <c r="D35" s="774"/>
      <c r="E35" s="774"/>
      <c r="F35" s="774"/>
      <c r="G35" s="774"/>
      <c r="H35" s="774"/>
      <c r="I35" s="774"/>
      <c r="J35" s="774"/>
      <c r="K35" s="777"/>
      <c r="L35" s="777"/>
      <c r="M35" s="777"/>
      <c r="N35" s="777"/>
      <c r="O35" s="777"/>
      <c r="P35" s="777"/>
      <c r="Q35" s="777"/>
      <c r="R35" s="774"/>
      <c r="S35" s="776"/>
      <c r="T35" s="776"/>
      <c r="U35" s="776"/>
      <c r="V35" s="776"/>
      <c r="W35" s="776"/>
      <c r="X35" s="776"/>
      <c r="Y35" s="776"/>
      <c r="AA35" s="888"/>
    </row>
    <row r="36" spans="1:27">
      <c r="A36" s="392"/>
      <c r="B36" s="400" t="s">
        <v>5</v>
      </c>
      <c r="C36" s="1554">
        <v>3155</v>
      </c>
      <c r="D36" s="602" t="s">
        <v>1015</v>
      </c>
      <c r="E36" s="602" t="s">
        <v>1015</v>
      </c>
      <c r="F36" s="602" t="s">
        <v>1015</v>
      </c>
      <c r="G36" s="602">
        <v>13478</v>
      </c>
      <c r="H36" s="602">
        <v>13953</v>
      </c>
      <c r="I36" s="602">
        <v>14003</v>
      </c>
      <c r="J36" s="399"/>
      <c r="K36" s="392"/>
      <c r="L36" s="392"/>
      <c r="M36" s="392"/>
      <c r="N36" s="392"/>
      <c r="O36" s="392"/>
      <c r="P36" s="392"/>
      <c r="Q36" s="392"/>
      <c r="R36" s="392"/>
      <c r="S36" s="392"/>
      <c r="T36" s="392"/>
      <c r="U36" s="392"/>
      <c r="V36" s="392"/>
      <c r="W36" s="392"/>
      <c r="X36" s="392"/>
      <c r="Y36" s="392"/>
      <c r="AA36" s="888"/>
    </row>
    <row r="37" spans="1:27">
      <c r="A37" s="392"/>
      <c r="B37" s="400" t="s">
        <v>588</v>
      </c>
      <c r="C37" s="1554">
        <v>250</v>
      </c>
      <c r="D37" s="602" t="s">
        <v>1015</v>
      </c>
      <c r="E37" s="602" t="s">
        <v>1015</v>
      </c>
      <c r="F37" s="602" t="s">
        <v>1015</v>
      </c>
      <c r="G37" s="602">
        <v>1635</v>
      </c>
      <c r="H37" s="602">
        <v>1758</v>
      </c>
      <c r="I37" s="602">
        <v>1695</v>
      </c>
      <c r="J37" s="399"/>
      <c r="K37" s="399"/>
      <c r="L37" s="399"/>
      <c r="M37" s="399"/>
      <c r="N37" s="399"/>
      <c r="O37" s="399"/>
      <c r="P37" s="399"/>
      <c r="Q37" s="399"/>
      <c r="R37" s="399"/>
      <c r="S37" s="399"/>
      <c r="T37" s="399"/>
      <c r="U37" s="399"/>
      <c r="V37" s="399"/>
      <c r="W37" s="399"/>
      <c r="X37" s="399"/>
      <c r="Y37" s="399"/>
      <c r="AA37" s="888"/>
    </row>
    <row r="38" spans="1:27">
      <c r="A38" s="392"/>
      <c r="B38" s="400" t="s">
        <v>706</v>
      </c>
      <c r="C38" s="1555">
        <v>0.28999999999999998</v>
      </c>
      <c r="D38" s="603">
        <v>1.37</v>
      </c>
      <c r="E38" s="603">
        <v>1.7</v>
      </c>
      <c r="F38" s="603">
        <v>1.42</v>
      </c>
      <c r="G38" s="603">
        <v>4.58</v>
      </c>
      <c r="H38" s="603">
        <v>4.9800000000000004</v>
      </c>
      <c r="I38" s="603">
        <v>4.4000000000000004</v>
      </c>
      <c r="J38" s="399"/>
      <c r="K38" s="399"/>
      <c r="L38" s="399"/>
      <c r="M38" s="399"/>
      <c r="N38" s="399"/>
      <c r="O38" s="399"/>
      <c r="P38" s="399"/>
      <c r="Q38" s="399"/>
      <c r="R38" s="399"/>
      <c r="S38" s="399"/>
      <c r="T38" s="399"/>
      <c r="U38" s="399"/>
      <c r="V38" s="399"/>
      <c r="W38" s="399"/>
      <c r="X38" s="399"/>
      <c r="Y38" s="399"/>
      <c r="AA38" s="888"/>
    </row>
    <row r="41" spans="1:27">
      <c r="G41" s="1566"/>
      <c r="H41" s="1566"/>
    </row>
  </sheetData>
  <mergeCells count="1">
    <mergeCell ref="B3:B4"/>
  </mergeCells>
  <phoneticPr fontId="86" type="noConversion"/>
  <printOptions horizontalCentered="1" verticalCentered="1"/>
  <pageMargins left="0" right="0" top="0" bottom="0" header="0" footer="0"/>
  <pageSetup paperSize="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enableFormatConditionsCalculation="0">
    <tabColor indexed="19"/>
    <pageSetUpPr fitToPage="1"/>
  </sheetPr>
  <dimension ref="A1:AB38"/>
  <sheetViews>
    <sheetView showGridLines="0" topLeftCell="B1" zoomScale="115" zoomScaleNormal="115" workbookViewId="0"/>
  </sheetViews>
  <sheetFormatPr defaultRowHeight="11.25" customHeight="1"/>
  <cols>
    <col min="1" max="1" width="1.42578125" customWidth="1"/>
    <col min="2" max="2" width="21.7109375" customWidth="1"/>
    <col min="3" max="5" width="7.140625" customWidth="1"/>
    <col min="6" max="6" width="1.42578125" customWidth="1"/>
    <col min="7" max="8" width="7.140625" customWidth="1"/>
    <col min="9" max="9" width="1.42578125" customWidth="1"/>
    <col min="10" max="28" width="7.140625" customWidth="1"/>
  </cols>
  <sheetData>
    <row r="1" spans="1:28" ht="11.25" customHeight="1">
      <c r="A1" s="392"/>
      <c r="B1" s="392"/>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row>
    <row r="2" spans="1:28" ht="11.25" customHeight="1">
      <c r="A2" s="392"/>
      <c r="B2" s="773" t="s">
        <v>841</v>
      </c>
      <c r="C2" s="783" t="s">
        <v>1008</v>
      </c>
      <c r="D2" s="784"/>
      <c r="E2" s="1569" t="s">
        <v>1009</v>
      </c>
      <c r="F2" s="774"/>
      <c r="G2" s="784" t="s">
        <v>169</v>
      </c>
      <c r="H2" s="784"/>
      <c r="I2" s="785"/>
      <c r="J2" s="784" t="s">
        <v>170</v>
      </c>
      <c r="K2" s="784"/>
      <c r="L2" s="392"/>
      <c r="M2" s="787" t="s">
        <v>171</v>
      </c>
      <c r="N2" s="787"/>
      <c r="O2" s="787"/>
      <c r="P2" s="392"/>
      <c r="Q2" s="787" t="s">
        <v>172</v>
      </c>
      <c r="R2" s="787"/>
      <c r="S2" s="787"/>
      <c r="T2" s="787"/>
      <c r="U2" s="787"/>
      <c r="V2" s="787"/>
      <c r="W2" s="787"/>
      <c r="X2" s="787"/>
      <c r="Y2" s="787"/>
      <c r="Z2" s="787"/>
      <c r="AA2" s="787"/>
      <c r="AB2" s="787"/>
    </row>
    <row r="3" spans="1:28" ht="11.25" customHeight="1">
      <c r="A3" s="392"/>
      <c r="B3" s="773" t="s">
        <v>173</v>
      </c>
      <c r="C3" s="777" t="s">
        <v>144</v>
      </c>
      <c r="D3" s="777" t="s">
        <v>147</v>
      </c>
      <c r="E3" s="1569"/>
      <c r="F3" s="774"/>
      <c r="G3" s="786" t="s">
        <v>938</v>
      </c>
      <c r="H3" s="777" t="s">
        <v>751</v>
      </c>
      <c r="I3" s="771"/>
      <c r="J3" s="786" t="s">
        <v>887</v>
      </c>
      <c r="K3" s="777" t="s">
        <v>751</v>
      </c>
      <c r="L3" s="392"/>
      <c r="M3" s="786" t="str">
        <f>J3</f>
        <v>4Q16</v>
      </c>
      <c r="N3" s="786" t="str">
        <f>G3</f>
        <v>3Q17</v>
      </c>
      <c r="O3" s="786" t="str">
        <f>LEFT(C2,2)&amp;MID(C2,5,2)</f>
        <v>4Q17</v>
      </c>
      <c r="P3" s="392"/>
      <c r="Q3" s="786" t="s">
        <v>942</v>
      </c>
      <c r="R3" s="786" t="s">
        <v>564</v>
      </c>
      <c r="S3" s="786" t="s">
        <v>960</v>
      </c>
      <c r="T3" s="786" t="s">
        <v>957</v>
      </c>
      <c r="U3" s="786" t="s">
        <v>958</v>
      </c>
      <c r="V3" s="786" t="s">
        <v>959</v>
      </c>
      <c r="W3" s="786" t="s">
        <v>943</v>
      </c>
      <c r="X3" s="786" t="s">
        <v>1004</v>
      </c>
      <c r="Y3" s="786" t="s">
        <v>1005</v>
      </c>
      <c r="Z3" s="786" t="s">
        <v>1006</v>
      </c>
      <c r="AA3" s="786" t="s">
        <v>1007</v>
      </c>
      <c r="AB3" s="786" t="s">
        <v>949</v>
      </c>
    </row>
    <row r="4" spans="1:28" ht="5.25" customHeight="1">
      <c r="A4" s="392"/>
      <c r="B4" s="392"/>
      <c r="C4" s="392"/>
      <c r="D4" s="392"/>
      <c r="E4" s="392"/>
      <c r="F4" s="392"/>
      <c r="G4" s="392"/>
      <c r="H4" s="392"/>
      <c r="I4" s="392"/>
      <c r="J4" s="392"/>
      <c r="K4" s="392"/>
      <c r="L4" s="392"/>
      <c r="M4" s="392"/>
      <c r="N4" s="392"/>
      <c r="O4" s="392"/>
      <c r="P4" s="392"/>
      <c r="Q4" s="392"/>
      <c r="R4" s="392"/>
      <c r="S4" s="392"/>
      <c r="T4" s="392"/>
      <c r="U4" s="392"/>
      <c r="V4" s="392"/>
      <c r="W4" s="392"/>
      <c r="X4" s="392"/>
      <c r="Y4" s="392"/>
      <c r="Z4" s="392"/>
      <c r="AA4" s="392"/>
      <c r="AB4" s="392"/>
    </row>
    <row r="5" spans="1:28" ht="11.25" customHeight="1">
      <c r="A5" s="392"/>
      <c r="B5" s="773" t="s">
        <v>166</v>
      </c>
      <c r="C5" s="777"/>
      <c r="D5" s="777"/>
      <c r="E5" s="777"/>
      <c r="F5" s="774"/>
      <c r="G5" s="777"/>
      <c r="H5" s="777"/>
      <c r="I5" s="777"/>
      <c r="J5" s="777"/>
      <c r="K5" s="777"/>
      <c r="L5" s="392"/>
      <c r="M5" s="788"/>
      <c r="N5" s="788"/>
      <c r="O5" s="788"/>
      <c r="P5" s="392"/>
      <c r="Q5" s="788"/>
      <c r="R5" s="788"/>
      <c r="S5" s="788"/>
      <c r="T5" s="788"/>
      <c r="U5" s="788"/>
      <c r="V5" s="788"/>
      <c r="W5" s="788"/>
      <c r="X5" s="788"/>
      <c r="Y5" s="788"/>
      <c r="Z5" s="788"/>
      <c r="AA5" s="788"/>
      <c r="AB5" s="788"/>
    </row>
    <row r="6" spans="1:28" ht="11.25" customHeight="1">
      <c r="A6" s="405"/>
      <c r="B6" s="412" t="s">
        <v>176</v>
      </c>
      <c r="C6" s="689">
        <v>92</v>
      </c>
      <c r="D6" s="402">
        <f>O6</f>
        <v>107.53510960373896</v>
      </c>
      <c r="E6" s="1512">
        <f t="shared" ref="E6:E19" si="0">IF(D6&gt;0,C6/D6-1,-(C6/D6-1))</f>
        <v>-0.14446546491638868</v>
      </c>
      <c r="F6" s="402"/>
      <c r="G6" s="402">
        <f>N6</f>
        <v>160</v>
      </c>
      <c r="H6" s="587">
        <f>C6/G6-1</f>
        <v>-0.42500000000000004</v>
      </c>
      <c r="I6" s="402"/>
      <c r="J6" s="402">
        <f>M6</f>
        <v>65</v>
      </c>
      <c r="K6" s="587">
        <f>C6/J6-1</f>
        <v>0.41538461538461546</v>
      </c>
      <c r="L6" s="392"/>
      <c r="M6" s="415">
        <v>65</v>
      </c>
      <c r="N6" s="415">
        <v>160</v>
      </c>
      <c r="O6" s="415">
        <v>107.53510960373896</v>
      </c>
      <c r="P6" s="402"/>
      <c r="Q6" s="402">
        <f>Financials!BV32</f>
        <v>65</v>
      </c>
      <c r="R6" s="402">
        <f>Financials!BW32</f>
        <v>-3</v>
      </c>
      <c r="S6" s="402">
        <f>Financials!BX32</f>
        <v>-90</v>
      </c>
      <c r="T6" s="402">
        <f>Financials!BY32</f>
        <v>218</v>
      </c>
      <c r="U6" s="402">
        <f>Financials!BZ32</f>
        <v>160</v>
      </c>
      <c r="V6" s="402">
        <f>Financials!CA32</f>
        <v>92</v>
      </c>
      <c r="W6" s="402">
        <f>Financials!CB32</f>
        <v>380</v>
      </c>
      <c r="X6" s="402">
        <f>Financials!CC32</f>
        <v>12.182773877665724</v>
      </c>
      <c r="Y6" s="402">
        <f>Financials!CD32</f>
        <v>238.49193922147333</v>
      </c>
      <c r="Z6" s="402">
        <f>Financials!CE32</f>
        <v>303.1320080755936</v>
      </c>
      <c r="AA6" s="402">
        <f>Financials!CF32</f>
        <v>208.56297442298262</v>
      </c>
      <c r="AB6" s="402">
        <f>Financials!CG32</f>
        <v>762.36969559771535</v>
      </c>
    </row>
    <row r="7" spans="1:28" ht="11.25" customHeight="1">
      <c r="A7" s="405"/>
      <c r="B7" s="413" t="s">
        <v>174</v>
      </c>
      <c r="C7" s="690">
        <v>2442</v>
      </c>
      <c r="D7" s="409">
        <f>O7</f>
        <v>2321.62</v>
      </c>
      <c r="E7" s="1512">
        <f t="shared" si="0"/>
        <v>5.1851724227048424E-2</v>
      </c>
      <c r="F7" s="409"/>
      <c r="G7" s="409">
        <f>N7</f>
        <v>2544</v>
      </c>
      <c r="H7" s="588">
        <f>C7/G7-1</f>
        <v>-4.0094339622641528E-2</v>
      </c>
      <c r="I7" s="409"/>
      <c r="J7" s="409">
        <f>M7</f>
        <v>2369</v>
      </c>
      <c r="K7" s="588">
        <f>C7/J7-1</f>
        <v>3.0814689742507451E-2</v>
      </c>
      <c r="L7" s="392"/>
      <c r="M7" s="416">
        <v>2369</v>
      </c>
      <c r="N7" s="416">
        <v>2544</v>
      </c>
      <c r="O7" s="416">
        <v>2321.62</v>
      </c>
      <c r="P7" s="409"/>
      <c r="Q7" s="409">
        <f>Operations!BV34</f>
        <v>2369</v>
      </c>
      <c r="R7" s="409">
        <f>Operations!BW34</f>
        <v>10094</v>
      </c>
      <c r="S7" s="409">
        <f>Operations!BX34</f>
        <v>2404</v>
      </c>
      <c r="T7" s="409">
        <f>Operations!BY34</f>
        <v>2497</v>
      </c>
      <c r="U7" s="409">
        <f>Operations!BZ34</f>
        <v>2544</v>
      </c>
      <c r="V7" s="409">
        <f>Operations!CA34</f>
        <v>2442</v>
      </c>
      <c r="W7" s="409">
        <f>Operations!CB34</f>
        <v>9887</v>
      </c>
      <c r="X7" s="409">
        <f>Operations!CC34</f>
        <v>2428.04</v>
      </c>
      <c r="Y7" s="409">
        <f>Operations!CD34</f>
        <v>2521.9699999999998</v>
      </c>
      <c r="Z7" s="409">
        <f>Operations!CE34</f>
        <v>2798.4</v>
      </c>
      <c r="AA7" s="409">
        <f>Operations!CF34</f>
        <v>2735.0400000000004</v>
      </c>
      <c r="AB7" s="409">
        <f>Operations!CG34</f>
        <v>10483.450000000001</v>
      </c>
    </row>
    <row r="8" spans="1:28" ht="11.25" customHeight="1">
      <c r="A8" s="405"/>
      <c r="B8" s="413" t="s">
        <v>175</v>
      </c>
      <c r="C8" s="691">
        <v>717</v>
      </c>
      <c r="D8" s="414">
        <f>O8</f>
        <v>747.18111849908007</v>
      </c>
      <c r="E8" s="1512">
        <f t="shared" si="0"/>
        <v>-4.0393309937632238E-2</v>
      </c>
      <c r="F8" s="414"/>
      <c r="G8" s="414">
        <f>N8</f>
        <v>728</v>
      </c>
      <c r="H8" s="588">
        <f>C8/G8-1</f>
        <v>-1.5109890109890056E-2</v>
      </c>
      <c r="I8" s="414"/>
      <c r="J8" s="414">
        <f>M8</f>
        <v>692</v>
      </c>
      <c r="K8" s="588">
        <f>C8/J8-1</f>
        <v>3.6127167630057855E-2</v>
      </c>
      <c r="L8" s="392"/>
      <c r="M8" s="417">
        <v>692</v>
      </c>
      <c r="N8" s="417">
        <v>728</v>
      </c>
      <c r="O8" s="417">
        <v>747.18111849908007</v>
      </c>
      <c r="P8" s="414"/>
      <c r="Q8" s="414">
        <f>Operations!BV51</f>
        <v>692</v>
      </c>
      <c r="R8" s="414">
        <f>Operations!BW51</f>
        <v>665.14959381810979</v>
      </c>
      <c r="S8" s="414">
        <f>Operations!BX51</f>
        <v>719</v>
      </c>
      <c r="T8" s="414">
        <f>Operations!BY51</f>
        <v>742</v>
      </c>
      <c r="U8" s="414">
        <f>Operations!BZ51</f>
        <v>728</v>
      </c>
      <c r="V8" s="414">
        <f>Operations!CA51</f>
        <v>717</v>
      </c>
      <c r="W8" s="414">
        <f>Operations!CB51</f>
        <v>726.63052493172859</v>
      </c>
      <c r="X8" s="414">
        <f>Operations!CC51</f>
        <v>738.17412213988166</v>
      </c>
      <c r="Y8" s="414">
        <f>Operations!CD51</f>
        <v>788.21788549791711</v>
      </c>
      <c r="Z8" s="414">
        <f>Operations!CE51</f>
        <v>813.86551984854191</v>
      </c>
      <c r="AA8" s="414">
        <f>Operations!CF51</f>
        <v>819.91036389397925</v>
      </c>
      <c r="AB8" s="414">
        <f>Operations!CG51</f>
        <v>791.74194264468736</v>
      </c>
    </row>
    <row r="9" spans="1:28" ht="11.25" customHeight="1">
      <c r="A9" s="405"/>
      <c r="B9" s="413" t="s">
        <v>157</v>
      </c>
      <c r="C9" s="397">
        <f>((C7/1000)*C8-C6)/(C7/1000)</f>
        <v>679.32596232596234</v>
      </c>
      <c r="D9" s="397">
        <f>((D7/1000)*D8-D6)/(D7/1000)</f>
        <v>700.86212159013758</v>
      </c>
      <c r="E9" s="1512">
        <f t="shared" si="0"/>
        <v>-3.0728097011882061E-2</v>
      </c>
      <c r="F9" s="414"/>
      <c r="G9" s="397">
        <f>((G7/1000)*G8-G6)/(G7/1000)</f>
        <v>665.10691823899367</v>
      </c>
      <c r="H9" s="588">
        <f>C9/G9-1</f>
        <v>2.1378583949504648E-2</v>
      </c>
      <c r="I9" s="414"/>
      <c r="J9" s="397">
        <f>((J7/1000)*J8-J6)/(J7/1000)</f>
        <v>664.56226255804143</v>
      </c>
      <c r="K9" s="588">
        <f>C9/J9-1</f>
        <v>2.2215675790997036E-2</v>
      </c>
      <c r="L9" s="392"/>
      <c r="M9" s="417">
        <v>664.56226255804143</v>
      </c>
      <c r="N9" s="417">
        <v>665.10691823899367</v>
      </c>
      <c r="O9" s="417">
        <v>700.86212159013758</v>
      </c>
      <c r="P9" s="414"/>
      <c r="Q9" s="397">
        <f t="shared" ref="Q9:W9" si="1">((Q7/1000)*Q8-Q6)/(Q7/1000)</f>
        <v>664.56226255804143</v>
      </c>
      <c r="R9" s="397">
        <f t="shared" si="1"/>
        <v>665.44680007925501</v>
      </c>
      <c r="S9" s="397">
        <f t="shared" si="1"/>
        <v>756.4376039933444</v>
      </c>
      <c r="T9" s="397">
        <f t="shared" si="1"/>
        <v>654.69523428113735</v>
      </c>
      <c r="U9" s="397">
        <f t="shared" si="1"/>
        <v>665.10691823899367</v>
      </c>
      <c r="V9" s="397">
        <f t="shared" si="1"/>
        <v>679.32596232596234</v>
      </c>
      <c r="W9" s="397">
        <f t="shared" si="1"/>
        <v>688.19621725498132</v>
      </c>
      <c r="X9" s="397">
        <f t="shared" ref="X9:AB9" si="2">((X7/1000)*X8-X6)/(X7/1000)</f>
        <v>733.15658788275823</v>
      </c>
      <c r="Y9" s="397">
        <f t="shared" si="2"/>
        <v>693.65215346245543</v>
      </c>
      <c r="Z9" s="397">
        <f t="shared" si="2"/>
        <v>705.5421893469719</v>
      </c>
      <c r="AA9" s="397">
        <f t="shared" si="2"/>
        <v>743.65445011466238</v>
      </c>
      <c r="AB9" s="397">
        <f t="shared" si="2"/>
        <v>719.0206824109174</v>
      </c>
    </row>
    <row r="10" spans="1:28" ht="5.25" customHeight="1">
      <c r="A10" s="405"/>
      <c r="B10" s="403"/>
      <c r="C10" s="397"/>
      <c r="D10" s="397"/>
      <c r="E10" s="397"/>
      <c r="F10" s="407"/>
      <c r="G10" s="397"/>
      <c r="H10" s="588"/>
      <c r="I10" s="407"/>
      <c r="J10" s="397"/>
      <c r="K10" s="588"/>
      <c r="L10" s="392"/>
      <c r="M10" s="406"/>
      <c r="N10" s="406"/>
      <c r="O10" s="406"/>
      <c r="P10" s="397"/>
      <c r="Q10" s="397"/>
      <c r="R10" s="397"/>
      <c r="S10" s="397"/>
      <c r="T10" s="397"/>
      <c r="U10" s="397"/>
      <c r="V10" s="397"/>
      <c r="W10" s="397"/>
      <c r="X10" s="397"/>
      <c r="Y10" s="397"/>
      <c r="Z10" s="397"/>
      <c r="AA10" s="397"/>
      <c r="AB10" s="397"/>
    </row>
    <row r="11" spans="1:28" ht="11.25" customHeight="1">
      <c r="A11" s="405"/>
      <c r="B11" s="412" t="s">
        <v>177</v>
      </c>
      <c r="C11" s="689">
        <v>112</v>
      </c>
      <c r="D11" s="402">
        <f>O11</f>
        <v>104.8619492374939</v>
      </c>
      <c r="E11" s="1512">
        <f t="shared" si="0"/>
        <v>6.8070933397772926E-2</v>
      </c>
      <c r="F11" s="402"/>
      <c r="G11" s="402">
        <f>N11</f>
        <v>73</v>
      </c>
      <c r="H11" s="587">
        <f>C11/G11-1</f>
        <v>0.53424657534246567</v>
      </c>
      <c r="I11" s="402"/>
      <c r="J11" s="402">
        <f>M11</f>
        <v>63</v>
      </c>
      <c r="K11" s="587">
        <f>C11/J11-1</f>
        <v>0.77777777777777768</v>
      </c>
      <c r="L11" s="392"/>
      <c r="M11" s="415">
        <v>63</v>
      </c>
      <c r="N11" s="415">
        <v>73</v>
      </c>
      <c r="O11" s="415">
        <v>104.8619492374939</v>
      </c>
      <c r="P11" s="402"/>
      <c r="Q11" s="402">
        <f>Financials!BV33</f>
        <v>63</v>
      </c>
      <c r="R11" s="402">
        <f>Financials!BW33</f>
        <v>185</v>
      </c>
      <c r="S11" s="402">
        <f>Financials!BX33</f>
        <v>87</v>
      </c>
      <c r="T11" s="402">
        <f>Financials!BY33</f>
        <v>55</v>
      </c>
      <c r="U11" s="402">
        <f>Financials!BZ33</f>
        <v>73</v>
      </c>
      <c r="V11" s="402">
        <f>Financials!CA33</f>
        <v>112</v>
      </c>
      <c r="W11" s="402">
        <f>Financials!CB33</f>
        <v>327</v>
      </c>
      <c r="X11" s="402">
        <f>Financials!CC33</f>
        <v>100.86178415942898</v>
      </c>
      <c r="Y11" s="402">
        <f>Financials!CD33</f>
        <v>70.953121378025813</v>
      </c>
      <c r="Z11" s="402">
        <f>Financials!CE33</f>
        <v>75.939801944990194</v>
      </c>
      <c r="AA11" s="402">
        <f>Financials!CF33</f>
        <v>123.10618763336902</v>
      </c>
      <c r="AB11" s="402">
        <f>Financials!CG33</f>
        <v>370.860895115814</v>
      </c>
    </row>
    <row r="12" spans="1:28" ht="11.25" customHeight="1">
      <c r="A12" s="405"/>
      <c r="B12" s="413" t="s">
        <v>174</v>
      </c>
      <c r="C12" s="690">
        <v>1252</v>
      </c>
      <c r="D12" s="409">
        <f>O12</f>
        <v>1109.68</v>
      </c>
      <c r="E12" s="1512">
        <f t="shared" si="0"/>
        <v>0.12825319010886016</v>
      </c>
      <c r="F12" s="409"/>
      <c r="G12" s="409">
        <f>N12</f>
        <v>1067</v>
      </c>
      <c r="H12" s="588">
        <f>C12/G12-1</f>
        <v>0.17338331771321469</v>
      </c>
      <c r="I12" s="409"/>
      <c r="J12" s="409">
        <f>M12</f>
        <v>1261</v>
      </c>
      <c r="K12" s="588">
        <f>C12/J12-1</f>
        <v>-7.1371927042029881E-3</v>
      </c>
      <c r="L12" s="392"/>
      <c r="M12" s="416">
        <v>1261</v>
      </c>
      <c r="N12" s="416">
        <v>1067</v>
      </c>
      <c r="O12" s="416">
        <v>1109.68</v>
      </c>
      <c r="P12" s="409"/>
      <c r="Q12" s="409">
        <f>Operations!BV141</f>
        <v>1261</v>
      </c>
      <c r="R12" s="409">
        <f>Operations!BW141</f>
        <v>4495</v>
      </c>
      <c r="S12" s="409">
        <f>Operations!BX141</f>
        <v>1109</v>
      </c>
      <c r="T12" s="409">
        <f>Operations!BY141</f>
        <v>1157</v>
      </c>
      <c r="U12" s="409">
        <f>Operations!BZ141</f>
        <v>1067</v>
      </c>
      <c r="V12" s="409">
        <f>Operations!CA141</f>
        <v>1252</v>
      </c>
      <c r="W12" s="409">
        <f>Operations!CB141</f>
        <v>4585</v>
      </c>
      <c r="X12" s="409">
        <f>Operations!CC141</f>
        <v>1109</v>
      </c>
      <c r="Y12" s="409">
        <f>Operations!CD141</f>
        <v>1157</v>
      </c>
      <c r="Z12" s="409">
        <f>Operations!CE141</f>
        <v>1067</v>
      </c>
      <c r="AA12" s="409">
        <f>Operations!CF141</f>
        <v>1252</v>
      </c>
      <c r="AB12" s="409">
        <f>Operations!CG141</f>
        <v>4585</v>
      </c>
    </row>
    <row r="13" spans="1:28" ht="11.25" customHeight="1">
      <c r="A13" s="405"/>
      <c r="B13" s="413" t="s">
        <v>175</v>
      </c>
      <c r="C13" s="691">
        <v>634</v>
      </c>
      <c r="D13" s="414">
        <f>O13</f>
        <v>672.75604189045578</v>
      </c>
      <c r="E13" s="1512">
        <f t="shared" si="0"/>
        <v>-5.7607868940947271E-2</v>
      </c>
      <c r="F13" s="414"/>
      <c r="G13" s="414">
        <f>N13</f>
        <v>639</v>
      </c>
      <c r="H13" s="588">
        <f>C13/G13-1</f>
        <v>-7.8247261345852914E-3</v>
      </c>
      <c r="I13" s="414"/>
      <c r="J13" s="414">
        <f>M13</f>
        <v>484</v>
      </c>
      <c r="K13" s="588">
        <f>C13/J13-1</f>
        <v>0.30991735537190079</v>
      </c>
      <c r="L13" s="392"/>
      <c r="M13" s="417">
        <v>484</v>
      </c>
      <c r="N13" s="417">
        <v>639</v>
      </c>
      <c r="O13" s="417">
        <v>672.75604189045578</v>
      </c>
      <c r="P13" s="414"/>
      <c r="Q13" s="414">
        <f>Operations!BV155</f>
        <v>484</v>
      </c>
      <c r="R13" s="414">
        <f>Operations!BW155</f>
        <v>482.5</v>
      </c>
      <c r="S13" s="414">
        <f>Operations!BX155</f>
        <v>594</v>
      </c>
      <c r="T13" s="414">
        <f>Operations!BY155</f>
        <v>620</v>
      </c>
      <c r="U13" s="414">
        <f>Operations!BZ155</f>
        <v>639</v>
      </c>
      <c r="V13" s="414">
        <f>Operations!CA155</f>
        <v>634</v>
      </c>
      <c r="W13" s="414">
        <f>Operations!CB155</f>
        <v>621.75</v>
      </c>
      <c r="X13" s="414">
        <f>Operations!CC155</f>
        <v>726.40805393384903</v>
      </c>
      <c r="Y13" s="414">
        <f>Operations!CD155</f>
        <v>741.68768141411465</v>
      </c>
      <c r="Z13" s="414">
        <f>Operations!CE155</f>
        <v>719.94483338805537</v>
      </c>
      <c r="AA13" s="414">
        <f>Operations!CF155</f>
        <v>689.48870448959258</v>
      </c>
      <c r="AB13" s="414">
        <f>Operations!CG155</f>
        <v>719.38231830640291</v>
      </c>
    </row>
    <row r="14" spans="1:28" ht="11.25" customHeight="1">
      <c r="A14" s="405"/>
      <c r="B14" s="413" t="s">
        <v>157</v>
      </c>
      <c r="C14" s="397">
        <f>((C12/1000)*C13-C11)/(C12/1000)</f>
        <v>544.54313099041531</v>
      </c>
      <c r="D14" s="397">
        <f>((D12/1000)*D13-D11)/(D12/1000)</f>
        <v>578.25857483914922</v>
      </c>
      <c r="E14" s="1512">
        <f t="shared" si="0"/>
        <v>-5.8305134269928227E-2</v>
      </c>
      <c r="F14" s="414"/>
      <c r="G14" s="397">
        <f>((G12/1000)*G13-G11)/(G12/1000)</f>
        <v>570.58388003748826</v>
      </c>
      <c r="H14" s="588">
        <f>C14/G14-1</f>
        <v>-4.5638774522270165E-2</v>
      </c>
      <c r="I14" s="414"/>
      <c r="J14" s="397">
        <f>((J12/1000)*J13-J11)/(J12/1000)</f>
        <v>434.03965107057888</v>
      </c>
      <c r="K14" s="588">
        <f>C14/J14-1</f>
        <v>0.25459305307078384</v>
      </c>
      <c r="L14" s="392"/>
      <c r="M14" s="417">
        <v>434.03965107057888</v>
      </c>
      <c r="N14" s="417">
        <v>570.58388003748826</v>
      </c>
      <c r="O14" s="417">
        <v>578.25857483914922</v>
      </c>
      <c r="P14" s="414"/>
      <c r="Q14" s="397">
        <f t="shared" ref="Q14:W14" si="3">((Q12/1000)*Q13-Q11)/(Q12/1000)</f>
        <v>434.03965107057888</v>
      </c>
      <c r="R14" s="397">
        <f t="shared" si="3"/>
        <v>441.34315906562847</v>
      </c>
      <c r="S14" s="397">
        <f t="shared" si="3"/>
        <v>515.55094679891795</v>
      </c>
      <c r="T14" s="397">
        <f t="shared" si="3"/>
        <v>572.46326707000867</v>
      </c>
      <c r="U14" s="397">
        <f t="shared" si="3"/>
        <v>570.58388003748826</v>
      </c>
      <c r="V14" s="397">
        <f t="shared" si="3"/>
        <v>544.54313099041531</v>
      </c>
      <c r="W14" s="397">
        <f t="shared" si="3"/>
        <v>550.43047982551798</v>
      </c>
      <c r="X14" s="397">
        <f t="shared" ref="X14:AB14" si="4">((X12/1000)*X13-X11)/(X12/1000)</f>
        <v>635.4596462156984</v>
      </c>
      <c r="Y14" s="397">
        <f t="shared" si="4"/>
        <v>680.36259811417881</v>
      </c>
      <c r="Z14" s="397">
        <f t="shared" si="4"/>
        <v>648.77351010315363</v>
      </c>
      <c r="AA14" s="397">
        <f t="shared" si="4"/>
        <v>591.16107858434577</v>
      </c>
      <c r="AB14" s="397">
        <f t="shared" si="4"/>
        <v>638.49662689619265</v>
      </c>
    </row>
    <row r="15" spans="1:28" ht="5.25" customHeight="1">
      <c r="A15" s="405"/>
      <c r="B15" s="403"/>
      <c r="C15" s="397"/>
      <c r="D15" s="397"/>
      <c r="E15" s="397"/>
      <c r="F15" s="407"/>
      <c r="G15" s="397"/>
      <c r="H15" s="588"/>
      <c r="I15" s="407"/>
      <c r="J15" s="397"/>
      <c r="K15" s="588"/>
      <c r="L15" s="392"/>
      <c r="M15" s="406"/>
      <c r="N15" s="406"/>
      <c r="O15" s="406"/>
      <c r="P15" s="397"/>
      <c r="Q15" s="397"/>
      <c r="R15" s="397"/>
      <c r="S15" s="397"/>
      <c r="T15" s="397"/>
      <c r="U15" s="397"/>
      <c r="V15" s="397"/>
      <c r="W15" s="397"/>
      <c r="X15" s="397"/>
      <c r="Y15" s="397"/>
      <c r="Z15" s="397"/>
      <c r="AA15" s="397"/>
      <c r="AB15" s="397"/>
    </row>
    <row r="16" spans="1:28" ht="11.25" customHeight="1">
      <c r="A16" s="405"/>
      <c r="B16" s="412" t="s">
        <v>178</v>
      </c>
      <c r="C16" s="689">
        <v>-6</v>
      </c>
      <c r="D16" s="402">
        <f>O16</f>
        <v>-0.22462811215235234</v>
      </c>
      <c r="E16" s="1513" t="s">
        <v>632</v>
      </c>
      <c r="F16" s="402"/>
      <c r="G16" s="402">
        <f>N16</f>
        <v>-7</v>
      </c>
      <c r="H16" s="587">
        <f>C16/G16-1</f>
        <v>-0.1428571428571429</v>
      </c>
      <c r="I16" s="402"/>
      <c r="J16" s="402">
        <f>M16</f>
        <v>-87</v>
      </c>
      <c r="K16" s="587">
        <f>C16/J16-1</f>
        <v>-0.93103448275862066</v>
      </c>
      <c r="L16" s="392"/>
      <c r="M16" s="415">
        <v>-87</v>
      </c>
      <c r="N16" s="415">
        <v>-7</v>
      </c>
      <c r="O16" s="415">
        <v>-0.22462811215235234</v>
      </c>
      <c r="P16" s="402"/>
      <c r="Q16" s="402">
        <f>Financials!BV34</f>
        <v>-87</v>
      </c>
      <c r="R16" s="402">
        <f>Financials!BW34</f>
        <v>-304</v>
      </c>
      <c r="S16" s="402">
        <f>Financials!BX34</f>
        <v>-57</v>
      </c>
      <c r="T16" s="402">
        <f>Financials!BY34</f>
        <v>-29</v>
      </c>
      <c r="U16" s="402">
        <f>Financials!BZ34</f>
        <v>-7</v>
      </c>
      <c r="V16" s="402">
        <f>Financials!CA34</f>
        <v>-6</v>
      </c>
      <c r="W16" s="402">
        <f>Financials!CB34</f>
        <v>-99</v>
      </c>
      <c r="X16" s="402">
        <f>Financials!CC34</f>
        <v>3.241913567999994</v>
      </c>
      <c r="Y16" s="402">
        <f>Financials!CD34</f>
        <v>15.299131919999972</v>
      </c>
      <c r="Z16" s="402">
        <f>Financials!CE34</f>
        <v>27.611343820000052</v>
      </c>
      <c r="AA16" s="402">
        <f>Financials!CF34</f>
        <v>18.15830914600004</v>
      </c>
      <c r="AB16" s="402">
        <f>Financials!CG34</f>
        <v>64.310698454000061</v>
      </c>
    </row>
    <row r="17" spans="1:28" ht="11.25" customHeight="1">
      <c r="A17" s="405"/>
      <c r="B17" s="413" t="s">
        <v>174</v>
      </c>
      <c r="C17" s="690">
        <v>179</v>
      </c>
      <c r="D17" s="409">
        <f>O17</f>
        <v>168.35999999999999</v>
      </c>
      <c r="E17" s="1512">
        <f t="shared" si="0"/>
        <v>6.3197909242100447E-2</v>
      </c>
      <c r="F17" s="409"/>
      <c r="G17" s="409">
        <f>N17</f>
        <v>185</v>
      </c>
      <c r="H17" s="588">
        <f>C17/G17-1</f>
        <v>-3.2432432432432434E-2</v>
      </c>
      <c r="I17" s="409"/>
      <c r="J17" s="409">
        <f>M17</f>
        <v>138</v>
      </c>
      <c r="K17" s="588">
        <f>C17/J17-1</f>
        <v>0.29710144927536231</v>
      </c>
      <c r="L17" s="392"/>
      <c r="M17" s="416">
        <v>138</v>
      </c>
      <c r="N17" s="416">
        <v>185</v>
      </c>
      <c r="O17" s="416">
        <v>168.35999999999999</v>
      </c>
      <c r="P17" s="409"/>
      <c r="Q17" s="409">
        <f>Operations!BV100</f>
        <v>138</v>
      </c>
      <c r="R17" s="409">
        <f>Operations!BW100</f>
        <v>400</v>
      </c>
      <c r="S17" s="409">
        <f>Operations!BX100</f>
        <v>144</v>
      </c>
      <c r="T17" s="409">
        <f>Operations!BY100</f>
        <v>180</v>
      </c>
      <c r="U17" s="409">
        <f>Operations!BZ100</f>
        <v>185</v>
      </c>
      <c r="V17" s="409">
        <f>Operations!CA100</f>
        <v>179</v>
      </c>
      <c r="W17" s="409">
        <f>Operations!CB100</f>
        <v>688</v>
      </c>
      <c r="X17" s="409">
        <f>Operations!CC100</f>
        <v>151.20000000000002</v>
      </c>
      <c r="Y17" s="409">
        <f>Operations!CD100</f>
        <v>216</v>
      </c>
      <c r="Z17" s="409">
        <f>Operations!CE100</f>
        <v>222</v>
      </c>
      <c r="AA17" s="409">
        <f>Operations!CF100</f>
        <v>187.95000000000002</v>
      </c>
      <c r="AB17" s="409">
        <f>Operations!CG100</f>
        <v>777.15000000000009</v>
      </c>
    </row>
    <row r="18" spans="1:28" ht="11.25" customHeight="1">
      <c r="A18" s="405"/>
      <c r="B18" s="413" t="s">
        <v>175</v>
      </c>
      <c r="C18" s="691">
        <v>1417</v>
      </c>
      <c r="D18" s="414">
        <f>O18</f>
        <v>1398.2263733333334</v>
      </c>
      <c r="E18" s="1512">
        <f t="shared" si="0"/>
        <v>1.3426743354805204E-2</v>
      </c>
      <c r="F18" s="414"/>
      <c r="G18" s="414">
        <f>N18</f>
        <v>1433</v>
      </c>
      <c r="H18" s="588">
        <f>C18/G18-1</f>
        <v>-1.1165387299371998E-2</v>
      </c>
      <c r="I18" s="414"/>
      <c r="J18" s="414">
        <f>M18</f>
        <v>1027</v>
      </c>
      <c r="K18" s="588">
        <f>C18/J18-1</f>
        <v>0.379746835443038</v>
      </c>
      <c r="L18" s="392"/>
      <c r="M18" s="417">
        <v>1027</v>
      </c>
      <c r="N18" s="417">
        <v>1433</v>
      </c>
      <c r="O18" s="417">
        <v>1398.2263733333334</v>
      </c>
      <c r="P18" s="414"/>
      <c r="Q18" s="414">
        <f>Operations!BV116</f>
        <v>1027</v>
      </c>
      <c r="R18" s="414">
        <f>Operations!BW116</f>
        <v>1070.7325000000001</v>
      </c>
      <c r="S18" s="414">
        <f>Operations!BX116</f>
        <v>1097</v>
      </c>
      <c r="T18" s="414">
        <f>Operations!BY116</f>
        <v>1234</v>
      </c>
      <c r="U18" s="414">
        <f>Operations!BZ116</f>
        <v>1433</v>
      </c>
      <c r="V18" s="414">
        <f>Operations!CA116</f>
        <v>1417</v>
      </c>
      <c r="W18" s="414">
        <f>Operations!CB116</f>
        <v>1306.4476744186047</v>
      </c>
      <c r="X18" s="414">
        <f>Operations!CC116</f>
        <v>1455.8063066666666</v>
      </c>
      <c r="Y18" s="414">
        <f>Operations!CD116</f>
        <v>1586.3848699999999</v>
      </c>
      <c r="Z18" s="414">
        <f>Operations!CE116</f>
        <v>1638.4294766666669</v>
      </c>
      <c r="AA18" s="414">
        <f>Operations!CF116</f>
        <v>1620.4592133333335</v>
      </c>
      <c r="AB18" s="414">
        <f>Operations!CG116</f>
        <v>1584.0876258817473</v>
      </c>
    </row>
    <row r="19" spans="1:28" ht="11.25" customHeight="1">
      <c r="A19" s="405"/>
      <c r="B19" s="413" t="s">
        <v>157</v>
      </c>
      <c r="C19" s="397">
        <f>((C17/1000)*C18-C16)/(C17/1000)</f>
        <v>1450.519553072626</v>
      </c>
      <c r="D19" s="397">
        <f>((D17/1000)*D18-D16)/(D17/1000)</f>
        <v>1399.5605864014751</v>
      </c>
      <c r="E19" s="1512">
        <f t="shared" si="0"/>
        <v>3.6410690016768443E-2</v>
      </c>
      <c r="F19" s="414"/>
      <c r="G19" s="397">
        <f>((G17/1000)*G18-G16)/(G17/1000)</f>
        <v>1470.8378378378379</v>
      </c>
      <c r="H19" s="588">
        <f>C19/G19-1</f>
        <v>-1.3814088978755357E-2</v>
      </c>
      <c r="I19" s="414"/>
      <c r="J19" s="397">
        <f>((J17/1000)*J18-J16)/(J17/1000)</f>
        <v>1657.4347826086955</v>
      </c>
      <c r="K19" s="588">
        <f>C19/J19-1</f>
        <v>-0.124840646345311</v>
      </c>
      <c r="L19" s="392"/>
      <c r="M19" s="417">
        <v>1657.4347826086955</v>
      </c>
      <c r="N19" s="417">
        <v>1470.8378378378379</v>
      </c>
      <c r="O19" s="417">
        <v>1399.5605864014751</v>
      </c>
      <c r="P19" s="414"/>
      <c r="Q19" s="397">
        <f t="shared" ref="Q19:W19" si="5">((Q17/1000)*Q18-Q16)/(Q17/1000)</f>
        <v>1657.4347826086955</v>
      </c>
      <c r="R19" s="397">
        <f t="shared" si="5"/>
        <v>1830.7325000000003</v>
      </c>
      <c r="S19" s="397">
        <f t="shared" si="5"/>
        <v>1492.8333333333335</v>
      </c>
      <c r="T19" s="397">
        <f t="shared" si="5"/>
        <v>1395.1111111111111</v>
      </c>
      <c r="U19" s="397">
        <f t="shared" si="5"/>
        <v>1470.8378378378379</v>
      </c>
      <c r="V19" s="397">
        <f t="shared" si="5"/>
        <v>1450.519553072626</v>
      </c>
      <c r="W19" s="397">
        <f t="shared" si="5"/>
        <v>1450.3430232558142</v>
      </c>
      <c r="X19" s="397">
        <f t="shared" ref="X19:AB19" si="6">((X17/1000)*X18-X16)/(X17/1000)</f>
        <v>1434.3650793650793</v>
      </c>
      <c r="Y19" s="397">
        <f t="shared" si="6"/>
        <v>1515.5555555555557</v>
      </c>
      <c r="Z19" s="397">
        <f t="shared" si="6"/>
        <v>1514.0540540540539</v>
      </c>
      <c r="AA19" s="397">
        <f t="shared" si="6"/>
        <v>1523.8467677573824</v>
      </c>
      <c r="AB19" s="397">
        <f t="shared" si="6"/>
        <v>1501.3356494885156</v>
      </c>
    </row>
    <row r="20" spans="1:28" ht="5.25" customHeight="1">
      <c r="A20" s="392"/>
      <c r="B20" s="408"/>
      <c r="C20" s="725"/>
      <c r="D20" s="392"/>
      <c r="E20" s="392"/>
      <c r="F20" s="392"/>
      <c r="G20" s="392"/>
      <c r="H20" s="588"/>
      <c r="I20" s="392"/>
      <c r="J20" s="392"/>
      <c r="K20" s="588"/>
      <c r="L20" s="392"/>
      <c r="M20" s="418"/>
      <c r="N20" s="418"/>
      <c r="O20" s="418"/>
      <c r="P20" s="392"/>
      <c r="Q20" s="392"/>
      <c r="R20" s="392"/>
      <c r="S20" s="392"/>
      <c r="T20" s="392"/>
      <c r="U20" s="392"/>
      <c r="V20" s="392"/>
      <c r="W20" s="392"/>
      <c r="X20" s="392"/>
      <c r="Y20" s="392"/>
      <c r="Z20" s="392"/>
      <c r="AA20" s="392"/>
      <c r="AB20" s="392"/>
    </row>
    <row r="21" spans="1:28" ht="11.25" customHeight="1">
      <c r="A21" s="392"/>
      <c r="B21" s="773" t="s">
        <v>559</v>
      </c>
      <c r="C21" s="789"/>
      <c r="D21" s="788"/>
      <c r="E21" s="788"/>
      <c r="F21" s="788"/>
      <c r="G21" s="788"/>
      <c r="H21" s="790"/>
      <c r="I21" s="788"/>
      <c r="J21" s="788"/>
      <c r="K21" s="790"/>
      <c r="L21" s="392"/>
      <c r="M21" s="791"/>
      <c r="N21" s="791"/>
      <c r="O21" s="791"/>
      <c r="P21" s="392"/>
      <c r="Q21" s="788"/>
      <c r="R21" s="788"/>
      <c r="S21" s="788"/>
      <c r="T21" s="788"/>
      <c r="U21" s="788"/>
      <c r="V21" s="788"/>
      <c r="W21" s="788"/>
      <c r="X21" s="788"/>
      <c r="Y21" s="788"/>
      <c r="Z21" s="788"/>
      <c r="AA21" s="788"/>
      <c r="AB21" s="788"/>
    </row>
    <row r="22" spans="1:28" ht="11.25" customHeight="1">
      <c r="A22" s="392"/>
      <c r="B22" s="400" t="s">
        <v>580</v>
      </c>
      <c r="C22" s="690">
        <v>3133</v>
      </c>
      <c r="D22" s="409">
        <f>O22</f>
        <v>3169.7809451092353</v>
      </c>
      <c r="E22" s="1512">
        <f t="shared" ref="E22:E25" si="7">IF(D22&gt;0,C22/D22-1,-(C22/D22-1))</f>
        <v>-1.1603623640297878E-2</v>
      </c>
      <c r="F22" s="409"/>
      <c r="G22" s="409">
        <f>N22</f>
        <v>3248</v>
      </c>
      <c r="H22" s="588">
        <f>C22/G22-1</f>
        <v>-3.5406403940886677E-2</v>
      </c>
      <c r="I22" s="409"/>
      <c r="J22" s="409">
        <f>M22</f>
        <v>2650</v>
      </c>
      <c r="K22" s="588">
        <f>C22/J22-1</f>
        <v>0.18226415094339621</v>
      </c>
      <c r="L22" s="392"/>
      <c r="M22" s="416">
        <v>2650</v>
      </c>
      <c r="N22" s="416">
        <v>3248</v>
      </c>
      <c r="O22" s="416">
        <v>3169.7809451092353</v>
      </c>
      <c r="P22" s="409"/>
      <c r="Q22" s="409">
        <f>Financials!BV14</f>
        <v>2650</v>
      </c>
      <c r="R22" s="409">
        <f>Financials!BW14</f>
        <v>10261</v>
      </c>
      <c r="S22" s="409">
        <f>Financials!BX14</f>
        <v>2725</v>
      </c>
      <c r="T22" s="409">
        <f>Financials!BY14</f>
        <v>3144</v>
      </c>
      <c r="U22" s="409">
        <f>Financials!BZ14</f>
        <v>3248</v>
      </c>
      <c r="V22" s="409">
        <f>Financials!CA14</f>
        <v>3133</v>
      </c>
      <c r="W22" s="409">
        <f>Financials!CB14</f>
        <v>12250</v>
      </c>
      <c r="X22" s="409">
        <f>Financials!CC14</f>
        <v>3135.5207409011568</v>
      </c>
      <c r="Y22" s="409">
        <f>Financials!CD14</f>
        <v>3506.1536400053119</v>
      </c>
      <c r="Z22" s="409">
        <f>Financials!CE14</f>
        <v>3726.9337517892145</v>
      </c>
      <c r="AA22" s="409">
        <f>Financials!CF14</f>
        <v>3727.7928088315593</v>
      </c>
      <c r="AB22" s="409">
        <f>Financials!CG14</f>
        <v>14096.400941527243</v>
      </c>
    </row>
    <row r="23" spans="1:28" ht="11.25" customHeight="1">
      <c r="A23" s="392"/>
      <c r="B23" s="400" t="s">
        <v>586</v>
      </c>
      <c r="C23" s="690">
        <v>110</v>
      </c>
      <c r="D23" s="409">
        <f>O23</f>
        <v>86.85668230133065</v>
      </c>
      <c r="E23" s="1512">
        <f t="shared" si="7"/>
        <v>0.2664540837327698</v>
      </c>
      <c r="F23" s="409"/>
      <c r="G23" s="409">
        <f>N23</f>
        <v>89</v>
      </c>
      <c r="H23" s="588">
        <f>C23/G23-1</f>
        <v>0.23595505617977519</v>
      </c>
      <c r="I23" s="409"/>
      <c r="J23" s="409">
        <f>M23</f>
        <v>49</v>
      </c>
      <c r="K23" s="588">
        <f>C23/J23-1</f>
        <v>1.2448979591836733</v>
      </c>
      <c r="L23" s="392"/>
      <c r="M23" s="416">
        <v>49</v>
      </c>
      <c r="N23" s="416">
        <v>89</v>
      </c>
      <c r="O23" s="416">
        <v>86.85668230133065</v>
      </c>
      <c r="P23" s="409"/>
      <c r="Q23" s="409">
        <f>Financials!BV23</f>
        <v>49</v>
      </c>
      <c r="R23" s="409">
        <f>Financials!BW23</f>
        <v>255</v>
      </c>
      <c r="S23" s="409">
        <f>Financials!BX23</f>
        <v>97</v>
      </c>
      <c r="T23" s="409">
        <f>Financials!BY23</f>
        <v>79</v>
      </c>
      <c r="U23" s="409">
        <f>Financials!BZ23</f>
        <v>89</v>
      </c>
      <c r="V23" s="409">
        <f>Financials!CA23</f>
        <v>110</v>
      </c>
      <c r="W23" s="409">
        <f>Financials!CB23</f>
        <v>375</v>
      </c>
      <c r="X23" s="409">
        <f>Financials!CC23</f>
        <v>94.065622227034709</v>
      </c>
      <c r="Y23" s="409">
        <f>Financials!CD23</f>
        <v>105.18460920015936</v>
      </c>
      <c r="Z23" s="409">
        <f>Financials!CE23</f>
        <v>111.80801255367643</v>
      </c>
      <c r="AA23" s="409">
        <f>Financials!CF23</f>
        <v>111.83378426494677</v>
      </c>
      <c r="AB23" s="409">
        <f>Financials!CG23</f>
        <v>422.8920282458173</v>
      </c>
    </row>
    <row r="24" spans="1:28" ht="11.25" customHeight="1">
      <c r="A24" s="392"/>
      <c r="B24" s="401" t="s">
        <v>705</v>
      </c>
      <c r="C24" s="689">
        <f>+C25-C27</f>
        <v>184</v>
      </c>
      <c r="D24" s="404">
        <f>O24</f>
        <v>213.17243072908053</v>
      </c>
      <c r="E24" s="1512">
        <f t="shared" si="7"/>
        <v>-0.13684898478338214</v>
      </c>
      <c r="F24" s="404"/>
      <c r="G24" s="409">
        <f>N24</f>
        <v>224</v>
      </c>
      <c r="H24" s="587">
        <f>C24/G24-1</f>
        <v>-0.1785714285714286</v>
      </c>
      <c r="I24" s="404"/>
      <c r="J24" s="404">
        <f>M24</f>
        <v>88</v>
      </c>
      <c r="K24" s="587">
        <f>C24/J24-1</f>
        <v>1.0909090909090908</v>
      </c>
      <c r="L24" s="392"/>
      <c r="M24" s="415">
        <v>88</v>
      </c>
      <c r="N24" s="415">
        <v>224</v>
      </c>
      <c r="O24" s="415">
        <v>213.17243072908053</v>
      </c>
      <c r="P24" s="404"/>
      <c r="Q24" s="404">
        <f>Financials!BV39</f>
        <v>88</v>
      </c>
      <c r="R24" s="404">
        <f>Financials!BW39</f>
        <v>3</v>
      </c>
      <c r="S24" s="404">
        <f>Financials!BX39</f>
        <v>-63</v>
      </c>
      <c r="T24" s="404">
        <f>Financials!BY39</f>
        <v>241</v>
      </c>
      <c r="U24" s="404">
        <f>Financials!BZ39</f>
        <v>224</v>
      </c>
      <c r="V24" s="404">
        <f>Financials!CA39</f>
        <v>184</v>
      </c>
      <c r="W24" s="404">
        <f>Financials!CB39</f>
        <v>586</v>
      </c>
      <c r="X24" s="404">
        <f>Financials!CC39</f>
        <v>127.7864716050947</v>
      </c>
      <c r="Y24" s="404">
        <f>Financials!CD39</f>
        <v>336.24419251949911</v>
      </c>
      <c r="Z24" s="404">
        <f>Financials!CE39</f>
        <v>418.18315384058388</v>
      </c>
      <c r="AA24" s="404">
        <f>Financials!CF39</f>
        <v>361.32747120235166</v>
      </c>
      <c r="AB24" s="404">
        <f>Financials!CG39</f>
        <v>1243.5412891675294</v>
      </c>
    </row>
    <row r="25" spans="1:28" ht="11.25" customHeight="1">
      <c r="A25" s="392"/>
      <c r="B25" s="410" t="s">
        <v>588</v>
      </c>
      <c r="C25" s="689">
        <v>309</v>
      </c>
      <c r="D25" s="404">
        <f>O25</f>
        <v>330.17243072908053</v>
      </c>
      <c r="E25" s="1512">
        <f t="shared" si="7"/>
        <v>-6.4125374375831323E-2</v>
      </c>
      <c r="F25" s="404"/>
      <c r="G25" s="409">
        <f>N25</f>
        <v>342</v>
      </c>
      <c r="H25" s="587">
        <f>C25/G25-1</f>
        <v>-9.6491228070175405E-2</v>
      </c>
      <c r="I25" s="404"/>
      <c r="J25" s="404">
        <f>M25</f>
        <v>211</v>
      </c>
      <c r="K25" s="587">
        <f>C25/J25-1</f>
        <v>0.46445497630331745</v>
      </c>
      <c r="L25" s="392"/>
      <c r="M25" s="415">
        <v>211</v>
      </c>
      <c r="N25" s="415">
        <v>342</v>
      </c>
      <c r="O25" s="415">
        <v>330.17243072908053</v>
      </c>
      <c r="P25" s="404"/>
      <c r="Q25" s="404">
        <f>Financials!BV101</f>
        <v>211</v>
      </c>
      <c r="R25" s="404">
        <f>Financials!BW101</f>
        <v>510</v>
      </c>
      <c r="S25" s="404">
        <f>Financials!BX101</f>
        <v>74</v>
      </c>
      <c r="T25" s="404">
        <f>Financials!BY101</f>
        <v>362</v>
      </c>
      <c r="U25" s="404">
        <f>Financials!BZ101</f>
        <v>342</v>
      </c>
      <c r="V25" s="404">
        <f>Financials!CA101</f>
        <v>309</v>
      </c>
      <c r="W25" s="404">
        <f>Financials!CB101</f>
        <v>1087</v>
      </c>
      <c r="X25" s="404">
        <f>Financials!CC101</f>
        <v>259.78647160509468</v>
      </c>
      <c r="Y25" s="404">
        <f>Financials!CD101</f>
        <v>460.24419251949911</v>
      </c>
      <c r="Z25" s="404">
        <f>Financials!CE101</f>
        <v>542.18315384058383</v>
      </c>
      <c r="AA25" s="404">
        <f>Financials!CF101</f>
        <v>476.32747120235166</v>
      </c>
      <c r="AB25" s="404">
        <f>Financials!CG101</f>
        <v>1738.5412891675294</v>
      </c>
    </row>
    <row r="26" spans="1:28" ht="5.25" customHeight="1">
      <c r="A26" s="392"/>
      <c r="B26" s="410"/>
      <c r="C26" s="726"/>
      <c r="D26" s="409"/>
      <c r="E26" s="409"/>
      <c r="F26" s="409"/>
      <c r="G26" s="409"/>
      <c r="H26" s="588"/>
      <c r="I26" s="409"/>
      <c r="J26" s="409"/>
      <c r="K26" s="588"/>
      <c r="L26" s="392"/>
      <c r="M26" s="416"/>
      <c r="N26" s="416"/>
      <c r="O26" s="416"/>
      <c r="P26" s="409"/>
      <c r="Q26" s="409"/>
      <c r="R26" s="409"/>
      <c r="S26" s="409"/>
      <c r="T26" s="409"/>
      <c r="U26" s="409"/>
      <c r="V26" s="409"/>
      <c r="W26" s="409"/>
      <c r="X26" s="409"/>
      <c r="Y26" s="409"/>
      <c r="Z26" s="409"/>
      <c r="AA26" s="409"/>
      <c r="AB26" s="409"/>
    </row>
    <row r="27" spans="1:28" ht="11.25" customHeight="1">
      <c r="A27" s="392"/>
      <c r="B27" s="400" t="s">
        <v>584</v>
      </c>
      <c r="C27" s="690">
        <v>125</v>
      </c>
      <c r="D27" s="409">
        <f>O27</f>
        <v>117</v>
      </c>
      <c r="E27" s="1512">
        <f t="shared" ref="E27" si="8">IF(D27&gt;0,C27/D27-1,-(C27/D27-1))</f>
        <v>6.8376068376068355E-2</v>
      </c>
      <c r="F27" s="409"/>
      <c r="G27" s="409">
        <f>N27</f>
        <v>118</v>
      </c>
      <c r="H27" s="588">
        <f>C27/G27-1</f>
        <v>5.9322033898305149E-2</v>
      </c>
      <c r="I27" s="409"/>
      <c r="J27" s="409">
        <f>M27</f>
        <v>123</v>
      </c>
      <c r="K27" s="588">
        <f>C27/J27-1</f>
        <v>1.6260162601626105E-2</v>
      </c>
      <c r="L27" s="392"/>
      <c r="M27" s="416">
        <v>123</v>
      </c>
      <c r="N27" s="416">
        <v>118</v>
      </c>
      <c r="O27" s="416">
        <v>117</v>
      </c>
      <c r="P27" s="409"/>
      <c r="Q27" s="409">
        <f>Financials!BV99</f>
        <v>123</v>
      </c>
      <c r="R27" s="409">
        <f>Financials!BW99</f>
        <v>507</v>
      </c>
      <c r="S27" s="409">
        <f>Financials!BX99</f>
        <v>137</v>
      </c>
      <c r="T27" s="409">
        <f>Financials!BY99</f>
        <v>121</v>
      </c>
      <c r="U27" s="409">
        <f>Financials!BZ99</f>
        <v>118</v>
      </c>
      <c r="V27" s="409">
        <f>Financials!CA99</f>
        <v>125</v>
      </c>
      <c r="W27" s="409">
        <f>Financials!CB99</f>
        <v>501</v>
      </c>
      <c r="X27" s="409">
        <f>Financials!CC99</f>
        <v>132</v>
      </c>
      <c r="Y27" s="409">
        <f>Financials!CD99</f>
        <v>124</v>
      </c>
      <c r="Z27" s="409">
        <f>Financials!CE99</f>
        <v>124</v>
      </c>
      <c r="AA27" s="409">
        <f>Financials!CF99</f>
        <v>115</v>
      </c>
      <c r="AB27" s="409">
        <f>Financials!CG99</f>
        <v>495</v>
      </c>
    </row>
    <row r="28" spans="1:28" ht="11.25" hidden="1" customHeight="1">
      <c r="A28" s="392"/>
      <c r="B28" s="604" t="s">
        <v>730</v>
      </c>
      <c r="C28" s="611"/>
      <c r="D28" s="409">
        <f>O28</f>
        <v>54.477750000000007</v>
      </c>
      <c r="E28" s="409"/>
      <c r="F28" s="409"/>
      <c r="G28" s="409"/>
      <c r="H28" s="588" t="e">
        <f>C28/G28-1</f>
        <v>#DIV/0!</v>
      </c>
      <c r="I28" s="409"/>
      <c r="J28" s="409">
        <f>M28</f>
        <v>43</v>
      </c>
      <c r="K28" s="588">
        <f>C28/J28-1</f>
        <v>-1</v>
      </c>
      <c r="L28" s="392"/>
      <c r="M28" s="416">
        <v>43</v>
      </c>
      <c r="N28" s="416">
        <v>98</v>
      </c>
      <c r="O28" s="416">
        <v>54.477750000000007</v>
      </c>
      <c r="P28" s="409"/>
      <c r="Q28" s="409">
        <f>-Financials!BV44</f>
        <v>43</v>
      </c>
      <c r="R28" s="409">
        <f>-Financials!BW44</f>
        <v>209</v>
      </c>
      <c r="S28" s="409">
        <f>-Financials!BX44</f>
        <v>54</v>
      </c>
      <c r="T28" s="409">
        <f>-Financials!BY44</f>
        <v>51</v>
      </c>
      <c r="U28" s="409">
        <f>-Financials!BZ44</f>
        <v>98</v>
      </c>
      <c r="V28" s="409">
        <f>-Financials!CA44</f>
        <v>78</v>
      </c>
      <c r="W28" s="409">
        <f>-Financials!CB44</f>
        <v>281</v>
      </c>
      <c r="X28" s="409">
        <f>-Financials!CC44</f>
        <v>67.705000000000013</v>
      </c>
      <c r="Y28" s="409">
        <f>-Financials!CD44</f>
        <v>68.041101181977467</v>
      </c>
      <c r="Z28" s="409">
        <f>-Financials!CE44</f>
        <v>67.848028295992322</v>
      </c>
      <c r="AA28" s="409">
        <f>-Financials!CF44</f>
        <v>67.670673716914109</v>
      </c>
      <c r="AB28" s="409">
        <f>-Financials!CG44</f>
        <v>271.26480319488388</v>
      </c>
    </row>
    <row r="29" spans="1:28" ht="5.25" customHeight="1">
      <c r="A29" s="392"/>
      <c r="B29" s="400"/>
      <c r="C29" s="604"/>
      <c r="D29" s="409"/>
      <c r="E29" s="409"/>
      <c r="F29" s="409"/>
      <c r="G29" s="409"/>
      <c r="H29" s="588"/>
      <c r="I29" s="409"/>
      <c r="J29" s="409"/>
      <c r="K29" s="588"/>
      <c r="L29" s="392"/>
      <c r="M29" s="416"/>
      <c r="N29" s="416"/>
      <c r="O29" s="416"/>
      <c r="P29" s="409"/>
      <c r="Q29" s="409"/>
      <c r="R29" s="409"/>
      <c r="S29" s="409"/>
      <c r="T29" s="409"/>
      <c r="U29" s="409"/>
      <c r="V29" s="409"/>
      <c r="W29" s="409"/>
      <c r="X29" s="409"/>
      <c r="Y29" s="409"/>
      <c r="Z29" s="409"/>
      <c r="AA29" s="409"/>
      <c r="AB29" s="409"/>
    </row>
    <row r="30" spans="1:28" ht="11.25" customHeight="1">
      <c r="A30" s="392"/>
      <c r="B30" s="400" t="s">
        <v>560</v>
      </c>
      <c r="C30" s="690">
        <f>70+19+22+17</f>
        <v>128</v>
      </c>
      <c r="D30" s="409">
        <f>O30</f>
        <v>158.69468072908052</v>
      </c>
      <c r="E30" s="1512">
        <f t="shared" ref="E30:E31" si="9">IF(D30&gt;0,C30/D30-1,-(C30/D30-1))</f>
        <v>-0.19341972010694986</v>
      </c>
      <c r="F30" s="409"/>
      <c r="G30" s="409">
        <f>N30</f>
        <v>161</v>
      </c>
      <c r="H30" s="588">
        <f>C30/G30-1</f>
        <v>-0.20496894409937894</v>
      </c>
      <c r="I30" s="409"/>
      <c r="J30" s="409">
        <f>M30</f>
        <v>45</v>
      </c>
      <c r="K30" s="588">
        <f>C30/J30-1</f>
        <v>1.8444444444444446</v>
      </c>
      <c r="L30" s="392"/>
      <c r="M30" s="416">
        <v>45</v>
      </c>
      <c r="N30" s="416">
        <v>161</v>
      </c>
      <c r="O30" s="416">
        <v>158.69468072908052</v>
      </c>
      <c r="P30" s="409"/>
      <c r="Q30" s="409">
        <f>Financials!BV48</f>
        <v>45</v>
      </c>
      <c r="R30" s="409">
        <f>Financials!BW48</f>
        <v>-224</v>
      </c>
      <c r="S30" s="409">
        <f>Financials!BX48</f>
        <v>-126</v>
      </c>
      <c r="T30" s="409">
        <f>Financials!BY48</f>
        <v>173</v>
      </c>
      <c r="U30" s="409">
        <f>Financials!BZ48</f>
        <v>161</v>
      </c>
      <c r="V30" s="409">
        <f>Financials!CA48</f>
        <v>128</v>
      </c>
      <c r="W30" s="409">
        <f>Financials!CB48</f>
        <v>336</v>
      </c>
      <c r="X30" s="409">
        <f>Financials!CC48</f>
        <v>60.081471605094691</v>
      </c>
      <c r="Y30" s="409">
        <f>Financials!CD48</f>
        <v>268.20309133752164</v>
      </c>
      <c r="Z30" s="409">
        <f>Financials!CE48</f>
        <v>350.33512554459156</v>
      </c>
      <c r="AA30" s="409">
        <f>Financials!CF48</f>
        <v>293.65679748543755</v>
      </c>
      <c r="AB30" s="409">
        <f>Financials!CG48</f>
        <v>972.27648597264556</v>
      </c>
    </row>
    <row r="31" spans="1:28" ht="11.25" customHeight="1">
      <c r="A31" s="392"/>
      <c r="B31" s="604" t="s">
        <v>950</v>
      </c>
      <c r="C31" s="690">
        <f>C30-C34</f>
        <v>-8</v>
      </c>
      <c r="D31" s="409">
        <f>O31</f>
        <v>35.591332762597553</v>
      </c>
      <c r="E31" s="1512">
        <f t="shared" si="9"/>
        <v>-1.2247738249467042</v>
      </c>
      <c r="F31" s="409"/>
      <c r="G31" s="409">
        <f>N31</f>
        <v>0</v>
      </c>
      <c r="H31" s="1511" t="s">
        <v>632</v>
      </c>
      <c r="I31" s="409"/>
      <c r="J31" s="409">
        <f>M31</f>
        <v>-2</v>
      </c>
      <c r="K31" s="588">
        <f>C31/J31-1</f>
        <v>3</v>
      </c>
      <c r="L31" s="392"/>
      <c r="M31" s="416">
        <v>-2</v>
      </c>
      <c r="N31" s="416">
        <v>0</v>
      </c>
      <c r="O31" s="416">
        <v>35.591332762597553</v>
      </c>
      <c r="P31" s="409"/>
      <c r="Q31" s="409">
        <f>Financials!BV51</f>
        <v>-2</v>
      </c>
      <c r="R31" s="409">
        <f>Financials!BW51</f>
        <v>24</v>
      </c>
      <c r="S31" s="409">
        <f>Financials!BX51</f>
        <v>19</v>
      </c>
      <c r="T31" s="409">
        <f>Financials!BY51</f>
        <v>-16</v>
      </c>
      <c r="U31" s="409">
        <f>Financials!BZ51</f>
        <v>0</v>
      </c>
      <c r="V31" s="409">
        <f>Financials!CA51</f>
        <v>-8</v>
      </c>
      <c r="W31" s="409">
        <f>Financials!CB51</f>
        <v>-5</v>
      </c>
      <c r="X31" s="409">
        <f>Financials!CC51</f>
        <v>21.180974673480083</v>
      </c>
      <c r="Y31" s="409">
        <f>Financials!CD51</f>
        <v>14.900155489385421</v>
      </c>
      <c r="Z31" s="409">
        <f>Financials!CE51</f>
        <v>15.94735840844794</v>
      </c>
      <c r="AA31" s="409">
        <f>Financials!CF51</f>
        <v>25.852299403007493</v>
      </c>
      <c r="AB31" s="409">
        <f>Financials!CG51</f>
        <v>77.880787974320938</v>
      </c>
    </row>
    <row r="32" spans="1:28" ht="11.25" customHeight="1">
      <c r="A32" s="392"/>
      <c r="B32" s="400" t="s">
        <v>561</v>
      </c>
      <c r="C32" s="727">
        <f>C31/C30</f>
        <v>-6.25E-2</v>
      </c>
      <c r="D32" s="588">
        <f>O32</f>
        <v>0.22427552454236424</v>
      </c>
      <c r="E32" s="1514" t="str">
        <f>""&amp;ROUND((C32-D32)*100*100,0)&amp;" bp"</f>
        <v>-2868 bp</v>
      </c>
      <c r="F32" s="588"/>
      <c r="G32" s="409">
        <f>N32</f>
        <v>0.1813664596273292</v>
      </c>
      <c r="H32" s="1511" t="s">
        <v>632</v>
      </c>
      <c r="I32" s="588"/>
      <c r="J32" s="588">
        <f>M32</f>
        <v>-4.4444444444444446E-2</v>
      </c>
      <c r="K32" s="1511" t="s">
        <v>632</v>
      </c>
      <c r="L32" s="585"/>
      <c r="M32" s="586">
        <v>-4.4444444444444446E-2</v>
      </c>
      <c r="N32" s="586">
        <v>0.1813664596273292</v>
      </c>
      <c r="O32" s="586">
        <v>0.22427552454236424</v>
      </c>
      <c r="P32" s="584"/>
      <c r="Q32" s="584">
        <f>Financials!BV52</f>
        <v>-4.4444444444444446E-2</v>
      </c>
      <c r="R32" s="584">
        <f>Financials!BW52</f>
        <v>-0.10714285714285714</v>
      </c>
      <c r="S32" s="584">
        <f>Financials!BX52</f>
        <v>0.41547619047619044</v>
      </c>
      <c r="T32" s="584">
        <f>Financials!BY52</f>
        <v>0.3135260115606936</v>
      </c>
      <c r="U32" s="584">
        <f>Financials!BZ52</f>
        <v>0.1813664596273292</v>
      </c>
      <c r="V32" s="584">
        <f>Financials!CA52</f>
        <v>0.12984375000000001</v>
      </c>
      <c r="W32" s="584">
        <f>Financials!CB52</f>
        <v>-1.488095238095238E-2</v>
      </c>
      <c r="X32" s="584">
        <f>Financials!CC52</f>
        <v>0.35253754789328451</v>
      </c>
      <c r="Y32" s="584">
        <f>Financials!CD52</f>
        <v>5.5555494961220413E-2</v>
      </c>
      <c r="Z32" s="584">
        <f>Financials!CE52</f>
        <v>4.5520295413307391E-2</v>
      </c>
      <c r="AA32" s="584">
        <f>Financials!CF52</f>
        <v>8.8035760194822357E-2</v>
      </c>
      <c r="AB32" s="584">
        <f>Financials!CG52</f>
        <v>8.0101482549390868E-2</v>
      </c>
    </row>
    <row r="33" spans="1:28" ht="5.25" customHeight="1">
      <c r="A33" s="392"/>
      <c r="B33" s="400"/>
      <c r="C33" s="726"/>
      <c r="D33" s="409"/>
      <c r="E33" s="409"/>
      <c r="F33" s="409"/>
      <c r="G33" s="409"/>
      <c r="H33" s="588"/>
      <c r="I33" s="409"/>
      <c r="J33" s="409"/>
      <c r="K33" s="588"/>
      <c r="L33" s="392"/>
      <c r="M33" s="416"/>
      <c r="N33" s="416"/>
      <c r="O33" s="416"/>
      <c r="P33" s="409"/>
      <c r="Q33" s="409"/>
      <c r="R33" s="409"/>
      <c r="S33" s="409"/>
      <c r="T33" s="409"/>
      <c r="U33" s="409"/>
      <c r="V33" s="409"/>
      <c r="W33" s="409"/>
      <c r="X33" s="409"/>
      <c r="Y33" s="409"/>
      <c r="Z33" s="409"/>
      <c r="AA33" s="409"/>
      <c r="AB33" s="409"/>
    </row>
    <row r="34" spans="1:28" ht="11.25" customHeight="1">
      <c r="A34" s="392"/>
      <c r="B34" s="410" t="s">
        <v>629</v>
      </c>
      <c r="C34" s="689">
        <v>136</v>
      </c>
      <c r="D34" s="404">
        <f>O34</f>
        <v>123.10334796648297</v>
      </c>
      <c r="E34" s="1512">
        <f t="shared" ref="E34:E35" si="10">IF(D34&gt;0,C34/D34-1,-(C34/D34-1))</f>
        <v>0.10476280496472246</v>
      </c>
      <c r="F34" s="404"/>
      <c r="G34" s="409">
        <f>N34</f>
        <v>161</v>
      </c>
      <c r="H34" s="587">
        <f>C34/G34-1</f>
        <v>-0.15527950310559002</v>
      </c>
      <c r="I34" s="404"/>
      <c r="J34" s="404">
        <f>M34</f>
        <v>47</v>
      </c>
      <c r="K34" s="587">
        <f>C34/J34-1</f>
        <v>1.8936170212765959</v>
      </c>
      <c r="L34" s="392"/>
      <c r="M34" s="415">
        <v>47</v>
      </c>
      <c r="N34" s="415">
        <v>161</v>
      </c>
      <c r="O34" s="415">
        <v>123.10334796648297</v>
      </c>
      <c r="P34" s="404"/>
      <c r="Q34" s="404">
        <f>Financials!BV59</f>
        <v>47</v>
      </c>
      <c r="R34" s="404">
        <f>Financials!BW59</f>
        <v>-248</v>
      </c>
      <c r="S34" s="404">
        <f>Financials!BX59</f>
        <v>-145</v>
      </c>
      <c r="T34" s="404">
        <f>Financials!BY59</f>
        <v>189</v>
      </c>
      <c r="U34" s="404">
        <f>Financials!BZ59</f>
        <v>161</v>
      </c>
      <c r="V34" s="404">
        <f>Financials!CA59</f>
        <v>136</v>
      </c>
      <c r="W34" s="404">
        <f>Financials!CB59</f>
        <v>341</v>
      </c>
      <c r="X34" s="404">
        <f>Financials!CC59</f>
        <v>38.900496931614612</v>
      </c>
      <c r="Y34" s="404">
        <f>Financials!CD59</f>
        <v>253.30293584813623</v>
      </c>
      <c r="Z34" s="404">
        <f>Financials!CE59</f>
        <v>334.38776713614362</v>
      </c>
      <c r="AA34" s="404">
        <f>Financials!CF59</f>
        <v>267.80449808243009</v>
      </c>
      <c r="AB34" s="404">
        <f>Financials!CG59</f>
        <v>894.39569799832464</v>
      </c>
    </row>
    <row r="35" spans="1:28" ht="11.25" customHeight="1">
      <c r="A35" s="392"/>
      <c r="B35" s="410" t="s">
        <v>562</v>
      </c>
      <c r="C35" s="1510">
        <v>0.76</v>
      </c>
      <c r="D35" s="411">
        <f>O35</f>
        <v>0.69567156279187348</v>
      </c>
      <c r="E35" s="1512">
        <f t="shared" si="10"/>
        <v>9.2469551220353496E-2</v>
      </c>
      <c r="F35" s="411"/>
      <c r="G35" s="409">
        <f>N35</f>
        <v>0.91226400126923679</v>
      </c>
      <c r="H35" s="587">
        <f>C35/G35-1</f>
        <v>-0.16690782608695642</v>
      </c>
      <c r="I35" s="411"/>
      <c r="J35" s="411">
        <f>M35</f>
        <v>0.27171556583321288</v>
      </c>
      <c r="K35" s="587">
        <f>C35/J35-1</f>
        <v>1.7970425531914893</v>
      </c>
      <c r="L35" s="392"/>
      <c r="M35" s="419">
        <v>0.27171556583321288</v>
      </c>
      <c r="N35" s="419">
        <v>0.91226400126923679</v>
      </c>
      <c r="O35" s="419">
        <v>0.69567156279187348</v>
      </c>
      <c r="P35" s="411"/>
      <c r="Q35" s="411">
        <f>Financials!BV64</f>
        <v>0.27171556583321288</v>
      </c>
      <c r="R35" s="411">
        <f>Financials!BW64</f>
        <v>-1.5834706100192826</v>
      </c>
      <c r="S35" s="411">
        <f>Financials!BX64</f>
        <v>-0.83217593921098243</v>
      </c>
      <c r="T35" s="411">
        <f>Financials!BY64</f>
        <v>1.0736928215965642</v>
      </c>
      <c r="U35" s="411">
        <f>Financials!BZ64</f>
        <v>0.91226400126923679</v>
      </c>
      <c r="V35" s="411">
        <f>Financials!CA64</f>
        <v>0.76745104678065568</v>
      </c>
      <c r="W35" s="411">
        <f>Financials!CB64</f>
        <v>1.9292631789372743</v>
      </c>
      <c r="X35" s="411">
        <f>Financials!CC64</f>
        <v>0.22229558605702299</v>
      </c>
      <c r="Y35" s="411">
        <f>Financials!CD64</f>
        <v>1.4474911380518656</v>
      </c>
      <c r="Z35" s="411">
        <f>Financials!CE64</f>
        <v>1.9108476890797164</v>
      </c>
      <c r="AA35" s="411">
        <f>Financials!CF64</f>
        <v>1.5303598294539769</v>
      </c>
      <c r="AB35" s="411">
        <f>Financials!CG64</f>
        <v>5.1109942426425823</v>
      </c>
    </row>
    <row r="38" spans="1:28" ht="11.25" customHeight="1">
      <c r="C38" s="861"/>
      <c r="D38" s="861"/>
    </row>
  </sheetData>
  <mergeCells count="1">
    <mergeCell ref="E2:E3"/>
  </mergeCells>
  <phoneticPr fontId="86" type="noConversion"/>
  <pageMargins left="0" right="0" top="0" bottom="0" header="0" footer="0"/>
  <pageSetup paperSize="5" scale="7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W160"/>
  <sheetViews>
    <sheetView showGridLines="0" zoomScaleNormal="100" workbookViewId="0">
      <pane xSplit="3" ySplit="6" topLeftCell="D29" activePane="bottomRight" state="frozen"/>
      <selection pane="topRight"/>
      <selection pane="bottomLeft"/>
      <selection pane="bottomRight"/>
    </sheetView>
  </sheetViews>
  <sheetFormatPr defaultRowHeight="12.75"/>
  <cols>
    <col min="1" max="2" width="2.7109375" customWidth="1"/>
    <col min="3" max="3" width="22.7109375" customWidth="1"/>
    <col min="4" max="23" width="7.28515625" customWidth="1"/>
  </cols>
  <sheetData>
    <row r="1" spans="1:23" ht="3.95" customHeight="1">
      <c r="A1" s="696"/>
      <c r="B1" s="696"/>
      <c r="C1" s="696"/>
      <c r="D1" s="696"/>
      <c r="E1" s="696"/>
      <c r="F1" s="696"/>
      <c r="G1" s="696"/>
      <c r="H1" s="696"/>
      <c r="I1" s="696"/>
      <c r="J1" s="696"/>
      <c r="K1" s="696"/>
      <c r="L1" s="696"/>
      <c r="M1" s="696"/>
      <c r="N1" s="696"/>
      <c r="O1" s="696"/>
      <c r="P1" s="696"/>
      <c r="Q1" s="696"/>
      <c r="R1" s="696"/>
      <c r="S1" s="696"/>
      <c r="T1" s="696"/>
      <c r="U1" s="696"/>
      <c r="V1" s="696"/>
      <c r="W1" s="696"/>
    </row>
    <row r="2" spans="1:23" ht="15">
      <c r="A2" s="827" t="s">
        <v>841</v>
      </c>
      <c r="B2" s="828"/>
      <c r="C2" s="828"/>
      <c r="D2" s="696"/>
      <c r="E2" s="696"/>
      <c r="F2" s="696"/>
      <c r="G2" s="696"/>
      <c r="H2" s="696"/>
      <c r="I2" s="696"/>
      <c r="J2" s="696"/>
      <c r="K2" s="696"/>
      <c r="L2" s="696"/>
      <c r="M2" s="696"/>
      <c r="N2" s="696"/>
      <c r="O2" s="696"/>
      <c r="P2" s="696"/>
      <c r="Q2" s="696"/>
      <c r="R2" s="696"/>
      <c r="S2" s="696"/>
      <c r="T2" s="696"/>
      <c r="U2" s="696"/>
      <c r="V2" s="696"/>
      <c r="W2" s="696"/>
    </row>
    <row r="3" spans="1:23" ht="15">
      <c r="A3" s="827" t="s">
        <v>930</v>
      </c>
      <c r="B3" s="828"/>
      <c r="C3" s="828"/>
      <c r="D3" s="712"/>
      <c r="E3" s="712"/>
      <c r="F3" s="712"/>
      <c r="G3" s="712"/>
      <c r="H3" s="712"/>
      <c r="I3" s="712"/>
      <c r="J3" s="712"/>
      <c r="K3" s="712"/>
      <c r="L3" s="712"/>
      <c r="M3" s="712"/>
      <c r="N3" s="712"/>
      <c r="O3" s="712"/>
      <c r="P3" s="712"/>
      <c r="Q3" s="712"/>
      <c r="R3" s="712"/>
      <c r="S3" s="712"/>
      <c r="T3" s="712"/>
      <c r="U3" s="712"/>
      <c r="V3" s="712"/>
      <c r="W3" s="712"/>
    </row>
    <row r="4" spans="1:23" ht="3.95" customHeight="1">
      <c r="A4" s="828"/>
      <c r="B4" s="828"/>
      <c r="C4" s="828"/>
      <c r="D4" s="712"/>
      <c r="E4" s="712"/>
      <c r="F4" s="712"/>
      <c r="G4" s="712"/>
      <c r="H4" s="696"/>
      <c r="I4" s="696"/>
      <c r="J4" s="696"/>
      <c r="K4" s="696"/>
      <c r="L4" s="712"/>
      <c r="M4" s="712"/>
      <c r="N4" s="712"/>
      <c r="O4" s="712"/>
      <c r="P4" s="712"/>
      <c r="Q4" s="712"/>
      <c r="R4" s="712"/>
      <c r="S4" s="712"/>
      <c r="T4" s="712"/>
      <c r="U4" s="712"/>
      <c r="V4" s="712"/>
      <c r="W4" s="712"/>
    </row>
    <row r="5" spans="1:23">
      <c r="A5" s="818" t="s">
        <v>7</v>
      </c>
      <c r="B5" s="818"/>
      <c r="C5" s="818"/>
      <c r="D5" s="819"/>
      <c r="E5" s="819"/>
      <c r="F5" s="819"/>
      <c r="G5" s="819"/>
      <c r="H5" s="819"/>
      <c r="I5" s="819"/>
      <c r="J5" s="819"/>
      <c r="K5" s="819"/>
      <c r="L5" s="819"/>
      <c r="M5" s="819"/>
      <c r="N5" s="819"/>
      <c r="O5" s="820"/>
      <c r="P5" s="820"/>
      <c r="Q5" s="820"/>
      <c r="R5" s="820"/>
      <c r="S5" s="820"/>
      <c r="T5" s="820"/>
      <c r="U5" s="820"/>
      <c r="V5" s="820"/>
      <c r="W5" s="820"/>
    </row>
    <row r="6" spans="1:23">
      <c r="A6" s="820"/>
      <c r="B6" s="820"/>
      <c r="C6" s="820"/>
      <c r="D6" s="821">
        <v>2001</v>
      </c>
      <c r="E6" s="821">
        <v>2002</v>
      </c>
      <c r="F6" s="821">
        <v>2003</v>
      </c>
      <c r="G6" s="821">
        <v>2004</v>
      </c>
      <c r="H6" s="821">
        <v>2005</v>
      </c>
      <c r="I6" s="821">
        <v>2006</v>
      </c>
      <c r="J6" s="821">
        <v>2007</v>
      </c>
      <c r="K6" s="821">
        <v>2008</v>
      </c>
      <c r="L6" s="821">
        <v>2009</v>
      </c>
      <c r="M6" s="821">
        <f>Financials!$AS$7</f>
        <v>2010</v>
      </c>
      <c r="N6" s="821">
        <f>Financials!$AX$7</f>
        <v>2011</v>
      </c>
      <c r="O6" s="821">
        <f>Financials!$BC$7</f>
        <v>2012</v>
      </c>
      <c r="P6" s="821">
        <f>Financials!$BH$7</f>
        <v>2013</v>
      </c>
      <c r="Q6" s="821">
        <f>Financials!$BM$7</f>
        <v>2014</v>
      </c>
      <c r="R6" s="821">
        <f>Financials!$BR$7</f>
        <v>2015</v>
      </c>
      <c r="S6" s="821">
        <f>Financials!$BW$7</f>
        <v>2016</v>
      </c>
      <c r="T6" s="821">
        <f>Financials!$CB$7</f>
        <v>2017</v>
      </c>
      <c r="U6" s="821" t="str">
        <f>Financials!$CG$7</f>
        <v>2018E</v>
      </c>
      <c r="V6" s="821" t="str">
        <f>Financials!$CL$7</f>
        <v>2019E</v>
      </c>
      <c r="W6" s="821" t="str">
        <f>Financials!$CQ$7</f>
        <v>2020E</v>
      </c>
    </row>
    <row r="7" spans="1:23" ht="3.95" customHeight="1">
      <c r="A7" s="829"/>
      <c r="B7" s="829"/>
      <c r="C7" s="829"/>
      <c r="D7" s="830"/>
      <c r="E7" s="830"/>
      <c r="F7" s="830"/>
      <c r="G7" s="830"/>
      <c r="H7" s="830"/>
      <c r="I7" s="830"/>
      <c r="J7" s="829"/>
      <c r="K7" s="829"/>
      <c r="L7" s="829"/>
      <c r="M7" s="829"/>
      <c r="N7" s="829"/>
      <c r="O7" s="829"/>
      <c r="P7" s="712"/>
      <c r="Q7" s="712"/>
      <c r="R7" s="712"/>
      <c r="S7" s="712"/>
      <c r="T7" s="712"/>
      <c r="U7" s="712"/>
      <c r="V7" s="712"/>
      <c r="W7" s="712"/>
    </row>
    <row r="8" spans="1:23" ht="11.25" customHeight="1">
      <c r="A8" s="828" t="s">
        <v>8</v>
      </c>
      <c r="B8" s="828"/>
      <c r="C8" s="828"/>
      <c r="D8" s="701"/>
      <c r="E8" s="701"/>
      <c r="F8" s="701"/>
      <c r="G8" s="701"/>
      <c r="H8" s="701"/>
      <c r="I8" s="701"/>
      <c r="J8" s="712"/>
      <c r="K8" s="712"/>
      <c r="L8" s="712"/>
      <c r="M8" s="712"/>
      <c r="N8" s="712"/>
      <c r="O8" s="712"/>
      <c r="P8" s="712"/>
      <c r="Q8" s="712"/>
      <c r="R8" s="712"/>
      <c r="S8" s="712"/>
      <c r="T8" s="712"/>
      <c r="U8" s="712"/>
      <c r="V8" s="712"/>
      <c r="W8" s="712"/>
    </row>
    <row r="9" spans="1:23" ht="11.25" customHeight="1">
      <c r="A9" s="696"/>
      <c r="B9" s="279" t="s">
        <v>692</v>
      </c>
      <c r="C9" s="279"/>
      <c r="D9" s="738">
        <v>4122</v>
      </c>
      <c r="E9" s="738">
        <v>4649</v>
      </c>
      <c r="F9" s="763">
        <f>Financials!J9</f>
        <v>6401</v>
      </c>
      <c r="G9" s="763">
        <f>Financials!O9</f>
        <v>9820</v>
      </c>
      <c r="H9" s="763">
        <f>Financials!T9</f>
        <v>8813</v>
      </c>
      <c r="I9" s="763">
        <f>Financials!Y9</f>
        <v>9607</v>
      </c>
      <c r="J9" s="763">
        <f>Financials!AD9</f>
        <v>9884</v>
      </c>
      <c r="K9" s="763">
        <f>Financials!AI9</f>
        <v>13831</v>
      </c>
      <c r="L9" s="763">
        <f>Financials!AN9</f>
        <v>6814</v>
      </c>
      <c r="M9" s="763">
        <f>Financials!AS9</f>
        <v>10848</v>
      </c>
      <c r="N9" s="763">
        <f>Financials!AX9</f>
        <v>12367</v>
      </c>
      <c r="O9" s="763">
        <f>Financials!BC9</f>
        <v>12908</v>
      </c>
      <c r="P9" s="763">
        <f>Financials!BH9</f>
        <v>11572</v>
      </c>
      <c r="Q9" s="763">
        <f>Financials!BM9</f>
        <v>11707</v>
      </c>
      <c r="R9" s="763">
        <f>Financials!BR9</f>
        <v>8293</v>
      </c>
      <c r="S9" s="763">
        <f>Financials!BW9</f>
        <v>7533</v>
      </c>
      <c r="T9" s="763">
        <f>Financials!CB9</f>
        <v>8491</v>
      </c>
      <c r="U9" s="763">
        <f>Financials!CG9</f>
        <v>9200.1870686184484</v>
      </c>
      <c r="V9" s="763">
        <f>Financials!CL9</f>
        <v>10111.857147652459</v>
      </c>
      <c r="W9" s="763">
        <f>Financials!CQ9</f>
        <v>9331.1816578718899</v>
      </c>
    </row>
    <row r="10" spans="1:23" ht="11.25" customHeight="1">
      <c r="A10" s="696"/>
      <c r="B10" s="279" t="s">
        <v>712</v>
      </c>
      <c r="C10" s="279"/>
      <c r="D10" s="738">
        <v>1060</v>
      </c>
      <c r="E10" s="738">
        <v>1168</v>
      </c>
      <c r="F10" s="763">
        <f>Financials!J10</f>
        <v>1817</v>
      </c>
      <c r="G10" s="763">
        <f>Financials!O10</f>
        <v>2833</v>
      </c>
      <c r="H10" s="763">
        <f>Financials!T10</f>
        <v>3336</v>
      </c>
      <c r="I10" s="763">
        <f>Financials!Y10</f>
        <v>3968</v>
      </c>
      <c r="J10" s="763">
        <f>Financials!AD10</f>
        <v>4667</v>
      </c>
      <c r="K10" s="763">
        <f>Financials!AI10</f>
        <v>5487</v>
      </c>
      <c r="L10" s="763">
        <f>Financials!AN10</f>
        <v>2944</v>
      </c>
      <c r="M10" s="763">
        <f>Financials!AS10</f>
        <v>3989</v>
      </c>
      <c r="N10" s="763">
        <f>Financials!AX10</f>
        <v>4306</v>
      </c>
      <c r="O10" s="763">
        <f>Financials!BC10</f>
        <v>2949</v>
      </c>
      <c r="P10" s="763">
        <f>Financials!BH10</f>
        <v>2941</v>
      </c>
      <c r="Q10" s="763">
        <f>Financials!BM10</f>
        <v>2891</v>
      </c>
      <c r="R10" s="763">
        <f>Financials!BR10</f>
        <v>2323</v>
      </c>
      <c r="S10" s="763">
        <f>Financials!BW10</f>
        <v>2247</v>
      </c>
      <c r="T10" s="763">
        <f>Financials!CB10</f>
        <v>2975</v>
      </c>
      <c r="U10" s="763">
        <f>Financials!CG10</f>
        <v>3415.1401744547948</v>
      </c>
      <c r="V10" s="763">
        <f>Financials!CL10</f>
        <v>3415.1401744547948</v>
      </c>
      <c r="W10" s="763">
        <f>Financials!CQ10</f>
        <v>3415.1401744547948</v>
      </c>
    </row>
    <row r="11" spans="1:23" ht="11.25" customHeight="1">
      <c r="A11" s="696"/>
      <c r="B11" s="279" t="s">
        <v>713</v>
      </c>
      <c r="C11" s="279"/>
      <c r="D11" s="738">
        <v>714</v>
      </c>
      <c r="E11" s="738">
        <v>519</v>
      </c>
      <c r="F11" s="763">
        <f>Financials!J11</f>
        <v>573</v>
      </c>
      <c r="G11" s="763">
        <f>Financials!O11</f>
        <v>948</v>
      </c>
      <c r="H11" s="763">
        <f>Financials!T11</f>
        <v>1546</v>
      </c>
      <c r="I11" s="763">
        <f>Financials!Y11</f>
        <v>1798</v>
      </c>
      <c r="J11" s="763">
        <f>Financials!AD11</f>
        <v>1985</v>
      </c>
      <c r="K11" s="763">
        <f>Financials!AI11</f>
        <v>4252</v>
      </c>
      <c r="L11" s="763">
        <f>Financials!AN11</f>
        <v>1216</v>
      </c>
      <c r="M11" s="763">
        <f>Financials!AS11</f>
        <v>2403</v>
      </c>
      <c r="N11" s="763">
        <f>Financials!AX11</f>
        <v>3034</v>
      </c>
      <c r="O11" s="763">
        <f>Financials!BC11</f>
        <v>3283</v>
      </c>
      <c r="P11" s="763">
        <f>Financials!BH11</f>
        <v>2772</v>
      </c>
      <c r="Q11" s="763">
        <f>Financials!BM11</f>
        <v>2772</v>
      </c>
      <c r="R11" s="763">
        <f>Financials!BR11</f>
        <v>898</v>
      </c>
      <c r="S11" s="763">
        <f>Financials!BW11</f>
        <v>450</v>
      </c>
      <c r="T11" s="763">
        <f>Financials!CB11</f>
        <v>945</v>
      </c>
      <c r="U11" s="763">
        <f>Financials!CG11</f>
        <v>1281.0736984540001</v>
      </c>
      <c r="V11" s="763">
        <f>Financials!CL11</f>
        <v>1318.00590940762</v>
      </c>
      <c r="W11" s="763">
        <f>Financials!CQ11</f>
        <v>1356.0460866898486</v>
      </c>
    </row>
    <row r="12" spans="1:23" ht="11.25" customHeight="1">
      <c r="A12" s="831"/>
      <c r="B12" s="692" t="s">
        <v>714</v>
      </c>
      <c r="C12" s="692"/>
      <c r="D12" s="882">
        <f>96+2+396-104</f>
        <v>390</v>
      </c>
      <c r="E12" s="882">
        <f>87+73+453</f>
        <v>613</v>
      </c>
      <c r="F12" s="832">
        <f>Financials!J12</f>
        <v>537</v>
      </c>
      <c r="G12" s="832">
        <f>Financials!O12</f>
        <v>368</v>
      </c>
      <c r="H12" s="832">
        <f>Financials!T12</f>
        <v>344</v>
      </c>
      <c r="I12" s="832">
        <f>Financials!Y12</f>
        <v>342</v>
      </c>
      <c r="J12" s="832">
        <f>Financials!AD12</f>
        <v>337</v>
      </c>
      <c r="K12" s="832">
        <f>Financials!AI12</f>
        <v>247</v>
      </c>
      <c r="L12" s="832">
        <f>Financials!AN12</f>
        <v>74</v>
      </c>
      <c r="M12" s="832">
        <f>Financials!AS12</f>
        <v>134</v>
      </c>
      <c r="N12" s="832">
        <f>Financials!AX12</f>
        <v>177</v>
      </c>
      <c r="O12" s="832">
        <f>Financials!BC12</f>
        <v>188</v>
      </c>
      <c r="P12" s="832">
        <f>Financials!BH12</f>
        <v>139</v>
      </c>
      <c r="Q12" s="832">
        <f>Financials!BM12</f>
        <v>137</v>
      </c>
      <c r="R12" s="832">
        <f>Financials!BR12</f>
        <v>60</v>
      </c>
      <c r="S12" s="832">
        <f>Financials!BW12</f>
        <v>31</v>
      </c>
      <c r="T12" s="832">
        <f>Financials!CB12</f>
        <v>-161</v>
      </c>
      <c r="U12" s="832">
        <f>Financials!CG12</f>
        <v>200</v>
      </c>
      <c r="V12" s="832">
        <f>Financials!CL12</f>
        <v>200</v>
      </c>
      <c r="W12" s="832">
        <f>Financials!CQ12</f>
        <v>200</v>
      </c>
    </row>
    <row r="13" spans="1:23" ht="2.1" customHeight="1">
      <c r="A13" s="696"/>
      <c r="B13" s="696"/>
      <c r="C13" s="696"/>
      <c r="D13" s="763"/>
      <c r="E13" s="582"/>
      <c r="F13" s="582"/>
      <c r="G13" s="582"/>
      <c r="H13" s="582"/>
      <c r="I13" s="582"/>
      <c r="J13" s="582"/>
      <c r="K13" s="582"/>
      <c r="L13" s="582"/>
      <c r="M13" s="582"/>
      <c r="N13" s="582"/>
      <c r="O13" s="582"/>
      <c r="P13" s="582"/>
      <c r="Q13" s="582"/>
      <c r="R13" s="582"/>
      <c r="S13" s="582"/>
      <c r="T13" s="582"/>
      <c r="U13" s="582"/>
      <c r="V13" s="582"/>
      <c r="W13" s="582"/>
    </row>
    <row r="14" spans="1:23" ht="11.25" customHeight="1">
      <c r="A14" s="703"/>
      <c r="B14" s="703"/>
      <c r="C14" s="703" t="s">
        <v>9</v>
      </c>
      <c r="D14" s="833">
        <f>SUM(D9:D13)</f>
        <v>6286</v>
      </c>
      <c r="E14" s="833">
        <f>SUM(E9:E13)</f>
        <v>6949</v>
      </c>
      <c r="F14" s="833">
        <f t="shared" ref="F14:W14" si="0">SUM(F9:F13)</f>
        <v>9328</v>
      </c>
      <c r="G14" s="833">
        <f t="shared" si="0"/>
        <v>13969</v>
      </c>
      <c r="H14" s="833">
        <f t="shared" si="0"/>
        <v>14039</v>
      </c>
      <c r="I14" s="833">
        <f t="shared" si="0"/>
        <v>15715</v>
      </c>
      <c r="J14" s="833">
        <f t="shared" si="0"/>
        <v>16873</v>
      </c>
      <c r="K14" s="833">
        <f t="shared" si="0"/>
        <v>23817</v>
      </c>
      <c r="L14" s="833">
        <f t="shared" si="0"/>
        <v>11048</v>
      </c>
      <c r="M14" s="833">
        <f t="shared" si="0"/>
        <v>17374</v>
      </c>
      <c r="N14" s="833">
        <f t="shared" si="0"/>
        <v>19884</v>
      </c>
      <c r="O14" s="833">
        <f t="shared" si="0"/>
        <v>19328</v>
      </c>
      <c r="P14" s="833">
        <f t="shared" si="0"/>
        <v>17424</v>
      </c>
      <c r="Q14" s="833">
        <f t="shared" si="0"/>
        <v>17507</v>
      </c>
      <c r="R14" s="833">
        <f t="shared" si="0"/>
        <v>11574</v>
      </c>
      <c r="S14" s="833">
        <f t="shared" si="0"/>
        <v>10261</v>
      </c>
      <c r="T14" s="833">
        <f t="shared" si="0"/>
        <v>12250</v>
      </c>
      <c r="U14" s="833">
        <f t="shared" si="0"/>
        <v>14096.400941527243</v>
      </c>
      <c r="V14" s="833">
        <f t="shared" si="0"/>
        <v>15045.003231514875</v>
      </c>
      <c r="W14" s="833">
        <f t="shared" si="0"/>
        <v>14302.367919016533</v>
      </c>
    </row>
    <row r="15" spans="1:23" ht="11.25" customHeight="1">
      <c r="A15" s="712"/>
      <c r="B15" s="712"/>
      <c r="C15" s="712"/>
      <c r="D15" s="701"/>
      <c r="E15" s="701"/>
      <c r="F15" s="701"/>
      <c r="G15" s="834"/>
      <c r="H15" s="834"/>
      <c r="I15" s="701"/>
      <c r="J15" s="712"/>
      <c r="K15" s="613"/>
      <c r="L15" s="712"/>
      <c r="M15" s="712"/>
      <c r="N15" s="712"/>
      <c r="O15" s="712"/>
      <c r="P15" s="712"/>
      <c r="Q15" s="712"/>
      <c r="R15" s="712"/>
      <c r="S15" s="712"/>
      <c r="T15" s="712"/>
      <c r="U15" s="712"/>
      <c r="V15" s="712"/>
      <c r="W15" s="712"/>
    </row>
    <row r="16" spans="1:23" ht="11.25" customHeight="1">
      <c r="A16" s="828" t="s">
        <v>10</v>
      </c>
      <c r="B16" s="828"/>
      <c r="C16" s="828"/>
      <c r="D16" s="701"/>
      <c r="E16" s="701"/>
      <c r="F16" s="701"/>
      <c r="G16" s="701"/>
      <c r="H16" s="701"/>
      <c r="I16" s="701"/>
      <c r="J16" s="712"/>
      <c r="K16" s="712"/>
      <c r="L16" s="712"/>
      <c r="M16" s="712"/>
      <c r="N16" s="712"/>
      <c r="O16" s="712"/>
      <c r="P16" s="712"/>
      <c r="Q16" s="712"/>
      <c r="R16" s="712"/>
      <c r="S16" s="712"/>
      <c r="T16" s="712"/>
      <c r="U16" s="712"/>
      <c r="V16" s="712"/>
      <c r="W16" s="712"/>
    </row>
    <row r="17" spans="1:23" ht="11.25" customHeight="1">
      <c r="A17" s="696"/>
      <c r="B17" s="279" t="s">
        <v>692</v>
      </c>
      <c r="C17" s="279"/>
      <c r="D17" s="613">
        <f t="shared" ref="D17:R17" si="1">D9/D$14</f>
        <v>0.65574292077632834</v>
      </c>
      <c r="E17" s="613">
        <f t="shared" si="1"/>
        <v>0.66901712476615338</v>
      </c>
      <c r="F17" s="613">
        <f t="shared" si="1"/>
        <v>0.68621355060034306</v>
      </c>
      <c r="G17" s="613">
        <f t="shared" si="1"/>
        <v>0.70298518147326228</v>
      </c>
      <c r="H17" s="613">
        <f t="shared" si="1"/>
        <v>0.62775126433506656</v>
      </c>
      <c r="I17" s="613">
        <f t="shared" si="1"/>
        <v>0.61132675787464208</v>
      </c>
      <c r="J17" s="613">
        <f t="shared" si="1"/>
        <v>0.58578794523795408</v>
      </c>
      <c r="K17" s="613">
        <f t="shared" si="1"/>
        <v>0.58071965402863501</v>
      </c>
      <c r="L17" s="613">
        <f t="shared" si="1"/>
        <v>0.61676321506154963</v>
      </c>
      <c r="M17" s="613">
        <f t="shared" si="1"/>
        <v>0.62438125935305633</v>
      </c>
      <c r="N17" s="613">
        <f t="shared" si="1"/>
        <v>0.62195735264534302</v>
      </c>
      <c r="O17" s="613">
        <f t="shared" si="1"/>
        <v>0.66783940397350994</v>
      </c>
      <c r="P17" s="613">
        <f t="shared" si="1"/>
        <v>0.66414141414141414</v>
      </c>
      <c r="Q17" s="613">
        <f t="shared" si="1"/>
        <v>0.66870394699263147</v>
      </c>
      <c r="R17" s="613">
        <f t="shared" si="1"/>
        <v>0.71651978572662867</v>
      </c>
      <c r="S17" s="613">
        <f t="shared" ref="S17:T22" si="2">S9/S$14</f>
        <v>0.73413897280966767</v>
      </c>
      <c r="T17" s="613">
        <f t="shared" si="2"/>
        <v>0.69314285714285717</v>
      </c>
      <c r="U17" s="613">
        <f t="shared" ref="U17:V22" si="3">U9/U$14</f>
        <v>0.65266213033960951</v>
      </c>
      <c r="V17" s="613">
        <f t="shared" si="3"/>
        <v>0.67210734301944719</v>
      </c>
      <c r="W17" s="613">
        <f t="shared" ref="W17" si="4">W9/W$14</f>
        <v>0.65242215210147703</v>
      </c>
    </row>
    <row r="18" spans="1:23" ht="11.25" customHeight="1">
      <c r="A18" s="696"/>
      <c r="B18" s="279" t="s">
        <v>712</v>
      </c>
      <c r="C18" s="279"/>
      <c r="D18" s="613">
        <f t="shared" ref="D18:R18" si="5">D10/D$14</f>
        <v>0.16862869869551383</v>
      </c>
      <c r="E18" s="613">
        <f t="shared" si="5"/>
        <v>0.16808173837962298</v>
      </c>
      <c r="F18" s="613">
        <f t="shared" si="5"/>
        <v>0.19478987993138935</v>
      </c>
      <c r="G18" s="613">
        <f t="shared" si="5"/>
        <v>0.20280621375903787</v>
      </c>
      <c r="H18" s="613">
        <f t="shared" si="5"/>
        <v>0.23762376237623761</v>
      </c>
      <c r="I18" s="613">
        <f t="shared" si="5"/>
        <v>0.25249761374482976</v>
      </c>
      <c r="J18" s="613">
        <f t="shared" si="5"/>
        <v>0.27659574468085107</v>
      </c>
      <c r="K18" s="613">
        <f t="shared" si="5"/>
        <v>0.23038166015871017</v>
      </c>
      <c r="L18" s="613">
        <f t="shared" si="5"/>
        <v>0.2664735698769008</v>
      </c>
      <c r="M18" s="613">
        <f t="shared" si="5"/>
        <v>0.22959594796822838</v>
      </c>
      <c r="N18" s="613">
        <f t="shared" si="5"/>
        <v>0.21655602494467913</v>
      </c>
      <c r="O18" s="613">
        <f t="shared" si="5"/>
        <v>0.15257657284768211</v>
      </c>
      <c r="P18" s="613">
        <f t="shared" si="5"/>
        <v>0.16879017447199265</v>
      </c>
      <c r="Q18" s="613">
        <f t="shared" si="5"/>
        <v>0.16513394642143142</v>
      </c>
      <c r="R18" s="613">
        <f t="shared" si="5"/>
        <v>0.20070848453430101</v>
      </c>
      <c r="S18" s="613">
        <f t="shared" si="2"/>
        <v>0.21898450443426568</v>
      </c>
      <c r="T18" s="613">
        <f t="shared" si="2"/>
        <v>0.24285714285714285</v>
      </c>
      <c r="U18" s="613">
        <f t="shared" si="3"/>
        <v>0.24227036309629749</v>
      </c>
      <c r="V18" s="613">
        <f t="shared" si="3"/>
        <v>0.22699497779442657</v>
      </c>
      <c r="W18" s="613">
        <f t="shared" ref="W18" si="6">W10/W$14</f>
        <v>0.23878145170031595</v>
      </c>
    </row>
    <row r="19" spans="1:23" ht="11.25" customHeight="1">
      <c r="A19" s="696"/>
      <c r="B19" s="279" t="s">
        <v>713</v>
      </c>
      <c r="C19" s="279"/>
      <c r="D19" s="613">
        <f t="shared" ref="D19:R19" si="7">D11/D$14</f>
        <v>0.11358574610244988</v>
      </c>
      <c r="E19" s="613">
        <f t="shared" si="7"/>
        <v>7.468700532450713E-2</v>
      </c>
      <c r="F19" s="613">
        <f t="shared" si="7"/>
        <v>6.1427958833619213E-2</v>
      </c>
      <c r="G19" s="613">
        <f t="shared" si="7"/>
        <v>6.7864557233875009E-2</v>
      </c>
      <c r="H19" s="613">
        <f t="shared" si="7"/>
        <v>0.1101218035472612</v>
      </c>
      <c r="I19" s="613">
        <f t="shared" si="7"/>
        <v>0.114412981228126</v>
      </c>
      <c r="J19" s="613">
        <f t="shared" si="7"/>
        <v>0.11764357257156403</v>
      </c>
      <c r="K19" s="613">
        <f t="shared" si="7"/>
        <v>0.17852794222614099</v>
      </c>
      <c r="L19" s="613">
        <f t="shared" si="7"/>
        <v>0.11006517016654598</v>
      </c>
      <c r="M19" s="613">
        <f t="shared" si="7"/>
        <v>0.13831011856797515</v>
      </c>
      <c r="N19" s="613">
        <f t="shared" si="7"/>
        <v>0.15258499295916314</v>
      </c>
      <c r="O19" s="613">
        <f t="shared" si="7"/>
        <v>0.16985720198675497</v>
      </c>
      <c r="P19" s="613">
        <f t="shared" si="7"/>
        <v>0.15909090909090909</v>
      </c>
      <c r="Q19" s="613">
        <f t="shared" si="7"/>
        <v>0.15833666533386645</v>
      </c>
      <c r="R19" s="613">
        <f t="shared" si="7"/>
        <v>7.7587696561257996E-2</v>
      </c>
      <c r="S19" s="613">
        <f t="shared" si="2"/>
        <v>4.3855374719812885E-2</v>
      </c>
      <c r="T19" s="613">
        <f t="shared" si="2"/>
        <v>7.7142857142857138E-2</v>
      </c>
      <c r="U19" s="613">
        <f t="shared" si="3"/>
        <v>9.0879487875520443E-2</v>
      </c>
      <c r="V19" s="613">
        <f t="shared" si="3"/>
        <v>8.7604229067015663E-2</v>
      </c>
      <c r="W19" s="613">
        <f t="shared" ref="W19" si="8">W11/W$14</f>
        <v>9.4812697755232531E-2</v>
      </c>
    </row>
    <row r="20" spans="1:23" ht="11.25" customHeight="1">
      <c r="A20" s="831"/>
      <c r="B20" s="692" t="s">
        <v>714</v>
      </c>
      <c r="C20" s="692"/>
      <c r="D20" s="835">
        <f t="shared" ref="D20:R20" si="9">D12/D$14</f>
        <v>6.204263442570792E-2</v>
      </c>
      <c r="E20" s="835">
        <f t="shared" si="9"/>
        <v>8.8214131529716508E-2</v>
      </c>
      <c r="F20" s="835">
        <f t="shared" si="9"/>
        <v>5.7568610634648368E-2</v>
      </c>
      <c r="G20" s="835">
        <f t="shared" si="9"/>
        <v>2.6344047533824896E-2</v>
      </c>
      <c r="H20" s="835">
        <f t="shared" si="9"/>
        <v>2.4503169741434575E-2</v>
      </c>
      <c r="I20" s="835">
        <f t="shared" si="9"/>
        <v>2.1762647152402163E-2</v>
      </c>
      <c r="J20" s="835">
        <f t="shared" si="9"/>
        <v>1.9972737509630772E-2</v>
      </c>
      <c r="K20" s="835">
        <f t="shared" si="9"/>
        <v>1.0370743586513834E-2</v>
      </c>
      <c r="L20" s="835">
        <f t="shared" si="9"/>
        <v>6.6980448950036209E-3</v>
      </c>
      <c r="M20" s="835">
        <f t="shared" si="9"/>
        <v>7.7126741107401862E-3</v>
      </c>
      <c r="N20" s="835">
        <f t="shared" si="9"/>
        <v>8.9016294508147253E-3</v>
      </c>
      <c r="O20" s="835">
        <f t="shared" si="9"/>
        <v>9.7268211920529795E-3</v>
      </c>
      <c r="P20" s="835">
        <f t="shared" si="9"/>
        <v>7.9775022956841135E-3</v>
      </c>
      <c r="Q20" s="835">
        <f t="shared" si="9"/>
        <v>7.8254412520706012E-3</v>
      </c>
      <c r="R20" s="835">
        <f t="shared" si="9"/>
        <v>5.184033177812338E-3</v>
      </c>
      <c r="S20" s="835">
        <f t="shared" si="2"/>
        <v>3.0211480362537764E-3</v>
      </c>
      <c r="T20" s="835">
        <f t="shared" si="2"/>
        <v>-1.3142857142857144E-2</v>
      </c>
      <c r="U20" s="835">
        <f t="shared" si="3"/>
        <v>1.4188018688572534E-2</v>
      </c>
      <c r="V20" s="835">
        <f t="shared" si="3"/>
        <v>1.3293450119110548E-2</v>
      </c>
      <c r="W20" s="835">
        <f t="shared" ref="W20" si="10">W12/W$14</f>
        <v>1.3983698442974505E-2</v>
      </c>
    </row>
    <row r="21" spans="1:23" ht="2.1" customHeight="1">
      <c r="A21" s="696"/>
      <c r="B21" s="696"/>
      <c r="C21" s="696"/>
      <c r="D21" s="673">
        <f t="shared" ref="D21:R21" si="11">D13/D$14</f>
        <v>0</v>
      </c>
      <c r="E21" s="673">
        <f t="shared" si="11"/>
        <v>0</v>
      </c>
      <c r="F21" s="673">
        <f t="shared" si="11"/>
        <v>0</v>
      </c>
      <c r="G21" s="673">
        <f t="shared" si="11"/>
        <v>0</v>
      </c>
      <c r="H21" s="673">
        <f t="shared" si="11"/>
        <v>0</v>
      </c>
      <c r="I21" s="673">
        <f t="shared" si="11"/>
        <v>0</v>
      </c>
      <c r="J21" s="673">
        <f t="shared" si="11"/>
        <v>0</v>
      </c>
      <c r="K21" s="673">
        <f t="shared" si="11"/>
        <v>0</v>
      </c>
      <c r="L21" s="673">
        <f t="shared" si="11"/>
        <v>0</v>
      </c>
      <c r="M21" s="673">
        <f t="shared" si="11"/>
        <v>0</v>
      </c>
      <c r="N21" s="673">
        <f t="shared" si="11"/>
        <v>0</v>
      </c>
      <c r="O21" s="673">
        <f t="shared" si="11"/>
        <v>0</v>
      </c>
      <c r="P21" s="673">
        <f t="shared" si="11"/>
        <v>0</v>
      </c>
      <c r="Q21" s="673">
        <f t="shared" si="11"/>
        <v>0</v>
      </c>
      <c r="R21" s="673">
        <f t="shared" si="11"/>
        <v>0</v>
      </c>
      <c r="S21" s="673">
        <f t="shared" si="2"/>
        <v>0</v>
      </c>
      <c r="T21" s="673">
        <f t="shared" si="2"/>
        <v>0</v>
      </c>
      <c r="U21" s="673">
        <f t="shared" si="3"/>
        <v>0</v>
      </c>
      <c r="V21" s="673">
        <f t="shared" si="3"/>
        <v>0</v>
      </c>
      <c r="W21" s="673">
        <f t="shared" ref="W21" si="12">W13/W$14</f>
        <v>0</v>
      </c>
    </row>
    <row r="22" spans="1:23" ht="11.25" customHeight="1">
      <c r="A22" s="703"/>
      <c r="B22" s="703"/>
      <c r="C22" s="703" t="s">
        <v>9</v>
      </c>
      <c r="D22" s="836">
        <f t="shared" ref="D22:R22" si="13">D14/D$14</f>
        <v>1</v>
      </c>
      <c r="E22" s="836">
        <f t="shared" si="13"/>
        <v>1</v>
      </c>
      <c r="F22" s="836">
        <f t="shared" si="13"/>
        <v>1</v>
      </c>
      <c r="G22" s="836">
        <f t="shared" si="13"/>
        <v>1</v>
      </c>
      <c r="H22" s="836">
        <f t="shared" si="13"/>
        <v>1</v>
      </c>
      <c r="I22" s="836">
        <f t="shared" si="13"/>
        <v>1</v>
      </c>
      <c r="J22" s="836">
        <f t="shared" si="13"/>
        <v>1</v>
      </c>
      <c r="K22" s="836">
        <f t="shared" si="13"/>
        <v>1</v>
      </c>
      <c r="L22" s="836">
        <f t="shared" si="13"/>
        <v>1</v>
      </c>
      <c r="M22" s="836">
        <f t="shared" si="13"/>
        <v>1</v>
      </c>
      <c r="N22" s="836">
        <f t="shared" si="13"/>
        <v>1</v>
      </c>
      <c r="O22" s="836">
        <f t="shared" si="13"/>
        <v>1</v>
      </c>
      <c r="P22" s="836">
        <f t="shared" si="13"/>
        <v>1</v>
      </c>
      <c r="Q22" s="836">
        <f t="shared" si="13"/>
        <v>1</v>
      </c>
      <c r="R22" s="836">
        <f t="shared" si="13"/>
        <v>1</v>
      </c>
      <c r="S22" s="836">
        <f t="shared" si="2"/>
        <v>1</v>
      </c>
      <c r="T22" s="836">
        <f t="shared" si="2"/>
        <v>1</v>
      </c>
      <c r="U22" s="836">
        <f t="shared" si="3"/>
        <v>1</v>
      </c>
      <c r="V22" s="836">
        <f t="shared" si="3"/>
        <v>1</v>
      </c>
      <c r="W22" s="836">
        <f t="shared" ref="W22" si="14">W14/W$14</f>
        <v>1</v>
      </c>
    </row>
    <row r="23" spans="1:23" ht="11.25" customHeight="1">
      <c r="A23" s="712"/>
      <c r="B23" s="712"/>
      <c r="C23" s="712"/>
      <c r="D23" s="701"/>
      <c r="E23" s="701"/>
      <c r="F23" s="701"/>
      <c r="G23" s="834"/>
      <c r="H23" s="834"/>
      <c r="I23" s="701"/>
      <c r="J23" s="712"/>
      <c r="K23" s="613"/>
      <c r="L23" s="712"/>
      <c r="M23" s="712"/>
      <c r="N23" s="712"/>
      <c r="O23" s="712"/>
      <c r="P23" s="712"/>
      <c r="Q23" s="712"/>
      <c r="R23" s="712"/>
      <c r="S23" s="712"/>
      <c r="T23" s="712"/>
      <c r="U23" s="712"/>
      <c r="V23" s="712"/>
      <c r="W23" s="712"/>
    </row>
    <row r="24" spans="1:23" ht="11.25" customHeight="1">
      <c r="A24" s="828" t="s">
        <v>589</v>
      </c>
      <c r="B24" s="828"/>
      <c r="C24" s="828"/>
      <c r="D24" s="276"/>
      <c r="E24" s="276"/>
      <c r="F24" s="276"/>
      <c r="G24" s="276"/>
      <c r="H24" s="276"/>
      <c r="I24" s="276"/>
      <c r="J24" s="276"/>
      <c r="K24" s="276"/>
      <c r="L24" s="276"/>
      <c r="M24" s="276"/>
      <c r="N24" s="276"/>
      <c r="O24" s="276"/>
      <c r="P24" s="276"/>
      <c r="Q24" s="276"/>
      <c r="R24" s="276"/>
      <c r="S24" s="276"/>
      <c r="T24" s="276"/>
      <c r="U24" s="276"/>
      <c r="V24" s="276"/>
      <c r="W24" s="276"/>
    </row>
    <row r="25" spans="1:23">
      <c r="A25" s="696"/>
      <c r="B25" s="279" t="s">
        <v>692</v>
      </c>
      <c r="C25" s="279"/>
      <c r="D25" s="883">
        <v>-596</v>
      </c>
      <c r="E25" s="883">
        <v>-84</v>
      </c>
      <c r="F25" s="673">
        <f>Financials!J32</f>
        <v>-54</v>
      </c>
      <c r="G25" s="673">
        <f>Financials!O32</f>
        <v>1185</v>
      </c>
      <c r="H25" s="673">
        <f>Financials!T32</f>
        <v>602</v>
      </c>
      <c r="I25" s="673">
        <f>Financials!Y32</f>
        <v>600</v>
      </c>
      <c r="J25" s="673">
        <f>Financials!AD32</f>
        <v>390</v>
      </c>
      <c r="K25" s="673">
        <f>Financials!AI32</f>
        <v>1431</v>
      </c>
      <c r="L25" s="673">
        <f>Financials!AN32</f>
        <v>-1438</v>
      </c>
      <c r="M25" s="673">
        <f>Financials!AS32</f>
        <v>-312</v>
      </c>
      <c r="N25" s="673">
        <f>Financials!AX32</f>
        <v>469</v>
      </c>
      <c r="O25" s="673">
        <f>Financials!BC32</f>
        <v>400</v>
      </c>
      <c r="P25" s="673">
        <f>Financials!BH32</f>
        <v>105</v>
      </c>
      <c r="Q25" s="673">
        <f>Financials!BM32</f>
        <v>709</v>
      </c>
      <c r="R25" s="673">
        <f>Financials!BR32</f>
        <v>-237</v>
      </c>
      <c r="S25" s="673">
        <f>Financials!BW32</f>
        <v>-3</v>
      </c>
      <c r="T25" s="673">
        <f>Financials!CB32</f>
        <v>380</v>
      </c>
      <c r="U25" s="673">
        <f>Financials!CG32</f>
        <v>762.36969559771535</v>
      </c>
      <c r="V25" s="673">
        <f>Financials!CL32</f>
        <v>925.08480168749998</v>
      </c>
      <c r="W25" s="673">
        <f>Financials!CQ32</f>
        <v>660.762772579429</v>
      </c>
    </row>
    <row r="26" spans="1:23">
      <c r="A26" s="696"/>
      <c r="B26" s="279" t="s">
        <v>712</v>
      </c>
      <c r="C26" s="279"/>
      <c r="D26" s="883">
        <v>123</v>
      </c>
      <c r="E26" s="883">
        <v>110</v>
      </c>
      <c r="F26" s="673">
        <f>Financials!J33</f>
        <v>203</v>
      </c>
      <c r="G26" s="673">
        <f>Financials!O33</f>
        <v>394</v>
      </c>
      <c r="H26" s="673">
        <f>Financials!T33</f>
        <v>502</v>
      </c>
      <c r="I26" s="673">
        <f>Financials!Y33</f>
        <v>714</v>
      </c>
      <c r="J26" s="673">
        <f>Financials!AD33</f>
        <v>687</v>
      </c>
      <c r="K26" s="673">
        <f>Financials!AI33</f>
        <v>498</v>
      </c>
      <c r="L26" s="673">
        <f>Financials!AN33</f>
        <v>-208</v>
      </c>
      <c r="M26" s="673">
        <f>Financials!AS33</f>
        <v>-33</v>
      </c>
      <c r="N26" s="673">
        <f>Financials!AX33</f>
        <v>-162</v>
      </c>
      <c r="O26" s="673">
        <f>Financials!BC33</f>
        <v>34</v>
      </c>
      <c r="P26" s="673">
        <f>Financials!BH33</f>
        <v>28</v>
      </c>
      <c r="Q26" s="673">
        <f>Financials!BM33</f>
        <v>116</v>
      </c>
      <c r="R26" s="673">
        <f>Financials!BR33</f>
        <v>81</v>
      </c>
      <c r="S26" s="673">
        <f>Financials!BW33</f>
        <v>185</v>
      </c>
      <c r="T26" s="673">
        <f>Financials!CB33</f>
        <v>327</v>
      </c>
      <c r="U26" s="673">
        <f>Financials!CG33</f>
        <v>370.860895115814</v>
      </c>
      <c r="V26" s="673">
        <f>Financials!CL33</f>
        <v>404.95061448211607</v>
      </c>
      <c r="W26" s="673">
        <f>Financials!CQ33</f>
        <v>382.50934538169201</v>
      </c>
    </row>
    <row r="27" spans="1:23">
      <c r="A27" s="696"/>
      <c r="B27" s="279" t="s">
        <v>713</v>
      </c>
      <c r="C27" s="279"/>
      <c r="D27" s="883">
        <v>74</v>
      </c>
      <c r="E27" s="883">
        <v>-6</v>
      </c>
      <c r="F27" s="673">
        <f>Financials!J34</f>
        <v>-25</v>
      </c>
      <c r="G27" s="673">
        <f>Financials!O34</f>
        <v>197</v>
      </c>
      <c r="H27" s="673">
        <f>Financials!T34</f>
        <v>528</v>
      </c>
      <c r="I27" s="673">
        <f>Financials!Y34</f>
        <v>631</v>
      </c>
      <c r="J27" s="673">
        <f>Financials!AD34</f>
        <v>356</v>
      </c>
      <c r="K27" s="673">
        <f>Financials!AI34</f>
        <v>1207</v>
      </c>
      <c r="L27" s="673">
        <f>Financials!AN34</f>
        <v>57</v>
      </c>
      <c r="M27" s="673">
        <f>Financials!AS34</f>
        <v>349</v>
      </c>
      <c r="N27" s="673">
        <f>Financials!AX34</f>
        <v>316</v>
      </c>
      <c r="O27" s="673">
        <f>Financials!BC34</f>
        <v>366</v>
      </c>
      <c r="P27" s="673">
        <f>Financials!BH34</f>
        <v>190</v>
      </c>
      <c r="Q27" s="673">
        <f>Financials!BM34</f>
        <v>261</v>
      </c>
      <c r="R27" s="673">
        <f>Financials!BR34</f>
        <v>-179</v>
      </c>
      <c r="S27" s="673">
        <f>Financials!BW34</f>
        <v>-304</v>
      </c>
      <c r="T27" s="673">
        <f>Financials!CB34</f>
        <v>-99</v>
      </c>
      <c r="U27" s="673">
        <f>Financials!CG34</f>
        <v>64.310698454000061</v>
      </c>
      <c r="V27" s="673">
        <f>Financials!CL34</f>
        <v>59.332384407620061</v>
      </c>
      <c r="W27" s="673">
        <f>Financials!CQ34</f>
        <v>62.552355939848667</v>
      </c>
    </row>
    <row r="28" spans="1:23">
      <c r="A28" s="696"/>
      <c r="B28" s="279" t="s">
        <v>714</v>
      </c>
      <c r="C28" s="279"/>
      <c r="D28" s="883">
        <v>-18</v>
      </c>
      <c r="E28" s="883">
        <v>38</v>
      </c>
      <c r="F28" s="673">
        <f>Financials!J35</f>
        <v>-55</v>
      </c>
      <c r="G28" s="673">
        <f>Financials!O35</f>
        <v>58</v>
      </c>
      <c r="H28" s="673">
        <f>Financials!T35</f>
        <v>43</v>
      </c>
      <c r="I28" s="673">
        <f>Financials!Y35</f>
        <v>104</v>
      </c>
      <c r="J28" s="673">
        <f>Financials!AD35</f>
        <v>49</v>
      </c>
      <c r="K28" s="673">
        <f>Financials!AI35</f>
        <v>56</v>
      </c>
      <c r="L28" s="673">
        <f>Financials!AN35</f>
        <v>-2</v>
      </c>
      <c r="M28" s="673">
        <f>Financials!AS35</f>
        <v>52</v>
      </c>
      <c r="N28" s="673">
        <f>Financials!AX35</f>
        <v>46</v>
      </c>
      <c r="O28" s="673">
        <f>Financials!BC35</f>
        <v>55</v>
      </c>
      <c r="P28" s="673">
        <f>Financials!BH35</f>
        <v>77</v>
      </c>
      <c r="Q28" s="673">
        <f>Financials!BM35</f>
        <v>79</v>
      </c>
      <c r="R28" s="673">
        <f>Financials!BR35</f>
        <v>33</v>
      </c>
      <c r="S28" s="673">
        <f>Financials!BW35</f>
        <v>63</v>
      </c>
      <c r="T28" s="673">
        <f>Financials!CB35</f>
        <v>44</v>
      </c>
      <c r="U28" s="673">
        <f>Financials!CG35</f>
        <v>50</v>
      </c>
      <c r="V28" s="673">
        <f>Financials!CL35</f>
        <v>50</v>
      </c>
      <c r="W28" s="673">
        <f>Financials!CQ35</f>
        <v>50</v>
      </c>
    </row>
    <row r="29" spans="1:23">
      <c r="A29" s="831"/>
      <c r="B29" s="692" t="s">
        <v>725</v>
      </c>
      <c r="C29" s="692"/>
      <c r="D29" s="884">
        <v>127</v>
      </c>
      <c r="E29" s="884">
        <v>79</v>
      </c>
      <c r="F29" s="837">
        <f>F31-SUM(F25:F28)</f>
        <v>-107</v>
      </c>
      <c r="G29" s="837">
        <f t="shared" ref="G29:W29" si="15">G31-SUM(G25:G28)</f>
        <v>-235</v>
      </c>
      <c r="H29" s="837">
        <f t="shared" si="15"/>
        <v>-266</v>
      </c>
      <c r="I29" s="837">
        <f t="shared" si="15"/>
        <v>-243</v>
      </c>
      <c r="J29" s="837">
        <f t="shared" si="15"/>
        <v>-100</v>
      </c>
      <c r="K29" s="837">
        <f t="shared" si="15"/>
        <v>-22</v>
      </c>
      <c r="L29" s="837">
        <f t="shared" si="15"/>
        <v>-134</v>
      </c>
      <c r="M29" s="837">
        <f t="shared" si="15"/>
        <v>-188</v>
      </c>
      <c r="N29" s="837">
        <f t="shared" si="15"/>
        <v>-386</v>
      </c>
      <c r="O29" s="837">
        <f t="shared" si="15"/>
        <v>-297</v>
      </c>
      <c r="P29" s="837">
        <f t="shared" si="15"/>
        <v>-221</v>
      </c>
      <c r="Q29" s="837">
        <f t="shared" si="15"/>
        <v>-114</v>
      </c>
      <c r="R29" s="837">
        <f t="shared" si="15"/>
        <v>-43</v>
      </c>
      <c r="S29" s="837">
        <f t="shared" si="15"/>
        <v>62</v>
      </c>
      <c r="T29" s="837">
        <f t="shared" si="15"/>
        <v>-66</v>
      </c>
      <c r="U29" s="837">
        <f t="shared" si="15"/>
        <v>-4</v>
      </c>
      <c r="V29" s="837">
        <f t="shared" si="15"/>
        <v>-4</v>
      </c>
      <c r="W29" s="837">
        <f t="shared" si="15"/>
        <v>-4</v>
      </c>
    </row>
    <row r="30" spans="1:23" ht="2.1" customHeight="1">
      <c r="A30" s="696"/>
      <c r="B30" s="696"/>
      <c r="C30" s="696"/>
      <c r="D30" s="582"/>
      <c r="E30" s="582"/>
      <c r="F30" s="582"/>
      <c r="G30" s="582"/>
      <c r="H30" s="582"/>
      <c r="I30" s="582"/>
      <c r="J30" s="582"/>
      <c r="K30" s="582"/>
      <c r="L30" s="582"/>
      <c r="M30" s="582"/>
      <c r="N30" s="582"/>
      <c r="O30" s="582"/>
      <c r="P30" s="582"/>
      <c r="Q30" s="582"/>
      <c r="R30" s="582"/>
      <c r="S30" s="582"/>
      <c r="T30" s="582"/>
      <c r="U30" s="582"/>
      <c r="V30" s="582"/>
      <c r="W30" s="582"/>
    </row>
    <row r="31" spans="1:23">
      <c r="A31" s="703"/>
      <c r="B31" s="703"/>
      <c r="C31" s="703" t="s">
        <v>9</v>
      </c>
      <c r="D31" s="838">
        <f t="shared" ref="D31:E31" si="16">SUM(D25:D29)</f>
        <v>-290</v>
      </c>
      <c r="E31" s="838">
        <f t="shared" si="16"/>
        <v>137</v>
      </c>
      <c r="F31" s="838">
        <f>Financials!$J$39</f>
        <v>-38</v>
      </c>
      <c r="G31" s="838">
        <f>Financials!$O$39</f>
        <v>1599</v>
      </c>
      <c r="H31" s="838">
        <f>Financials!$T$39</f>
        <v>1409</v>
      </c>
      <c r="I31" s="838">
        <f>Financials!$Y$39</f>
        <v>1806</v>
      </c>
      <c r="J31" s="838">
        <f>Financials!$AD$39</f>
        <v>1382</v>
      </c>
      <c r="K31" s="838">
        <f>Financials!$AI$39</f>
        <v>3170</v>
      </c>
      <c r="L31" s="838">
        <f>Financials!$AN$39</f>
        <v>-1725</v>
      </c>
      <c r="M31" s="838">
        <f>Financials!$AS$39</f>
        <v>-132</v>
      </c>
      <c r="N31" s="838">
        <f>Financials!$AX$39</f>
        <v>283</v>
      </c>
      <c r="O31" s="838">
        <f>Financials!$BC$39</f>
        <v>558</v>
      </c>
      <c r="P31" s="838">
        <f>Financials!$BH$39</f>
        <v>179</v>
      </c>
      <c r="Q31" s="838">
        <f>Financials!$BM$39</f>
        <v>1051</v>
      </c>
      <c r="R31" s="838">
        <f>Financials!$BR$39</f>
        <v>-345</v>
      </c>
      <c r="S31" s="838">
        <f>Financials!$BW$39</f>
        <v>3</v>
      </c>
      <c r="T31" s="838">
        <f>Financials!$CB$39</f>
        <v>586</v>
      </c>
      <c r="U31" s="838">
        <f>Financials!$CG$39</f>
        <v>1243.5412891675294</v>
      </c>
      <c r="V31" s="838">
        <f>Financials!$CL$39</f>
        <v>1435.367800577236</v>
      </c>
      <c r="W31" s="838">
        <f>Financials!$CQ$39</f>
        <v>1151.8244739009697</v>
      </c>
    </row>
    <row r="32" spans="1:23">
      <c r="A32" s="696"/>
      <c r="B32" s="696"/>
      <c r="C32" s="696"/>
      <c r="D32" s="276"/>
      <c r="E32" s="276"/>
      <c r="F32" s="276"/>
      <c r="G32" s="276"/>
      <c r="H32" s="276"/>
      <c r="I32" s="276"/>
      <c r="J32" s="276"/>
      <c r="K32" s="276"/>
      <c r="L32" s="276"/>
      <c r="M32" s="276"/>
      <c r="N32" s="276"/>
      <c r="O32" s="276"/>
      <c r="P32" s="276"/>
      <c r="Q32" s="276"/>
      <c r="R32" s="276"/>
      <c r="S32" s="276"/>
      <c r="T32" s="276"/>
      <c r="U32" s="276"/>
      <c r="V32" s="276"/>
      <c r="W32" s="276"/>
    </row>
    <row r="33" spans="1:23">
      <c r="A33" s="703" t="s">
        <v>765</v>
      </c>
      <c r="B33" s="703"/>
      <c r="C33" s="703"/>
      <c r="D33" s="276"/>
      <c r="E33" s="276"/>
      <c r="F33" s="276"/>
      <c r="G33" s="276"/>
      <c r="H33" s="276"/>
      <c r="I33" s="276"/>
      <c r="J33" s="276"/>
      <c r="K33" s="276"/>
      <c r="L33" s="276"/>
      <c r="M33" s="276"/>
      <c r="N33" s="276"/>
      <c r="O33" s="276"/>
      <c r="P33" s="276"/>
      <c r="Q33" s="276"/>
      <c r="R33" s="276"/>
      <c r="S33" s="276"/>
      <c r="T33" s="276"/>
      <c r="U33" s="276"/>
      <c r="V33" s="276"/>
      <c r="W33" s="276"/>
    </row>
    <row r="34" spans="1:23">
      <c r="A34" s="696"/>
      <c r="B34" s="279" t="s">
        <v>692</v>
      </c>
      <c r="C34" s="279"/>
      <c r="D34" s="673">
        <f>Operations!D85</f>
        <v>215</v>
      </c>
      <c r="E34" s="673">
        <f>Operations!E85</f>
        <v>244</v>
      </c>
      <c r="F34" s="673">
        <f>Operations!J85</f>
        <v>250</v>
      </c>
      <c r="G34" s="673">
        <f>Operations!O85</f>
        <v>268</v>
      </c>
      <c r="H34" s="673">
        <f>Operations!T85</f>
        <v>232</v>
      </c>
      <c r="I34" s="673">
        <f>Operations!Y85</f>
        <v>263</v>
      </c>
      <c r="J34" s="673">
        <f>Operations!AD85</f>
        <v>285</v>
      </c>
      <c r="K34" s="673">
        <f>Operations!AI85</f>
        <v>386</v>
      </c>
      <c r="L34" s="673">
        <f>Operations!AN85</f>
        <v>226.09374999999997</v>
      </c>
      <c r="M34" s="673">
        <f>Operations!AS85</f>
        <v>345.95791666666668</v>
      </c>
      <c r="N34" s="673">
        <f>Operations!AX85</f>
        <v>438.13583333333338</v>
      </c>
      <c r="O34" s="673">
        <f>Operations!BC85</f>
        <v>409.41166666666663</v>
      </c>
      <c r="P34" s="673">
        <f>Operations!BH85</f>
        <v>512</v>
      </c>
      <c r="Q34" s="673">
        <f>Operations!BM85</f>
        <v>456</v>
      </c>
      <c r="R34" s="673">
        <f>Operations!BR85</f>
        <v>392</v>
      </c>
      <c r="S34" s="673">
        <f>Operations!BW85</f>
        <v>349</v>
      </c>
      <c r="T34" s="673">
        <f>Operations!CB85</f>
        <v>352</v>
      </c>
      <c r="U34" s="673">
        <f>Operations!CG85</f>
        <v>367</v>
      </c>
      <c r="V34" s="673">
        <f>Operations!CL85</f>
        <v>367</v>
      </c>
      <c r="W34" s="673">
        <f>Operations!CQ85</f>
        <v>367</v>
      </c>
    </row>
    <row r="35" spans="1:23">
      <c r="A35" s="696"/>
      <c r="B35" s="279" t="s">
        <v>712</v>
      </c>
      <c r="C35" s="279"/>
      <c r="D35" s="673">
        <f>Operations!D174</f>
        <v>38</v>
      </c>
      <c r="E35" s="673">
        <f>Operations!E174</f>
        <v>41</v>
      </c>
      <c r="F35" s="673">
        <f>Operations!$J$174</f>
        <v>50</v>
      </c>
      <c r="G35" s="673">
        <f>Operations!$O$174</f>
        <v>55</v>
      </c>
      <c r="H35" s="673">
        <f>Operations!$T$174</f>
        <v>72</v>
      </c>
      <c r="I35" s="673">
        <f>Operations!$Y$174</f>
        <v>106</v>
      </c>
      <c r="J35" s="673">
        <f>Operations!$AD$174</f>
        <v>123</v>
      </c>
      <c r="K35" s="673">
        <f>Operations!$AI$174</f>
        <v>145</v>
      </c>
      <c r="L35" s="673">
        <f>Operations!$AN$174</f>
        <v>143</v>
      </c>
      <c r="M35" s="673">
        <f>Operations!$AS$174</f>
        <v>129</v>
      </c>
      <c r="N35" s="673">
        <f>Operations!$AX$174</f>
        <v>140</v>
      </c>
      <c r="O35" s="673">
        <f>Operations!$BC$174</f>
        <v>102</v>
      </c>
      <c r="P35" s="673">
        <f>Operations!$BH$174</f>
        <v>95</v>
      </c>
      <c r="Q35" s="673">
        <f>Operations!$BM$174</f>
        <v>95</v>
      </c>
      <c r="R35" s="673">
        <f>Operations!$BR$174</f>
        <v>81</v>
      </c>
      <c r="S35" s="673">
        <f>Operations!$BW$174</f>
        <v>80</v>
      </c>
      <c r="T35" s="673">
        <f>Operations!$CB$174</f>
        <v>76</v>
      </c>
      <c r="U35" s="673">
        <f>Operations!$CG$174</f>
        <v>80</v>
      </c>
      <c r="V35" s="673">
        <f>Operations!$CL$174</f>
        <v>80</v>
      </c>
      <c r="W35" s="673">
        <f>Operations!$CQ$174</f>
        <v>80</v>
      </c>
    </row>
    <row r="36" spans="1:23">
      <c r="A36" s="696"/>
      <c r="B36" s="279" t="s">
        <v>713</v>
      </c>
      <c r="C36" s="279"/>
      <c r="D36" s="673">
        <f>Operations!D125</f>
        <v>11</v>
      </c>
      <c r="E36" s="673">
        <f>Operations!E125</f>
        <v>10</v>
      </c>
      <c r="F36" s="673">
        <f>Operations!$J$125</f>
        <v>15</v>
      </c>
      <c r="G36" s="673">
        <f>Operations!$O$125</f>
        <v>16</v>
      </c>
      <c r="H36" s="673">
        <f>Operations!$T$125</f>
        <v>13</v>
      </c>
      <c r="I36" s="673">
        <f>Operations!$Y$125</f>
        <v>13</v>
      </c>
      <c r="J36" s="673">
        <f>Operations!$AD$125</f>
        <v>23</v>
      </c>
      <c r="K36" s="673">
        <f>Operations!$AI$125</f>
        <v>29</v>
      </c>
      <c r="L36" s="673">
        <f>Operations!$AN$125</f>
        <v>44</v>
      </c>
      <c r="M36" s="673">
        <f>Operations!$AS$125</f>
        <v>45</v>
      </c>
      <c r="N36" s="673">
        <f>Operations!$AX$125</f>
        <v>44</v>
      </c>
      <c r="O36" s="673">
        <f>Operations!$BC$125</f>
        <v>58</v>
      </c>
      <c r="P36" s="673">
        <f>Operations!$BH$125</f>
        <v>62</v>
      </c>
      <c r="Q36" s="673">
        <f>Operations!$BM$125</f>
        <v>66</v>
      </c>
      <c r="R36" s="673">
        <f>Operations!$BR$125</f>
        <v>64</v>
      </c>
      <c r="S36" s="673">
        <f>Operations!$BW$125</f>
        <v>68</v>
      </c>
      <c r="T36" s="673">
        <f>Operations!$CB$125</f>
        <v>51</v>
      </c>
      <c r="U36" s="673">
        <f>Operations!$CG$125</f>
        <v>48</v>
      </c>
      <c r="V36" s="673">
        <f>Operations!$CL$125</f>
        <v>48</v>
      </c>
      <c r="W36" s="673">
        <f>Operations!$CQ$125</f>
        <v>48</v>
      </c>
    </row>
    <row r="37" spans="1:23">
      <c r="A37" s="831"/>
      <c r="B37" s="692" t="s">
        <v>11</v>
      </c>
      <c r="C37" s="692"/>
      <c r="D37" s="837">
        <f t="shared" ref="D37:S37" si="17">D39-SUM(D34:D36)</f>
        <v>80</v>
      </c>
      <c r="E37" s="837">
        <f t="shared" si="17"/>
        <v>55</v>
      </c>
      <c r="F37" s="837">
        <f t="shared" si="17"/>
        <v>48</v>
      </c>
      <c r="G37" s="837">
        <f t="shared" si="17"/>
        <v>43</v>
      </c>
      <c r="H37" s="837">
        <f t="shared" si="17"/>
        <v>49</v>
      </c>
      <c r="I37" s="837">
        <f t="shared" si="17"/>
        <v>59</v>
      </c>
      <c r="J37" s="837">
        <f t="shared" si="17"/>
        <v>75</v>
      </c>
      <c r="K37" s="837">
        <f t="shared" si="17"/>
        <v>45</v>
      </c>
      <c r="L37" s="837">
        <f t="shared" si="17"/>
        <v>247.90625</v>
      </c>
      <c r="M37" s="837">
        <f t="shared" si="17"/>
        <v>138.04208333333327</v>
      </c>
      <c r="N37" s="837">
        <f t="shared" si="17"/>
        <v>58.86416666666662</v>
      </c>
      <c r="O37" s="837">
        <f t="shared" si="17"/>
        <v>91.588333333333367</v>
      </c>
      <c r="P37" s="837">
        <f t="shared" si="17"/>
        <v>15</v>
      </c>
      <c r="Q37" s="837">
        <f t="shared" si="17"/>
        <v>10</v>
      </c>
      <c r="R37" s="837">
        <f t="shared" si="17"/>
        <v>10</v>
      </c>
      <c r="S37" s="837">
        <f t="shared" si="17"/>
        <v>10</v>
      </c>
      <c r="T37" s="837">
        <f>T39-SUM(T34:T36)</f>
        <v>22</v>
      </c>
      <c r="U37" s="837">
        <f>U39-SUM(U34:U36)</f>
        <v>0</v>
      </c>
      <c r="V37" s="837">
        <f>V39-SUM(V34:V36)</f>
        <v>0</v>
      </c>
      <c r="W37" s="837">
        <f>W39-SUM(W34:W36)</f>
        <v>0</v>
      </c>
    </row>
    <row r="38" spans="1:23" ht="2.1" customHeight="1">
      <c r="A38" s="696"/>
      <c r="B38" s="696"/>
      <c r="C38" s="696"/>
      <c r="D38" s="582"/>
      <c r="E38" s="582"/>
      <c r="F38" s="582"/>
      <c r="G38" s="582"/>
      <c r="H38" s="582"/>
      <c r="I38" s="582"/>
      <c r="J38" s="582"/>
      <c r="K38" s="582"/>
      <c r="L38" s="582"/>
      <c r="M38" s="582"/>
      <c r="N38" s="582"/>
      <c r="O38" s="582"/>
      <c r="P38" s="582"/>
      <c r="Q38" s="582"/>
      <c r="R38" s="582"/>
      <c r="S38" s="582"/>
      <c r="T38" s="582"/>
      <c r="U38" s="582"/>
      <c r="V38" s="582"/>
      <c r="W38" s="582"/>
    </row>
    <row r="39" spans="1:23">
      <c r="A39" s="703"/>
      <c r="B39" s="703"/>
      <c r="C39" s="703" t="s">
        <v>9</v>
      </c>
      <c r="D39" s="885">
        <v>344</v>
      </c>
      <c r="E39" s="885">
        <v>350</v>
      </c>
      <c r="F39" s="838">
        <f>Financials!$J$25</f>
        <v>363</v>
      </c>
      <c r="G39" s="838">
        <f>Financials!$O$25</f>
        <v>382</v>
      </c>
      <c r="H39" s="838">
        <f>Financials!$T$25</f>
        <v>366</v>
      </c>
      <c r="I39" s="838">
        <f>Financials!$Y$25</f>
        <v>441</v>
      </c>
      <c r="J39" s="838">
        <f>Financials!$AD$25</f>
        <v>506</v>
      </c>
      <c r="K39" s="838">
        <f>Financials!$AI$25</f>
        <v>605</v>
      </c>
      <c r="L39" s="838">
        <f>Financials!$AN$25</f>
        <v>661</v>
      </c>
      <c r="M39" s="838">
        <f>Financials!$AS$25</f>
        <v>658</v>
      </c>
      <c r="N39" s="838">
        <f>Financials!$AX$25</f>
        <v>681</v>
      </c>
      <c r="O39" s="838">
        <f>Financials!$BC$25</f>
        <v>661</v>
      </c>
      <c r="P39" s="838">
        <f>Financials!$BH$25</f>
        <v>684</v>
      </c>
      <c r="Q39" s="838">
        <f>Financials!$BM$25</f>
        <v>627</v>
      </c>
      <c r="R39" s="838">
        <f>Financials!$BR$25</f>
        <v>547</v>
      </c>
      <c r="S39" s="838">
        <f>Financials!$BW$25</f>
        <v>507</v>
      </c>
      <c r="T39" s="838">
        <f>Financials!$CB$25</f>
        <v>501</v>
      </c>
      <c r="U39" s="838">
        <f>Financials!$CG$25</f>
        <v>495</v>
      </c>
      <c r="V39" s="838">
        <f>Financials!$CL$25</f>
        <v>495</v>
      </c>
      <c r="W39" s="838">
        <f>Financials!$CQ$25</f>
        <v>495</v>
      </c>
    </row>
    <row r="40" spans="1:23">
      <c r="A40" s="696"/>
      <c r="B40" s="696"/>
      <c r="C40" s="696"/>
      <c r="D40" s="582"/>
      <c r="E40" s="582"/>
      <c r="F40" s="582"/>
      <c r="G40" s="582"/>
      <c r="H40" s="582"/>
      <c r="I40" s="582"/>
      <c r="J40" s="582"/>
      <c r="K40" s="582"/>
      <c r="L40" s="582"/>
      <c r="M40" s="582"/>
      <c r="N40" s="582"/>
      <c r="O40" s="582"/>
      <c r="P40" s="582"/>
      <c r="Q40" s="582"/>
      <c r="R40" s="582"/>
      <c r="S40" s="582"/>
      <c r="T40" s="582"/>
      <c r="U40" s="582"/>
      <c r="V40" s="582"/>
      <c r="W40" s="582"/>
    </row>
    <row r="41" spans="1:23">
      <c r="A41" s="703" t="s">
        <v>588</v>
      </c>
      <c r="B41" s="703"/>
      <c r="C41" s="703"/>
      <c r="D41" s="582"/>
      <c r="E41" s="582"/>
      <c r="F41" s="582"/>
      <c r="G41" s="582"/>
      <c r="H41" s="582"/>
      <c r="I41" s="582"/>
      <c r="J41" s="582"/>
      <c r="K41" s="582"/>
      <c r="L41" s="582"/>
      <c r="M41" s="582"/>
      <c r="N41" s="582"/>
      <c r="O41" s="582"/>
      <c r="P41" s="582"/>
      <c r="Q41" s="582"/>
      <c r="R41" s="582"/>
      <c r="S41" s="582"/>
      <c r="T41" s="582"/>
      <c r="U41" s="582"/>
      <c r="V41" s="582"/>
      <c r="W41" s="582"/>
    </row>
    <row r="42" spans="1:23">
      <c r="A42" s="696"/>
      <c r="B42" s="279" t="s">
        <v>692</v>
      </c>
      <c r="C42" s="279"/>
      <c r="D42" s="673">
        <f t="shared" ref="D42:R42" si="18">D25+D34</f>
        <v>-381</v>
      </c>
      <c r="E42" s="673">
        <f t="shared" si="18"/>
        <v>160</v>
      </c>
      <c r="F42" s="673">
        <f t="shared" si="18"/>
        <v>196</v>
      </c>
      <c r="G42" s="673">
        <f t="shared" si="18"/>
        <v>1453</v>
      </c>
      <c r="H42" s="673">
        <f t="shared" si="18"/>
        <v>834</v>
      </c>
      <c r="I42" s="673">
        <f t="shared" si="18"/>
        <v>863</v>
      </c>
      <c r="J42" s="673">
        <f t="shared" si="18"/>
        <v>675</v>
      </c>
      <c r="K42" s="673">
        <f t="shared" si="18"/>
        <v>1817</v>
      </c>
      <c r="L42" s="673">
        <f t="shared" si="18"/>
        <v>-1211.90625</v>
      </c>
      <c r="M42" s="673">
        <f t="shared" si="18"/>
        <v>33.957916666666677</v>
      </c>
      <c r="N42" s="673">
        <f t="shared" si="18"/>
        <v>907.13583333333338</v>
      </c>
      <c r="O42" s="673">
        <f t="shared" si="18"/>
        <v>809.41166666666663</v>
      </c>
      <c r="P42" s="673">
        <f t="shared" si="18"/>
        <v>617</v>
      </c>
      <c r="Q42" s="673">
        <f t="shared" si="18"/>
        <v>1165</v>
      </c>
      <c r="R42" s="673">
        <f t="shared" si="18"/>
        <v>155</v>
      </c>
      <c r="S42" s="673">
        <f t="shared" ref="S42:T45" si="19">S25+S34</f>
        <v>346</v>
      </c>
      <c r="T42" s="673">
        <f t="shared" si="19"/>
        <v>732</v>
      </c>
      <c r="U42" s="673">
        <f t="shared" ref="U42:V45" si="20">U25+U34</f>
        <v>1129.3696955977152</v>
      </c>
      <c r="V42" s="673">
        <f t="shared" si="20"/>
        <v>1292.0848016875</v>
      </c>
      <c r="W42" s="673">
        <f t="shared" ref="W42" si="21">W25+W34</f>
        <v>1027.7627725794291</v>
      </c>
    </row>
    <row r="43" spans="1:23">
      <c r="A43" s="696"/>
      <c r="B43" s="279" t="s">
        <v>712</v>
      </c>
      <c r="C43" s="279"/>
      <c r="D43" s="673">
        <f t="shared" ref="D43:R43" si="22">D26+D35</f>
        <v>161</v>
      </c>
      <c r="E43" s="673">
        <f t="shared" si="22"/>
        <v>151</v>
      </c>
      <c r="F43" s="673">
        <f t="shared" si="22"/>
        <v>253</v>
      </c>
      <c r="G43" s="673">
        <f t="shared" si="22"/>
        <v>449</v>
      </c>
      <c r="H43" s="673">
        <f t="shared" si="22"/>
        <v>574</v>
      </c>
      <c r="I43" s="673">
        <f t="shared" si="22"/>
        <v>820</v>
      </c>
      <c r="J43" s="673">
        <f t="shared" si="22"/>
        <v>810</v>
      </c>
      <c r="K43" s="673">
        <f t="shared" si="22"/>
        <v>643</v>
      </c>
      <c r="L43" s="673">
        <f t="shared" si="22"/>
        <v>-65</v>
      </c>
      <c r="M43" s="673">
        <f t="shared" si="22"/>
        <v>96</v>
      </c>
      <c r="N43" s="673">
        <f t="shared" si="22"/>
        <v>-22</v>
      </c>
      <c r="O43" s="673">
        <f t="shared" si="22"/>
        <v>136</v>
      </c>
      <c r="P43" s="673">
        <f t="shared" si="22"/>
        <v>123</v>
      </c>
      <c r="Q43" s="673">
        <f t="shared" si="22"/>
        <v>211</v>
      </c>
      <c r="R43" s="673">
        <f t="shared" si="22"/>
        <v>162</v>
      </c>
      <c r="S43" s="673">
        <f t="shared" si="19"/>
        <v>265</v>
      </c>
      <c r="T43" s="673">
        <f t="shared" si="19"/>
        <v>403</v>
      </c>
      <c r="U43" s="673">
        <f t="shared" si="20"/>
        <v>450.860895115814</v>
      </c>
      <c r="V43" s="673">
        <f t="shared" si="20"/>
        <v>484.95061448211607</v>
      </c>
      <c r="W43" s="673">
        <f t="shared" ref="W43" si="23">W26+W35</f>
        <v>462.50934538169201</v>
      </c>
    </row>
    <row r="44" spans="1:23">
      <c r="A44" s="696"/>
      <c r="B44" s="279" t="s">
        <v>713</v>
      </c>
      <c r="C44" s="279"/>
      <c r="D44" s="673">
        <f t="shared" ref="D44:R44" si="24">D27+D36</f>
        <v>85</v>
      </c>
      <c r="E44" s="673">
        <f t="shared" si="24"/>
        <v>4</v>
      </c>
      <c r="F44" s="673">
        <f t="shared" si="24"/>
        <v>-10</v>
      </c>
      <c r="G44" s="673">
        <f t="shared" si="24"/>
        <v>213</v>
      </c>
      <c r="H44" s="673">
        <f t="shared" si="24"/>
        <v>541</v>
      </c>
      <c r="I44" s="673">
        <f t="shared" si="24"/>
        <v>644</v>
      </c>
      <c r="J44" s="673">
        <f t="shared" si="24"/>
        <v>379</v>
      </c>
      <c r="K44" s="673">
        <f t="shared" si="24"/>
        <v>1236</v>
      </c>
      <c r="L44" s="673">
        <f t="shared" si="24"/>
        <v>101</v>
      </c>
      <c r="M44" s="673">
        <f t="shared" si="24"/>
        <v>394</v>
      </c>
      <c r="N44" s="673">
        <f t="shared" si="24"/>
        <v>360</v>
      </c>
      <c r="O44" s="673">
        <f t="shared" si="24"/>
        <v>424</v>
      </c>
      <c r="P44" s="673">
        <f t="shared" si="24"/>
        <v>252</v>
      </c>
      <c r="Q44" s="673">
        <f t="shared" si="24"/>
        <v>327</v>
      </c>
      <c r="R44" s="673">
        <f t="shared" si="24"/>
        <v>-115</v>
      </c>
      <c r="S44" s="673">
        <f t="shared" si="19"/>
        <v>-236</v>
      </c>
      <c r="T44" s="673">
        <f t="shared" si="19"/>
        <v>-48</v>
      </c>
      <c r="U44" s="673">
        <f t="shared" si="20"/>
        <v>112.31069845400006</v>
      </c>
      <c r="V44" s="673">
        <f t="shared" si="20"/>
        <v>107.33238440762005</v>
      </c>
      <c r="W44" s="673">
        <f t="shared" ref="W44" si="25">W27+W36</f>
        <v>110.55235593984867</v>
      </c>
    </row>
    <row r="45" spans="1:23">
      <c r="A45" s="831"/>
      <c r="B45" s="692" t="s">
        <v>714</v>
      </c>
      <c r="C45" s="692"/>
      <c r="D45" s="837">
        <f t="shared" ref="D45:R45" si="26">D28+D37</f>
        <v>62</v>
      </c>
      <c r="E45" s="837">
        <f t="shared" si="26"/>
        <v>93</v>
      </c>
      <c r="F45" s="837">
        <f t="shared" si="26"/>
        <v>-7</v>
      </c>
      <c r="G45" s="837">
        <f t="shared" si="26"/>
        <v>101</v>
      </c>
      <c r="H45" s="837">
        <f t="shared" si="26"/>
        <v>92</v>
      </c>
      <c r="I45" s="837">
        <f t="shared" si="26"/>
        <v>163</v>
      </c>
      <c r="J45" s="837">
        <f t="shared" si="26"/>
        <v>124</v>
      </c>
      <c r="K45" s="837">
        <f t="shared" si="26"/>
        <v>101</v>
      </c>
      <c r="L45" s="837">
        <f t="shared" si="26"/>
        <v>245.90625</v>
      </c>
      <c r="M45" s="837">
        <f t="shared" si="26"/>
        <v>190.04208333333327</v>
      </c>
      <c r="N45" s="837">
        <f t="shared" si="26"/>
        <v>104.86416666666662</v>
      </c>
      <c r="O45" s="837">
        <f t="shared" si="26"/>
        <v>146.58833333333337</v>
      </c>
      <c r="P45" s="837">
        <f t="shared" si="26"/>
        <v>92</v>
      </c>
      <c r="Q45" s="837">
        <f t="shared" si="26"/>
        <v>89</v>
      </c>
      <c r="R45" s="837">
        <f t="shared" si="26"/>
        <v>43</v>
      </c>
      <c r="S45" s="837">
        <f t="shared" si="19"/>
        <v>73</v>
      </c>
      <c r="T45" s="837">
        <f t="shared" si="19"/>
        <v>66</v>
      </c>
      <c r="U45" s="837">
        <f t="shared" si="20"/>
        <v>50</v>
      </c>
      <c r="V45" s="837">
        <f t="shared" si="20"/>
        <v>50</v>
      </c>
      <c r="W45" s="837">
        <f t="shared" ref="W45" si="27">W28+W37</f>
        <v>50</v>
      </c>
    </row>
    <row r="46" spans="1:23" ht="2.1" customHeight="1">
      <c r="A46" s="696"/>
      <c r="B46" s="696"/>
      <c r="C46" s="696"/>
      <c r="D46" s="582"/>
      <c r="E46" s="582"/>
      <c r="F46" s="582"/>
      <c r="G46" s="582"/>
      <c r="H46" s="582"/>
      <c r="I46" s="582"/>
      <c r="J46" s="582"/>
      <c r="K46" s="582"/>
      <c r="L46" s="582"/>
      <c r="M46" s="582"/>
      <c r="N46" s="582"/>
      <c r="O46" s="582"/>
      <c r="P46" s="582"/>
      <c r="Q46" s="582"/>
      <c r="R46" s="582"/>
      <c r="S46" s="582"/>
      <c r="T46" s="582"/>
      <c r="U46" s="582"/>
      <c r="V46" s="582"/>
      <c r="W46" s="582"/>
    </row>
    <row r="47" spans="1:23">
      <c r="A47" s="703"/>
      <c r="B47" s="703"/>
      <c r="C47" s="703" t="s">
        <v>9</v>
      </c>
      <c r="D47" s="838">
        <f t="shared" ref="D47:R47" si="28">D39+D31</f>
        <v>54</v>
      </c>
      <c r="E47" s="838">
        <f t="shared" si="28"/>
        <v>487</v>
      </c>
      <c r="F47" s="838">
        <f t="shared" si="28"/>
        <v>325</v>
      </c>
      <c r="G47" s="838">
        <f t="shared" si="28"/>
        <v>1981</v>
      </c>
      <c r="H47" s="838">
        <f t="shared" si="28"/>
        <v>1775</v>
      </c>
      <c r="I47" s="838">
        <f t="shared" si="28"/>
        <v>2247</v>
      </c>
      <c r="J47" s="838">
        <f t="shared" si="28"/>
        <v>1888</v>
      </c>
      <c r="K47" s="838">
        <f t="shared" si="28"/>
        <v>3775</v>
      </c>
      <c r="L47" s="838">
        <f t="shared" si="28"/>
        <v>-1064</v>
      </c>
      <c r="M47" s="838">
        <f t="shared" si="28"/>
        <v>526</v>
      </c>
      <c r="N47" s="838">
        <f t="shared" si="28"/>
        <v>964</v>
      </c>
      <c r="O47" s="838">
        <f t="shared" si="28"/>
        <v>1219</v>
      </c>
      <c r="P47" s="838">
        <f t="shared" si="28"/>
        <v>863</v>
      </c>
      <c r="Q47" s="838">
        <f t="shared" si="28"/>
        <v>1678</v>
      </c>
      <c r="R47" s="838">
        <f t="shared" si="28"/>
        <v>202</v>
      </c>
      <c r="S47" s="838">
        <f>S39+S31</f>
        <v>510</v>
      </c>
      <c r="T47" s="838">
        <f>T39+T31</f>
        <v>1087</v>
      </c>
      <c r="U47" s="838">
        <f>U39+U31</f>
        <v>1738.5412891675294</v>
      </c>
      <c r="V47" s="838">
        <f>V39+V31</f>
        <v>1930.367800577236</v>
      </c>
      <c r="W47" s="838">
        <f>W39+W31</f>
        <v>1646.8244739009697</v>
      </c>
    </row>
    <row r="48" spans="1:23">
      <c r="A48" s="696"/>
      <c r="B48" s="696"/>
      <c r="C48" s="696"/>
      <c r="D48" s="277"/>
      <c r="E48" s="277"/>
      <c r="F48" s="277"/>
      <c r="G48" s="277"/>
      <c r="H48" s="277"/>
      <c r="I48" s="277"/>
      <c r="J48" s="277"/>
      <c r="K48" s="277"/>
      <c r="L48" s="277"/>
      <c r="M48" s="277"/>
      <c r="N48" s="277"/>
      <c r="O48" s="277"/>
      <c r="P48" s="277"/>
      <c r="Q48" s="277"/>
      <c r="R48" s="277"/>
      <c r="S48" s="277"/>
      <c r="T48" s="277"/>
      <c r="U48" s="277"/>
      <c r="V48" s="277"/>
      <c r="W48" s="277"/>
    </row>
    <row r="49" spans="1:23">
      <c r="A49" s="703" t="s">
        <v>12</v>
      </c>
      <c r="B49" s="703"/>
      <c r="C49" s="703"/>
      <c r="D49" s="582"/>
      <c r="E49" s="582"/>
      <c r="F49" s="582"/>
      <c r="G49" s="582"/>
      <c r="H49" s="582"/>
      <c r="I49" s="582"/>
      <c r="J49" s="582"/>
      <c r="K49" s="582"/>
      <c r="L49" s="582"/>
      <c r="M49" s="582"/>
      <c r="N49" s="582"/>
      <c r="O49" s="582"/>
      <c r="P49" s="582"/>
      <c r="Q49" s="582"/>
      <c r="R49" s="582"/>
      <c r="S49" s="582"/>
      <c r="T49" s="582"/>
      <c r="U49" s="582"/>
      <c r="V49" s="582"/>
      <c r="W49" s="582"/>
    </row>
    <row r="50" spans="1:23">
      <c r="A50" s="696"/>
      <c r="B50" s="279" t="s">
        <v>692</v>
      </c>
      <c r="C50" s="279"/>
      <c r="D50" s="613">
        <f t="shared" ref="D50:R50" si="29">D42/D$47</f>
        <v>-7.0555555555555554</v>
      </c>
      <c r="E50" s="613">
        <f t="shared" si="29"/>
        <v>0.32854209445585214</v>
      </c>
      <c r="F50" s="613">
        <f t="shared" si="29"/>
        <v>0.60307692307692307</v>
      </c>
      <c r="G50" s="613">
        <f t="shared" si="29"/>
        <v>0.73346794548207972</v>
      </c>
      <c r="H50" s="613">
        <f t="shared" si="29"/>
        <v>0.46985915492957747</v>
      </c>
      <c r="I50" s="613">
        <f t="shared" si="29"/>
        <v>0.38406764574988872</v>
      </c>
      <c r="J50" s="613">
        <f t="shared" si="29"/>
        <v>0.35752118644067798</v>
      </c>
      <c r="K50" s="613">
        <f t="shared" si="29"/>
        <v>0.48132450331125826</v>
      </c>
      <c r="L50" s="613">
        <f t="shared" si="29"/>
        <v>1.1390096334586466</v>
      </c>
      <c r="M50" s="613">
        <f t="shared" si="29"/>
        <v>6.4558776932826384E-2</v>
      </c>
      <c r="N50" s="613">
        <f t="shared" si="29"/>
        <v>0.94101227524204711</v>
      </c>
      <c r="O50" s="613">
        <f t="shared" si="29"/>
        <v>0.66399644517363954</v>
      </c>
      <c r="P50" s="613">
        <f t="shared" si="29"/>
        <v>0.71494785631517965</v>
      </c>
      <c r="Q50" s="613">
        <f t="shared" si="29"/>
        <v>0.69427890345649579</v>
      </c>
      <c r="R50" s="613">
        <f t="shared" si="29"/>
        <v>0.76732673267326734</v>
      </c>
      <c r="S50" s="613">
        <f t="shared" ref="S50:T53" si="30">S42/S$47</f>
        <v>0.67843137254901964</v>
      </c>
      <c r="T50" s="613">
        <f t="shared" si="30"/>
        <v>0.67341306347746088</v>
      </c>
      <c r="U50" s="613">
        <f t="shared" ref="U50:V53" si="31">U42/U$47</f>
        <v>0.64960763522532994</v>
      </c>
      <c r="V50" s="613">
        <f t="shared" si="31"/>
        <v>0.66934643299641083</v>
      </c>
      <c r="W50" s="613">
        <f t="shared" ref="W50" si="32">W42/W$47</f>
        <v>0.62408762370702586</v>
      </c>
    </row>
    <row r="51" spans="1:23">
      <c r="A51" s="696"/>
      <c r="B51" s="279" t="s">
        <v>712</v>
      </c>
      <c r="C51" s="279"/>
      <c r="D51" s="613">
        <f t="shared" ref="D51:R51" si="33">D43/D$47</f>
        <v>2.9814814814814814</v>
      </c>
      <c r="E51" s="613">
        <f t="shared" si="33"/>
        <v>0.31006160164271046</v>
      </c>
      <c r="F51" s="613">
        <f t="shared" si="33"/>
        <v>0.77846153846153843</v>
      </c>
      <c r="G51" s="613">
        <f t="shared" si="33"/>
        <v>0.22665320545179202</v>
      </c>
      <c r="H51" s="613">
        <f t="shared" si="33"/>
        <v>0.32338028169014083</v>
      </c>
      <c r="I51" s="613">
        <f t="shared" si="33"/>
        <v>0.36493101913662662</v>
      </c>
      <c r="J51" s="613">
        <f t="shared" si="33"/>
        <v>0.42902542372881358</v>
      </c>
      <c r="K51" s="613">
        <f t="shared" si="33"/>
        <v>0.17033112582781457</v>
      </c>
      <c r="L51" s="613">
        <f t="shared" si="33"/>
        <v>6.1090225563909771E-2</v>
      </c>
      <c r="M51" s="613">
        <f t="shared" si="33"/>
        <v>0.18250950570342206</v>
      </c>
      <c r="N51" s="613">
        <f t="shared" si="33"/>
        <v>-2.2821576763485476E-2</v>
      </c>
      <c r="O51" s="613">
        <f t="shared" si="33"/>
        <v>0.11156685808039377</v>
      </c>
      <c r="P51" s="613">
        <f t="shared" si="33"/>
        <v>0.1425260718424102</v>
      </c>
      <c r="Q51" s="613">
        <f t="shared" si="33"/>
        <v>0.12574493444576879</v>
      </c>
      <c r="R51" s="613">
        <f t="shared" si="33"/>
        <v>0.80198019801980203</v>
      </c>
      <c r="S51" s="613">
        <f t="shared" si="30"/>
        <v>0.51960784313725494</v>
      </c>
      <c r="T51" s="613">
        <f t="shared" si="30"/>
        <v>0.37074517019319225</v>
      </c>
      <c r="U51" s="613">
        <f t="shared" si="31"/>
        <v>0.25933286596356936</v>
      </c>
      <c r="V51" s="613">
        <f t="shared" si="31"/>
        <v>0.25122187302186749</v>
      </c>
      <c r="W51" s="613">
        <f t="shared" ref="W51" si="34">W43/W$47</f>
        <v>0.28084920567527621</v>
      </c>
    </row>
    <row r="52" spans="1:23">
      <c r="A52" s="696"/>
      <c r="B52" s="279" t="s">
        <v>713</v>
      </c>
      <c r="C52" s="279"/>
      <c r="D52" s="613">
        <f t="shared" ref="D52:R52" si="35">D44/D$47</f>
        <v>1.5740740740740742</v>
      </c>
      <c r="E52" s="613">
        <f t="shared" si="35"/>
        <v>8.2135523613963042E-3</v>
      </c>
      <c r="F52" s="613">
        <f t="shared" si="35"/>
        <v>-3.0769230769230771E-2</v>
      </c>
      <c r="G52" s="613">
        <f t="shared" si="35"/>
        <v>0.10752145381120647</v>
      </c>
      <c r="H52" s="613">
        <f t="shared" si="35"/>
        <v>0.30478873239436621</v>
      </c>
      <c r="I52" s="613">
        <f t="shared" si="35"/>
        <v>0.28660436137071649</v>
      </c>
      <c r="J52" s="613">
        <f t="shared" si="35"/>
        <v>0.20074152542372881</v>
      </c>
      <c r="K52" s="613">
        <f t="shared" si="35"/>
        <v>0.32741721854304634</v>
      </c>
      <c r="L52" s="613">
        <f t="shared" si="35"/>
        <v>-9.492481203007519E-2</v>
      </c>
      <c r="M52" s="613">
        <f t="shared" si="35"/>
        <v>0.74904942965779464</v>
      </c>
      <c r="N52" s="613">
        <f t="shared" si="35"/>
        <v>0.37344398340248963</v>
      </c>
      <c r="O52" s="613">
        <f t="shared" si="35"/>
        <v>0.34782608695652173</v>
      </c>
      <c r="P52" s="613">
        <f t="shared" si="35"/>
        <v>0.29200463499420626</v>
      </c>
      <c r="Q52" s="613">
        <f t="shared" si="35"/>
        <v>0.19487485101311083</v>
      </c>
      <c r="R52" s="613">
        <f t="shared" si="35"/>
        <v>-0.56930693069306926</v>
      </c>
      <c r="S52" s="613">
        <f t="shared" si="30"/>
        <v>-0.46274509803921571</v>
      </c>
      <c r="T52" s="613">
        <f t="shared" si="30"/>
        <v>-4.4158233670653177E-2</v>
      </c>
      <c r="U52" s="613">
        <f t="shared" si="31"/>
        <v>6.4600535606363488E-2</v>
      </c>
      <c r="V52" s="613">
        <f t="shared" si="31"/>
        <v>5.5602038313902952E-2</v>
      </c>
      <c r="W52" s="613">
        <f t="shared" ref="W52" si="36">W44/W$47</f>
        <v>6.713062484308005E-2</v>
      </c>
    </row>
    <row r="53" spans="1:23">
      <c r="A53" s="831"/>
      <c r="B53" s="692" t="s">
        <v>714</v>
      </c>
      <c r="C53" s="692"/>
      <c r="D53" s="835">
        <f t="shared" ref="D53:R53" si="37">D45/D$47</f>
        <v>1.1481481481481481</v>
      </c>
      <c r="E53" s="835">
        <f t="shared" si="37"/>
        <v>0.19096509240246407</v>
      </c>
      <c r="F53" s="835">
        <f t="shared" si="37"/>
        <v>-2.1538461538461538E-2</v>
      </c>
      <c r="G53" s="835">
        <f t="shared" si="37"/>
        <v>5.0984351337708227E-2</v>
      </c>
      <c r="H53" s="835">
        <f t="shared" si="37"/>
        <v>5.1830985915492955E-2</v>
      </c>
      <c r="I53" s="835">
        <f t="shared" si="37"/>
        <v>7.2541165999109924E-2</v>
      </c>
      <c r="J53" s="835">
        <f t="shared" si="37"/>
        <v>6.5677966101694921E-2</v>
      </c>
      <c r="K53" s="835">
        <f t="shared" si="37"/>
        <v>2.6754966887417218E-2</v>
      </c>
      <c r="L53" s="835">
        <f t="shared" si="37"/>
        <v>-0.23111489661654136</v>
      </c>
      <c r="M53" s="835">
        <f t="shared" si="37"/>
        <v>0.3612967363751583</v>
      </c>
      <c r="N53" s="835">
        <f t="shared" si="37"/>
        <v>0.10878025587828488</v>
      </c>
      <c r="O53" s="835">
        <f t="shared" si="37"/>
        <v>0.1202529395679519</v>
      </c>
      <c r="P53" s="835">
        <f t="shared" si="37"/>
        <v>0.10660486674391657</v>
      </c>
      <c r="Q53" s="835">
        <f t="shared" si="37"/>
        <v>5.3039332538736592E-2</v>
      </c>
      <c r="R53" s="835">
        <f t="shared" si="37"/>
        <v>0.21287128712871287</v>
      </c>
      <c r="S53" s="835">
        <f t="shared" si="30"/>
        <v>0.14313725490196078</v>
      </c>
      <c r="T53" s="835">
        <f t="shared" si="30"/>
        <v>6.0717571297148117E-2</v>
      </c>
      <c r="U53" s="835">
        <f t="shared" si="31"/>
        <v>2.8759742613844761E-2</v>
      </c>
      <c r="V53" s="835">
        <f t="shared" si="31"/>
        <v>2.590179963893334E-2</v>
      </c>
      <c r="W53" s="835">
        <f t="shared" ref="W53" si="38">W45/W$47</f>
        <v>3.0361462798497798E-2</v>
      </c>
    </row>
    <row r="54" spans="1:23" ht="2.1" customHeight="1">
      <c r="A54" s="696"/>
      <c r="B54" s="696"/>
      <c r="C54" s="696"/>
      <c r="D54" s="582"/>
      <c r="E54" s="582"/>
      <c r="F54" s="582"/>
      <c r="G54" s="582"/>
      <c r="H54" s="582"/>
      <c r="I54" s="582"/>
      <c r="J54" s="582"/>
      <c r="K54" s="582"/>
      <c r="L54" s="582"/>
      <c r="M54" s="582"/>
      <c r="N54" s="582"/>
      <c r="O54" s="582"/>
      <c r="P54" s="582"/>
      <c r="Q54" s="582"/>
      <c r="R54" s="582"/>
      <c r="S54" s="582"/>
      <c r="T54" s="582"/>
      <c r="U54" s="582"/>
      <c r="V54" s="582"/>
      <c r="W54" s="582"/>
    </row>
    <row r="55" spans="1:23">
      <c r="A55" s="703"/>
      <c r="B55" s="703"/>
      <c r="C55" s="703" t="s">
        <v>9</v>
      </c>
      <c r="D55" s="836">
        <f t="shared" ref="D55:R55" si="39">SUM(D50:D53)</f>
        <v>-1.3518518518518519</v>
      </c>
      <c r="E55" s="836">
        <f t="shared" si="39"/>
        <v>0.83778234086242298</v>
      </c>
      <c r="F55" s="836">
        <f t="shared" si="39"/>
        <v>1.3292307692307694</v>
      </c>
      <c r="G55" s="836">
        <f t="shared" si="39"/>
        <v>1.1186269560827864</v>
      </c>
      <c r="H55" s="836">
        <f t="shared" si="39"/>
        <v>1.1498591549295774</v>
      </c>
      <c r="I55" s="836">
        <f t="shared" si="39"/>
        <v>1.1081441922563418</v>
      </c>
      <c r="J55" s="836">
        <f t="shared" si="39"/>
        <v>1.0529661016949152</v>
      </c>
      <c r="K55" s="836">
        <f t="shared" si="39"/>
        <v>1.0058278145695363</v>
      </c>
      <c r="L55" s="836">
        <f t="shared" si="39"/>
        <v>0.87406015037593987</v>
      </c>
      <c r="M55" s="836">
        <f t="shared" si="39"/>
        <v>1.3574144486692015</v>
      </c>
      <c r="N55" s="836">
        <f t="shared" si="39"/>
        <v>1.4004149377593362</v>
      </c>
      <c r="O55" s="836">
        <f t="shared" si="39"/>
        <v>1.2436423297785069</v>
      </c>
      <c r="P55" s="836">
        <f t="shared" si="39"/>
        <v>1.2560834298957126</v>
      </c>
      <c r="Q55" s="836">
        <f t="shared" si="39"/>
        <v>1.0679380214541121</v>
      </c>
      <c r="R55" s="836">
        <f t="shared" si="39"/>
        <v>1.2128712871287128</v>
      </c>
      <c r="S55" s="836">
        <f>SUM(S50:S53)</f>
        <v>0.87843137254901982</v>
      </c>
      <c r="T55" s="836">
        <f>SUM(T50:T53)</f>
        <v>1.0607175712971482</v>
      </c>
      <c r="U55" s="836">
        <f>SUM(U50:U53)</f>
        <v>1.0023007794091077</v>
      </c>
      <c r="V55" s="836">
        <f>SUM(V50:V53)</f>
        <v>1.0020721439711147</v>
      </c>
      <c r="W55" s="836">
        <f>SUM(W50:W53)</f>
        <v>1.00242891702388</v>
      </c>
    </row>
    <row r="56" spans="1:23">
      <c r="A56" s="696"/>
      <c r="B56" s="696"/>
      <c r="C56" s="696"/>
      <c r="D56" s="582"/>
      <c r="E56" s="582"/>
      <c r="F56" s="582"/>
      <c r="G56" s="582"/>
      <c r="H56" s="582"/>
      <c r="I56" s="582"/>
      <c r="J56" s="582"/>
      <c r="K56" s="582"/>
      <c r="L56" s="582"/>
      <c r="M56" s="582"/>
      <c r="N56" s="582"/>
      <c r="O56" s="582"/>
      <c r="P56" s="582"/>
      <c r="Q56" s="582"/>
      <c r="R56" s="582"/>
      <c r="S56" s="582"/>
      <c r="T56" s="582"/>
      <c r="U56" s="582"/>
      <c r="V56" s="582"/>
      <c r="W56" s="582"/>
    </row>
    <row r="57" spans="1:23">
      <c r="A57" s="703" t="s">
        <v>13</v>
      </c>
      <c r="B57" s="703"/>
      <c r="C57" s="703"/>
      <c r="D57" s="582"/>
      <c r="E57" s="582"/>
      <c r="F57" s="582"/>
      <c r="G57" s="582"/>
      <c r="H57" s="582"/>
      <c r="I57" s="582"/>
      <c r="J57" s="582"/>
      <c r="K57" s="582"/>
      <c r="L57" s="582"/>
      <c r="M57" s="582"/>
      <c r="N57" s="582"/>
      <c r="O57" s="582"/>
      <c r="P57" s="582"/>
      <c r="Q57" s="582"/>
      <c r="R57" s="582"/>
      <c r="S57" s="582"/>
      <c r="T57" s="582"/>
      <c r="U57" s="582"/>
      <c r="V57" s="582"/>
      <c r="W57" s="582"/>
    </row>
    <row r="58" spans="1:23">
      <c r="A58" s="101"/>
      <c r="B58" s="279" t="s">
        <v>692</v>
      </c>
      <c r="C58" s="279"/>
      <c r="D58" s="839">
        <v>144</v>
      </c>
      <c r="E58" s="839">
        <v>47</v>
      </c>
      <c r="F58" s="839">
        <v>101</v>
      </c>
      <c r="G58" s="839">
        <v>253</v>
      </c>
      <c r="H58" s="839">
        <v>377</v>
      </c>
      <c r="I58" s="839">
        <v>274</v>
      </c>
      <c r="J58" s="840">
        <f>Operations!AD91</f>
        <v>319</v>
      </c>
      <c r="K58" s="840">
        <f>Operations!AI91</f>
        <v>595</v>
      </c>
      <c r="L58" s="840">
        <f>Operations!AN91</f>
        <v>338</v>
      </c>
      <c r="M58" s="840">
        <f>Operations!AS91</f>
        <v>499</v>
      </c>
      <c r="N58" s="840">
        <f>Operations!AX91</f>
        <v>616</v>
      </c>
      <c r="O58" s="840">
        <f>Operations!BC91</f>
        <v>500</v>
      </c>
      <c r="P58" s="840">
        <f>Operations!BH91</f>
        <v>349</v>
      </c>
      <c r="Q58" s="840">
        <f>Operations!BM91</f>
        <v>261</v>
      </c>
      <c r="R58" s="840">
        <f>Operations!BR91</f>
        <v>335</v>
      </c>
      <c r="S58" s="840">
        <f>Operations!BW91</f>
        <v>111</v>
      </c>
      <c r="T58" s="840">
        <f>Operations!CB91</f>
        <v>388</v>
      </c>
      <c r="U58" s="840">
        <f>Operations!CG91</f>
        <v>700</v>
      </c>
      <c r="V58" s="840">
        <f>Operations!CL91</f>
        <v>1000</v>
      </c>
      <c r="W58" s="840">
        <f>Operations!CQ91</f>
        <v>1000</v>
      </c>
    </row>
    <row r="59" spans="1:23">
      <c r="A59" s="101"/>
      <c r="B59" s="279" t="s">
        <v>712</v>
      </c>
      <c r="C59" s="279"/>
      <c r="D59" s="839">
        <v>61</v>
      </c>
      <c r="E59" s="839">
        <v>97</v>
      </c>
      <c r="F59" s="839">
        <v>121</v>
      </c>
      <c r="G59" s="839">
        <v>223</v>
      </c>
      <c r="H59" s="839">
        <v>249</v>
      </c>
      <c r="I59" s="839">
        <v>211</v>
      </c>
      <c r="J59" s="840">
        <f>Operations!AD178</f>
        <v>215</v>
      </c>
      <c r="K59" s="840">
        <f>Operations!AI178</f>
        <v>210</v>
      </c>
      <c r="L59" s="840">
        <f>Operations!AN178</f>
        <v>113</v>
      </c>
      <c r="M59" s="840">
        <f>Operations!AS178</f>
        <v>120</v>
      </c>
      <c r="N59" s="840">
        <f>Operations!AX178</f>
        <v>109</v>
      </c>
      <c r="O59" s="840">
        <f>Operations!BC178</f>
        <v>38</v>
      </c>
      <c r="P59" s="840">
        <f>Operations!BH178</f>
        <v>40</v>
      </c>
      <c r="Q59" s="840">
        <f>Operations!BM178</f>
        <v>74</v>
      </c>
      <c r="R59" s="840">
        <f>Operations!BR178</f>
        <v>110</v>
      </c>
      <c r="S59" s="840">
        <f>Operations!BW178</f>
        <v>83</v>
      </c>
      <c r="T59" s="840">
        <f>Operations!CB178</f>
        <v>83</v>
      </c>
      <c r="U59" s="840">
        <f>Operations!CG178</f>
        <v>100</v>
      </c>
      <c r="V59" s="840">
        <f>Operations!CL178</f>
        <v>100</v>
      </c>
      <c r="W59" s="840">
        <f>Operations!CQ178</f>
        <v>100</v>
      </c>
    </row>
    <row r="60" spans="1:23">
      <c r="A60" s="101"/>
      <c r="B60" s="279" t="s">
        <v>713</v>
      </c>
      <c r="C60" s="279"/>
      <c r="D60" s="839">
        <v>5</v>
      </c>
      <c r="E60" s="839">
        <v>52</v>
      </c>
      <c r="F60" s="839">
        <v>50</v>
      </c>
      <c r="G60" s="840">
        <f>G63-G58-G59-G61</f>
        <v>8</v>
      </c>
      <c r="H60" s="840">
        <f>H63-H58-H59-H61</f>
        <v>5</v>
      </c>
      <c r="I60" s="840">
        <f>I63-I58-I59-I61</f>
        <v>4</v>
      </c>
      <c r="J60" s="840">
        <f>Operations!AD129</f>
        <v>23</v>
      </c>
      <c r="K60" s="840">
        <f>Operations!AI129</f>
        <v>47</v>
      </c>
      <c r="L60" s="840">
        <f>Operations!AN129</f>
        <v>12</v>
      </c>
      <c r="M60" s="840">
        <f>Operations!AS129</f>
        <v>45</v>
      </c>
      <c r="N60" s="840">
        <f>Operations!AX129</f>
        <v>84</v>
      </c>
      <c r="O60" s="840">
        <f>Operations!BC129</f>
        <v>42</v>
      </c>
      <c r="P60" s="840">
        <f>Operations!BH129</f>
        <v>69</v>
      </c>
      <c r="Q60" s="840">
        <f>Operations!BM129</f>
        <v>76</v>
      </c>
      <c r="R60" s="840">
        <f>Operations!BR129</f>
        <v>102</v>
      </c>
      <c r="S60" s="840">
        <f>Operations!BW129</f>
        <v>88</v>
      </c>
      <c r="T60" s="840">
        <f>Operations!CB129</f>
        <v>28</v>
      </c>
      <c r="U60" s="840">
        <f>Operations!CG129</f>
        <v>50</v>
      </c>
      <c r="V60" s="840">
        <f>Operations!CL129</f>
        <v>50</v>
      </c>
      <c r="W60" s="840">
        <f>Operations!CQ129</f>
        <v>50</v>
      </c>
    </row>
    <row r="61" spans="1:23">
      <c r="A61" s="692"/>
      <c r="B61" s="692" t="s">
        <v>714</v>
      </c>
      <c r="C61" s="692"/>
      <c r="D61" s="841">
        <f>2+19+56</f>
        <v>77</v>
      </c>
      <c r="E61" s="841">
        <f>1+8+53</f>
        <v>62</v>
      </c>
      <c r="F61" s="842">
        <f>1+2+41</f>
        <v>44</v>
      </c>
      <c r="G61" s="842">
        <v>95</v>
      </c>
      <c r="H61" s="842">
        <v>110</v>
      </c>
      <c r="I61" s="842">
        <v>123</v>
      </c>
      <c r="J61" s="841">
        <f>J63-SUM(J58:J60)</f>
        <v>118</v>
      </c>
      <c r="K61" s="841">
        <f t="shared" ref="K61:W61" si="40">K63-SUM(K58:K60)</f>
        <v>44</v>
      </c>
      <c r="L61" s="841">
        <f t="shared" si="40"/>
        <v>9</v>
      </c>
      <c r="M61" s="841">
        <f t="shared" si="40"/>
        <v>12</v>
      </c>
      <c r="N61" s="841">
        <f t="shared" si="40"/>
        <v>39</v>
      </c>
      <c r="O61" s="841">
        <f t="shared" si="40"/>
        <v>143</v>
      </c>
      <c r="P61" s="841">
        <f t="shared" si="40"/>
        <v>19</v>
      </c>
      <c r="Q61" s="841">
        <f t="shared" si="40"/>
        <v>8</v>
      </c>
      <c r="R61" s="841">
        <f t="shared" si="40"/>
        <v>-47</v>
      </c>
      <c r="S61" s="841">
        <f t="shared" si="40"/>
        <v>24</v>
      </c>
      <c r="T61" s="841">
        <f t="shared" si="40"/>
        <v>4</v>
      </c>
      <c r="U61" s="841">
        <f t="shared" si="40"/>
        <v>0</v>
      </c>
      <c r="V61" s="841">
        <f t="shared" si="40"/>
        <v>0</v>
      </c>
      <c r="W61" s="841">
        <f t="shared" si="40"/>
        <v>0</v>
      </c>
    </row>
    <row r="62" spans="1:23" ht="2.1" customHeight="1">
      <c r="A62" s="101"/>
      <c r="B62" s="101"/>
      <c r="C62" s="101"/>
      <c r="D62" s="582"/>
      <c r="E62" s="843"/>
      <c r="F62" s="582"/>
      <c r="G62" s="582"/>
      <c r="H62" s="582"/>
      <c r="I62" s="582"/>
      <c r="J62" s="582"/>
      <c r="K62" s="843"/>
      <c r="L62" s="843"/>
      <c r="M62" s="843"/>
      <c r="N62" s="843"/>
      <c r="O62" s="843"/>
      <c r="P62" s="843"/>
      <c r="Q62" s="843"/>
      <c r="R62" s="843"/>
      <c r="S62" s="843"/>
      <c r="T62" s="843"/>
      <c r="U62" s="843"/>
      <c r="V62" s="843"/>
      <c r="W62" s="843"/>
    </row>
    <row r="63" spans="1:23">
      <c r="A63" s="703"/>
      <c r="B63" s="703"/>
      <c r="C63" s="703" t="s">
        <v>14</v>
      </c>
      <c r="D63" s="844">
        <f>SUM(D58:D61)</f>
        <v>287</v>
      </c>
      <c r="E63" s="844">
        <f>SUM(E58:E61)</f>
        <v>258</v>
      </c>
      <c r="F63" s="844">
        <f>SUM(F58:F61)</f>
        <v>316</v>
      </c>
      <c r="G63" s="845">
        <v>579</v>
      </c>
      <c r="H63" s="845">
        <v>741</v>
      </c>
      <c r="I63" s="844">
        <f>612</f>
        <v>612</v>
      </c>
      <c r="J63" s="844">
        <f>Operations!AD214</f>
        <v>675</v>
      </c>
      <c r="K63" s="844">
        <f>Operations!$AI$214</f>
        <v>896</v>
      </c>
      <c r="L63" s="844">
        <f>Operations!$AN$214</f>
        <v>472</v>
      </c>
      <c r="M63" s="844">
        <f>Operations!$AS$214</f>
        <v>676</v>
      </c>
      <c r="N63" s="844">
        <f>Operations!$AX$214</f>
        <v>848</v>
      </c>
      <c r="O63" s="844">
        <f>Operations!$BC$214</f>
        <v>723</v>
      </c>
      <c r="P63" s="844">
        <f>Operations!$BH$214</f>
        <v>477</v>
      </c>
      <c r="Q63" s="844">
        <f>Operations!$BM$214</f>
        <v>419</v>
      </c>
      <c r="R63" s="844">
        <f>Operations!$BR$214</f>
        <v>500</v>
      </c>
      <c r="S63" s="844">
        <f>Operations!$BW$214</f>
        <v>306</v>
      </c>
      <c r="T63" s="844">
        <f>Operations!$CB$214</f>
        <v>503</v>
      </c>
      <c r="U63" s="844">
        <f>Operations!$CG$214</f>
        <v>850</v>
      </c>
      <c r="V63" s="844">
        <f>Operations!$CL$214</f>
        <v>1150</v>
      </c>
      <c r="W63" s="844">
        <f>Operations!$CQ$214</f>
        <v>1150</v>
      </c>
    </row>
    <row r="64" spans="1:23">
      <c r="A64" s="696"/>
      <c r="B64" s="696"/>
      <c r="C64" s="696"/>
      <c r="D64" s="582"/>
      <c r="E64" s="582"/>
      <c r="F64" s="582"/>
      <c r="G64" s="582"/>
      <c r="H64" s="582"/>
      <c r="I64" s="582"/>
      <c r="J64" s="582"/>
      <c r="K64" s="582"/>
      <c r="L64" s="582"/>
      <c r="M64" s="582"/>
      <c r="N64" s="582"/>
      <c r="O64" s="582"/>
      <c r="P64" s="582"/>
      <c r="Q64" s="582"/>
      <c r="R64" s="582"/>
      <c r="S64" s="582"/>
      <c r="T64" s="582"/>
      <c r="U64" s="582"/>
      <c r="V64" s="582"/>
      <c r="W64" s="582"/>
    </row>
    <row r="65" spans="1:23">
      <c r="A65" s="703" t="s">
        <v>15</v>
      </c>
      <c r="B65" s="703"/>
      <c r="C65" s="703"/>
      <c r="D65" s="582"/>
      <c r="E65" s="582"/>
      <c r="F65" s="582"/>
      <c r="G65" s="582"/>
      <c r="H65" s="582"/>
      <c r="I65" s="582"/>
      <c r="J65" s="582"/>
      <c r="K65" s="582"/>
      <c r="L65" s="582"/>
      <c r="M65" s="582"/>
      <c r="N65" s="582"/>
      <c r="O65" s="582"/>
      <c r="P65" s="582"/>
      <c r="Q65" s="582"/>
      <c r="R65" s="582"/>
      <c r="S65" s="582"/>
      <c r="T65" s="582"/>
      <c r="U65" s="582"/>
      <c r="V65" s="582"/>
      <c r="W65" s="582"/>
    </row>
    <row r="66" spans="1:23">
      <c r="A66" s="101"/>
      <c r="B66" s="279" t="s">
        <v>692</v>
      </c>
      <c r="C66" s="279"/>
      <c r="D66" s="673">
        <f t="shared" ref="D66:R66" si="41">D42-D58</f>
        <v>-525</v>
      </c>
      <c r="E66" s="673">
        <f t="shared" si="41"/>
        <v>113</v>
      </c>
      <c r="F66" s="673">
        <f t="shared" si="41"/>
        <v>95</v>
      </c>
      <c r="G66" s="673">
        <f t="shared" si="41"/>
        <v>1200</v>
      </c>
      <c r="H66" s="673">
        <f t="shared" si="41"/>
        <v>457</v>
      </c>
      <c r="I66" s="673">
        <f t="shared" si="41"/>
        <v>589</v>
      </c>
      <c r="J66" s="673">
        <f t="shared" si="41"/>
        <v>356</v>
      </c>
      <c r="K66" s="673">
        <f t="shared" si="41"/>
        <v>1222</v>
      </c>
      <c r="L66" s="673">
        <f t="shared" si="41"/>
        <v>-1549.90625</v>
      </c>
      <c r="M66" s="673">
        <f t="shared" si="41"/>
        <v>-465.04208333333332</v>
      </c>
      <c r="N66" s="673">
        <f t="shared" si="41"/>
        <v>291.13583333333338</v>
      </c>
      <c r="O66" s="673">
        <f t="shared" si="41"/>
        <v>309.41166666666663</v>
      </c>
      <c r="P66" s="673">
        <f t="shared" si="41"/>
        <v>268</v>
      </c>
      <c r="Q66" s="673">
        <f t="shared" si="41"/>
        <v>904</v>
      </c>
      <c r="R66" s="673">
        <f t="shared" si="41"/>
        <v>-180</v>
      </c>
      <c r="S66" s="673">
        <f t="shared" ref="S66:T69" si="42">S42-S58</f>
        <v>235</v>
      </c>
      <c r="T66" s="673">
        <f t="shared" si="42"/>
        <v>344</v>
      </c>
      <c r="U66" s="673">
        <f t="shared" ref="U66:V69" si="43">U42-U58</f>
        <v>429.36969559771524</v>
      </c>
      <c r="V66" s="673">
        <f t="shared" si="43"/>
        <v>292.08480168749998</v>
      </c>
      <c r="W66" s="673">
        <f t="shared" ref="W66" si="44">W42-W58</f>
        <v>27.762772579429111</v>
      </c>
    </row>
    <row r="67" spans="1:23">
      <c r="A67" s="101"/>
      <c r="B67" s="279" t="s">
        <v>712</v>
      </c>
      <c r="C67" s="279"/>
      <c r="D67" s="673">
        <f t="shared" ref="D67:R67" si="45">D43-D59</f>
        <v>100</v>
      </c>
      <c r="E67" s="673">
        <f t="shared" si="45"/>
        <v>54</v>
      </c>
      <c r="F67" s="673">
        <f t="shared" si="45"/>
        <v>132</v>
      </c>
      <c r="G67" s="673">
        <f t="shared" si="45"/>
        <v>226</v>
      </c>
      <c r="H67" s="673">
        <f t="shared" si="45"/>
        <v>325</v>
      </c>
      <c r="I67" s="673">
        <f t="shared" si="45"/>
        <v>609</v>
      </c>
      <c r="J67" s="673">
        <f t="shared" si="45"/>
        <v>595</v>
      </c>
      <c r="K67" s="673">
        <f t="shared" si="45"/>
        <v>433</v>
      </c>
      <c r="L67" s="673">
        <f t="shared" si="45"/>
        <v>-178</v>
      </c>
      <c r="M67" s="673">
        <f t="shared" si="45"/>
        <v>-24</v>
      </c>
      <c r="N67" s="673">
        <f t="shared" si="45"/>
        <v>-131</v>
      </c>
      <c r="O67" s="673">
        <f t="shared" si="45"/>
        <v>98</v>
      </c>
      <c r="P67" s="673">
        <f t="shared" si="45"/>
        <v>83</v>
      </c>
      <c r="Q67" s="673">
        <f t="shared" si="45"/>
        <v>137</v>
      </c>
      <c r="R67" s="673">
        <f t="shared" si="45"/>
        <v>52</v>
      </c>
      <c r="S67" s="673">
        <f t="shared" si="42"/>
        <v>182</v>
      </c>
      <c r="T67" s="673">
        <f t="shared" si="42"/>
        <v>320</v>
      </c>
      <c r="U67" s="673">
        <f t="shared" si="43"/>
        <v>350.860895115814</v>
      </c>
      <c r="V67" s="673">
        <f t="shared" si="43"/>
        <v>384.95061448211607</v>
      </c>
      <c r="W67" s="673">
        <f t="shared" ref="W67" si="46">W43-W59</f>
        <v>362.50934538169201</v>
      </c>
    </row>
    <row r="68" spans="1:23">
      <c r="A68" s="101"/>
      <c r="B68" s="279" t="s">
        <v>713</v>
      </c>
      <c r="C68" s="279"/>
      <c r="D68" s="582"/>
      <c r="E68" s="582"/>
      <c r="F68" s="673">
        <f t="shared" ref="F68:R68" si="47">F44-F60</f>
        <v>-60</v>
      </c>
      <c r="G68" s="673">
        <f t="shared" si="47"/>
        <v>205</v>
      </c>
      <c r="H68" s="673">
        <f t="shared" si="47"/>
        <v>536</v>
      </c>
      <c r="I68" s="673">
        <f t="shared" si="47"/>
        <v>640</v>
      </c>
      <c r="J68" s="673">
        <f t="shared" si="47"/>
        <v>356</v>
      </c>
      <c r="K68" s="673">
        <f t="shared" si="47"/>
        <v>1189</v>
      </c>
      <c r="L68" s="673">
        <f t="shared" si="47"/>
        <v>89</v>
      </c>
      <c r="M68" s="673">
        <f t="shared" si="47"/>
        <v>349</v>
      </c>
      <c r="N68" s="673">
        <f t="shared" si="47"/>
        <v>276</v>
      </c>
      <c r="O68" s="673">
        <f t="shared" si="47"/>
        <v>382</v>
      </c>
      <c r="P68" s="673">
        <f t="shared" si="47"/>
        <v>183</v>
      </c>
      <c r="Q68" s="673">
        <f t="shared" si="47"/>
        <v>251</v>
      </c>
      <c r="R68" s="673">
        <f t="shared" si="47"/>
        <v>-217</v>
      </c>
      <c r="S68" s="673">
        <f t="shared" si="42"/>
        <v>-324</v>
      </c>
      <c r="T68" s="673">
        <f t="shared" si="42"/>
        <v>-76</v>
      </c>
      <c r="U68" s="673">
        <f t="shared" si="43"/>
        <v>62.310698454000061</v>
      </c>
      <c r="V68" s="673">
        <f t="shared" si="43"/>
        <v>57.332384407620054</v>
      </c>
      <c r="W68" s="673">
        <f t="shared" ref="W68" si="48">W44-W60</f>
        <v>60.552355939848667</v>
      </c>
    </row>
    <row r="69" spans="1:23">
      <c r="A69" s="692"/>
      <c r="B69" s="692" t="s">
        <v>714</v>
      </c>
      <c r="C69" s="692"/>
      <c r="D69" s="837">
        <f>D45-D61</f>
        <v>-15</v>
      </c>
      <c r="E69" s="837">
        <f>E45-E61</f>
        <v>31</v>
      </c>
      <c r="F69" s="837">
        <f t="shared" ref="F69:R69" si="49">F45-F61</f>
        <v>-51</v>
      </c>
      <c r="G69" s="837">
        <f t="shared" si="49"/>
        <v>6</v>
      </c>
      <c r="H69" s="837">
        <f t="shared" si="49"/>
        <v>-18</v>
      </c>
      <c r="I69" s="837">
        <f t="shared" si="49"/>
        <v>40</v>
      </c>
      <c r="J69" s="837">
        <f t="shared" si="49"/>
        <v>6</v>
      </c>
      <c r="K69" s="837">
        <f t="shared" si="49"/>
        <v>57</v>
      </c>
      <c r="L69" s="837">
        <f t="shared" si="49"/>
        <v>236.90625</v>
      </c>
      <c r="M69" s="837">
        <f t="shared" si="49"/>
        <v>178.04208333333327</v>
      </c>
      <c r="N69" s="837">
        <f t="shared" si="49"/>
        <v>65.86416666666662</v>
      </c>
      <c r="O69" s="837">
        <f t="shared" si="49"/>
        <v>3.5883333333333667</v>
      </c>
      <c r="P69" s="837">
        <f t="shared" si="49"/>
        <v>73</v>
      </c>
      <c r="Q69" s="837">
        <f t="shared" si="49"/>
        <v>81</v>
      </c>
      <c r="R69" s="837">
        <f t="shared" si="49"/>
        <v>90</v>
      </c>
      <c r="S69" s="837">
        <f t="shared" si="42"/>
        <v>49</v>
      </c>
      <c r="T69" s="837">
        <f t="shared" si="42"/>
        <v>62</v>
      </c>
      <c r="U69" s="837">
        <f t="shared" si="43"/>
        <v>50</v>
      </c>
      <c r="V69" s="837">
        <f t="shared" si="43"/>
        <v>50</v>
      </c>
      <c r="W69" s="837">
        <f t="shared" ref="W69" si="50">W45-W61</f>
        <v>50</v>
      </c>
    </row>
    <row r="70" spans="1:23" ht="2.1" customHeight="1">
      <c r="A70" s="101"/>
      <c r="B70" s="101"/>
      <c r="C70" s="101"/>
      <c r="D70" s="582"/>
      <c r="E70" s="582"/>
      <c r="F70" s="582"/>
      <c r="G70" s="582"/>
      <c r="H70" s="582"/>
      <c r="I70" s="582"/>
      <c r="J70" s="582"/>
      <c r="K70" s="582"/>
      <c r="L70" s="582"/>
      <c r="M70" s="582"/>
      <c r="N70" s="582"/>
      <c r="O70" s="582"/>
      <c r="P70" s="582"/>
      <c r="Q70" s="582"/>
      <c r="R70" s="582"/>
      <c r="S70" s="582"/>
      <c r="T70" s="582"/>
      <c r="U70" s="582"/>
      <c r="V70" s="582"/>
      <c r="W70" s="582"/>
    </row>
    <row r="71" spans="1:23">
      <c r="A71" s="703"/>
      <c r="B71" s="703"/>
      <c r="C71" s="703" t="s">
        <v>14</v>
      </c>
      <c r="D71" s="846">
        <f t="shared" ref="D71:R71" si="51">SUM(D66:D69)</f>
        <v>-440</v>
      </c>
      <c r="E71" s="846">
        <f t="shared" si="51"/>
        <v>198</v>
      </c>
      <c r="F71" s="846">
        <f t="shared" si="51"/>
        <v>116</v>
      </c>
      <c r="G71" s="846">
        <f t="shared" si="51"/>
        <v>1637</v>
      </c>
      <c r="H71" s="846">
        <f t="shared" si="51"/>
        <v>1300</v>
      </c>
      <c r="I71" s="846">
        <f t="shared" si="51"/>
        <v>1878</v>
      </c>
      <c r="J71" s="846">
        <f t="shared" si="51"/>
        <v>1313</v>
      </c>
      <c r="K71" s="846">
        <f t="shared" si="51"/>
        <v>2901</v>
      </c>
      <c r="L71" s="846">
        <f t="shared" si="51"/>
        <v>-1402</v>
      </c>
      <c r="M71" s="846">
        <f t="shared" si="51"/>
        <v>37.999999999999943</v>
      </c>
      <c r="N71" s="846">
        <f t="shared" si="51"/>
        <v>502</v>
      </c>
      <c r="O71" s="846">
        <f t="shared" si="51"/>
        <v>793</v>
      </c>
      <c r="P71" s="846">
        <f t="shared" si="51"/>
        <v>607</v>
      </c>
      <c r="Q71" s="846">
        <f t="shared" si="51"/>
        <v>1373</v>
      </c>
      <c r="R71" s="846">
        <f t="shared" si="51"/>
        <v>-255</v>
      </c>
      <c r="S71" s="846">
        <f>SUM(S66:S69)</f>
        <v>142</v>
      </c>
      <c r="T71" s="846">
        <f>SUM(T66:T69)</f>
        <v>650</v>
      </c>
      <c r="U71" s="846">
        <f>SUM(U66:U69)</f>
        <v>892.54128916752927</v>
      </c>
      <c r="V71" s="846">
        <f>SUM(V66:V69)</f>
        <v>784.36780057723604</v>
      </c>
      <c r="W71" s="846">
        <f>SUM(W66:W69)</f>
        <v>500.82447390096979</v>
      </c>
    </row>
    <row r="72" spans="1:23">
      <c r="A72" s="696"/>
      <c r="B72" s="696"/>
      <c r="C72" s="696"/>
      <c r="D72" s="722"/>
      <c r="E72" s="722"/>
      <c r="F72" s="722"/>
      <c r="G72" s="722"/>
      <c r="H72" s="722"/>
      <c r="I72" s="722"/>
      <c r="J72" s="722"/>
      <c r="K72" s="722"/>
      <c r="L72" s="722"/>
      <c r="M72" s="722"/>
      <c r="N72" s="722"/>
      <c r="O72" s="722"/>
      <c r="P72" s="722"/>
      <c r="Q72" s="722"/>
      <c r="R72" s="722"/>
      <c r="S72" s="722"/>
      <c r="T72" s="722"/>
      <c r="U72" s="722"/>
      <c r="V72" s="722"/>
      <c r="W72" s="722"/>
    </row>
    <row r="73" spans="1:23">
      <c r="A73" s="828" t="s">
        <v>16</v>
      </c>
      <c r="B73" s="828"/>
      <c r="C73" s="828"/>
      <c r="D73" s="696"/>
      <c r="E73" s="696"/>
      <c r="F73" s="696"/>
      <c r="G73" s="696"/>
      <c r="H73" s="696"/>
      <c r="I73" s="696"/>
      <c r="J73" s="696"/>
      <c r="K73" s="696"/>
      <c r="L73" s="696"/>
      <c r="M73" s="696"/>
      <c r="N73" s="696"/>
      <c r="O73" s="696"/>
      <c r="P73" s="696"/>
      <c r="Q73" s="696"/>
      <c r="R73" s="696"/>
      <c r="S73" s="696"/>
      <c r="T73" s="696"/>
      <c r="U73" s="696"/>
      <c r="V73" s="696"/>
      <c r="W73" s="696"/>
    </row>
    <row r="74" spans="1:23">
      <c r="A74" s="696"/>
      <c r="B74" s="279" t="s">
        <v>692</v>
      </c>
      <c r="C74" s="279"/>
      <c r="D74" s="847">
        <f t="shared" ref="D74:R74" si="52">D25/D9</f>
        <v>-0.14459000485201359</v>
      </c>
      <c r="E74" s="847">
        <f t="shared" si="52"/>
        <v>-1.8068401806840179E-2</v>
      </c>
      <c r="F74" s="847">
        <f t="shared" si="52"/>
        <v>-8.4361818465864703E-3</v>
      </c>
      <c r="G74" s="847">
        <f t="shared" si="52"/>
        <v>0.12067209775967414</v>
      </c>
      <c r="H74" s="847">
        <f t="shared" si="52"/>
        <v>6.830818109610802E-2</v>
      </c>
      <c r="I74" s="847">
        <f t="shared" si="52"/>
        <v>6.2454460289372335E-2</v>
      </c>
      <c r="J74" s="847">
        <f t="shared" si="52"/>
        <v>3.9457709429380816E-2</v>
      </c>
      <c r="K74" s="847">
        <f t="shared" si="52"/>
        <v>0.10346323476249006</v>
      </c>
      <c r="L74" s="847">
        <f t="shared" si="52"/>
        <v>-0.21103610214264748</v>
      </c>
      <c r="M74" s="847">
        <f t="shared" si="52"/>
        <v>-2.8761061946902654E-2</v>
      </c>
      <c r="N74" s="847">
        <f t="shared" si="52"/>
        <v>3.792350610495674E-2</v>
      </c>
      <c r="O74" s="847">
        <f t="shared" si="52"/>
        <v>3.0988534242330338E-2</v>
      </c>
      <c r="P74" s="847">
        <f t="shared" si="52"/>
        <v>9.0736259937780842E-3</v>
      </c>
      <c r="Q74" s="847">
        <f t="shared" si="52"/>
        <v>6.0562056889040747E-2</v>
      </c>
      <c r="R74" s="847">
        <f t="shared" si="52"/>
        <v>-2.8578319064271072E-2</v>
      </c>
      <c r="S74" s="847">
        <f t="shared" ref="S74:T77" si="53">S25/S9</f>
        <v>-3.9824771007566706E-4</v>
      </c>
      <c r="T74" s="847">
        <f t="shared" si="53"/>
        <v>4.4753268166293721E-2</v>
      </c>
      <c r="U74" s="847">
        <f t="shared" ref="U74:V77" si="54">U25/U9</f>
        <v>8.2864586329786119E-2</v>
      </c>
      <c r="V74" s="847">
        <f t="shared" si="54"/>
        <v>9.1485153338253508E-2</v>
      </c>
      <c r="W74" s="847">
        <f t="shared" ref="W74" si="55">W25/W9</f>
        <v>7.0812336187025371E-2</v>
      </c>
    </row>
    <row r="75" spans="1:23">
      <c r="A75" s="696"/>
      <c r="B75" s="279" t="s">
        <v>712</v>
      </c>
      <c r="C75" s="279"/>
      <c r="D75" s="847">
        <f t="shared" ref="D75:R75" si="56">D26/D10</f>
        <v>0.11603773584905661</v>
      </c>
      <c r="E75" s="847">
        <f t="shared" si="56"/>
        <v>9.4178082191780824E-2</v>
      </c>
      <c r="F75" s="847">
        <f t="shared" si="56"/>
        <v>0.11172261970280682</v>
      </c>
      <c r="G75" s="847">
        <f t="shared" si="56"/>
        <v>0.13907518531591953</v>
      </c>
      <c r="H75" s="847">
        <f t="shared" si="56"/>
        <v>0.15047961630695444</v>
      </c>
      <c r="I75" s="847">
        <f t="shared" si="56"/>
        <v>0.17993951612903225</v>
      </c>
      <c r="J75" s="847">
        <f t="shared" si="56"/>
        <v>0.14720377115920291</v>
      </c>
      <c r="K75" s="847">
        <f t="shared" si="56"/>
        <v>9.0759978130125749E-2</v>
      </c>
      <c r="L75" s="847">
        <f t="shared" si="56"/>
        <v>-7.0652173913043473E-2</v>
      </c>
      <c r="M75" s="847">
        <f t="shared" si="56"/>
        <v>-8.2727500626723488E-3</v>
      </c>
      <c r="N75" s="847">
        <f t="shared" si="56"/>
        <v>-3.7621922898281465E-2</v>
      </c>
      <c r="O75" s="847">
        <f t="shared" si="56"/>
        <v>1.1529331976941335E-2</v>
      </c>
      <c r="P75" s="847">
        <f t="shared" si="56"/>
        <v>9.520571234274057E-3</v>
      </c>
      <c r="Q75" s="847">
        <f t="shared" si="56"/>
        <v>4.0124524386025595E-2</v>
      </c>
      <c r="R75" s="847">
        <f t="shared" si="56"/>
        <v>3.486870426173052E-2</v>
      </c>
      <c r="S75" s="847">
        <f t="shared" si="53"/>
        <v>8.2331998219848684E-2</v>
      </c>
      <c r="T75" s="847">
        <f t="shared" si="53"/>
        <v>0.10991596638655463</v>
      </c>
      <c r="U75" s="847">
        <f t="shared" si="54"/>
        <v>0.10859316929063374</v>
      </c>
      <c r="V75" s="847">
        <f t="shared" si="54"/>
        <v>0.11857510784217337</v>
      </c>
      <c r="W75" s="847">
        <f t="shared" ref="W75" si="57">W26/W10</f>
        <v>0.11200399569038398</v>
      </c>
    </row>
    <row r="76" spans="1:23">
      <c r="A76" s="696"/>
      <c r="B76" s="279" t="s">
        <v>713</v>
      </c>
      <c r="C76" s="279"/>
      <c r="D76" s="847"/>
      <c r="E76" s="847"/>
      <c r="F76" s="847">
        <f t="shared" ref="F76:R76" si="58">F27/F11</f>
        <v>-4.3630017452006981E-2</v>
      </c>
      <c r="G76" s="847">
        <f t="shared" si="58"/>
        <v>0.20780590717299577</v>
      </c>
      <c r="H76" s="847">
        <f t="shared" si="58"/>
        <v>0.34152652005174644</v>
      </c>
      <c r="I76" s="847">
        <f t="shared" si="58"/>
        <v>0.35094549499443828</v>
      </c>
      <c r="J76" s="847">
        <f t="shared" si="58"/>
        <v>0.17934508816120906</v>
      </c>
      <c r="K76" s="847">
        <f t="shared" si="58"/>
        <v>0.28386641580432737</v>
      </c>
      <c r="L76" s="847">
        <f t="shared" si="58"/>
        <v>4.6875E-2</v>
      </c>
      <c r="M76" s="847">
        <f t="shared" si="58"/>
        <v>0.14523512276321265</v>
      </c>
      <c r="N76" s="847">
        <f t="shared" si="58"/>
        <v>0.1041529334212261</v>
      </c>
      <c r="O76" s="847">
        <f t="shared" si="58"/>
        <v>0.1114833993298812</v>
      </c>
      <c r="P76" s="847">
        <f t="shared" si="58"/>
        <v>6.8542568542568544E-2</v>
      </c>
      <c r="Q76" s="847">
        <f t="shared" si="58"/>
        <v>9.4155844155844159E-2</v>
      </c>
      <c r="R76" s="847">
        <f t="shared" si="58"/>
        <v>-0.19933184855233854</v>
      </c>
      <c r="S76" s="847">
        <f t="shared" si="53"/>
        <v>-0.67555555555555558</v>
      </c>
      <c r="T76" s="847">
        <f t="shared" si="53"/>
        <v>-0.10476190476190476</v>
      </c>
      <c r="U76" s="847">
        <f t="shared" si="54"/>
        <v>5.0200623532908543E-2</v>
      </c>
      <c r="V76" s="847">
        <f t="shared" si="54"/>
        <v>4.5016781779291949E-2</v>
      </c>
      <c r="W76" s="847">
        <f t="shared" ref="W76" si="59">W27/W11</f>
        <v>4.6128488223096419E-2</v>
      </c>
    </row>
    <row r="77" spans="1:23">
      <c r="A77" s="831"/>
      <c r="B77" s="692" t="s">
        <v>714</v>
      </c>
      <c r="C77" s="692"/>
      <c r="D77" s="848">
        <f>D28/D12</f>
        <v>-4.6153846153846156E-2</v>
      </c>
      <c r="E77" s="848">
        <f>E28/E12</f>
        <v>6.1990212071778142E-2</v>
      </c>
      <c r="F77" s="848">
        <f t="shared" ref="F77:R77" si="60">F28/F12</f>
        <v>-0.10242085661080075</v>
      </c>
      <c r="G77" s="848">
        <f t="shared" si="60"/>
        <v>0.15760869565217392</v>
      </c>
      <c r="H77" s="848">
        <f t="shared" si="60"/>
        <v>0.125</v>
      </c>
      <c r="I77" s="848">
        <f t="shared" si="60"/>
        <v>0.30409356725146197</v>
      </c>
      <c r="J77" s="848">
        <f t="shared" si="60"/>
        <v>0.14540059347181009</v>
      </c>
      <c r="K77" s="848">
        <f t="shared" si="60"/>
        <v>0.22672064777327935</v>
      </c>
      <c r="L77" s="848">
        <f t="shared" si="60"/>
        <v>-2.7027027027027029E-2</v>
      </c>
      <c r="M77" s="848">
        <f t="shared" si="60"/>
        <v>0.38805970149253732</v>
      </c>
      <c r="N77" s="848">
        <f t="shared" si="60"/>
        <v>0.25988700564971751</v>
      </c>
      <c r="O77" s="848">
        <f t="shared" si="60"/>
        <v>0.29255319148936171</v>
      </c>
      <c r="P77" s="848">
        <f t="shared" si="60"/>
        <v>0.5539568345323741</v>
      </c>
      <c r="Q77" s="848">
        <f t="shared" si="60"/>
        <v>0.57664233576642332</v>
      </c>
      <c r="R77" s="848">
        <f t="shared" si="60"/>
        <v>0.55000000000000004</v>
      </c>
      <c r="S77" s="848">
        <f t="shared" si="53"/>
        <v>2.032258064516129</v>
      </c>
      <c r="T77" s="848">
        <f t="shared" si="53"/>
        <v>-0.27329192546583853</v>
      </c>
      <c r="U77" s="848">
        <f t="shared" si="54"/>
        <v>0.25</v>
      </c>
      <c r="V77" s="848">
        <f t="shared" si="54"/>
        <v>0.25</v>
      </c>
      <c r="W77" s="848">
        <f t="shared" ref="W77" si="61">W28/W12</f>
        <v>0.25</v>
      </c>
    </row>
    <row r="78" spans="1:23" ht="2.1" customHeight="1">
      <c r="A78" s="696"/>
      <c r="B78" s="696"/>
      <c r="C78" s="696"/>
      <c r="D78" s="582"/>
      <c r="E78" s="582"/>
      <c r="F78" s="582"/>
      <c r="G78" s="582"/>
      <c r="H78" s="582"/>
      <c r="I78" s="582"/>
      <c r="J78" s="582"/>
      <c r="K78" s="582"/>
      <c r="L78" s="582"/>
      <c r="M78" s="582"/>
      <c r="N78" s="582"/>
      <c r="O78" s="582"/>
      <c r="P78" s="582"/>
      <c r="Q78" s="582"/>
      <c r="R78" s="582"/>
      <c r="S78" s="582"/>
      <c r="T78" s="582"/>
      <c r="U78" s="582"/>
      <c r="V78" s="582"/>
      <c r="W78" s="582"/>
    </row>
    <row r="79" spans="1:23">
      <c r="A79" s="703"/>
      <c r="B79" s="703"/>
      <c r="C79" s="703" t="s">
        <v>14</v>
      </c>
      <c r="D79" s="849">
        <f t="shared" ref="D79:R79" si="62">D31/D14</f>
        <v>-4.6134266624244351E-2</v>
      </c>
      <c r="E79" s="849">
        <f t="shared" si="62"/>
        <v>1.9715066916103037E-2</v>
      </c>
      <c r="F79" s="849">
        <f t="shared" si="62"/>
        <v>-4.0737564322469982E-3</v>
      </c>
      <c r="G79" s="849">
        <f t="shared" si="62"/>
        <v>0.11446775001789677</v>
      </c>
      <c r="H79" s="849">
        <f t="shared" si="62"/>
        <v>0.10036327373744569</v>
      </c>
      <c r="I79" s="849">
        <f t="shared" si="62"/>
        <v>0.11492204899777284</v>
      </c>
      <c r="J79" s="849">
        <f t="shared" si="62"/>
        <v>8.1906003674509578E-2</v>
      </c>
      <c r="K79" s="849">
        <f t="shared" si="62"/>
        <v>0.13309820716295084</v>
      </c>
      <c r="L79" s="849">
        <f t="shared" si="62"/>
        <v>-0.15613685734974656</v>
      </c>
      <c r="M79" s="849">
        <f t="shared" si="62"/>
        <v>-7.5975595717739149E-3</v>
      </c>
      <c r="N79" s="849">
        <f t="shared" si="62"/>
        <v>1.4232548782941059E-2</v>
      </c>
      <c r="O79" s="849">
        <f t="shared" si="62"/>
        <v>2.8870033112582783E-2</v>
      </c>
      <c r="P79" s="849">
        <f t="shared" si="62"/>
        <v>1.0273186409550047E-2</v>
      </c>
      <c r="Q79" s="849">
        <f t="shared" si="62"/>
        <v>6.0033129605300738E-2</v>
      </c>
      <c r="R79" s="849">
        <f t="shared" si="62"/>
        <v>-2.9808190772420945E-2</v>
      </c>
      <c r="S79" s="849">
        <f>S31/S14</f>
        <v>2.9236916479875256E-4</v>
      </c>
      <c r="T79" s="849">
        <f>T31/T14</f>
        <v>4.7836734693877551E-2</v>
      </c>
      <c r="U79" s="849">
        <f>U31/U14</f>
        <v>8.8216935253602441E-2</v>
      </c>
      <c r="V79" s="849">
        <f>V31/V14</f>
        <v>9.5404951297754517E-2</v>
      </c>
      <c r="W79" s="849">
        <f>W31/W14</f>
        <v>8.0533830511344592E-2</v>
      </c>
    </row>
    <row r="80" spans="1:23">
      <c r="A80" s="696"/>
      <c r="B80" s="696"/>
      <c r="C80" s="696"/>
      <c r="D80" s="696"/>
      <c r="E80" s="696"/>
      <c r="F80" s="696"/>
      <c r="G80" s="696"/>
      <c r="H80" s="696"/>
      <c r="I80" s="696"/>
      <c r="J80" s="696"/>
      <c r="K80" s="696"/>
      <c r="L80" s="696"/>
      <c r="M80" s="696"/>
      <c r="N80" s="696"/>
      <c r="O80" s="696"/>
      <c r="P80" s="696"/>
      <c r="Q80" s="696"/>
      <c r="R80" s="696"/>
      <c r="S80" s="696"/>
      <c r="T80" s="696"/>
      <c r="U80" s="696"/>
      <c r="V80" s="696"/>
      <c r="W80" s="696"/>
    </row>
    <row r="81" spans="1:23">
      <c r="A81" s="828" t="s">
        <v>17</v>
      </c>
      <c r="B81" s="828"/>
      <c r="C81" s="828"/>
      <c r="D81" s="696"/>
      <c r="E81" s="696"/>
      <c r="F81" s="696"/>
      <c r="G81" s="696"/>
      <c r="H81" s="696"/>
      <c r="I81" s="696"/>
      <c r="J81" s="696"/>
      <c r="K81" s="696"/>
      <c r="L81" s="696"/>
      <c r="M81" s="696"/>
      <c r="N81" s="696"/>
      <c r="O81" s="696"/>
      <c r="P81" s="696"/>
      <c r="Q81" s="696"/>
      <c r="R81" s="696"/>
      <c r="S81" s="696"/>
      <c r="T81" s="696"/>
      <c r="U81" s="696"/>
      <c r="V81" s="696"/>
      <c r="W81" s="696"/>
    </row>
    <row r="82" spans="1:23">
      <c r="A82" s="696"/>
      <c r="B82" s="279" t="s">
        <v>692</v>
      </c>
      <c r="C82" s="279"/>
      <c r="D82" s="847">
        <f t="shared" ref="D82:R82" si="63">D42/D9</f>
        <v>-9.2430858806404656E-2</v>
      </c>
      <c r="E82" s="847">
        <f t="shared" si="63"/>
        <v>3.4416003441600347E-2</v>
      </c>
      <c r="F82" s="847">
        <f t="shared" si="63"/>
        <v>3.0620215591313858E-2</v>
      </c>
      <c r="G82" s="847">
        <f t="shared" si="63"/>
        <v>0.14796334012219958</v>
      </c>
      <c r="H82" s="847">
        <f t="shared" si="63"/>
        <v>9.4632928628162943E-2</v>
      </c>
      <c r="I82" s="847">
        <f t="shared" si="63"/>
        <v>8.9830332049547199E-2</v>
      </c>
      <c r="J82" s="847">
        <f t="shared" si="63"/>
        <v>6.8292189397005265E-2</v>
      </c>
      <c r="K82" s="847">
        <f t="shared" si="63"/>
        <v>0.13137155664810932</v>
      </c>
      <c r="L82" s="847">
        <f t="shared" si="63"/>
        <v>-0.17785533460522454</v>
      </c>
      <c r="M82" s="847">
        <f t="shared" si="63"/>
        <v>3.1303389257620463E-3</v>
      </c>
      <c r="N82" s="847">
        <f t="shared" si="63"/>
        <v>7.3351324762135794E-2</v>
      </c>
      <c r="O82" s="847">
        <f t="shared" si="63"/>
        <v>6.2706202871604166E-2</v>
      </c>
      <c r="P82" s="847">
        <f t="shared" si="63"/>
        <v>5.3318354649153125E-2</v>
      </c>
      <c r="Q82" s="847">
        <f t="shared" si="63"/>
        <v>9.9513111813444952E-2</v>
      </c>
      <c r="R82" s="847">
        <f t="shared" si="63"/>
        <v>1.8690461835282769E-2</v>
      </c>
      <c r="S82" s="847">
        <f t="shared" ref="S82:T85" si="64">S42/S9</f>
        <v>4.59312358953936E-2</v>
      </c>
      <c r="T82" s="847">
        <f t="shared" si="64"/>
        <v>8.6208927099281588E-2</v>
      </c>
      <c r="U82" s="847">
        <f t="shared" ref="U82:V85" si="65">U42/U9</f>
        <v>0.1227550795624537</v>
      </c>
      <c r="V82" s="847">
        <f t="shared" si="65"/>
        <v>0.12777917872262137</v>
      </c>
      <c r="W82" s="847">
        <f t="shared" ref="W82" si="66">W42/W9</f>
        <v>0.11014283187943263</v>
      </c>
    </row>
    <row r="83" spans="1:23">
      <c r="A83" s="696"/>
      <c r="B83" s="279" t="s">
        <v>712</v>
      </c>
      <c r="C83" s="279"/>
      <c r="D83" s="847">
        <f t="shared" ref="D83:R83" si="67">D43/D10</f>
        <v>0.15188679245283018</v>
      </c>
      <c r="E83" s="847">
        <f t="shared" si="67"/>
        <v>0.12928082191780821</v>
      </c>
      <c r="F83" s="847">
        <f t="shared" si="67"/>
        <v>0.13924050632911392</v>
      </c>
      <c r="G83" s="847">
        <f t="shared" si="67"/>
        <v>0.15848923402753265</v>
      </c>
      <c r="H83" s="847">
        <f t="shared" si="67"/>
        <v>0.17206235011990409</v>
      </c>
      <c r="I83" s="847">
        <f t="shared" si="67"/>
        <v>0.20665322580645162</v>
      </c>
      <c r="J83" s="847">
        <f t="shared" si="67"/>
        <v>0.17355903149775015</v>
      </c>
      <c r="K83" s="847">
        <f t="shared" si="67"/>
        <v>0.11718607618006197</v>
      </c>
      <c r="L83" s="847">
        <f t="shared" si="67"/>
        <v>-2.2078804347826088E-2</v>
      </c>
      <c r="M83" s="847">
        <f t="shared" si="67"/>
        <v>2.4066182000501379E-2</v>
      </c>
      <c r="N83" s="847">
        <f t="shared" si="67"/>
        <v>-5.1091500232234091E-3</v>
      </c>
      <c r="O83" s="847">
        <f t="shared" si="67"/>
        <v>4.6117327907765342E-2</v>
      </c>
      <c r="P83" s="847">
        <f t="shared" si="67"/>
        <v>4.1822509350561032E-2</v>
      </c>
      <c r="Q83" s="847">
        <f t="shared" si="67"/>
        <v>7.2985126253891391E-2</v>
      </c>
      <c r="R83" s="847">
        <f t="shared" si="67"/>
        <v>6.9737408523461039E-2</v>
      </c>
      <c r="S83" s="847">
        <f t="shared" si="64"/>
        <v>0.11793502447708056</v>
      </c>
      <c r="T83" s="847">
        <f t="shared" si="64"/>
        <v>0.13546218487394959</v>
      </c>
      <c r="U83" s="847">
        <f t="shared" si="65"/>
        <v>0.13201826926117052</v>
      </c>
      <c r="V83" s="847">
        <f t="shared" si="65"/>
        <v>0.14200020781271017</v>
      </c>
      <c r="W83" s="847">
        <f t="shared" ref="W83" si="68">W43/W10</f>
        <v>0.13542909566092076</v>
      </c>
    </row>
    <row r="84" spans="1:23">
      <c r="A84" s="696"/>
      <c r="B84" s="279" t="s">
        <v>713</v>
      </c>
      <c r="C84" s="279"/>
      <c r="D84" s="847"/>
      <c r="E84" s="847"/>
      <c r="F84" s="847">
        <f t="shared" ref="F84:R84" si="69">F44/F11</f>
        <v>-1.7452006980802792E-2</v>
      </c>
      <c r="G84" s="847">
        <f t="shared" si="69"/>
        <v>0.22468354430379747</v>
      </c>
      <c r="H84" s="847">
        <f t="shared" si="69"/>
        <v>0.3499353169469599</v>
      </c>
      <c r="I84" s="847">
        <f t="shared" si="69"/>
        <v>0.35817575083426029</v>
      </c>
      <c r="J84" s="847">
        <f t="shared" si="69"/>
        <v>0.19093198992443325</v>
      </c>
      <c r="K84" s="847">
        <f t="shared" si="69"/>
        <v>0.29068673565380998</v>
      </c>
      <c r="L84" s="847">
        <f t="shared" si="69"/>
        <v>8.3059210526315791E-2</v>
      </c>
      <c r="M84" s="847">
        <f t="shared" si="69"/>
        <v>0.16396171452351227</v>
      </c>
      <c r="N84" s="847">
        <f t="shared" si="69"/>
        <v>0.11865524060646011</v>
      </c>
      <c r="O84" s="847">
        <f t="shared" si="69"/>
        <v>0.12915016752969843</v>
      </c>
      <c r="P84" s="847">
        <f t="shared" si="69"/>
        <v>9.0909090909090912E-2</v>
      </c>
      <c r="Q84" s="847">
        <f t="shared" si="69"/>
        <v>0.11796536796536797</v>
      </c>
      <c r="R84" s="847">
        <f t="shared" si="69"/>
        <v>-0.12806236080178174</v>
      </c>
      <c r="S84" s="847">
        <f t="shared" si="64"/>
        <v>-0.52444444444444449</v>
      </c>
      <c r="T84" s="847">
        <f t="shared" si="64"/>
        <v>-5.0793650793650794E-2</v>
      </c>
      <c r="U84" s="847">
        <f t="shared" si="65"/>
        <v>8.7669193887546529E-2</v>
      </c>
      <c r="V84" s="847">
        <f t="shared" si="65"/>
        <v>8.1435434880455709E-2</v>
      </c>
      <c r="W84" s="847">
        <f t="shared" ref="W84" si="70">W44/W11</f>
        <v>8.1525515264536816E-2</v>
      </c>
    </row>
    <row r="85" spans="1:23">
      <c r="A85" s="831"/>
      <c r="B85" s="692" t="s">
        <v>714</v>
      </c>
      <c r="C85" s="692"/>
      <c r="D85" s="848">
        <f>D45/D12</f>
        <v>0.15897435897435896</v>
      </c>
      <c r="E85" s="848">
        <f>E45/E12</f>
        <v>0.15171288743882544</v>
      </c>
      <c r="F85" s="848">
        <f t="shared" ref="F85:R85" si="71">F45/F12</f>
        <v>-1.3035381750465549E-2</v>
      </c>
      <c r="G85" s="848">
        <f t="shared" si="71"/>
        <v>0.27445652173913043</v>
      </c>
      <c r="H85" s="848">
        <f t="shared" si="71"/>
        <v>0.26744186046511625</v>
      </c>
      <c r="I85" s="848">
        <f t="shared" si="71"/>
        <v>0.47660818713450293</v>
      </c>
      <c r="J85" s="848">
        <f t="shared" si="71"/>
        <v>0.36795252225519287</v>
      </c>
      <c r="K85" s="848">
        <f t="shared" si="71"/>
        <v>0.40890688259109309</v>
      </c>
      <c r="L85" s="848">
        <f t="shared" si="71"/>
        <v>3.3230574324324325</v>
      </c>
      <c r="M85" s="848">
        <f t="shared" si="71"/>
        <v>1.4182245024875617</v>
      </c>
      <c r="N85" s="848">
        <f t="shared" si="71"/>
        <v>0.5924529190207154</v>
      </c>
      <c r="O85" s="848">
        <f t="shared" si="71"/>
        <v>0.77972517730496471</v>
      </c>
      <c r="P85" s="848">
        <f t="shared" si="71"/>
        <v>0.66187050359712229</v>
      </c>
      <c r="Q85" s="848">
        <f t="shared" si="71"/>
        <v>0.64963503649635035</v>
      </c>
      <c r="R85" s="848">
        <f t="shared" si="71"/>
        <v>0.71666666666666667</v>
      </c>
      <c r="S85" s="848">
        <f t="shared" si="64"/>
        <v>2.3548387096774195</v>
      </c>
      <c r="T85" s="848">
        <f t="shared" si="64"/>
        <v>-0.40993788819875776</v>
      </c>
      <c r="U85" s="848">
        <f t="shared" si="65"/>
        <v>0.25</v>
      </c>
      <c r="V85" s="848">
        <f t="shared" si="65"/>
        <v>0.25</v>
      </c>
      <c r="W85" s="848">
        <f t="shared" ref="W85" si="72">W45/W12</f>
        <v>0.25</v>
      </c>
    </row>
    <row r="86" spans="1:23" ht="2.1" customHeight="1">
      <c r="A86" s="696"/>
      <c r="B86" s="696"/>
      <c r="C86" s="696"/>
      <c r="D86" s="582"/>
      <c r="E86" s="582"/>
      <c r="F86" s="582"/>
      <c r="G86" s="582"/>
      <c r="H86" s="582"/>
      <c r="I86" s="582"/>
      <c r="J86" s="582"/>
      <c r="K86" s="582"/>
      <c r="L86" s="582"/>
      <c r="M86" s="582"/>
      <c r="N86" s="582"/>
      <c r="O86" s="582"/>
      <c r="P86" s="582"/>
      <c r="Q86" s="582"/>
      <c r="R86" s="582"/>
      <c r="S86" s="582"/>
      <c r="T86" s="582"/>
      <c r="U86" s="582"/>
      <c r="V86" s="582"/>
      <c r="W86" s="582"/>
    </row>
    <row r="87" spans="1:23">
      <c r="A87" s="703"/>
      <c r="B87" s="703"/>
      <c r="C87" s="703" t="s">
        <v>14</v>
      </c>
      <c r="D87" s="849">
        <f t="shared" ref="D87:R87" si="73">D47/D14</f>
        <v>8.5905186127903273E-3</v>
      </c>
      <c r="E87" s="849">
        <f t="shared" si="73"/>
        <v>7.0082026190818825E-2</v>
      </c>
      <c r="F87" s="849">
        <f t="shared" si="73"/>
        <v>3.484133790737564E-2</v>
      </c>
      <c r="G87" s="849">
        <f t="shared" si="73"/>
        <v>0.14181401675137806</v>
      </c>
      <c r="H87" s="849">
        <f t="shared" si="73"/>
        <v>0.12643350666001851</v>
      </c>
      <c r="I87" s="849">
        <f t="shared" si="73"/>
        <v>0.14298440979955457</v>
      </c>
      <c r="J87" s="849">
        <f t="shared" si="73"/>
        <v>0.11189474308066141</v>
      </c>
      <c r="K87" s="849">
        <f t="shared" si="73"/>
        <v>0.15850023092748877</v>
      </c>
      <c r="L87" s="849">
        <f t="shared" si="73"/>
        <v>-9.6307023895727734E-2</v>
      </c>
      <c r="M87" s="849">
        <f t="shared" si="73"/>
        <v>3.0275123748129389E-2</v>
      </c>
      <c r="N87" s="849">
        <f t="shared" si="73"/>
        <v>4.848119090726212E-2</v>
      </c>
      <c r="O87" s="849">
        <f t="shared" si="73"/>
        <v>6.3069122516556289E-2</v>
      </c>
      <c r="P87" s="849">
        <f t="shared" si="73"/>
        <v>4.9529384756657482E-2</v>
      </c>
      <c r="Q87" s="849">
        <f t="shared" si="73"/>
        <v>9.5847375335580048E-2</v>
      </c>
      <c r="R87" s="849">
        <f t="shared" si="73"/>
        <v>1.745291169863487E-2</v>
      </c>
      <c r="S87" s="849">
        <f>S47/S14</f>
        <v>4.9702758015787933E-2</v>
      </c>
      <c r="T87" s="849">
        <f>T47/T14</f>
        <v>8.8734693877551021E-2</v>
      </c>
      <c r="U87" s="849">
        <f>U47/U14</f>
        <v>0.12333228150781947</v>
      </c>
      <c r="V87" s="849">
        <f>V47/V14</f>
        <v>0.12830624034255314</v>
      </c>
      <c r="W87" s="849">
        <f>W47/W14</f>
        <v>0.11514348415770649</v>
      </c>
    </row>
    <row r="88" spans="1:23">
      <c r="A88" s="696"/>
      <c r="B88" s="696"/>
      <c r="C88" s="696"/>
      <c r="D88" s="696"/>
      <c r="E88" s="696"/>
      <c r="F88" s="696"/>
      <c r="G88" s="696"/>
      <c r="H88" s="696"/>
      <c r="I88" s="696"/>
      <c r="J88" s="696"/>
      <c r="K88" s="696"/>
      <c r="L88" s="696"/>
      <c r="M88" s="696"/>
      <c r="N88" s="696"/>
      <c r="O88" s="696"/>
      <c r="P88" s="696"/>
      <c r="Q88" s="696"/>
      <c r="R88" s="696"/>
      <c r="S88" s="696"/>
      <c r="T88" s="696"/>
      <c r="U88" s="696"/>
      <c r="V88" s="696"/>
      <c r="W88" s="696"/>
    </row>
    <row r="89" spans="1:23">
      <c r="A89" s="828" t="s">
        <v>772</v>
      </c>
      <c r="B89" s="828"/>
      <c r="C89" s="828"/>
      <c r="D89" s="696"/>
      <c r="E89" s="696"/>
      <c r="F89" s="696"/>
      <c r="G89" s="696"/>
      <c r="H89" s="696"/>
      <c r="I89" s="696"/>
      <c r="J89" s="696"/>
      <c r="K89" s="696"/>
      <c r="L89" s="696"/>
      <c r="M89" s="696"/>
      <c r="N89" s="696"/>
      <c r="O89" s="696"/>
      <c r="P89" s="696"/>
      <c r="Q89" s="696"/>
      <c r="R89" s="696"/>
      <c r="S89" s="696"/>
      <c r="T89" s="696"/>
      <c r="U89" s="696"/>
      <c r="V89" s="696"/>
      <c r="W89" s="696"/>
    </row>
    <row r="90" spans="1:23">
      <c r="A90" s="696"/>
      <c r="B90" s="279" t="s">
        <v>692</v>
      </c>
      <c r="C90" s="279"/>
      <c r="D90" s="673">
        <f>D42/D133*1000</f>
        <v>-43.399020389566004</v>
      </c>
      <c r="E90" s="673">
        <f t="shared" ref="E90:W90" si="74">E42/E133*1000</f>
        <v>16.161616161616163</v>
      </c>
      <c r="F90" s="673">
        <f t="shared" si="74"/>
        <v>14.500258933195235</v>
      </c>
      <c r="G90" s="673">
        <f t="shared" si="74"/>
        <v>92.9325231851615</v>
      </c>
      <c r="H90" s="673">
        <f t="shared" si="74"/>
        <v>62.725631768953072</v>
      </c>
      <c r="I90" s="673">
        <f t="shared" si="74"/>
        <v>60.860366713681238</v>
      </c>
      <c r="J90" s="673">
        <f t="shared" si="74"/>
        <v>46.442823723682402</v>
      </c>
      <c r="K90" s="673">
        <f t="shared" si="74"/>
        <v>107.8658355595132</v>
      </c>
      <c r="L90" s="673">
        <f t="shared" si="74"/>
        <v>-122.89891998783085</v>
      </c>
      <c r="M90" s="673">
        <f t="shared" si="74"/>
        <v>2.2193266235322318</v>
      </c>
      <c r="N90" s="673">
        <f t="shared" si="74"/>
        <v>58.490929997635781</v>
      </c>
      <c r="O90" s="673">
        <f t="shared" si="74"/>
        <v>50.670568841033344</v>
      </c>
      <c r="P90" s="673">
        <f t="shared" si="74"/>
        <v>42.133296913411641</v>
      </c>
      <c r="Q90" s="673">
        <f t="shared" si="74"/>
        <v>83.764739718147823</v>
      </c>
      <c r="R90" s="673">
        <f t="shared" si="74"/>
        <v>14.628161570403925</v>
      </c>
      <c r="S90" s="673">
        <f t="shared" si="74"/>
        <v>34.27778878541708</v>
      </c>
      <c r="T90" s="673">
        <f t="shared" si="74"/>
        <v>74.036613735207851</v>
      </c>
      <c r="U90" s="673">
        <f t="shared" si="74"/>
        <v>107.72881976808351</v>
      </c>
      <c r="V90" s="673">
        <f t="shared" si="74"/>
        <v>114.79816611441873</v>
      </c>
      <c r="W90" s="673">
        <f t="shared" si="74"/>
        <v>91.313883840051901</v>
      </c>
    </row>
    <row r="91" spans="1:23">
      <c r="A91" s="696"/>
      <c r="B91" s="279" t="s">
        <v>712</v>
      </c>
      <c r="C91" s="279"/>
      <c r="D91" s="673">
        <f t="shared" ref="D91:W91" si="75">D43/D134*1000</f>
        <v>43.349488422186319</v>
      </c>
      <c r="E91" s="673">
        <f t="shared" si="75"/>
        <v>37.740564858785305</v>
      </c>
      <c r="F91" s="673">
        <f t="shared" si="75"/>
        <v>52.175706331202313</v>
      </c>
      <c r="G91" s="673">
        <f t="shared" si="75"/>
        <v>89.087301587301596</v>
      </c>
      <c r="H91" s="673">
        <f t="shared" si="75"/>
        <v>110.15160237958166</v>
      </c>
      <c r="I91" s="673">
        <f t="shared" si="75"/>
        <v>130.96949369110368</v>
      </c>
      <c r="J91" s="673">
        <f t="shared" si="75"/>
        <v>131.94331324319921</v>
      </c>
      <c r="K91" s="673">
        <f t="shared" si="75"/>
        <v>113.78517076623606</v>
      </c>
      <c r="L91" s="673">
        <f t="shared" si="75"/>
        <v>-14.564194488012548</v>
      </c>
      <c r="M91" s="673">
        <f t="shared" si="75"/>
        <v>17.569546120058565</v>
      </c>
      <c r="N91" s="673">
        <f t="shared" si="75"/>
        <v>-4.4606650446066505</v>
      </c>
      <c r="O91" s="673">
        <f t="shared" si="75"/>
        <v>35.639412997903563</v>
      </c>
      <c r="P91" s="673">
        <f t="shared" si="75"/>
        <v>30.75</v>
      </c>
      <c r="Q91" s="673">
        <f t="shared" si="75"/>
        <v>50.490547977985159</v>
      </c>
      <c r="R91" s="673">
        <f t="shared" si="75"/>
        <v>36.274070756829374</v>
      </c>
      <c r="S91" s="673">
        <f t="shared" si="75"/>
        <v>58.954393770856505</v>
      </c>
      <c r="T91" s="673">
        <f t="shared" si="75"/>
        <v>87.895310796074156</v>
      </c>
      <c r="U91" s="673">
        <f t="shared" si="75"/>
        <v>98.333892064517769</v>
      </c>
      <c r="V91" s="673">
        <f t="shared" si="75"/>
        <v>105.76894536142117</v>
      </c>
      <c r="W91" s="673">
        <f t="shared" si="75"/>
        <v>100.8744482839023</v>
      </c>
    </row>
    <row r="92" spans="1:23">
      <c r="A92" s="831"/>
      <c r="B92" s="692" t="s">
        <v>713</v>
      </c>
      <c r="C92" s="692"/>
      <c r="D92" s="837">
        <f t="shared" ref="D92:W92" si="76">D44/D135*1000</f>
        <v>83.170254403131111</v>
      </c>
      <c r="E92" s="837">
        <f t="shared" si="76"/>
        <v>5.17464424320828</v>
      </c>
      <c r="F92" s="837">
        <f t="shared" si="76"/>
        <v>-11.337868480725623</v>
      </c>
      <c r="G92" s="837">
        <f t="shared" si="76"/>
        <v>195.05494505494505</v>
      </c>
      <c r="H92" s="837">
        <f t="shared" si="76"/>
        <v>467.9930795847751</v>
      </c>
      <c r="I92" s="837">
        <f t="shared" si="76"/>
        <v>540.7220822837952</v>
      </c>
      <c r="J92" s="837">
        <f t="shared" si="76"/>
        <v>263.92757660167132</v>
      </c>
      <c r="K92" s="837">
        <f t="shared" si="76"/>
        <v>633.19672131147547</v>
      </c>
      <c r="L92" s="837">
        <f t="shared" si="76"/>
        <v>153.72907153729071</v>
      </c>
      <c r="M92" s="837">
        <f t="shared" si="76"/>
        <v>254.02965828497742</v>
      </c>
      <c r="N92" s="837">
        <f t="shared" si="76"/>
        <v>198.6754966887417</v>
      </c>
      <c r="O92" s="837">
        <f t="shared" si="76"/>
        <v>224.81442205726404</v>
      </c>
      <c r="P92" s="837">
        <f t="shared" si="76"/>
        <v>143.42629482071715</v>
      </c>
      <c r="Q92" s="837">
        <f t="shared" si="76"/>
        <v>187.5</v>
      </c>
      <c r="R92" s="837">
        <f t="shared" si="76"/>
        <v>-193.92917369308603</v>
      </c>
      <c r="S92" s="837">
        <f t="shared" si="76"/>
        <v>-590</v>
      </c>
      <c r="T92" s="837">
        <f t="shared" si="76"/>
        <v>-69.767441860465112</v>
      </c>
      <c r="U92" s="837">
        <f t="shared" si="76"/>
        <v>144.51611459049096</v>
      </c>
      <c r="V92" s="837">
        <f t="shared" si="76"/>
        <v>134.08762588174747</v>
      </c>
      <c r="W92" s="837">
        <f t="shared" si="76"/>
        <v>134.08762588174747</v>
      </c>
    </row>
    <row r="93" spans="1:23" ht="2.1" customHeight="1">
      <c r="A93" s="696"/>
      <c r="B93" s="696"/>
      <c r="C93" s="696"/>
      <c r="D93" s="582"/>
      <c r="E93" s="582"/>
      <c r="F93" s="582"/>
      <c r="G93" s="582"/>
      <c r="H93" s="582"/>
      <c r="I93" s="582"/>
      <c r="J93" s="582"/>
      <c r="K93" s="582"/>
      <c r="L93" s="582"/>
      <c r="M93" s="582"/>
      <c r="N93" s="582"/>
      <c r="O93" s="582"/>
      <c r="P93" s="582"/>
      <c r="Q93" s="582"/>
      <c r="R93" s="582"/>
      <c r="S93" s="582"/>
      <c r="T93" s="582"/>
      <c r="U93" s="582"/>
      <c r="V93" s="582"/>
      <c r="W93" s="582"/>
    </row>
    <row r="94" spans="1:23">
      <c r="A94" s="703"/>
      <c r="B94" s="703"/>
      <c r="C94" s="703" t="s">
        <v>14</v>
      </c>
      <c r="D94" s="846">
        <f>D47/SUM(D133:D135)*1000</f>
        <v>3.9955604883462823</v>
      </c>
      <c r="E94" s="846">
        <f t="shared" ref="E94:W94" si="77">E47/SUM(E133:E135)*1000</f>
        <v>33.187951478806049</v>
      </c>
      <c r="F94" s="846">
        <f t="shared" si="77"/>
        <v>16.884871155444721</v>
      </c>
      <c r="G94" s="846">
        <f t="shared" si="77"/>
        <v>91.009326044011573</v>
      </c>
      <c r="H94" s="846">
        <f t="shared" si="77"/>
        <v>90.271067487158632</v>
      </c>
      <c r="I94" s="846">
        <f t="shared" si="77"/>
        <v>103.87389053254438</v>
      </c>
      <c r="J94" s="846">
        <f t="shared" si="77"/>
        <v>85.395087973223582</v>
      </c>
      <c r="K94" s="846">
        <f t="shared" si="77"/>
        <v>154.40935863874344</v>
      </c>
      <c r="L94" s="846">
        <f t="shared" si="77"/>
        <v>-71.023296175155195</v>
      </c>
      <c r="M94" s="846">
        <f t="shared" si="77"/>
        <v>23.570532353468362</v>
      </c>
      <c r="N94" s="846">
        <f t="shared" si="77"/>
        <v>43.32000179751045</v>
      </c>
      <c r="O94" s="846">
        <f t="shared" si="77"/>
        <v>56.237313157409119</v>
      </c>
      <c r="P94" s="846">
        <f t="shared" si="77"/>
        <v>42.30184794862997</v>
      </c>
      <c r="Q94" s="846">
        <f t="shared" si="77"/>
        <v>84.614996722303459</v>
      </c>
      <c r="R94" s="846">
        <f t="shared" si="77"/>
        <v>12.903225806451612</v>
      </c>
      <c r="S94" s="846">
        <f t="shared" si="77"/>
        <v>34.02495163119621</v>
      </c>
      <c r="T94" s="846">
        <f t="shared" si="77"/>
        <v>71.701846965699218</v>
      </c>
      <c r="U94" s="846">
        <f t="shared" si="77"/>
        <v>109.71760546571473</v>
      </c>
      <c r="V94" s="846">
        <f t="shared" si="77"/>
        <v>116.00253278047214</v>
      </c>
      <c r="W94" s="846">
        <f t="shared" si="77"/>
        <v>98.820819042743821</v>
      </c>
    </row>
    <row r="95" spans="1:23">
      <c r="A95" s="696"/>
      <c r="B95" s="696"/>
      <c r="C95" s="696"/>
      <c r="D95" s="696"/>
      <c r="E95" s="696"/>
      <c r="F95" s="696"/>
      <c r="G95" s="696"/>
      <c r="H95" s="696"/>
      <c r="I95" s="696"/>
      <c r="J95" s="696"/>
      <c r="K95" s="696"/>
      <c r="L95" s="696"/>
      <c r="M95" s="696"/>
      <c r="N95" s="696"/>
      <c r="O95" s="696"/>
      <c r="P95" s="696"/>
      <c r="Q95" s="696"/>
      <c r="R95" s="696"/>
      <c r="S95" s="696"/>
      <c r="T95" s="696"/>
      <c r="U95" s="696"/>
      <c r="V95" s="696"/>
      <c r="W95" s="696"/>
    </row>
    <row r="96" spans="1:23">
      <c r="A96" s="703" t="s">
        <v>18</v>
      </c>
      <c r="B96" s="696"/>
      <c r="C96" s="696"/>
      <c r="D96" s="696"/>
      <c r="E96" s="696"/>
      <c r="F96" s="696"/>
      <c r="G96" s="696"/>
      <c r="H96" s="696"/>
      <c r="I96" s="696"/>
      <c r="J96" s="696"/>
      <c r="K96" s="696"/>
      <c r="L96" s="696"/>
      <c r="M96" s="696"/>
      <c r="N96" s="696"/>
      <c r="O96" s="696"/>
      <c r="P96" s="696"/>
      <c r="Q96" s="696"/>
      <c r="R96" s="696"/>
      <c r="S96" s="696"/>
      <c r="T96" s="696"/>
      <c r="U96" s="696"/>
      <c r="V96" s="696"/>
      <c r="W96" s="696"/>
    </row>
    <row r="97" spans="1:23">
      <c r="A97" s="696"/>
      <c r="B97" s="279" t="s">
        <v>692</v>
      </c>
      <c r="C97" s="279"/>
      <c r="D97" s="722">
        <f>D25*(1-D$138)+'Segment EBITDA'!D34-'Segment EBITDA'!D58</f>
        <v>-126.74477958236662</v>
      </c>
      <c r="E97" s="722">
        <f>E25*(1-E$138)+'Segment EBITDA'!E34-'Segment EBITDA'!E58</f>
        <v>-58.818181818181813</v>
      </c>
      <c r="F97" s="722">
        <f>F25*(1-F$138)+'Segment EBITDA'!F34-'Segment EBITDA'!F58</f>
        <v>129.07142857142856</v>
      </c>
      <c r="G97" s="722">
        <f>G25*(1-G$138)+'Segment EBITDA'!G34-'Segment EBITDA'!G58</f>
        <v>922.91442048517524</v>
      </c>
      <c r="H97" s="722">
        <f>H25*(1-H$138)+'Segment EBITDA'!H34-'Segment EBITDA'!H58</f>
        <v>290.29953198127919</v>
      </c>
      <c r="I97" s="722">
        <f>I25*(1-I$138)+'Segment EBITDA'!I34-'Segment EBITDA'!I58</f>
        <v>453.86486486486478</v>
      </c>
      <c r="J97" s="722">
        <f>J25*(1-J$138)+'Segment EBITDA'!J34-'Segment EBITDA'!J58</f>
        <v>286.56024558710669</v>
      </c>
      <c r="K97" s="722">
        <f>K25*(1-K$138)+'Segment EBITDA'!K34-'Segment EBITDA'!K58</f>
        <v>820.43765168907839</v>
      </c>
      <c r="L97" s="722">
        <f>L25*(1-L$138)+'Segment EBITDA'!L34-'Segment EBITDA'!L58</f>
        <v>-1202.9868438494168</v>
      </c>
      <c r="M97" s="722">
        <f>M25*(1-M$138)+'Segment EBITDA'!M34-'Segment EBITDA'!M58</f>
        <v>-630.07683236808236</v>
      </c>
      <c r="N97" s="722">
        <f>N25*(1-N$138)+'Segment EBITDA'!N34-'Segment EBITDA'!N58</f>
        <v>-260.25605855855849</v>
      </c>
      <c r="O97" s="722">
        <f>O25*(1-O$138)+'Segment EBITDA'!O34-'Segment EBITDA'!O58</f>
        <v>127.37573852295407</v>
      </c>
      <c r="P97" s="722">
        <f>P25*(1-P$138)+'Segment EBITDA'!P34-'Segment EBITDA'!P58</f>
        <v>283.91237113402065</v>
      </c>
      <c r="Q97" s="722">
        <f>Q25*(1-Q$138)+'Segment EBITDA'!Q34-'Segment EBITDA'!Q58</f>
        <v>776.76608910891082</v>
      </c>
      <c r="R97" s="722">
        <f>R25*(1-R$138)+'Segment EBITDA'!R34-'Segment EBITDA'!R58</f>
        <v>-256.6272084805654</v>
      </c>
      <c r="S97" s="722">
        <f>S25*(1-S$138)+'Segment EBITDA'!S34-'Segment EBITDA'!S58</f>
        <v>234.67857142857144</v>
      </c>
      <c r="T97" s="722">
        <f>T25*(1-T$138)+'Segment EBITDA'!T34-'Segment EBITDA'!T58</f>
        <v>349.65476190476193</v>
      </c>
      <c r="U97" s="722">
        <f>U25*(1-U$138)+'Segment EBITDA'!U34-'Segment EBITDA'!U58</f>
        <v>368.30275272961057</v>
      </c>
      <c r="V97" s="722">
        <f>V25*(1-V$138)+'Segment EBITDA'!V34-'Segment EBITDA'!V58</f>
        <v>224.68031562590477</v>
      </c>
      <c r="W97" s="722">
        <f>W25*(1-W$138)+'Segment EBITDA'!W34-'Segment EBITDA'!W58</f>
        <v>-34.183191745118847</v>
      </c>
    </row>
    <row r="98" spans="1:23">
      <c r="A98" s="696"/>
      <c r="B98" s="279" t="s">
        <v>712</v>
      </c>
      <c r="C98" s="279"/>
      <c r="D98" s="722">
        <f>D26*(1-D$138)+'Segment EBITDA'!D35-'Segment EBITDA'!D59</f>
        <v>17.80974477958236</v>
      </c>
      <c r="E98" s="722">
        <f>E26*(1-E$138)+'Segment EBITDA'!E35-'Segment EBITDA'!E59</f>
        <v>279</v>
      </c>
      <c r="F98" s="722">
        <f>F26*(1-F$138)+'Segment EBITDA'!F35-'Segment EBITDA'!F59</f>
        <v>3.9166666666666714</v>
      </c>
      <c r="G98" s="722">
        <f>G26*(1-G$138)+'Segment EBITDA'!G35-'Segment EBITDA'!G59</f>
        <v>133.87196765498652</v>
      </c>
      <c r="H98" s="722">
        <f>H26*(1-H$138)+'Segment EBITDA'!H35-'Segment EBITDA'!H59</f>
        <v>185.990639625585</v>
      </c>
      <c r="I98" s="722">
        <f>I26*(1-I$138)+'Segment EBITDA'!I35-'Segment EBITDA'!I59</f>
        <v>448.18918918918916</v>
      </c>
      <c r="J98" s="722">
        <f>J26*(1-J$138)+'Segment EBITDA'!J35-'Segment EBITDA'!J59</f>
        <v>472.67920184190325</v>
      </c>
      <c r="K98" s="722">
        <f>K26*(1-K$138)+'Segment EBITDA'!K35-'Segment EBITDA'!K59</f>
        <v>293.25293538865202</v>
      </c>
      <c r="L98" s="722">
        <f>L26*(1-L$138)+'Segment EBITDA'!L35-'Segment EBITDA'!L59</f>
        <v>-127.81972428419937</v>
      </c>
      <c r="M98" s="722">
        <f>M26*(1-M$138)+'Segment EBITDA'!M35-'Segment EBITDA'!M59</f>
        <v>-41.455598455598448</v>
      </c>
      <c r="N98" s="722">
        <f>N26*(1-N$138)+'Segment EBITDA'!N35-'Segment EBITDA'!N59</f>
        <v>59.459459459459453</v>
      </c>
      <c r="O98" s="722">
        <f>O26*(1-O$138)+'Segment EBITDA'!O35-'Segment EBITDA'!O59</f>
        <v>82.526946107784426</v>
      </c>
      <c r="P98" s="722">
        <f>P26*(1-P$138)+'Segment EBITDA'!P35-'Segment EBITDA'!P59</f>
        <v>87.243298969072157</v>
      </c>
      <c r="Q98" s="722">
        <f>Q26*(1-Q$138)+'Segment EBITDA'!Q35-'Segment EBITDA'!Q59</f>
        <v>116.18316831683168</v>
      </c>
      <c r="R98" s="722">
        <f>R26*(1-R$138)+'Segment EBITDA'!R35-'Segment EBITDA'!R59</f>
        <v>78.189045936395758</v>
      </c>
      <c r="S98" s="722">
        <f>S26*(1-S$138)+'Segment EBITDA'!S35-'Segment EBITDA'!S59</f>
        <v>201.82142857142856</v>
      </c>
      <c r="T98" s="722">
        <f>T26*(1-T$138)+'Segment EBITDA'!T35-'Segment EBITDA'!T59</f>
        <v>324.86607142857139</v>
      </c>
      <c r="U98" s="722">
        <f>U26*(1-U$138)+'Segment EBITDA'!U35-'Segment EBITDA'!U59</f>
        <v>321.15438759744313</v>
      </c>
      <c r="V98" s="722">
        <f>V26*(1-V$138)+'Segment EBITDA'!V35-'Segment EBITDA'!V59</f>
        <v>355.44468378289486</v>
      </c>
      <c r="W98" s="722">
        <f>W26*(1-W$138)+'Segment EBITDA'!W35-'Segment EBITDA'!W59</f>
        <v>326.64941009762282</v>
      </c>
    </row>
    <row r="99" spans="1:23">
      <c r="A99" s="696"/>
      <c r="B99" s="279" t="s">
        <v>713</v>
      </c>
      <c r="C99" s="279"/>
      <c r="D99" s="722">
        <f>D27*(1-D$138)+'Segment EBITDA'!D36-'Segment EBITDA'!D60</f>
        <v>30.552204176334108</v>
      </c>
      <c r="E99" s="722">
        <f>E27*(1-E$138)+'Segment EBITDA'!E36-'Segment EBITDA'!E60</f>
        <v>-60.272727272727273</v>
      </c>
      <c r="F99" s="722">
        <f>F27*(1-F$138)+'Segment EBITDA'!F36-'Segment EBITDA'!F60</f>
        <v>-44.226190476190474</v>
      </c>
      <c r="G99" s="722">
        <f>G27*(1-G$138)+'Segment EBITDA'!G36-'Segment EBITDA'!G60</f>
        <v>158.93598382749326</v>
      </c>
      <c r="H99" s="722">
        <f>H27*(1-H$138)+'Segment EBITDA'!H36-'Segment EBITDA'!H60</f>
        <v>389.79095163806551</v>
      </c>
      <c r="I99" s="722">
        <f>I27*(1-I$138)+'Segment EBITDA'!I36-'Segment EBITDA'!I60</f>
        <v>497.88288288288288</v>
      </c>
      <c r="J99" s="722">
        <f>J27*(1-J$138)+'Segment EBITDA'!J36-'Segment EBITDA'!J60</f>
        <v>292.61396776669227</v>
      </c>
      <c r="K99" s="722">
        <f>K27*(1-K$138)+'Segment EBITDA'!K36-'Segment EBITDA'!K60</f>
        <v>850.29576910462447</v>
      </c>
      <c r="L99" s="722">
        <f>L27*(1-L$138)+'Segment EBITDA'!L36-'Segment EBITDA'!L60</f>
        <v>75.248674443266168</v>
      </c>
      <c r="M99" s="722">
        <f>M27*(1-M$138)+'Segment EBITDA'!M36-'Segment EBITDA'!M60</f>
        <v>533.60617760617765</v>
      </c>
      <c r="N99" s="722">
        <f>N27*(1-N$138)+'Segment EBITDA'!N36-'Segment EBITDA'!N60</f>
        <v>-95.513513513513516</v>
      </c>
      <c r="O99" s="722">
        <f>O27*(1-O$138)+'Segment EBITDA'!O36-'Segment EBITDA'!O60</f>
        <v>215.43712574850298</v>
      </c>
      <c r="P99" s="722">
        <f>P27*(1-P$138)+'Segment EBITDA'!P36-'Segment EBITDA'!P60</f>
        <v>211.79381443298968</v>
      </c>
      <c r="Q99" s="722">
        <f>Q27*(1-Q$138)+'Segment EBITDA'!Q36-'Segment EBITDA'!Q60</f>
        <v>204.16212871287127</v>
      </c>
      <c r="R99" s="722">
        <f>R27*(1-R$138)+'Segment EBITDA'!R36-'Segment EBITDA'!R60</f>
        <v>-274.87455830388694</v>
      </c>
      <c r="S99" s="722">
        <f>S27*(1-S$138)+'Segment EBITDA'!S36-'Segment EBITDA'!S60</f>
        <v>-356.57142857142861</v>
      </c>
      <c r="T99" s="722">
        <f>T27*(1-T$138)+'Segment EBITDA'!T36-'Segment EBITDA'!T60</f>
        <v>-77.473214285714278</v>
      </c>
      <c r="U99" s="722">
        <f>U27*(1-U$138)+'Segment EBITDA'!U36-'Segment EBITDA'!U60</f>
        <v>57.159316164047837</v>
      </c>
      <c r="V99" s="722">
        <f>V27*(1-V$138)+'Segment EBITDA'!V36-'Segment EBITDA'!V60</f>
        <v>53.009246820115294</v>
      </c>
      <c r="W99" s="722">
        <f>W27*(1-W$138)+'Segment EBITDA'!W36-'Segment EBITDA'!W60</f>
        <v>54.6881242211943</v>
      </c>
    </row>
    <row r="100" spans="1:23">
      <c r="A100" s="696"/>
      <c r="B100" s="279" t="s">
        <v>714</v>
      </c>
      <c r="C100" s="279"/>
      <c r="D100" s="722">
        <f>D28*(1-D$138)+'Segment EBITDA'!D37-'Segment EBITDA'!D61</f>
        <v>-2.9721577726218129</v>
      </c>
      <c r="E100" s="722">
        <f>E28*(1-E$138)+'Segment EBITDA'!E37-'Segment EBITDA'!E61</f>
        <v>108.72727272727272</v>
      </c>
      <c r="F100" s="722">
        <f>F28*(1-F$138)+'Segment EBITDA'!F37-'Segment EBITDA'!F61</f>
        <v>-16.297619047619047</v>
      </c>
      <c r="G100" s="722">
        <f>G28*(1-G$138)+'Segment EBITDA'!G37-'Segment EBITDA'!G61</f>
        <v>-7.5619946091644152</v>
      </c>
      <c r="H100" s="722">
        <f>H28*(1-H$138)+'Segment EBITDA'!H37-'Segment EBITDA'!H61</f>
        <v>-29.907176287051485</v>
      </c>
      <c r="I100" s="722">
        <f>I28*(1-I$138)+'Segment EBITDA'!I37-'Segment EBITDA'!I61</f>
        <v>16.576576576576571</v>
      </c>
      <c r="J100" s="722">
        <f>J28*(1-J$138)+'Segment EBITDA'!J37-'Segment EBITDA'!J61</f>
        <v>-2.7244819646968494</v>
      </c>
      <c r="K100" s="722">
        <f>K28*(1-K$138)+'Segment EBITDA'!K37-'Segment EBITDA'!K61</f>
        <v>41.285470646113481</v>
      </c>
      <c r="L100" s="722">
        <f>L28*(1-L$138)+'Segment EBITDA'!L37-'Segment EBITDA'!L61</f>
        <v>237.38875265111346</v>
      </c>
      <c r="M100" s="722">
        <f>M28*(1-M$138)+'Segment EBITDA'!M37-'Segment EBITDA'!M61</f>
        <v>205.54787483912477</v>
      </c>
      <c r="N100" s="722">
        <f>N28*(1-N$138)+'Segment EBITDA'!N37-'Segment EBITDA'!N61</f>
        <v>11.783085585585539</v>
      </c>
      <c r="O100" s="722">
        <f>O28*(1-O$138)+'Segment EBITDA'!O37-'Segment EBITDA'!O61</f>
        <v>-21.441606786427116</v>
      </c>
      <c r="P100" s="722">
        <f>P28*(1-P$138)+'Segment EBITDA'!P37-'Segment EBITDA'!P61</f>
        <v>84.669072164948446</v>
      </c>
      <c r="Q100" s="722">
        <f>Q28*(1-Q$138)+'Segment EBITDA'!Q37-'Segment EBITDA'!Q61</f>
        <v>66.823019801980195</v>
      </c>
      <c r="R100" s="722">
        <f>R28*(1-R$138)+'Segment EBITDA'!R37-'Segment EBITDA'!R61</f>
        <v>100.6696113074205</v>
      </c>
      <c r="S100" s="722">
        <f>S28*(1-S$138)+'Segment EBITDA'!S37-'Segment EBITDA'!S61</f>
        <v>55.75</v>
      </c>
      <c r="T100" s="722">
        <f>T28*(1-T$138)+'Segment EBITDA'!T37-'Segment EBITDA'!T61</f>
        <v>62.654761904761898</v>
      </c>
      <c r="U100" s="722">
        <f>U28*(1-U$138)+'Segment EBITDA'!U37-'Segment EBITDA'!U61</f>
        <v>45.994925872530459</v>
      </c>
      <c r="V100" s="722">
        <f>V28*(1-V$138)+'Segment EBITDA'!V37-'Segment EBITDA'!V61</f>
        <v>46.356848261984268</v>
      </c>
      <c r="W100" s="722">
        <f>W28*(1-W$138)+'Segment EBITDA'!W37-'Segment EBITDA'!W61</f>
        <v>45.312541285980103</v>
      </c>
    </row>
    <row r="101" spans="1:23">
      <c r="A101" s="696"/>
      <c r="B101" s="279"/>
      <c r="C101" s="279"/>
      <c r="D101" s="722"/>
      <c r="E101" s="722"/>
      <c r="F101" s="722"/>
      <c r="G101" s="722"/>
      <c r="H101" s="722"/>
      <c r="I101" s="722"/>
      <c r="J101" s="722"/>
      <c r="K101" s="722"/>
      <c r="L101" s="722"/>
      <c r="M101" s="722"/>
      <c r="N101" s="722"/>
      <c r="O101" s="722"/>
      <c r="P101" s="722"/>
      <c r="Q101" s="722"/>
      <c r="R101" s="722"/>
      <c r="S101" s="722"/>
      <c r="T101" s="722"/>
      <c r="U101" s="722"/>
      <c r="V101" s="722"/>
      <c r="W101" s="722"/>
    </row>
    <row r="102" spans="1:23">
      <c r="A102" s="703" t="s">
        <v>19</v>
      </c>
      <c r="B102" s="696"/>
      <c r="C102" s="696"/>
      <c r="D102" s="847"/>
      <c r="E102" s="847"/>
      <c r="F102" s="847"/>
      <c r="G102" s="847"/>
      <c r="H102" s="847"/>
      <c r="I102" s="847"/>
      <c r="J102" s="847"/>
      <c r="K102" s="847"/>
      <c r="L102" s="847"/>
      <c r="M102" s="847"/>
      <c r="N102" s="847"/>
      <c r="O102" s="847"/>
      <c r="P102" s="847"/>
      <c r="Q102" s="847"/>
      <c r="R102" s="847"/>
      <c r="S102" s="847"/>
      <c r="T102" s="847"/>
      <c r="U102" s="847"/>
      <c r="V102" s="847"/>
      <c r="W102" s="847"/>
    </row>
    <row r="103" spans="1:23">
      <c r="A103" s="696"/>
      <c r="B103" s="279" t="s">
        <v>692</v>
      </c>
      <c r="C103" s="279"/>
      <c r="D103" s="847">
        <f t="shared" ref="D103:R103" si="78">D97/D9</f>
        <v>-3.0748369622117085E-2</v>
      </c>
      <c r="E103" s="847">
        <f t="shared" si="78"/>
        <v>-1.2651792174270125E-2</v>
      </c>
      <c r="F103" s="847">
        <f t="shared" si="78"/>
        <v>2.0164260048653109E-2</v>
      </c>
      <c r="G103" s="847">
        <f t="shared" si="78"/>
        <v>9.3983138542278535E-2</v>
      </c>
      <c r="H103" s="847">
        <f t="shared" si="78"/>
        <v>3.2939921931383093E-2</v>
      </c>
      <c r="I103" s="847">
        <f t="shared" si="78"/>
        <v>4.724314196574006E-2</v>
      </c>
      <c r="J103" s="847">
        <f t="shared" si="78"/>
        <v>2.8992335652277084E-2</v>
      </c>
      <c r="K103" s="847">
        <f t="shared" si="78"/>
        <v>5.9318751477773005E-2</v>
      </c>
      <c r="L103" s="847">
        <f t="shared" si="78"/>
        <v>-0.17654635219392673</v>
      </c>
      <c r="M103" s="847">
        <f t="shared" si="78"/>
        <v>-5.8082303868739159E-2</v>
      </c>
      <c r="N103" s="847">
        <f t="shared" si="78"/>
        <v>-2.1044397069504204E-2</v>
      </c>
      <c r="O103" s="847">
        <f t="shared" si="78"/>
        <v>9.8679685871516949E-3</v>
      </c>
      <c r="P103" s="847">
        <f t="shared" si="78"/>
        <v>2.453442543501734E-2</v>
      </c>
      <c r="Q103" s="847">
        <f t="shared" si="78"/>
        <v>6.6350567105911917E-2</v>
      </c>
      <c r="R103" s="847">
        <f t="shared" si="78"/>
        <v>-3.0945039006459112E-2</v>
      </c>
      <c r="S103" s="847">
        <f t="shared" ref="S103:T106" si="79">S97/S9</f>
        <v>3.1153401225085815E-2</v>
      </c>
      <c r="T103" s="847">
        <f t="shared" si="79"/>
        <v>4.1179456118803665E-2</v>
      </c>
      <c r="U103" s="847">
        <f t="shared" ref="U103:V106" si="80">U97/U9</f>
        <v>4.0032093910990114E-2</v>
      </c>
      <c r="V103" s="847">
        <f t="shared" si="80"/>
        <v>2.221949067764134E-2</v>
      </c>
      <c r="W103" s="847">
        <f t="shared" ref="W103" si="81">W97/W9</f>
        <v>-3.6633293615371343E-3</v>
      </c>
    </row>
    <row r="104" spans="1:23">
      <c r="A104" s="696"/>
      <c r="B104" s="279" t="s">
        <v>712</v>
      </c>
      <c r="C104" s="279"/>
      <c r="D104" s="847">
        <f t="shared" ref="D104:R104" si="82">D98/D10</f>
        <v>1.6801646018473924E-2</v>
      </c>
      <c r="E104" s="847">
        <f t="shared" si="82"/>
        <v>0.23886986301369864</v>
      </c>
      <c r="F104" s="847">
        <f t="shared" si="82"/>
        <v>2.1555677857273922E-3</v>
      </c>
      <c r="G104" s="847">
        <f t="shared" si="82"/>
        <v>4.7254489112243739E-2</v>
      </c>
      <c r="H104" s="847">
        <f t="shared" si="82"/>
        <v>5.5752589815822845E-2</v>
      </c>
      <c r="I104" s="847">
        <f t="shared" si="82"/>
        <v>0.11295090453356582</v>
      </c>
      <c r="J104" s="847">
        <f t="shared" si="82"/>
        <v>0.10128116602569172</v>
      </c>
      <c r="K104" s="847">
        <f t="shared" si="82"/>
        <v>5.3445040165600879E-2</v>
      </c>
      <c r="L104" s="847">
        <f t="shared" si="82"/>
        <v>-4.3417025911752505E-2</v>
      </c>
      <c r="M104" s="847">
        <f t="shared" si="82"/>
        <v>-1.0392478930959752E-2</v>
      </c>
      <c r="N104" s="847">
        <f t="shared" si="82"/>
        <v>1.3808513576279482E-2</v>
      </c>
      <c r="O104" s="847">
        <f t="shared" si="82"/>
        <v>2.7984722315288039E-2</v>
      </c>
      <c r="P104" s="847">
        <f t="shared" si="82"/>
        <v>2.9664501519575708E-2</v>
      </c>
      <c r="Q104" s="847">
        <f t="shared" si="82"/>
        <v>4.0187882503227843E-2</v>
      </c>
      <c r="R104" s="847">
        <f t="shared" si="82"/>
        <v>3.3658650855099337E-2</v>
      </c>
      <c r="S104" s="847">
        <f t="shared" si="79"/>
        <v>8.9818170258757699E-2</v>
      </c>
      <c r="T104" s="847">
        <f t="shared" si="79"/>
        <v>0.1091986794717887</v>
      </c>
      <c r="U104" s="847">
        <f t="shared" si="80"/>
        <v>9.4038420443082804E-2</v>
      </c>
      <c r="V104" s="847">
        <f t="shared" si="80"/>
        <v>0.10407909064512684</v>
      </c>
      <c r="W104" s="847">
        <f t="shared" ref="W104" si="83">W98/W10</f>
        <v>9.5647438585671027E-2</v>
      </c>
    </row>
    <row r="105" spans="1:23">
      <c r="A105" s="696"/>
      <c r="B105" s="279" t="s">
        <v>713</v>
      </c>
      <c r="C105" s="279"/>
      <c r="D105" s="847">
        <f t="shared" ref="D105:R105" si="84">D99/D11</f>
        <v>4.2790201927638806E-2</v>
      </c>
      <c r="E105" s="847">
        <f t="shared" si="84"/>
        <v>-0.11613242249080399</v>
      </c>
      <c r="F105" s="847">
        <f t="shared" si="84"/>
        <v>-7.7183578492479019E-2</v>
      </c>
      <c r="G105" s="847">
        <f t="shared" si="84"/>
        <v>0.1676539913792123</v>
      </c>
      <c r="H105" s="847">
        <f t="shared" si="84"/>
        <v>0.25212868799357407</v>
      </c>
      <c r="I105" s="847">
        <f t="shared" si="84"/>
        <v>0.27690927857779918</v>
      </c>
      <c r="J105" s="847">
        <f t="shared" si="84"/>
        <v>0.14741257821999609</v>
      </c>
      <c r="K105" s="847">
        <f t="shared" si="84"/>
        <v>0.19997548661914968</v>
      </c>
      <c r="L105" s="847">
        <f t="shared" si="84"/>
        <v>6.1882133588212311E-2</v>
      </c>
      <c r="M105" s="847">
        <f t="shared" si="84"/>
        <v>0.222058334417885</v>
      </c>
      <c r="N105" s="847">
        <f t="shared" si="84"/>
        <v>-3.1481052575317574E-2</v>
      </c>
      <c r="O105" s="847">
        <f t="shared" si="84"/>
        <v>6.5622030383339316E-2</v>
      </c>
      <c r="P105" s="847">
        <f t="shared" si="84"/>
        <v>7.6404694961395986E-2</v>
      </c>
      <c r="Q105" s="847">
        <f t="shared" si="84"/>
        <v>7.3651561584729894E-2</v>
      </c>
      <c r="R105" s="847">
        <f t="shared" si="84"/>
        <v>-0.30609639009341533</v>
      </c>
      <c r="S105" s="847">
        <f t="shared" si="79"/>
        <v>-0.79238095238095252</v>
      </c>
      <c r="T105" s="847">
        <f t="shared" si="79"/>
        <v>-8.198223733938019E-2</v>
      </c>
      <c r="U105" s="847">
        <f t="shared" si="80"/>
        <v>4.461828873157548E-2</v>
      </c>
      <c r="V105" s="847">
        <f t="shared" si="80"/>
        <v>4.0219278564494747E-2</v>
      </c>
      <c r="W105" s="847">
        <f t="shared" ref="W105" si="85">W99/W11</f>
        <v>4.032910441465138E-2</v>
      </c>
    </row>
    <row r="106" spans="1:23">
      <c r="A106" s="696"/>
      <c r="B106" s="279" t="s">
        <v>714</v>
      </c>
      <c r="C106" s="279"/>
      <c r="D106" s="847">
        <f t="shared" ref="D106:R106" si="86">D100/D12</f>
        <v>-7.6209173656969558E-3</v>
      </c>
      <c r="E106" s="847">
        <f t="shared" si="86"/>
        <v>0.17736912353551831</v>
      </c>
      <c r="F106" s="847">
        <f t="shared" si="86"/>
        <v>-3.0349383701339008E-2</v>
      </c>
      <c r="G106" s="847">
        <f t="shared" si="86"/>
        <v>-2.054889839446852E-2</v>
      </c>
      <c r="H106" s="847">
        <f t="shared" si="86"/>
        <v>-8.6939465950731057E-2</v>
      </c>
      <c r="I106" s="847">
        <f t="shared" si="86"/>
        <v>4.846952215373266E-2</v>
      </c>
      <c r="J106" s="847">
        <f t="shared" si="86"/>
        <v>-8.0845162157176537E-3</v>
      </c>
      <c r="K106" s="847">
        <f t="shared" si="86"/>
        <v>0.16714765443770641</v>
      </c>
      <c r="L106" s="847">
        <f t="shared" si="86"/>
        <v>3.2079561169069386</v>
      </c>
      <c r="M106" s="847">
        <f t="shared" si="86"/>
        <v>1.5339393644710804</v>
      </c>
      <c r="N106" s="847">
        <f t="shared" si="86"/>
        <v>6.6571105003308123E-2</v>
      </c>
      <c r="O106" s="847">
        <f t="shared" si="86"/>
        <v>-0.11405109992780381</v>
      </c>
      <c r="P106" s="847">
        <f t="shared" si="86"/>
        <v>0.60913001557516866</v>
      </c>
      <c r="Q106" s="847">
        <f t="shared" si="86"/>
        <v>0.48775926862759267</v>
      </c>
      <c r="R106" s="847">
        <f t="shared" si="86"/>
        <v>1.677826855123675</v>
      </c>
      <c r="S106" s="847">
        <f t="shared" si="79"/>
        <v>1.7983870967741935</v>
      </c>
      <c r="T106" s="847">
        <f t="shared" si="79"/>
        <v>-0.38916001183081922</v>
      </c>
      <c r="U106" s="847">
        <f t="shared" si="80"/>
        <v>0.22997462936265228</v>
      </c>
      <c r="V106" s="847">
        <f t="shared" si="80"/>
        <v>0.23178424130992134</v>
      </c>
      <c r="W106" s="847">
        <f t="shared" ref="W106" si="87">W100/W12</f>
        <v>0.22656270642990051</v>
      </c>
    </row>
    <row r="107" spans="1:23">
      <c r="A107" s="696"/>
      <c r="B107" s="696"/>
      <c r="C107" s="696"/>
      <c r="D107" s="696"/>
      <c r="E107" s="696"/>
      <c r="F107" s="696"/>
      <c r="G107" s="696"/>
      <c r="H107" s="696"/>
      <c r="I107" s="696"/>
      <c r="J107" s="696"/>
      <c r="K107" s="696"/>
      <c r="L107" s="696"/>
      <c r="M107" s="696"/>
      <c r="N107" s="696"/>
      <c r="O107" s="696"/>
      <c r="P107" s="696"/>
      <c r="Q107" s="696"/>
      <c r="R107" s="696"/>
      <c r="S107" s="696"/>
      <c r="T107" s="696"/>
      <c r="U107" s="696"/>
      <c r="V107" s="696"/>
      <c r="W107" s="696"/>
    </row>
    <row r="108" spans="1:23">
      <c r="A108" s="696"/>
      <c r="B108" s="703" t="s">
        <v>20</v>
      </c>
      <c r="C108" s="696"/>
      <c r="D108" s="696"/>
      <c r="E108" s="696"/>
      <c r="F108" s="696"/>
      <c r="G108" s="696"/>
      <c r="H108" s="696"/>
      <c r="I108" s="696"/>
      <c r="J108" s="696"/>
      <c r="K108" s="696"/>
      <c r="L108" s="696"/>
      <c r="M108" s="696"/>
      <c r="N108" s="696"/>
      <c r="O108" s="696"/>
      <c r="P108" s="696"/>
      <c r="Q108" s="696"/>
      <c r="R108" s="696"/>
      <c r="S108" s="696"/>
      <c r="T108" s="696"/>
      <c r="U108" s="696"/>
      <c r="V108" s="696"/>
      <c r="W108" s="696"/>
    </row>
    <row r="109" spans="1:23">
      <c r="A109" s="696"/>
      <c r="B109" s="279" t="s">
        <v>692</v>
      </c>
      <c r="C109" s="696"/>
      <c r="D109" s="850"/>
      <c r="E109" s="850"/>
      <c r="F109" s="850"/>
      <c r="G109" s="850"/>
      <c r="H109" s="850">
        <f t="shared" ref="H109:W112" si="88">AVERAGE(D103:H103)</f>
        <v>2.0737431745185504E-2</v>
      </c>
      <c r="I109" s="850">
        <f t="shared" si="88"/>
        <v>3.6335734062756933E-2</v>
      </c>
      <c r="J109" s="850">
        <f t="shared" si="88"/>
        <v>4.4664559628066376E-2</v>
      </c>
      <c r="K109" s="850">
        <f t="shared" si="88"/>
        <v>5.2495457913890355E-2</v>
      </c>
      <c r="L109" s="850">
        <f t="shared" si="88"/>
        <v>-1.6104402333506963E-3</v>
      </c>
      <c r="M109" s="850">
        <f t="shared" si="88"/>
        <v>-1.9814885393375149E-2</v>
      </c>
      <c r="N109" s="850">
        <f t="shared" si="88"/>
        <v>-3.3472393200424E-2</v>
      </c>
      <c r="O109" s="850">
        <f t="shared" si="88"/>
        <v>-3.7297266613449079E-2</v>
      </c>
      <c r="P109" s="850">
        <f t="shared" si="88"/>
        <v>-4.4254131822000206E-2</v>
      </c>
      <c r="Q109" s="850">
        <f t="shared" si="88"/>
        <v>4.3252520379675171E-3</v>
      </c>
      <c r="R109" s="850">
        <f t="shared" si="88"/>
        <v>9.752705010423527E-3</v>
      </c>
      <c r="S109" s="850">
        <f t="shared" si="88"/>
        <v>2.0192264669341532E-2</v>
      </c>
      <c r="T109" s="850">
        <f t="shared" si="88"/>
        <v>2.6454562175671926E-2</v>
      </c>
      <c r="U109" s="850">
        <f t="shared" si="88"/>
        <v>2.9554095870866482E-2</v>
      </c>
      <c r="V109" s="850">
        <f t="shared" si="88"/>
        <v>2.0727880585212365E-2</v>
      </c>
      <c r="W109" s="850">
        <f t="shared" si="88"/>
        <v>2.6184222514196758E-2</v>
      </c>
    </row>
    <row r="110" spans="1:23">
      <c r="A110" s="696"/>
      <c r="B110" s="279" t="s">
        <v>712</v>
      </c>
      <c r="C110" s="696"/>
      <c r="D110" s="850"/>
      <c r="E110" s="850"/>
      <c r="F110" s="850"/>
      <c r="G110" s="850"/>
      <c r="H110" s="850">
        <f t="shared" si="88"/>
        <v>7.2166831149193311E-2</v>
      </c>
      <c r="I110" s="850">
        <f t="shared" si="88"/>
        <v>9.1396682852211697E-2</v>
      </c>
      <c r="J110" s="850">
        <f t="shared" si="88"/>
        <v>6.3878943454610301E-2</v>
      </c>
      <c r="K110" s="850">
        <f t="shared" si="88"/>
        <v>7.4136837930584995E-2</v>
      </c>
      <c r="L110" s="850">
        <f t="shared" si="88"/>
        <v>5.6002534925785753E-2</v>
      </c>
      <c r="M110" s="850">
        <f t="shared" si="88"/>
        <v>4.2773521176429227E-2</v>
      </c>
      <c r="N110" s="850">
        <f t="shared" si="88"/>
        <v>2.2945042984971964E-2</v>
      </c>
      <c r="O110" s="850">
        <f t="shared" si="88"/>
        <v>8.285754242891229E-3</v>
      </c>
      <c r="P110" s="850">
        <f t="shared" si="88"/>
        <v>3.5296465136861951E-3</v>
      </c>
      <c r="Q110" s="850">
        <f t="shared" si="88"/>
        <v>2.0250628196682264E-2</v>
      </c>
      <c r="R110" s="850">
        <f t="shared" si="88"/>
        <v>2.9060854153894079E-2</v>
      </c>
      <c r="S110" s="850">
        <f t="shared" si="88"/>
        <v>4.4262785490389721E-2</v>
      </c>
      <c r="T110" s="850">
        <f t="shared" si="88"/>
        <v>6.0505576921689855E-2</v>
      </c>
      <c r="U110" s="850">
        <f t="shared" si="88"/>
        <v>7.3380360706391284E-2</v>
      </c>
      <c r="V110" s="850">
        <f t="shared" si="88"/>
        <v>8.6158602334771073E-2</v>
      </c>
      <c r="W110" s="850">
        <f t="shared" si="88"/>
        <v>9.8556359880885416E-2</v>
      </c>
    </row>
    <row r="111" spans="1:23">
      <c r="A111" s="696"/>
      <c r="B111" s="279" t="s">
        <v>713</v>
      </c>
      <c r="C111" s="696"/>
      <c r="D111" s="850"/>
      <c r="E111" s="850"/>
      <c r="F111" s="850"/>
      <c r="G111" s="850"/>
      <c r="H111" s="850">
        <f t="shared" si="88"/>
        <v>5.3851376063428422E-2</v>
      </c>
      <c r="I111" s="850">
        <f t="shared" si="88"/>
        <v>0.10067519139346051</v>
      </c>
      <c r="J111" s="850">
        <f t="shared" si="88"/>
        <v>0.15338419153562052</v>
      </c>
      <c r="K111" s="850">
        <f t="shared" si="88"/>
        <v>0.20881600455794627</v>
      </c>
      <c r="L111" s="850">
        <f t="shared" si="88"/>
        <v>0.18766163299974625</v>
      </c>
      <c r="M111" s="850">
        <f t="shared" si="88"/>
        <v>0.18164756228460846</v>
      </c>
      <c r="N111" s="850">
        <f t="shared" si="88"/>
        <v>0.1199694960539851</v>
      </c>
      <c r="O111" s="850">
        <f t="shared" si="88"/>
        <v>0.10361138648665373</v>
      </c>
      <c r="P111" s="850">
        <f t="shared" si="88"/>
        <v>7.8897228155103E-2</v>
      </c>
      <c r="Q111" s="850">
        <f t="shared" si="88"/>
        <v>8.1251113754406537E-2</v>
      </c>
      <c r="R111" s="850">
        <f t="shared" si="88"/>
        <v>-2.4379831147853536E-2</v>
      </c>
      <c r="S111" s="850">
        <f t="shared" si="88"/>
        <v>-0.1765598111089805</v>
      </c>
      <c r="T111" s="850">
        <f t="shared" si="88"/>
        <v>-0.20608066465352443</v>
      </c>
      <c r="U111" s="850">
        <f t="shared" si="88"/>
        <v>-0.2124379458994885</v>
      </c>
      <c r="V111" s="850">
        <f t="shared" si="88"/>
        <v>-0.21912440250353554</v>
      </c>
      <c r="W111" s="850">
        <f t="shared" si="88"/>
        <v>-0.14983930360192221</v>
      </c>
    </row>
    <row r="112" spans="1:23">
      <c r="A112" s="696"/>
      <c r="B112" s="279" t="s">
        <v>714</v>
      </c>
      <c r="C112" s="696"/>
      <c r="D112" s="850"/>
      <c r="E112" s="850"/>
      <c r="F112" s="850"/>
      <c r="G112" s="850"/>
      <c r="H112" s="850">
        <f t="shared" si="88"/>
        <v>6.3820916246565525E-3</v>
      </c>
      <c r="I112" s="850">
        <f t="shared" si="88"/>
        <v>1.7600179528542481E-2</v>
      </c>
      <c r="J112" s="850">
        <f t="shared" si="88"/>
        <v>-1.9490548421704716E-2</v>
      </c>
      <c r="K112" s="850">
        <f t="shared" si="88"/>
        <v>2.0008859206104367E-2</v>
      </c>
      <c r="L112" s="850">
        <f t="shared" si="88"/>
        <v>0.66570986226638573</v>
      </c>
      <c r="M112" s="850">
        <f t="shared" si="88"/>
        <v>0.98988562835074811</v>
      </c>
      <c r="N112" s="850">
        <f t="shared" si="88"/>
        <v>0.99350594492066313</v>
      </c>
      <c r="O112" s="850">
        <f t="shared" si="88"/>
        <v>0.97231262817824593</v>
      </c>
      <c r="P112" s="850">
        <f t="shared" si="88"/>
        <v>1.0607091004057385</v>
      </c>
      <c r="Q112" s="850">
        <f t="shared" si="88"/>
        <v>0.51666973074986922</v>
      </c>
      <c r="R112" s="850">
        <f t="shared" si="88"/>
        <v>0.5454472288803881</v>
      </c>
      <c r="S112" s="850">
        <f t="shared" si="88"/>
        <v>0.89181042723456516</v>
      </c>
      <c r="T112" s="850">
        <f t="shared" si="88"/>
        <v>0.8367886448539622</v>
      </c>
      <c r="U112" s="850">
        <f t="shared" si="88"/>
        <v>0.76095756761145883</v>
      </c>
      <c r="V112" s="850">
        <f t="shared" si="88"/>
        <v>0.70976256214792444</v>
      </c>
      <c r="W112" s="850">
        <f t="shared" si="88"/>
        <v>0.41950973240916972</v>
      </c>
    </row>
    <row r="113" spans="1:23">
      <c r="A113" s="696"/>
      <c r="B113" s="696"/>
      <c r="C113" s="696"/>
      <c r="D113" s="696"/>
      <c r="E113" s="696"/>
      <c r="F113" s="696"/>
      <c r="G113" s="696"/>
      <c r="H113" s="696"/>
      <c r="I113" s="696"/>
      <c r="J113" s="696"/>
      <c r="K113" s="696"/>
      <c r="L113" s="696"/>
      <c r="M113" s="696"/>
      <c r="N113" s="696"/>
      <c r="O113" s="696"/>
      <c r="P113" s="696"/>
      <c r="Q113" s="696"/>
      <c r="R113" s="696"/>
      <c r="S113" s="696"/>
      <c r="T113" s="696"/>
      <c r="U113" s="696"/>
      <c r="V113" s="696"/>
      <c r="W113" s="696"/>
    </row>
    <row r="114" spans="1:23">
      <c r="A114" s="703" t="s">
        <v>21</v>
      </c>
      <c r="B114" s="696"/>
      <c r="C114" s="696"/>
      <c r="D114" s="696"/>
      <c r="E114" s="696"/>
      <c r="F114" s="696"/>
      <c r="G114" s="696"/>
      <c r="H114" s="696"/>
      <c r="I114" s="696"/>
      <c r="J114" s="696"/>
      <c r="K114" s="696"/>
      <c r="L114" s="696"/>
      <c r="M114" s="696"/>
      <c r="N114" s="696"/>
      <c r="O114" s="696"/>
      <c r="P114" s="696"/>
      <c r="Q114" s="696"/>
      <c r="R114" s="696"/>
      <c r="S114" s="696"/>
      <c r="T114" s="696"/>
      <c r="U114" s="696"/>
      <c r="V114" s="696"/>
      <c r="W114" s="696"/>
    </row>
    <row r="115" spans="1:23">
      <c r="A115" s="696"/>
      <c r="B115" s="279" t="s">
        <v>692</v>
      </c>
      <c r="C115" s="279"/>
      <c r="D115" s="847">
        <f t="shared" ref="D115:R115" si="89">D58/D34</f>
        <v>0.66976744186046511</v>
      </c>
      <c r="E115" s="847">
        <f t="shared" si="89"/>
        <v>0.19262295081967212</v>
      </c>
      <c r="F115" s="847">
        <f t="shared" si="89"/>
        <v>0.40400000000000003</v>
      </c>
      <c r="G115" s="847">
        <f t="shared" si="89"/>
        <v>0.94402985074626866</v>
      </c>
      <c r="H115" s="847">
        <f t="shared" si="89"/>
        <v>1.625</v>
      </c>
      <c r="I115" s="847">
        <f t="shared" si="89"/>
        <v>1.0418250950570342</v>
      </c>
      <c r="J115" s="847">
        <f t="shared" si="89"/>
        <v>1.119298245614035</v>
      </c>
      <c r="K115" s="847">
        <f t="shared" si="89"/>
        <v>1.5414507772020725</v>
      </c>
      <c r="L115" s="847">
        <f t="shared" si="89"/>
        <v>1.4949550794747757</v>
      </c>
      <c r="M115" s="847">
        <f t="shared" si="89"/>
        <v>1.4423719647982232</v>
      </c>
      <c r="N115" s="847">
        <f t="shared" si="89"/>
        <v>1.4059566762971147</v>
      </c>
      <c r="O115" s="847">
        <f t="shared" si="89"/>
        <v>1.2212646602645261</v>
      </c>
      <c r="P115" s="847">
        <f t="shared" si="89"/>
        <v>0.681640625</v>
      </c>
      <c r="Q115" s="847">
        <f t="shared" si="89"/>
        <v>0.57236842105263153</v>
      </c>
      <c r="R115" s="847">
        <f t="shared" si="89"/>
        <v>0.85459183673469385</v>
      </c>
      <c r="S115" s="847">
        <f t="shared" ref="S115:T118" si="90">S58/S34</f>
        <v>0.31805157593123207</v>
      </c>
      <c r="T115" s="847">
        <f t="shared" si="90"/>
        <v>1.1022727272727273</v>
      </c>
      <c r="U115" s="847">
        <f t="shared" ref="U115:V117" si="91">U58/U34</f>
        <v>1.9073569482288828</v>
      </c>
      <c r="V115" s="847">
        <f t="shared" si="91"/>
        <v>2.7247956403269753</v>
      </c>
      <c r="W115" s="847">
        <f t="shared" ref="W115" si="92">W58/W34</f>
        <v>2.7247956403269753</v>
      </c>
    </row>
    <row r="116" spans="1:23">
      <c r="A116" s="696"/>
      <c r="B116" s="279" t="s">
        <v>712</v>
      </c>
      <c r="C116" s="279"/>
      <c r="D116" s="847">
        <f t="shared" ref="D116:R116" si="93">D59/D35</f>
        <v>1.6052631578947369</v>
      </c>
      <c r="E116" s="847">
        <f t="shared" si="93"/>
        <v>2.3658536585365852</v>
      </c>
      <c r="F116" s="847">
        <f t="shared" si="93"/>
        <v>2.42</v>
      </c>
      <c r="G116" s="847">
        <f t="shared" si="93"/>
        <v>4.0545454545454547</v>
      </c>
      <c r="H116" s="847">
        <f t="shared" si="93"/>
        <v>3.4583333333333335</v>
      </c>
      <c r="I116" s="847">
        <f t="shared" si="93"/>
        <v>1.9905660377358489</v>
      </c>
      <c r="J116" s="847">
        <f t="shared" si="93"/>
        <v>1.7479674796747968</v>
      </c>
      <c r="K116" s="847">
        <f t="shared" si="93"/>
        <v>1.4482758620689655</v>
      </c>
      <c r="L116" s="847">
        <f t="shared" si="93"/>
        <v>0.79020979020979021</v>
      </c>
      <c r="M116" s="847">
        <f t="shared" si="93"/>
        <v>0.93023255813953487</v>
      </c>
      <c r="N116" s="847">
        <f t="shared" si="93"/>
        <v>0.77857142857142858</v>
      </c>
      <c r="O116" s="847">
        <f t="shared" si="93"/>
        <v>0.37254901960784315</v>
      </c>
      <c r="P116" s="847">
        <f t="shared" si="93"/>
        <v>0.42105263157894735</v>
      </c>
      <c r="Q116" s="847">
        <f t="shared" si="93"/>
        <v>0.77894736842105261</v>
      </c>
      <c r="R116" s="847">
        <f t="shared" si="93"/>
        <v>1.3580246913580247</v>
      </c>
      <c r="S116" s="847">
        <f t="shared" si="90"/>
        <v>1.0375000000000001</v>
      </c>
      <c r="T116" s="847">
        <f t="shared" si="90"/>
        <v>1.0921052631578947</v>
      </c>
      <c r="U116" s="847">
        <f t="shared" si="91"/>
        <v>1.25</v>
      </c>
      <c r="V116" s="847">
        <f t="shared" si="91"/>
        <v>1.25</v>
      </c>
      <c r="W116" s="847">
        <f t="shared" ref="W116" si="94">W59/W35</f>
        <v>1.25</v>
      </c>
    </row>
    <row r="117" spans="1:23">
      <c r="A117" s="696"/>
      <c r="B117" s="279" t="s">
        <v>713</v>
      </c>
      <c r="C117" s="279"/>
      <c r="D117" s="847">
        <f t="shared" ref="D117:R117" si="95">D60/D36</f>
        <v>0.45454545454545453</v>
      </c>
      <c r="E117" s="847">
        <f t="shared" si="95"/>
        <v>5.2</v>
      </c>
      <c r="F117" s="847">
        <f t="shared" si="95"/>
        <v>3.3333333333333335</v>
      </c>
      <c r="G117" s="847">
        <f t="shared" si="95"/>
        <v>0.5</v>
      </c>
      <c r="H117" s="847">
        <f t="shared" si="95"/>
        <v>0.38461538461538464</v>
      </c>
      <c r="I117" s="847">
        <f t="shared" si="95"/>
        <v>0.30769230769230771</v>
      </c>
      <c r="J117" s="847">
        <f t="shared" si="95"/>
        <v>1</v>
      </c>
      <c r="K117" s="847">
        <f t="shared" si="95"/>
        <v>1.6206896551724137</v>
      </c>
      <c r="L117" s="847">
        <f t="shared" si="95"/>
        <v>0.27272727272727271</v>
      </c>
      <c r="M117" s="847">
        <f t="shared" si="95"/>
        <v>1</v>
      </c>
      <c r="N117" s="847">
        <f t="shared" si="95"/>
        <v>1.9090909090909092</v>
      </c>
      <c r="O117" s="847">
        <f t="shared" si="95"/>
        <v>0.72413793103448276</v>
      </c>
      <c r="P117" s="847">
        <f t="shared" si="95"/>
        <v>1.1129032258064515</v>
      </c>
      <c r="Q117" s="847">
        <f t="shared" si="95"/>
        <v>1.1515151515151516</v>
      </c>
      <c r="R117" s="847">
        <f t="shared" si="95"/>
        <v>1.59375</v>
      </c>
      <c r="S117" s="847">
        <f t="shared" si="90"/>
        <v>1.2941176470588236</v>
      </c>
      <c r="T117" s="847">
        <f t="shared" si="90"/>
        <v>0.5490196078431373</v>
      </c>
      <c r="U117" s="847">
        <f t="shared" si="91"/>
        <v>1.0416666666666667</v>
      </c>
      <c r="V117" s="847">
        <f t="shared" si="91"/>
        <v>1.0416666666666667</v>
      </c>
      <c r="W117" s="847">
        <f t="shared" ref="W117" si="96">W60/W36</f>
        <v>1.0416666666666667</v>
      </c>
    </row>
    <row r="118" spans="1:23">
      <c r="A118" s="696"/>
      <c r="B118" s="279" t="s">
        <v>714</v>
      </c>
      <c r="C118" s="279"/>
      <c r="D118" s="847">
        <f t="shared" ref="D118:R118" si="97">D61/D37</f>
        <v>0.96250000000000002</v>
      </c>
      <c r="E118" s="847">
        <f t="shared" si="97"/>
        <v>1.1272727272727272</v>
      </c>
      <c r="F118" s="847">
        <f t="shared" si="97"/>
        <v>0.91666666666666663</v>
      </c>
      <c r="G118" s="847">
        <f t="shared" si="97"/>
        <v>2.2093023255813953</v>
      </c>
      <c r="H118" s="847">
        <f t="shared" si="97"/>
        <v>2.2448979591836733</v>
      </c>
      <c r="I118" s="847">
        <f t="shared" si="97"/>
        <v>2.0847457627118646</v>
      </c>
      <c r="J118" s="847">
        <f t="shared" si="97"/>
        <v>1.5733333333333333</v>
      </c>
      <c r="K118" s="847">
        <f t="shared" si="97"/>
        <v>0.97777777777777775</v>
      </c>
      <c r="L118" s="847">
        <f t="shared" si="97"/>
        <v>3.6304046388503722E-2</v>
      </c>
      <c r="M118" s="847">
        <f t="shared" si="97"/>
        <v>8.693001228490109E-2</v>
      </c>
      <c r="N118" s="847">
        <f t="shared" si="97"/>
        <v>0.66254229369877027</v>
      </c>
      <c r="O118" s="847">
        <f t="shared" si="97"/>
        <v>1.5613342310701868</v>
      </c>
      <c r="P118" s="847">
        <f t="shared" si="97"/>
        <v>1.2666666666666666</v>
      </c>
      <c r="Q118" s="847">
        <f t="shared" si="97"/>
        <v>0.8</v>
      </c>
      <c r="R118" s="847">
        <f t="shared" si="97"/>
        <v>-4.7</v>
      </c>
      <c r="S118" s="847">
        <f t="shared" si="90"/>
        <v>2.4</v>
      </c>
      <c r="T118" s="847">
        <f t="shared" si="90"/>
        <v>0.18181818181818182</v>
      </c>
      <c r="U118" s="886" t="str">
        <f>IFERROR(U61/U37,"NA")</f>
        <v>NA</v>
      </c>
      <c r="V118" s="886" t="str">
        <f>IFERROR(V61/V37,"NA")</f>
        <v>NA</v>
      </c>
      <c r="W118" s="886" t="str">
        <f>IFERROR(W61/W37,"NA")</f>
        <v>NA</v>
      </c>
    </row>
    <row r="119" spans="1:23">
      <c r="A119" s="696"/>
      <c r="B119" s="696"/>
      <c r="C119" s="696"/>
      <c r="D119" s="847"/>
      <c r="E119" s="847"/>
      <c r="F119" s="847"/>
      <c r="G119" s="847"/>
      <c r="H119" s="847"/>
      <c r="I119" s="847"/>
      <c r="J119" s="847"/>
      <c r="K119" s="847"/>
      <c r="L119" s="847"/>
      <c r="M119" s="847"/>
      <c r="N119" s="847"/>
      <c r="O119" s="847"/>
      <c r="P119" s="847"/>
      <c r="Q119" s="847"/>
      <c r="R119" s="847"/>
      <c r="S119" s="847"/>
      <c r="T119" s="847"/>
      <c r="U119" s="847"/>
      <c r="V119" s="847"/>
      <c r="W119" s="847"/>
    </row>
    <row r="120" spans="1:23">
      <c r="A120" s="696"/>
      <c r="B120" s="703" t="s">
        <v>20</v>
      </c>
      <c r="C120" s="696"/>
      <c r="D120" s="696"/>
      <c r="E120" s="696"/>
      <c r="F120" s="696"/>
      <c r="G120" s="696"/>
      <c r="H120" s="696"/>
      <c r="I120" s="696"/>
      <c r="J120" s="696"/>
      <c r="K120" s="696"/>
      <c r="L120" s="696"/>
      <c r="M120" s="696"/>
      <c r="N120" s="696"/>
      <c r="O120" s="696"/>
      <c r="P120" s="696"/>
      <c r="Q120" s="696"/>
      <c r="R120" s="696"/>
      <c r="S120" s="696"/>
      <c r="T120" s="696"/>
      <c r="U120" s="696"/>
      <c r="V120" s="696"/>
      <c r="W120" s="696"/>
    </row>
    <row r="121" spans="1:23">
      <c r="A121" s="696"/>
      <c r="B121" s="279" t="s">
        <v>692</v>
      </c>
      <c r="C121" s="696"/>
      <c r="D121" s="850"/>
      <c r="E121" s="850"/>
      <c r="F121" s="850"/>
      <c r="G121" s="850"/>
      <c r="H121" s="850">
        <f t="shared" ref="H121:W124" si="98">AVERAGE(D115:H115)</f>
        <v>0.76708404868528113</v>
      </c>
      <c r="I121" s="850">
        <f t="shared" si="98"/>
        <v>0.84149557932459496</v>
      </c>
      <c r="J121" s="850">
        <f t="shared" si="98"/>
        <v>1.0268306382834678</v>
      </c>
      <c r="K121" s="850">
        <f t="shared" si="98"/>
        <v>1.2543207937238823</v>
      </c>
      <c r="L121" s="850">
        <f t="shared" si="98"/>
        <v>1.3645058394695835</v>
      </c>
      <c r="M121" s="850">
        <f t="shared" si="98"/>
        <v>1.327980232429228</v>
      </c>
      <c r="N121" s="850">
        <f t="shared" si="98"/>
        <v>1.4008065486772443</v>
      </c>
      <c r="O121" s="850">
        <f t="shared" si="98"/>
        <v>1.4211998316073424</v>
      </c>
      <c r="P121" s="850">
        <f t="shared" si="98"/>
        <v>1.2492378011669278</v>
      </c>
      <c r="Q121" s="850">
        <f t="shared" si="98"/>
        <v>1.0647204694824992</v>
      </c>
      <c r="R121" s="850">
        <f t="shared" si="98"/>
        <v>0.94716444386979326</v>
      </c>
      <c r="S121" s="850">
        <f t="shared" si="98"/>
        <v>0.72958342379661667</v>
      </c>
      <c r="T121" s="850">
        <f t="shared" si="98"/>
        <v>0.70578503719825691</v>
      </c>
      <c r="U121" s="850">
        <f t="shared" si="98"/>
        <v>0.95092830184403354</v>
      </c>
      <c r="V121" s="850">
        <f t="shared" si="98"/>
        <v>1.3814137456989024</v>
      </c>
      <c r="W121" s="850">
        <f t="shared" si="98"/>
        <v>1.7554545064173586</v>
      </c>
    </row>
    <row r="122" spans="1:23">
      <c r="A122" s="696"/>
      <c r="B122" s="279" t="s">
        <v>712</v>
      </c>
      <c r="C122" s="696"/>
      <c r="D122" s="850"/>
      <c r="E122" s="850"/>
      <c r="F122" s="850"/>
      <c r="G122" s="850"/>
      <c r="H122" s="850">
        <f t="shared" si="98"/>
        <v>2.7807991208620217</v>
      </c>
      <c r="I122" s="850">
        <f t="shared" si="98"/>
        <v>2.8578596968302445</v>
      </c>
      <c r="J122" s="850">
        <f t="shared" si="98"/>
        <v>2.7342824610578869</v>
      </c>
      <c r="K122" s="850">
        <f t="shared" si="98"/>
        <v>2.5399376334716801</v>
      </c>
      <c r="L122" s="850">
        <f t="shared" si="98"/>
        <v>1.887070500604547</v>
      </c>
      <c r="M122" s="850">
        <f t="shared" si="98"/>
        <v>1.3814503455657872</v>
      </c>
      <c r="N122" s="850">
        <f t="shared" si="98"/>
        <v>1.139051423732903</v>
      </c>
      <c r="O122" s="850">
        <f t="shared" si="98"/>
        <v>0.86396773171951247</v>
      </c>
      <c r="P122" s="850">
        <f t="shared" si="98"/>
        <v>0.65852308562150885</v>
      </c>
      <c r="Q122" s="850">
        <f t="shared" si="98"/>
        <v>0.65627060126376136</v>
      </c>
      <c r="R122" s="850">
        <f t="shared" si="98"/>
        <v>0.74182902790745919</v>
      </c>
      <c r="S122" s="850">
        <f t="shared" si="98"/>
        <v>0.79361474219317363</v>
      </c>
      <c r="T122" s="850">
        <f t="shared" si="98"/>
        <v>0.937525990903184</v>
      </c>
      <c r="U122" s="850">
        <f t="shared" si="98"/>
        <v>1.1033154645873944</v>
      </c>
      <c r="V122" s="850">
        <f t="shared" si="98"/>
        <v>1.1975259909031839</v>
      </c>
      <c r="W122" s="850">
        <f t="shared" si="98"/>
        <v>1.1759210526315791</v>
      </c>
    </row>
    <row r="123" spans="1:23">
      <c r="A123" s="696"/>
      <c r="B123" s="279" t="s">
        <v>713</v>
      </c>
      <c r="C123" s="696"/>
      <c r="D123" s="850"/>
      <c r="E123" s="850"/>
      <c r="F123" s="850"/>
      <c r="G123" s="850"/>
      <c r="H123" s="850">
        <f t="shared" si="98"/>
        <v>1.9744988344988346</v>
      </c>
      <c r="I123" s="850">
        <f t="shared" si="98"/>
        <v>1.9451282051282053</v>
      </c>
      <c r="J123" s="850">
        <f t="shared" si="98"/>
        <v>1.1051282051282052</v>
      </c>
      <c r="K123" s="850">
        <f t="shared" si="98"/>
        <v>0.7625994694960212</v>
      </c>
      <c r="L123" s="850">
        <f t="shared" si="98"/>
        <v>0.71714492404147578</v>
      </c>
      <c r="M123" s="850">
        <f t="shared" si="98"/>
        <v>0.84022184711839876</v>
      </c>
      <c r="N123" s="850">
        <f t="shared" si="98"/>
        <v>1.1605015673981192</v>
      </c>
      <c r="O123" s="850">
        <f t="shared" si="98"/>
        <v>1.1053291536050156</v>
      </c>
      <c r="P123" s="850">
        <f t="shared" si="98"/>
        <v>1.0037718677318233</v>
      </c>
      <c r="Q123" s="850">
        <f t="shared" si="98"/>
        <v>1.179529443489399</v>
      </c>
      <c r="R123" s="850">
        <f t="shared" si="98"/>
        <v>1.2982794434893989</v>
      </c>
      <c r="S123" s="850">
        <f t="shared" si="98"/>
        <v>1.1752847910829818</v>
      </c>
      <c r="T123" s="850">
        <f t="shared" si="98"/>
        <v>1.1402611264447127</v>
      </c>
      <c r="U123" s="850">
        <f t="shared" si="98"/>
        <v>1.1260138146167558</v>
      </c>
      <c r="V123" s="850">
        <f t="shared" si="98"/>
        <v>1.1040441176470588</v>
      </c>
      <c r="W123" s="850">
        <f t="shared" si="98"/>
        <v>0.99362745098039229</v>
      </c>
    </row>
    <row r="124" spans="1:23">
      <c r="A124" s="696"/>
      <c r="B124" s="279" t="s">
        <v>714</v>
      </c>
      <c r="C124" s="696"/>
      <c r="D124" s="850"/>
      <c r="E124" s="850"/>
      <c r="F124" s="850"/>
      <c r="G124" s="850"/>
      <c r="H124" s="850">
        <f t="shared" si="98"/>
        <v>1.4921279357408923</v>
      </c>
      <c r="I124" s="850">
        <f t="shared" si="98"/>
        <v>1.7165770882832654</v>
      </c>
      <c r="J124" s="850">
        <f t="shared" si="98"/>
        <v>1.8057892094953865</v>
      </c>
      <c r="K124" s="850">
        <f t="shared" si="98"/>
        <v>1.818011431717609</v>
      </c>
      <c r="L124" s="850">
        <f t="shared" si="98"/>
        <v>1.3834117758790305</v>
      </c>
      <c r="M124" s="850">
        <f t="shared" si="98"/>
        <v>0.95181818649927608</v>
      </c>
      <c r="N124" s="850">
        <f t="shared" si="98"/>
        <v>0.66737749269665725</v>
      </c>
      <c r="O124" s="850">
        <f t="shared" si="98"/>
        <v>0.66497767224402793</v>
      </c>
      <c r="P124" s="850">
        <f t="shared" si="98"/>
        <v>0.72275545002180563</v>
      </c>
      <c r="Q124" s="850">
        <f t="shared" si="98"/>
        <v>0.87549464074410499</v>
      </c>
      <c r="R124" s="850">
        <f t="shared" si="98"/>
        <v>-8.1891361712875366E-2</v>
      </c>
      <c r="S124" s="850">
        <f t="shared" si="98"/>
        <v>0.26560017954737053</v>
      </c>
      <c r="T124" s="850">
        <f t="shared" si="98"/>
        <v>-1.0303030303030402E-2</v>
      </c>
      <c r="U124" s="850">
        <f t="shared" si="98"/>
        <v>-0.32954545454545464</v>
      </c>
      <c r="V124" s="850">
        <f t="shared" si="98"/>
        <v>-0.70606060606060617</v>
      </c>
      <c r="W124" s="850">
        <f t="shared" si="98"/>
        <v>1.2909090909090908</v>
      </c>
    </row>
    <row r="125" spans="1:23">
      <c r="A125" s="696"/>
      <c r="B125" s="696"/>
      <c r="C125" s="696"/>
      <c r="D125" s="696"/>
      <c r="E125" s="696"/>
      <c r="F125" s="696"/>
      <c r="G125" s="696"/>
      <c r="H125" s="696"/>
      <c r="I125" s="696"/>
      <c r="J125" s="696"/>
      <c r="K125" s="696"/>
      <c r="L125" s="696"/>
      <c r="M125" s="696"/>
      <c r="N125" s="696"/>
      <c r="O125" s="696"/>
      <c r="P125" s="696"/>
      <c r="Q125" s="696"/>
      <c r="R125" s="696"/>
      <c r="S125" s="696"/>
      <c r="T125" s="696"/>
      <c r="U125" s="696"/>
      <c r="V125" s="696"/>
      <c r="W125" s="696"/>
    </row>
    <row r="126" spans="1:23">
      <c r="A126" s="703" t="s">
        <v>696</v>
      </c>
      <c r="B126" s="696"/>
      <c r="C126" s="696"/>
      <c r="D126" s="696"/>
      <c r="E126" s="696"/>
      <c r="F126" s="696"/>
      <c r="G126" s="696"/>
      <c r="H126" s="696"/>
      <c r="I126" s="696"/>
      <c r="J126" s="696"/>
      <c r="K126" s="696"/>
      <c r="L126" s="696"/>
      <c r="M126" s="696"/>
      <c r="N126" s="696"/>
      <c r="O126" s="696"/>
      <c r="P126" s="696"/>
      <c r="Q126" s="696"/>
      <c r="R126" s="696"/>
      <c r="S126" s="696"/>
      <c r="T126" s="696"/>
      <c r="U126" s="696"/>
      <c r="V126" s="696"/>
      <c r="W126" s="696"/>
    </row>
    <row r="127" spans="1:23">
      <c r="A127" s="696"/>
      <c r="B127" s="279" t="s">
        <v>692</v>
      </c>
      <c r="C127" s="279"/>
      <c r="D127" s="722"/>
      <c r="E127" s="722"/>
      <c r="F127" s="722">
        <f>Operations!J40</f>
        <v>16847.12906451496</v>
      </c>
      <c r="G127" s="722">
        <f>Operations!O40</f>
        <v>19498.121281922777</v>
      </c>
      <c r="H127" s="722">
        <f>Operations!T40</f>
        <v>19396.033682079251</v>
      </c>
      <c r="I127" s="722">
        <f>Operations!Y40</f>
        <v>19398.401355537717</v>
      </c>
      <c r="J127" s="722">
        <f>Operations!AD40</f>
        <v>20220.38862973106</v>
      </c>
      <c r="K127" s="722">
        <f>Operations!AI40</f>
        <v>24365.579210115637</v>
      </c>
      <c r="L127" s="722">
        <f>Operations!AN40</f>
        <v>24311.513971054395</v>
      </c>
      <c r="M127" s="722">
        <f>Operations!AS40</f>
        <v>24265.220260212744</v>
      </c>
      <c r="N127" s="722">
        <f>Operations!AX40</f>
        <v>24240.106582773249</v>
      </c>
      <c r="O127" s="722">
        <f>Operations!BC40</f>
        <v>24352.526991081209</v>
      </c>
      <c r="P127" s="722">
        <f>Operations!BH40</f>
        <v>24233.052837573388</v>
      </c>
      <c r="Q127" s="722">
        <f>Operations!BM40</f>
        <v>21241.556551788548</v>
      </c>
      <c r="R127" s="722">
        <f>Operations!BR40</f>
        <v>18777.838640488371</v>
      </c>
      <c r="S127" s="722">
        <f>Operations!BW40</f>
        <v>17002.454070052754</v>
      </c>
      <c r="T127" s="722">
        <f>Operations!CB40</f>
        <v>16977.231206293705</v>
      </c>
      <c r="U127" s="722">
        <f>Operations!CG40</f>
        <v>17000</v>
      </c>
      <c r="V127" s="722">
        <f>Operations!CL40</f>
        <v>17000</v>
      </c>
      <c r="W127" s="722">
        <f>Operations!CQ40</f>
        <v>17000</v>
      </c>
    </row>
    <row r="128" spans="1:23">
      <c r="A128" s="696"/>
      <c r="B128" s="279" t="s">
        <v>712</v>
      </c>
      <c r="C128" s="279"/>
      <c r="D128" s="722"/>
      <c r="E128" s="722"/>
      <c r="F128" s="722">
        <f>Operations!J144</f>
        <v>5736.2590129590744</v>
      </c>
      <c r="G128" s="722">
        <f>Operations!O144</f>
        <v>7429.012139766206</v>
      </c>
      <c r="H128" s="722">
        <f>Operations!T144</f>
        <v>7424.3444599334689</v>
      </c>
      <c r="I128" s="722">
        <f>Operations!Y144</f>
        <v>7424.6175829682816</v>
      </c>
      <c r="J128" s="722">
        <f>Operations!AD144</f>
        <v>7421.1904706240584</v>
      </c>
      <c r="K128" s="722">
        <f>Operations!AI144</f>
        <v>7423.3435400837852</v>
      </c>
      <c r="L128" s="722">
        <f>Operations!AN144</f>
        <v>7396.1861088664045</v>
      </c>
      <c r="M128" s="722">
        <f>Operations!AS144</f>
        <v>7389.2885236937936</v>
      </c>
      <c r="N128" s="722">
        <f>Operations!AX144</f>
        <v>7379.7957982005746</v>
      </c>
      <c r="O128" s="722">
        <f>Operations!BC144</f>
        <v>5231.8040949455217</v>
      </c>
      <c r="P128" s="722">
        <f>Operations!BH144</f>
        <v>4986.4572294299305</v>
      </c>
      <c r="Q128" s="722">
        <f>Operations!BM144</f>
        <v>4999.8409041035766</v>
      </c>
      <c r="R128" s="722">
        <f>Operations!BR144</f>
        <v>4997.3046398046399</v>
      </c>
      <c r="S128" s="722">
        <f>Operations!BW144</f>
        <v>5016.9865707798399</v>
      </c>
      <c r="T128" s="722">
        <f>Operations!CB144</f>
        <v>5004.5717689615049</v>
      </c>
      <c r="U128" s="722">
        <f>Operations!CG144</f>
        <v>5000</v>
      </c>
      <c r="V128" s="722">
        <f>Operations!CL144</f>
        <v>5000</v>
      </c>
      <c r="W128" s="722">
        <f>Operations!CQ144</f>
        <v>5000</v>
      </c>
    </row>
    <row r="129" spans="1:23">
      <c r="A129" s="696"/>
      <c r="B129" s="279" t="s">
        <v>22</v>
      </c>
      <c r="C129" s="279"/>
      <c r="D129" s="722"/>
      <c r="E129" s="722"/>
      <c r="F129" s="722"/>
      <c r="G129" s="722"/>
      <c r="H129" s="722"/>
      <c r="I129" s="722"/>
      <c r="J129" s="722"/>
      <c r="K129" s="722"/>
      <c r="L129" s="722"/>
      <c r="M129" s="722"/>
      <c r="N129" s="722"/>
      <c r="O129" s="722"/>
      <c r="P129" s="722"/>
      <c r="Q129" s="722"/>
      <c r="R129" s="722"/>
      <c r="S129" s="722"/>
      <c r="T129" s="722"/>
      <c r="U129" s="722"/>
      <c r="V129" s="722"/>
      <c r="W129" s="722"/>
    </row>
    <row r="130" spans="1:23">
      <c r="A130" s="851"/>
      <c r="B130" s="851"/>
      <c r="C130" s="851"/>
      <c r="D130" s="851"/>
      <c r="E130" s="851"/>
      <c r="F130" s="851"/>
      <c r="G130" s="851"/>
      <c r="H130" s="851"/>
      <c r="I130" s="851"/>
      <c r="J130" s="851"/>
      <c r="K130" s="851"/>
      <c r="L130" s="851"/>
      <c r="M130" s="851"/>
      <c r="N130" s="851"/>
      <c r="O130" s="851"/>
      <c r="P130" s="851"/>
      <c r="Q130" s="851"/>
      <c r="R130" s="851"/>
      <c r="S130" s="851"/>
      <c r="T130" s="851"/>
      <c r="U130" s="851"/>
      <c r="V130" s="851"/>
      <c r="W130" s="851"/>
    </row>
    <row r="131" spans="1:23">
      <c r="A131" s="83" t="s">
        <v>893</v>
      </c>
      <c r="B131" s="81"/>
      <c r="C131" s="83"/>
      <c r="D131" s="851"/>
      <c r="E131" s="851"/>
      <c r="F131" s="851"/>
      <c r="G131" s="851"/>
      <c r="H131" s="851"/>
      <c r="I131" s="851"/>
      <c r="J131" s="851"/>
      <c r="K131" s="851"/>
      <c r="L131" s="851"/>
      <c r="M131" s="851"/>
      <c r="N131" s="851"/>
      <c r="O131" s="851"/>
      <c r="P131" s="851"/>
      <c r="Q131" s="851"/>
      <c r="R131" s="851"/>
      <c r="S131" s="851"/>
      <c r="T131" s="851"/>
      <c r="U131" s="851"/>
      <c r="V131" s="851"/>
      <c r="W131" s="851"/>
    </row>
    <row r="132" spans="1:23">
      <c r="A132" s="75"/>
      <c r="B132" s="83" t="s">
        <v>894</v>
      </c>
      <c r="C132" s="75"/>
      <c r="D132" s="851"/>
      <c r="E132" s="851"/>
      <c r="F132" s="851"/>
      <c r="G132" s="851"/>
      <c r="H132" s="851"/>
      <c r="I132" s="851"/>
      <c r="J132" s="851"/>
      <c r="K132" s="851"/>
      <c r="L132" s="851"/>
      <c r="M132" s="851"/>
      <c r="N132" s="851"/>
      <c r="O132" s="851"/>
      <c r="P132" s="851"/>
      <c r="Q132" s="851"/>
      <c r="R132" s="851"/>
      <c r="S132" s="851"/>
      <c r="T132" s="851"/>
      <c r="U132" s="851"/>
      <c r="V132" s="851"/>
      <c r="W132" s="851"/>
    </row>
    <row r="133" spans="1:23">
      <c r="A133" s="81"/>
      <c r="B133" s="81" t="s">
        <v>692</v>
      </c>
      <c r="C133" s="81"/>
      <c r="D133" s="722">
        <f>Operations!D34</f>
        <v>8779</v>
      </c>
      <c r="E133" s="722">
        <f>Operations!E34</f>
        <v>9900</v>
      </c>
      <c r="F133" s="722">
        <f>Operations!$J$34</f>
        <v>13517</v>
      </c>
      <c r="G133" s="722">
        <f>Operations!$O$34</f>
        <v>15635</v>
      </c>
      <c r="H133" s="722">
        <f>Operations!$T$34</f>
        <v>13296</v>
      </c>
      <c r="I133" s="722">
        <f>Operations!$Y$34</f>
        <v>14180</v>
      </c>
      <c r="J133" s="722">
        <f>Operations!$AD$34</f>
        <v>14534</v>
      </c>
      <c r="K133" s="722">
        <f>Operations!$AI$34</f>
        <v>16845</v>
      </c>
      <c r="L133" s="722">
        <f>Operations!$AN$34</f>
        <v>9861</v>
      </c>
      <c r="M133" s="722">
        <f>Operations!$AS$34</f>
        <v>15301</v>
      </c>
      <c r="N133" s="722">
        <f>Operations!$AX$34</f>
        <v>15509</v>
      </c>
      <c r="O133" s="722">
        <f>Operations!$BC$34</f>
        <v>15974</v>
      </c>
      <c r="P133" s="722">
        <f>Operations!$BH$34</f>
        <v>14644</v>
      </c>
      <c r="Q133" s="722">
        <f>Operations!$BM$34</f>
        <v>13908</v>
      </c>
      <c r="R133" s="722">
        <f>Operations!$BR$34</f>
        <v>10596</v>
      </c>
      <c r="S133" s="722">
        <f>Operations!$BW$34</f>
        <v>10094</v>
      </c>
      <c r="T133" s="722">
        <f>Operations!$CB$34</f>
        <v>9887</v>
      </c>
      <c r="U133" s="722">
        <f>Operations!$CG$34</f>
        <v>10483.450000000001</v>
      </c>
      <c r="V133" s="722">
        <f>Operations!$CL$34</f>
        <v>11255.27389</v>
      </c>
      <c r="W133" s="722">
        <f>Operations!$CQ$34</f>
        <v>11255.27389</v>
      </c>
    </row>
    <row r="134" spans="1:23">
      <c r="A134" s="81"/>
      <c r="B134" s="81" t="s">
        <v>712</v>
      </c>
      <c r="C134" s="81"/>
      <c r="D134" s="722">
        <f>Operations!D141</f>
        <v>3714</v>
      </c>
      <c r="E134" s="722">
        <f>Operations!E141</f>
        <v>4001</v>
      </c>
      <c r="F134" s="722">
        <f>Operations!$J$141</f>
        <v>4849</v>
      </c>
      <c r="G134" s="722">
        <f>Operations!$O$141</f>
        <v>5040</v>
      </c>
      <c r="H134" s="722">
        <f>Operations!$T$141</f>
        <v>5211</v>
      </c>
      <c r="I134" s="722">
        <f>Operations!$Y$141</f>
        <v>6261</v>
      </c>
      <c r="J134" s="722">
        <f>Operations!$AD$141</f>
        <v>6139</v>
      </c>
      <c r="K134" s="722">
        <f>Operations!$AI$141</f>
        <v>5651</v>
      </c>
      <c r="L134" s="722">
        <f>Operations!$AN$141</f>
        <v>4463</v>
      </c>
      <c r="M134" s="722">
        <f>Operations!$AS$141</f>
        <v>5464</v>
      </c>
      <c r="N134" s="722">
        <f>Operations!$AX$141</f>
        <v>4932</v>
      </c>
      <c r="O134" s="722">
        <f>Operations!$BC$141</f>
        <v>3816</v>
      </c>
      <c r="P134" s="722">
        <f>Operations!$BH$141</f>
        <v>4000</v>
      </c>
      <c r="Q134" s="722">
        <f>Operations!$BM$141</f>
        <v>4179</v>
      </c>
      <c r="R134" s="722">
        <f>Operations!$BR$141</f>
        <v>4466</v>
      </c>
      <c r="S134" s="722">
        <f>Operations!$BW$141</f>
        <v>4495</v>
      </c>
      <c r="T134" s="722">
        <f>Operations!$CB$141</f>
        <v>4585</v>
      </c>
      <c r="U134" s="722">
        <f>Operations!$CG$141</f>
        <v>4585</v>
      </c>
      <c r="V134" s="722">
        <f>Operations!$CL$141</f>
        <v>4585</v>
      </c>
      <c r="W134" s="722">
        <f>Operations!$CQ$141</f>
        <v>4585</v>
      </c>
    </row>
    <row r="135" spans="1:23">
      <c r="A135" s="81"/>
      <c r="B135" s="81" t="s">
        <v>713</v>
      </c>
      <c r="C135" s="81"/>
      <c r="D135" s="722">
        <f>Operations!D100</f>
        <v>1022</v>
      </c>
      <c r="E135" s="722">
        <f>Operations!E100</f>
        <v>773</v>
      </c>
      <c r="F135" s="722">
        <f>Operations!$J$100</f>
        <v>882</v>
      </c>
      <c r="G135" s="722">
        <f>Operations!$O$100</f>
        <v>1092</v>
      </c>
      <c r="H135" s="722">
        <f>Operations!$T$100</f>
        <v>1156</v>
      </c>
      <c r="I135" s="722">
        <f>Operations!$Y$100</f>
        <v>1191</v>
      </c>
      <c r="J135" s="722">
        <f>Operations!$AD$100</f>
        <v>1436</v>
      </c>
      <c r="K135" s="722">
        <f>Operations!$AI$100</f>
        <v>1952</v>
      </c>
      <c r="L135" s="722">
        <f>Operations!$AN$100</f>
        <v>657</v>
      </c>
      <c r="M135" s="722">
        <f>Operations!$AS$100</f>
        <v>1551</v>
      </c>
      <c r="N135" s="722">
        <f>Operations!$AX$100</f>
        <v>1812</v>
      </c>
      <c r="O135" s="722">
        <f>Operations!$BC$100</f>
        <v>1886</v>
      </c>
      <c r="P135" s="722">
        <f>Operations!$BH$100</f>
        <v>1757</v>
      </c>
      <c r="Q135" s="722">
        <f>Operations!$BM$100</f>
        <v>1744</v>
      </c>
      <c r="R135" s="722">
        <f>Operations!$BR$100</f>
        <v>593</v>
      </c>
      <c r="S135" s="722">
        <f>Operations!$BW$100</f>
        <v>400</v>
      </c>
      <c r="T135" s="722">
        <f>Operations!$CB$100</f>
        <v>688</v>
      </c>
      <c r="U135" s="722">
        <f>Operations!$CG$100</f>
        <v>777.15000000000009</v>
      </c>
      <c r="V135" s="722">
        <f>Operations!$CL$100</f>
        <v>800.46450000000004</v>
      </c>
      <c r="W135" s="722">
        <f>Operations!$CQ$100</f>
        <v>824.4784350000001</v>
      </c>
    </row>
    <row r="136" spans="1:23">
      <c r="A136" s="81"/>
      <c r="B136" s="81" t="s">
        <v>714</v>
      </c>
      <c r="C136" s="81"/>
      <c r="D136" s="851"/>
      <c r="E136" s="851"/>
      <c r="F136" s="851"/>
      <c r="G136" s="851"/>
      <c r="H136" s="851"/>
      <c r="I136" s="851"/>
      <c r="J136" s="851"/>
      <c r="K136" s="851"/>
      <c r="L136" s="851"/>
      <c r="M136" s="851"/>
      <c r="N136" s="851"/>
      <c r="O136" s="851"/>
      <c r="P136" s="851"/>
      <c r="Q136" s="851"/>
      <c r="R136" s="851"/>
      <c r="S136" s="851"/>
      <c r="T136" s="851"/>
      <c r="U136" s="851"/>
      <c r="V136" s="851"/>
      <c r="W136" s="851"/>
    </row>
    <row r="137" spans="1:23">
      <c r="A137" s="81"/>
      <c r="B137" s="81"/>
      <c r="C137" s="81"/>
      <c r="D137" s="851"/>
      <c r="E137" s="851"/>
      <c r="F137" s="851"/>
      <c r="G137" s="851"/>
      <c r="H137" s="851"/>
      <c r="I137" s="851"/>
      <c r="J137" s="851"/>
      <c r="K137" s="851"/>
      <c r="L137" s="851"/>
      <c r="M137" s="851"/>
      <c r="N137" s="851"/>
      <c r="O137" s="851"/>
      <c r="P137" s="851"/>
      <c r="Q137" s="851"/>
      <c r="R137" s="851"/>
      <c r="S137" s="851"/>
      <c r="T137" s="851"/>
      <c r="U137" s="851"/>
      <c r="V137" s="851"/>
      <c r="W137" s="851"/>
    </row>
    <row r="138" spans="1:23">
      <c r="A138" s="81" t="s">
        <v>735</v>
      </c>
      <c r="B138" s="851"/>
      <c r="C138" s="851"/>
      <c r="D138" s="847">
        <v>0.6682134570765661</v>
      </c>
      <c r="E138" s="847">
        <v>-2.0454545454545454</v>
      </c>
      <c r="F138" s="847">
        <f>Financials!$J$52</f>
        <v>0.63095238095238093</v>
      </c>
      <c r="G138" s="847">
        <f>Financials!$O$52</f>
        <v>0.23382749326145552</v>
      </c>
      <c r="H138" s="847">
        <f>Financials!$T$52</f>
        <v>0.27691107644305774</v>
      </c>
      <c r="I138" s="847">
        <f>Financials!$Y$52</f>
        <v>0.22522522522522523</v>
      </c>
      <c r="J138" s="847">
        <f>Financials!$AD$52</f>
        <v>0.1780506523407521</v>
      </c>
      <c r="K138" s="847">
        <f>Financials!$AI$52</f>
        <v>0.28061659560511643</v>
      </c>
      <c r="L138" s="847">
        <f>Financials!$AN$52</f>
        <v>0.24125132555673381</v>
      </c>
      <c r="M138" s="847">
        <f>Financials!$AS$52</f>
        <v>-0.52895752895752901</v>
      </c>
      <c r="N138" s="847">
        <f>Financials!$AX$52</f>
        <v>1.1756756756756757</v>
      </c>
      <c r="O138" s="847">
        <f>Financials!$BC$52</f>
        <v>0.45508982035928142</v>
      </c>
      <c r="P138" s="847">
        <f>Financials!$BH$52</f>
        <v>-0.15154639175257734</v>
      </c>
      <c r="Q138" s="847">
        <f>Financials!$BM$52</f>
        <v>0.17945544554455445</v>
      </c>
      <c r="R138" s="847">
        <f>Financials!$BR$52</f>
        <v>-0.32332155477031804</v>
      </c>
      <c r="S138" s="847">
        <f>Financials!$BW$52</f>
        <v>-0.10714285714285714</v>
      </c>
      <c r="T138" s="847">
        <f>Financials!$CB$52</f>
        <v>-1.488095238095238E-2</v>
      </c>
      <c r="U138" s="847">
        <f>Financials!$CG$52</f>
        <v>8.0101482549390868E-2</v>
      </c>
      <c r="V138" s="847">
        <f>Financials!$CL$52</f>
        <v>7.2863034760314652E-2</v>
      </c>
      <c r="W138" s="847">
        <f>Financials!$CQ$52</f>
        <v>9.3749174280397946E-2</v>
      </c>
    </row>
    <row r="139" spans="1:23">
      <c r="A139" s="851"/>
      <c r="B139" s="851"/>
      <c r="C139" s="851"/>
      <c r="D139" s="851"/>
      <c r="E139" s="851"/>
      <c r="F139" s="851"/>
      <c r="G139" s="851"/>
      <c r="H139" s="851"/>
      <c r="I139" s="851"/>
      <c r="J139" s="851"/>
      <c r="K139" s="851"/>
      <c r="L139" s="851"/>
      <c r="M139" s="851"/>
      <c r="N139" s="851"/>
      <c r="O139" s="851"/>
      <c r="P139" s="851"/>
      <c r="Q139" s="851"/>
      <c r="R139" s="851"/>
      <c r="S139" s="851"/>
      <c r="T139" s="851"/>
      <c r="U139" s="851"/>
      <c r="V139" s="851"/>
      <c r="W139" s="851"/>
    </row>
    <row r="140" spans="1:23">
      <c r="A140" s="851"/>
      <c r="B140" s="851"/>
      <c r="C140" s="851"/>
      <c r="D140" s="851"/>
      <c r="E140" s="851"/>
      <c r="F140" s="851"/>
      <c r="G140" s="851"/>
      <c r="H140" s="851"/>
      <c r="I140" s="851"/>
      <c r="J140" s="851"/>
      <c r="K140" s="851"/>
      <c r="L140" s="851"/>
      <c r="M140" s="851"/>
      <c r="N140" s="851"/>
      <c r="O140" s="851"/>
      <c r="P140" s="851"/>
      <c r="Q140" s="851"/>
      <c r="R140" s="851"/>
      <c r="S140" s="851"/>
      <c r="T140" s="851"/>
      <c r="U140" s="851"/>
      <c r="V140" s="851"/>
      <c r="W140" s="851"/>
    </row>
    <row r="141" spans="1:23">
      <c r="A141" s="851"/>
      <c r="B141" s="851"/>
      <c r="C141" s="851"/>
      <c r="D141" s="851"/>
      <c r="E141" s="851"/>
      <c r="F141" s="851"/>
      <c r="G141" s="851"/>
      <c r="H141" s="851"/>
      <c r="I141" s="851"/>
      <c r="J141" s="851"/>
      <c r="K141" s="851"/>
      <c r="L141" s="851"/>
      <c r="M141" s="851"/>
      <c r="N141" s="851"/>
      <c r="O141" s="851"/>
      <c r="P141" s="851"/>
      <c r="Q141" s="851"/>
      <c r="R141" s="851"/>
      <c r="S141" s="851"/>
      <c r="T141" s="851"/>
      <c r="U141" s="851"/>
      <c r="V141" s="851"/>
      <c r="W141" s="851"/>
    </row>
    <row r="142" spans="1:23">
      <c r="A142" s="851"/>
      <c r="B142" s="851"/>
      <c r="C142" s="851"/>
      <c r="D142" s="851"/>
      <c r="E142" s="851"/>
      <c r="F142" s="851"/>
      <c r="G142" s="851"/>
      <c r="H142" s="851"/>
      <c r="I142" s="851"/>
      <c r="J142" s="851"/>
      <c r="K142" s="851"/>
      <c r="L142" s="851"/>
      <c r="M142" s="851"/>
      <c r="N142" s="851"/>
      <c r="O142" s="851"/>
      <c r="P142" s="851"/>
      <c r="Q142" s="851"/>
      <c r="R142" s="851"/>
      <c r="S142" s="851"/>
      <c r="T142" s="851"/>
      <c r="U142" s="851"/>
      <c r="V142" s="851"/>
      <c r="W142" s="851"/>
    </row>
    <row r="143" spans="1:23">
      <c r="A143" s="851"/>
      <c r="B143" s="851"/>
      <c r="C143" s="851"/>
      <c r="D143" s="851"/>
      <c r="E143" s="851"/>
      <c r="F143" s="851"/>
      <c r="G143" s="851"/>
      <c r="H143" s="851"/>
      <c r="I143" s="851"/>
      <c r="J143" s="851"/>
      <c r="K143" s="851"/>
      <c r="L143" s="851"/>
      <c r="M143" s="851"/>
      <c r="N143" s="851"/>
      <c r="O143" s="851"/>
      <c r="P143" s="851"/>
      <c r="Q143" s="851"/>
      <c r="R143" s="851"/>
      <c r="S143" s="851"/>
      <c r="T143" s="851"/>
      <c r="U143" s="851"/>
      <c r="V143" s="851"/>
      <c r="W143" s="851"/>
    </row>
    <row r="144" spans="1:23">
      <c r="A144" s="851"/>
      <c r="B144" s="851"/>
      <c r="C144" s="851"/>
      <c r="D144" s="851"/>
      <c r="E144" s="851"/>
      <c r="F144" s="851"/>
      <c r="G144" s="851"/>
      <c r="H144" s="851"/>
      <c r="I144" s="851"/>
      <c r="J144" s="851"/>
      <c r="K144" s="851"/>
      <c r="L144" s="851"/>
      <c r="M144" s="851"/>
      <c r="N144" s="851"/>
      <c r="O144" s="851"/>
      <c r="P144" s="851"/>
      <c r="Q144" s="851"/>
      <c r="R144" s="851"/>
      <c r="S144" s="851"/>
      <c r="T144" s="851"/>
      <c r="U144" s="851"/>
      <c r="V144" s="851"/>
      <c r="W144" s="851"/>
    </row>
    <row r="145" spans="1:23">
      <c r="A145" s="851"/>
      <c r="B145" s="851"/>
      <c r="C145" s="851"/>
      <c r="D145" s="851"/>
      <c r="E145" s="851"/>
      <c r="F145" s="851"/>
      <c r="G145" s="851"/>
      <c r="H145" s="851"/>
      <c r="I145" s="851"/>
      <c r="J145" s="851"/>
      <c r="K145" s="851"/>
      <c r="L145" s="851"/>
      <c r="M145" s="851"/>
      <c r="N145" s="851"/>
      <c r="O145" s="851"/>
      <c r="P145" s="851"/>
      <c r="Q145" s="851"/>
      <c r="R145" s="851"/>
      <c r="S145" s="851"/>
      <c r="T145" s="851"/>
      <c r="U145" s="851"/>
      <c r="V145" s="851"/>
      <c r="W145" s="851"/>
    </row>
    <row r="146" spans="1:23">
      <c r="A146" s="851"/>
      <c r="B146" s="851"/>
      <c r="C146" s="851"/>
      <c r="D146" s="851"/>
      <c r="E146" s="851"/>
      <c r="F146" s="851"/>
      <c r="G146" s="851"/>
      <c r="H146" s="851"/>
      <c r="I146" s="851"/>
      <c r="J146" s="851"/>
      <c r="K146" s="851"/>
      <c r="L146" s="851"/>
      <c r="M146" s="851"/>
      <c r="N146" s="851"/>
      <c r="O146" s="851"/>
      <c r="P146" s="851"/>
      <c r="Q146" s="851"/>
      <c r="R146" s="851"/>
      <c r="S146" s="851"/>
      <c r="T146" s="851"/>
      <c r="U146" s="851"/>
      <c r="V146" s="851"/>
      <c r="W146" s="851"/>
    </row>
    <row r="147" spans="1:23">
      <c r="A147" s="851"/>
      <c r="B147" s="851"/>
      <c r="C147" s="851"/>
      <c r="D147" s="851"/>
      <c r="E147" s="851"/>
      <c r="F147" s="851"/>
      <c r="G147" s="851"/>
      <c r="H147" s="851"/>
      <c r="I147" s="851"/>
      <c r="J147" s="851"/>
      <c r="K147" s="851"/>
      <c r="L147" s="851"/>
      <c r="M147" s="851"/>
      <c r="N147" s="851"/>
      <c r="O147" s="851"/>
      <c r="P147" s="851"/>
      <c r="Q147" s="851"/>
      <c r="R147" s="851"/>
      <c r="S147" s="851"/>
      <c r="T147" s="851"/>
      <c r="U147" s="851"/>
      <c r="V147" s="851"/>
      <c r="W147" s="851"/>
    </row>
    <row r="148" spans="1:23">
      <c r="A148" s="851"/>
      <c r="B148" s="851"/>
      <c r="C148" s="851"/>
      <c r="D148" s="851"/>
      <c r="E148" s="851"/>
      <c r="F148" s="851"/>
      <c r="G148" s="851"/>
      <c r="H148" s="851"/>
      <c r="I148" s="851"/>
      <c r="J148" s="851"/>
      <c r="K148" s="851"/>
      <c r="L148" s="851"/>
      <c r="M148" s="851"/>
      <c r="N148" s="851"/>
      <c r="O148" s="851"/>
      <c r="P148" s="851"/>
      <c r="Q148" s="851"/>
      <c r="R148" s="851"/>
      <c r="S148" s="851"/>
      <c r="T148" s="851"/>
      <c r="U148" s="851"/>
      <c r="V148" s="851"/>
      <c r="W148" s="851"/>
    </row>
    <row r="149" spans="1:23">
      <c r="A149" s="851"/>
      <c r="B149" s="851"/>
      <c r="C149" s="851"/>
      <c r="D149" s="851"/>
      <c r="E149" s="851"/>
      <c r="F149" s="851"/>
      <c r="G149" s="851"/>
      <c r="H149" s="851"/>
      <c r="I149" s="851"/>
      <c r="J149" s="851"/>
      <c r="K149" s="851"/>
      <c r="L149" s="851"/>
      <c r="M149" s="851"/>
      <c r="N149" s="851"/>
      <c r="O149" s="851"/>
      <c r="P149" s="851"/>
      <c r="Q149" s="851"/>
      <c r="R149" s="851"/>
      <c r="S149" s="851"/>
      <c r="T149" s="851"/>
      <c r="U149" s="851"/>
      <c r="V149" s="851"/>
      <c r="W149" s="851"/>
    </row>
    <row r="150" spans="1:23">
      <c r="A150" s="851"/>
      <c r="B150" s="851"/>
      <c r="C150" s="851"/>
      <c r="D150" s="851"/>
      <c r="E150" s="851"/>
      <c r="F150" s="851"/>
      <c r="G150" s="851"/>
      <c r="H150" s="851"/>
      <c r="I150" s="851"/>
      <c r="J150" s="851"/>
      <c r="K150" s="851"/>
      <c r="L150" s="851"/>
      <c r="M150" s="851"/>
      <c r="N150" s="851"/>
      <c r="O150" s="851"/>
      <c r="P150" s="851"/>
      <c r="Q150" s="851"/>
      <c r="R150" s="851"/>
      <c r="S150" s="851"/>
      <c r="T150" s="851"/>
      <c r="U150" s="851"/>
      <c r="V150" s="851"/>
      <c r="W150" s="851"/>
    </row>
    <row r="151" spans="1:23">
      <c r="A151" s="851"/>
      <c r="B151" s="851"/>
      <c r="C151" s="851"/>
      <c r="D151" s="851"/>
      <c r="E151" s="851"/>
      <c r="F151" s="851"/>
      <c r="G151" s="851"/>
      <c r="H151" s="851"/>
      <c r="I151" s="851"/>
      <c r="J151" s="851"/>
      <c r="K151" s="851"/>
      <c r="L151" s="851"/>
      <c r="M151" s="851"/>
      <c r="N151" s="851"/>
      <c r="O151" s="851"/>
      <c r="P151" s="851"/>
      <c r="Q151" s="851"/>
      <c r="R151" s="851"/>
      <c r="S151" s="851"/>
      <c r="T151" s="851"/>
      <c r="U151" s="851"/>
      <c r="V151" s="851"/>
      <c r="W151" s="851"/>
    </row>
    <row r="152" spans="1:23">
      <c r="A152" s="851"/>
      <c r="B152" s="851"/>
      <c r="C152" s="851"/>
      <c r="D152" s="851"/>
      <c r="E152" s="851"/>
      <c r="F152" s="851"/>
      <c r="G152" s="851"/>
      <c r="H152" s="851"/>
      <c r="I152" s="851"/>
      <c r="J152" s="851"/>
      <c r="K152" s="851"/>
      <c r="L152" s="851"/>
      <c r="M152" s="851"/>
      <c r="N152" s="851"/>
      <c r="O152" s="851"/>
      <c r="P152" s="851"/>
      <c r="Q152" s="851"/>
      <c r="R152" s="851"/>
      <c r="S152" s="851"/>
      <c r="T152" s="851"/>
      <c r="U152" s="851"/>
      <c r="V152" s="851"/>
      <c r="W152" s="851"/>
    </row>
    <row r="153" spans="1:23">
      <c r="A153" s="851"/>
      <c r="B153" s="851"/>
      <c r="C153" s="851"/>
      <c r="D153" s="851"/>
      <c r="E153" s="851"/>
      <c r="F153" s="851"/>
      <c r="G153" s="851"/>
      <c r="H153" s="851"/>
      <c r="I153" s="851"/>
      <c r="J153" s="851"/>
      <c r="K153" s="851"/>
      <c r="L153" s="851"/>
      <c r="M153" s="851"/>
      <c r="N153" s="851"/>
      <c r="O153" s="851"/>
      <c r="P153" s="851"/>
      <c r="Q153" s="851"/>
      <c r="R153" s="851"/>
      <c r="S153" s="851"/>
      <c r="T153" s="851"/>
      <c r="U153" s="851"/>
      <c r="V153" s="851"/>
      <c r="W153" s="851"/>
    </row>
    <row r="154" spans="1:23">
      <c r="A154" s="851"/>
      <c r="B154" s="851"/>
      <c r="C154" s="851"/>
      <c r="D154" s="851"/>
      <c r="E154" s="851"/>
      <c r="F154" s="851"/>
      <c r="G154" s="851"/>
      <c r="H154" s="851"/>
      <c r="I154" s="851"/>
      <c r="J154" s="851"/>
      <c r="K154" s="851"/>
      <c r="L154" s="851"/>
      <c r="M154" s="851"/>
      <c r="N154" s="851"/>
      <c r="O154" s="851"/>
      <c r="P154" s="851"/>
      <c r="Q154" s="851"/>
      <c r="R154" s="851"/>
      <c r="S154" s="851"/>
      <c r="T154" s="851"/>
      <c r="U154" s="851"/>
      <c r="V154" s="851"/>
      <c r="W154" s="851"/>
    </row>
    <row r="155" spans="1:23">
      <c r="A155" s="851"/>
      <c r="B155" s="851"/>
      <c r="C155" s="851"/>
      <c r="D155" s="851"/>
      <c r="E155" s="851"/>
      <c r="F155" s="851"/>
      <c r="G155" s="851"/>
      <c r="H155" s="851"/>
      <c r="I155" s="851"/>
      <c r="J155" s="851"/>
      <c r="K155" s="851"/>
      <c r="L155" s="851"/>
      <c r="M155" s="851"/>
      <c r="N155" s="851"/>
      <c r="O155" s="851"/>
      <c r="P155" s="851"/>
      <c r="Q155" s="851"/>
      <c r="R155" s="851"/>
      <c r="S155" s="851"/>
      <c r="T155" s="851"/>
      <c r="U155" s="851"/>
      <c r="V155" s="851"/>
      <c r="W155" s="851"/>
    </row>
    <row r="156" spans="1:23">
      <c r="A156" s="851"/>
      <c r="B156" s="851"/>
      <c r="C156" s="851"/>
      <c r="D156" s="851"/>
      <c r="E156" s="851"/>
      <c r="F156" s="851"/>
      <c r="G156" s="851"/>
      <c r="H156" s="851"/>
      <c r="I156" s="851"/>
      <c r="J156" s="851"/>
      <c r="K156" s="851"/>
      <c r="L156" s="851"/>
      <c r="M156" s="851"/>
      <c r="N156" s="851"/>
      <c r="O156" s="851"/>
      <c r="P156" s="851"/>
      <c r="Q156" s="851"/>
      <c r="R156" s="851"/>
      <c r="S156" s="851"/>
      <c r="T156" s="851"/>
      <c r="U156" s="851"/>
      <c r="V156" s="851"/>
      <c r="W156" s="851"/>
    </row>
    <row r="157" spans="1:23">
      <c r="A157" s="851"/>
      <c r="B157" s="851"/>
      <c r="C157" s="851"/>
      <c r="D157" s="851"/>
      <c r="E157" s="851"/>
      <c r="F157" s="851"/>
      <c r="G157" s="851"/>
      <c r="H157" s="851"/>
      <c r="I157" s="851"/>
      <c r="J157" s="851"/>
      <c r="K157" s="851"/>
      <c r="L157" s="851"/>
      <c r="M157" s="851"/>
      <c r="N157" s="851"/>
      <c r="O157" s="851"/>
      <c r="P157" s="851"/>
      <c r="Q157" s="851"/>
      <c r="R157" s="851"/>
      <c r="S157" s="851"/>
      <c r="T157" s="851"/>
      <c r="U157" s="851"/>
      <c r="V157" s="851"/>
      <c r="W157" s="851"/>
    </row>
    <row r="158" spans="1:23">
      <c r="A158" s="851"/>
      <c r="B158" s="851"/>
      <c r="C158" s="851"/>
      <c r="D158" s="851"/>
      <c r="E158" s="851"/>
      <c r="F158" s="851"/>
      <c r="G158" s="851"/>
      <c r="H158" s="851"/>
      <c r="I158" s="851"/>
      <c r="J158" s="851"/>
      <c r="K158" s="851"/>
      <c r="L158" s="851"/>
      <c r="M158" s="851"/>
      <c r="N158" s="851"/>
      <c r="O158" s="851"/>
      <c r="P158" s="851"/>
      <c r="Q158" s="851"/>
      <c r="R158" s="851"/>
      <c r="S158" s="851"/>
      <c r="T158" s="851"/>
      <c r="U158" s="851"/>
      <c r="V158" s="851"/>
      <c r="W158" s="851"/>
    </row>
    <row r="159" spans="1:23">
      <c r="A159" s="851"/>
      <c r="B159" s="851"/>
      <c r="C159" s="851"/>
      <c r="D159" s="851"/>
      <c r="E159" s="851"/>
      <c r="F159" s="851"/>
      <c r="G159" s="851"/>
      <c r="H159" s="851"/>
      <c r="I159" s="851"/>
      <c r="J159" s="851"/>
      <c r="K159" s="851"/>
      <c r="L159" s="851"/>
      <c r="M159" s="851"/>
      <c r="N159" s="851"/>
      <c r="O159" s="851"/>
      <c r="P159" s="851"/>
      <c r="Q159" s="851"/>
      <c r="R159" s="851"/>
      <c r="S159" s="851"/>
      <c r="T159" s="851"/>
      <c r="U159" s="851"/>
      <c r="V159" s="851"/>
      <c r="W159" s="851"/>
    </row>
    <row r="160" spans="1:23">
      <c r="A160" s="851"/>
      <c r="B160" s="851"/>
      <c r="C160" s="851"/>
      <c r="D160" s="851"/>
      <c r="E160" s="851"/>
      <c r="F160" s="851"/>
      <c r="G160" s="851"/>
      <c r="H160" s="851"/>
      <c r="I160" s="851"/>
      <c r="J160" s="851"/>
      <c r="K160" s="851"/>
      <c r="L160" s="851"/>
      <c r="M160" s="851"/>
      <c r="N160" s="851"/>
      <c r="O160" s="851"/>
      <c r="P160" s="851"/>
      <c r="Q160" s="851"/>
      <c r="R160" s="851"/>
      <c r="S160" s="851"/>
      <c r="T160" s="851"/>
      <c r="U160" s="851"/>
      <c r="V160" s="851"/>
      <c r="W160" s="851"/>
    </row>
  </sheetData>
  <phoneticPr fontId="27" type="noConversion"/>
  <pageMargins left="0.75" right="0.75" top="1" bottom="1" header="0.5" footer="0.5"/>
  <pageSetup scale="41" orientation="portrait" horizontalDpi="300" verticalDpi="300" r:id="rId1"/>
  <headerFooter alignWithMargins="0"/>
  <rowBreaks count="1" manualBreakCount="1">
    <brk id="72" max="1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2"/>
  <sheetViews>
    <sheetView workbookViewId="0"/>
  </sheetViews>
  <sheetFormatPr defaultRowHeight="12.75"/>
  <sheetData>
    <row r="1" spans="1:34">
      <c r="A1" t="s">
        <v>770</v>
      </c>
    </row>
    <row r="2" spans="1:34">
      <c r="A2" s="386" t="s">
        <v>548</v>
      </c>
      <c r="B2" s="386" t="s">
        <v>545</v>
      </c>
      <c r="C2" s="386" t="s">
        <v>554</v>
      </c>
      <c r="D2" s="386" t="s">
        <v>545</v>
      </c>
      <c r="E2" s="386" t="s">
        <v>552</v>
      </c>
      <c r="F2" s="386" t="s">
        <v>545</v>
      </c>
      <c r="G2" s="386" t="s">
        <v>550</v>
      </c>
      <c r="H2" s="386" t="s">
        <v>545</v>
      </c>
      <c r="I2" s="386" t="s">
        <v>546</v>
      </c>
      <c r="J2" s="386" t="s">
        <v>545</v>
      </c>
      <c r="K2" s="386" t="s">
        <v>549</v>
      </c>
      <c r="L2" s="386" t="s">
        <v>545</v>
      </c>
      <c r="M2" s="386" t="s">
        <v>553</v>
      </c>
      <c r="N2" s="386" t="s">
        <v>545</v>
      </c>
      <c r="O2" s="386" t="s">
        <v>544</v>
      </c>
      <c r="P2" s="386" t="s">
        <v>545</v>
      </c>
      <c r="Q2" s="386" t="s">
        <v>767</v>
      </c>
      <c r="R2" s="386" t="s">
        <v>158</v>
      </c>
      <c r="S2" s="386" t="s">
        <v>558</v>
      </c>
      <c r="T2" s="386" t="s">
        <v>146</v>
      </c>
      <c r="U2" s="386" t="s">
        <v>769</v>
      </c>
      <c r="V2" s="386" t="s">
        <v>1012</v>
      </c>
      <c r="W2" s="386" t="s">
        <v>557</v>
      </c>
      <c r="X2" s="386" t="s">
        <v>146</v>
      </c>
      <c r="Y2" s="386" t="s">
        <v>555</v>
      </c>
      <c r="Z2" s="386" t="s">
        <v>545</v>
      </c>
      <c r="AA2" s="386" t="s">
        <v>556</v>
      </c>
      <c r="AB2" s="386">
        <v>0.35</v>
      </c>
      <c r="AC2" s="386" t="s">
        <v>551</v>
      </c>
      <c r="AD2" s="386" t="s">
        <v>545</v>
      </c>
      <c r="AE2" s="386" t="s">
        <v>547</v>
      </c>
      <c r="AF2" s="386">
        <v>0.35</v>
      </c>
      <c r="AG2" s="386" t="s">
        <v>768</v>
      </c>
      <c r="AH2" s="386" t="s">
        <v>771</v>
      </c>
    </row>
  </sheetData>
  <phoneticPr fontId="86" type="noConversion"/>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theme="0" tint="-0.499984740745262"/>
    <pageSetUpPr fitToPage="1"/>
  </sheetPr>
  <dimension ref="A1:V75"/>
  <sheetViews>
    <sheetView showGridLines="0" zoomScale="85" zoomScaleNormal="85" workbookViewId="0">
      <pane ySplit="7" topLeftCell="A8" activePane="bottomLeft" state="frozen"/>
      <selection pane="bottomLeft"/>
    </sheetView>
  </sheetViews>
  <sheetFormatPr defaultRowHeight="12.75"/>
  <cols>
    <col min="1" max="1" width="1.7109375" customWidth="1"/>
    <col min="2" max="2" width="21.7109375" customWidth="1"/>
    <col min="3" max="3" width="30.28515625" customWidth="1"/>
    <col min="4" max="5" width="8" customWidth="1"/>
    <col min="6" max="6" width="1.7109375" customWidth="1"/>
    <col min="7" max="9" width="6.7109375" customWidth="1"/>
    <col min="10" max="11" width="8.7109375" customWidth="1"/>
    <col min="12" max="12" width="6" bestFit="1" customWidth="1"/>
    <col min="13" max="13" width="6.7109375" customWidth="1"/>
    <col min="14" max="14" width="1.7109375" customWidth="1"/>
    <col min="15" max="16" width="8.42578125" customWidth="1"/>
    <col min="17" max="17" width="1.7109375" customWidth="1"/>
    <col min="18" max="19" width="6.7109375" customWidth="1"/>
    <col min="20" max="20" width="8.7109375" customWidth="1"/>
    <col min="21" max="21" width="1.7109375" customWidth="1"/>
    <col min="22" max="22" width="46.28515625" customWidth="1"/>
  </cols>
  <sheetData>
    <row r="1" spans="1:22" ht="15.75">
      <c r="A1" s="695" t="s">
        <v>841</v>
      </c>
      <c r="B1" s="695"/>
      <c r="C1" s="695"/>
      <c r="D1" s="696"/>
      <c r="E1" s="696"/>
      <c r="F1" s="696"/>
      <c r="G1" s="696"/>
      <c r="H1" s="696"/>
      <c r="I1" s="696"/>
      <c r="J1" s="696"/>
      <c r="K1" s="696"/>
      <c r="L1" s="696"/>
      <c r="M1" s="696"/>
      <c r="N1" s="696"/>
      <c r="O1" s="696"/>
      <c r="P1" s="696"/>
      <c r="Q1" s="696"/>
      <c r="R1" s="696"/>
      <c r="S1" s="696"/>
      <c r="T1" s="696"/>
      <c r="U1" s="696"/>
      <c r="V1" s="696"/>
    </row>
    <row r="2" spans="1:22" ht="15.75">
      <c r="A2" s="695" t="s">
        <v>330</v>
      </c>
      <c r="B2" s="695"/>
      <c r="C2" s="695"/>
      <c r="D2" s="697"/>
      <c r="E2" s="696"/>
      <c r="F2" s="696"/>
      <c r="G2" s="696"/>
      <c r="H2" s="698"/>
      <c r="I2" s="696"/>
      <c r="J2" s="696"/>
      <c r="K2" s="697"/>
      <c r="L2" s="696"/>
      <c r="M2" s="696"/>
      <c r="N2" s="696"/>
      <c r="O2" s="696"/>
      <c r="P2" s="696"/>
      <c r="Q2" s="696"/>
      <c r="R2" s="696"/>
      <c r="S2" s="696"/>
      <c r="T2" s="696"/>
      <c r="U2" s="699"/>
      <c r="V2" s="696"/>
    </row>
    <row r="3" spans="1:22">
      <c r="A3" s="696"/>
      <c r="B3" s="696"/>
      <c r="C3" s="696"/>
      <c r="D3" s="696"/>
      <c r="E3" s="696"/>
      <c r="F3" s="696"/>
      <c r="G3" s="696"/>
      <c r="H3" s="696"/>
      <c r="I3" s="696"/>
      <c r="J3" s="696"/>
      <c r="K3" s="696"/>
      <c r="L3" s="696"/>
      <c r="M3" s="696"/>
      <c r="N3" s="696"/>
      <c r="O3" s="696"/>
      <c r="P3" s="696"/>
      <c r="Q3" s="696"/>
      <c r="R3" s="696"/>
      <c r="S3" s="696"/>
      <c r="T3" s="696"/>
      <c r="U3" s="696"/>
      <c r="V3" s="696"/>
    </row>
    <row r="4" spans="1:22" ht="13.5" thickBot="1">
      <c r="A4" s="700" t="s">
        <v>331</v>
      </c>
      <c r="B4" s="700"/>
      <c r="C4" s="700"/>
      <c r="D4" s="700"/>
      <c r="E4" s="700"/>
      <c r="F4" s="700"/>
      <c r="G4" s="696"/>
      <c r="H4" s="696"/>
      <c r="I4" s="696"/>
      <c r="J4" s="696"/>
      <c r="K4" s="696"/>
      <c r="L4" s="696"/>
      <c r="M4" s="696"/>
      <c r="N4" s="696"/>
      <c r="O4" s="696"/>
      <c r="P4" s="696"/>
      <c r="Q4" s="696"/>
      <c r="R4" s="696"/>
      <c r="S4" s="696"/>
      <c r="T4" s="696"/>
      <c r="U4" s="696"/>
      <c r="V4" s="696"/>
    </row>
    <row r="5" spans="1:22" ht="15.75" customHeight="1" thickBot="1">
      <c r="A5" s="1571" t="s">
        <v>332</v>
      </c>
      <c r="B5" s="1572"/>
      <c r="C5" s="1572"/>
      <c r="D5" s="1572"/>
      <c r="E5" s="1572"/>
      <c r="F5" s="1572"/>
      <c r="G5" s="1572"/>
      <c r="H5" s="1572"/>
      <c r="I5" s="1572"/>
      <c r="J5" s="1572"/>
      <c r="K5" s="1572"/>
      <c r="L5" s="1572"/>
      <c r="M5" s="1572"/>
      <c r="N5" s="1572"/>
      <c r="O5" s="1572"/>
      <c r="P5" s="1572"/>
      <c r="Q5" s="1572"/>
      <c r="R5" s="1572"/>
      <c r="S5" s="1572"/>
      <c r="T5" s="1573"/>
      <c r="U5" s="696"/>
      <c r="V5" s="696"/>
    </row>
    <row r="6" spans="1:22" ht="13.5" thickBot="1">
      <c r="A6" s="696"/>
      <c r="B6" s="696"/>
      <c r="C6" s="696"/>
      <c r="D6" s="696"/>
      <c r="E6" s="696"/>
      <c r="F6" s="696"/>
      <c r="G6" s="1570" t="s">
        <v>333</v>
      </c>
      <c r="H6" s="1570"/>
      <c r="I6" s="1570"/>
      <c r="J6" s="1570"/>
      <c r="K6" s="1570"/>
      <c r="L6" s="1570"/>
      <c r="M6" s="1570"/>
      <c r="N6" s="701"/>
      <c r="O6" s="702" t="s">
        <v>334</v>
      </c>
      <c r="P6" s="702"/>
      <c r="Q6" s="701"/>
      <c r="R6" s="1570" t="s">
        <v>335</v>
      </c>
      <c r="S6" s="1570"/>
      <c r="T6" s="1570"/>
      <c r="U6" s="696"/>
      <c r="V6" s="696"/>
    </row>
    <row r="7" spans="1:22" ht="45">
      <c r="A7" s="703" t="s">
        <v>336</v>
      </c>
      <c r="B7" s="703"/>
      <c r="C7" s="704" t="s">
        <v>337</v>
      </c>
      <c r="D7" s="705" t="s">
        <v>338</v>
      </c>
      <c r="E7" s="705" t="s">
        <v>339</v>
      </c>
      <c r="F7" s="703"/>
      <c r="G7" s="706" t="s">
        <v>340</v>
      </c>
      <c r="H7" s="706" t="s">
        <v>341</v>
      </c>
      <c r="I7" s="707" t="s">
        <v>342</v>
      </c>
      <c r="J7" s="707" t="s">
        <v>343</v>
      </c>
      <c r="K7" s="707" t="s">
        <v>344</v>
      </c>
      <c r="L7" s="707" t="s">
        <v>345</v>
      </c>
      <c r="M7" s="707" t="s">
        <v>583</v>
      </c>
      <c r="N7" s="706"/>
      <c r="O7" s="707" t="s">
        <v>346</v>
      </c>
      <c r="P7" s="707" t="s">
        <v>347</v>
      </c>
      <c r="Q7" s="706"/>
      <c r="R7" s="707" t="s">
        <v>348</v>
      </c>
      <c r="S7" s="707" t="s">
        <v>912</v>
      </c>
      <c r="T7" s="707" t="s">
        <v>349</v>
      </c>
      <c r="U7" s="696"/>
      <c r="V7" s="696" t="s">
        <v>350</v>
      </c>
    </row>
    <row r="8" spans="1:22" ht="3" customHeight="1">
      <c r="A8" s="696"/>
      <c r="B8" s="696"/>
      <c r="C8" s="696"/>
      <c r="D8" s="696"/>
      <c r="E8" s="696"/>
      <c r="F8" s="696"/>
      <c r="G8" s="708"/>
      <c r="H8" s="708"/>
      <c r="I8" s="708"/>
      <c r="J8" s="708"/>
      <c r="K8" s="708"/>
      <c r="L8" s="708"/>
      <c r="M8" s="708"/>
      <c r="N8" s="708"/>
      <c r="O8" s="708"/>
      <c r="P8" s="708"/>
      <c r="Q8" s="708"/>
      <c r="R8" s="696"/>
      <c r="S8" s="696"/>
      <c r="T8" s="696"/>
      <c r="U8" s="696"/>
      <c r="V8" s="696"/>
    </row>
    <row r="9" spans="1:22">
      <c r="A9" s="696" t="s">
        <v>351</v>
      </c>
      <c r="B9" s="696"/>
      <c r="C9" s="696" t="s">
        <v>352</v>
      </c>
      <c r="D9" s="697">
        <v>7500</v>
      </c>
      <c r="E9" s="697">
        <v>4</v>
      </c>
      <c r="F9" s="696"/>
      <c r="G9" s="708" t="s">
        <v>353</v>
      </c>
      <c r="H9" s="708" t="s">
        <v>353</v>
      </c>
      <c r="I9" s="708" t="s">
        <v>353</v>
      </c>
      <c r="J9" s="708"/>
      <c r="K9" s="708">
        <f>D9*0.7</f>
        <v>5250</v>
      </c>
      <c r="L9" s="708"/>
      <c r="M9" s="708"/>
      <c r="N9" s="708"/>
      <c r="O9" s="708"/>
      <c r="P9" s="708"/>
      <c r="Q9" s="708"/>
      <c r="R9" s="708"/>
      <c r="S9" s="708" t="s">
        <v>353</v>
      </c>
      <c r="T9" s="708"/>
      <c r="U9" s="696"/>
      <c r="V9" s="696"/>
    </row>
    <row r="10" spans="1:22">
      <c r="A10" s="696"/>
      <c r="B10" s="696" t="s">
        <v>354</v>
      </c>
      <c r="C10" s="696" t="s">
        <v>355</v>
      </c>
      <c r="D10" s="697"/>
      <c r="E10" s="697"/>
      <c r="F10" s="696"/>
      <c r="G10" s="708" t="s">
        <v>353</v>
      </c>
      <c r="H10" s="708" t="s">
        <v>353</v>
      </c>
      <c r="I10" s="708"/>
      <c r="J10" s="708"/>
      <c r="K10" s="708"/>
      <c r="L10" s="708"/>
      <c r="M10" s="708"/>
      <c r="N10" s="708"/>
      <c r="O10" s="708"/>
      <c r="P10" s="708"/>
      <c r="Q10" s="708"/>
      <c r="R10" s="708"/>
      <c r="S10" s="708"/>
      <c r="T10" s="708"/>
      <c r="U10" s="696"/>
      <c r="V10" s="696"/>
    </row>
    <row r="11" spans="1:22">
      <c r="A11" s="696"/>
      <c r="B11" s="696" t="s">
        <v>356</v>
      </c>
      <c r="C11" s="696" t="s">
        <v>357</v>
      </c>
      <c r="D11" s="697"/>
      <c r="E11" s="697"/>
      <c r="F11" s="696"/>
      <c r="G11" s="708"/>
      <c r="H11" s="708" t="s">
        <v>353</v>
      </c>
      <c r="I11" s="708"/>
      <c r="J11" s="708"/>
      <c r="K11" s="708"/>
      <c r="L11" s="708"/>
      <c r="M11" s="708"/>
      <c r="N11" s="708"/>
      <c r="O11" s="708"/>
      <c r="P11" s="708"/>
      <c r="Q11" s="708"/>
      <c r="R11" s="708"/>
      <c r="S11" s="708"/>
      <c r="T11" s="708"/>
      <c r="U11" s="696"/>
      <c r="V11" s="696"/>
    </row>
    <row r="12" spans="1:22">
      <c r="A12" s="696" t="s">
        <v>358</v>
      </c>
      <c r="B12" s="696"/>
      <c r="C12" s="696" t="s">
        <v>359</v>
      </c>
      <c r="D12" s="697">
        <v>3800</v>
      </c>
      <c r="E12" s="697">
        <v>3</v>
      </c>
      <c r="F12" s="696"/>
      <c r="G12" s="708" t="s">
        <v>353</v>
      </c>
      <c r="H12" s="708"/>
      <c r="I12" s="708"/>
      <c r="J12" s="708"/>
      <c r="K12" s="708">
        <f>D12*0.35</f>
        <v>1330</v>
      </c>
      <c r="L12" s="708"/>
      <c r="M12" s="708"/>
      <c r="N12" s="708"/>
      <c r="O12" s="708"/>
      <c r="P12" s="708"/>
      <c r="Q12" s="708"/>
      <c r="R12" s="708"/>
      <c r="S12" s="708"/>
      <c r="T12" s="708"/>
      <c r="U12" s="696"/>
      <c r="V12" s="696" t="s">
        <v>360</v>
      </c>
    </row>
    <row r="13" spans="1:22">
      <c r="A13" s="696" t="s">
        <v>361</v>
      </c>
      <c r="B13" s="696"/>
      <c r="C13" s="696"/>
      <c r="D13" s="697">
        <v>2900</v>
      </c>
      <c r="E13" s="697">
        <v>2</v>
      </c>
      <c r="F13" s="696"/>
      <c r="G13" s="708"/>
      <c r="H13" s="708"/>
      <c r="I13" s="708"/>
      <c r="J13" s="708"/>
      <c r="K13" s="708"/>
      <c r="L13" s="708"/>
      <c r="M13" s="708"/>
      <c r="N13" s="708"/>
      <c r="O13" s="708"/>
      <c r="P13" s="708"/>
      <c r="Q13" s="708"/>
      <c r="R13" s="708"/>
      <c r="S13" s="708"/>
      <c r="T13" s="708"/>
      <c r="U13" s="696"/>
      <c r="V13" s="696"/>
    </row>
    <row r="14" spans="1:22">
      <c r="A14" s="696"/>
      <c r="B14" s="696" t="s">
        <v>362</v>
      </c>
      <c r="C14" s="696" t="s">
        <v>363</v>
      </c>
      <c r="D14" s="697"/>
      <c r="E14" s="697"/>
      <c r="F14" s="696"/>
      <c r="G14" s="708" t="s">
        <v>353</v>
      </c>
      <c r="H14" s="708"/>
      <c r="I14" s="708"/>
      <c r="J14" s="708"/>
      <c r="K14" s="708"/>
      <c r="L14" s="708"/>
      <c r="M14" s="708"/>
      <c r="N14" s="708"/>
      <c r="O14" s="708"/>
      <c r="P14" s="708"/>
      <c r="Q14" s="708"/>
      <c r="R14" s="708"/>
      <c r="S14" s="708"/>
      <c r="T14" s="708"/>
      <c r="U14" s="696"/>
      <c r="V14" s="696"/>
    </row>
    <row r="15" spans="1:22">
      <c r="A15" s="696"/>
      <c r="B15" s="696" t="s">
        <v>364</v>
      </c>
      <c r="C15" s="696" t="s">
        <v>365</v>
      </c>
      <c r="D15" s="697"/>
      <c r="E15" s="697"/>
      <c r="F15" s="696"/>
      <c r="G15" s="708"/>
      <c r="H15" s="708"/>
      <c r="I15" s="708"/>
      <c r="J15" s="708"/>
      <c r="K15" s="708"/>
      <c r="L15" s="708"/>
      <c r="M15" s="708"/>
      <c r="N15" s="708"/>
      <c r="O15" s="708" t="s">
        <v>353</v>
      </c>
      <c r="P15" s="708"/>
      <c r="Q15" s="708"/>
      <c r="R15" s="708"/>
      <c r="S15" s="708"/>
      <c r="T15" s="708"/>
      <c r="U15" s="696"/>
      <c r="V15" s="696"/>
    </row>
    <row r="16" spans="1:22">
      <c r="A16" s="696"/>
      <c r="B16" s="696" t="s">
        <v>366</v>
      </c>
      <c r="C16" s="696" t="s">
        <v>367</v>
      </c>
      <c r="D16" s="697"/>
      <c r="E16" s="697"/>
      <c r="F16" s="696"/>
      <c r="G16" s="708"/>
      <c r="H16" s="708"/>
      <c r="I16" s="708"/>
      <c r="J16" s="708" t="s">
        <v>353</v>
      </c>
      <c r="K16" s="708"/>
      <c r="L16" s="708"/>
      <c r="M16" s="708"/>
      <c r="N16" s="708"/>
      <c r="O16" s="708"/>
      <c r="P16" s="708"/>
      <c r="Q16" s="708"/>
      <c r="R16" s="708"/>
      <c r="S16" s="708"/>
      <c r="T16" s="708"/>
      <c r="U16" s="696"/>
      <c r="V16" s="696"/>
    </row>
    <row r="17" spans="1:22">
      <c r="A17" s="696"/>
      <c r="B17" s="696" t="s">
        <v>368</v>
      </c>
      <c r="C17" s="696" t="s">
        <v>369</v>
      </c>
      <c r="D17" s="697"/>
      <c r="E17" s="697"/>
      <c r="F17" s="696"/>
      <c r="G17" s="708"/>
      <c r="H17" s="708"/>
      <c r="I17" s="708"/>
      <c r="J17" s="708"/>
      <c r="K17" s="708"/>
      <c r="L17" s="708"/>
      <c r="M17" s="708"/>
      <c r="N17" s="708"/>
      <c r="O17" s="708"/>
      <c r="P17" s="708"/>
      <c r="Q17" s="708"/>
      <c r="R17" s="708"/>
      <c r="S17" s="708" t="s">
        <v>353</v>
      </c>
      <c r="T17" s="708"/>
      <c r="U17" s="696"/>
      <c r="V17" s="696"/>
    </row>
    <row r="18" spans="1:22">
      <c r="A18" s="696" t="s">
        <v>370</v>
      </c>
      <c r="B18" s="696"/>
      <c r="C18" s="696" t="s">
        <v>369</v>
      </c>
      <c r="D18" s="697"/>
      <c r="E18" s="697"/>
      <c r="F18" s="696"/>
      <c r="G18" s="708"/>
      <c r="H18" s="708"/>
      <c r="I18" s="708"/>
      <c r="J18" s="708"/>
      <c r="K18" s="708"/>
      <c r="L18" s="708"/>
      <c r="M18" s="708"/>
      <c r="N18" s="708"/>
      <c r="O18" s="708"/>
      <c r="P18" s="708"/>
      <c r="Q18" s="708"/>
      <c r="R18" s="708"/>
      <c r="S18" s="708" t="s">
        <v>353</v>
      </c>
      <c r="T18" s="708"/>
      <c r="U18" s="696"/>
      <c r="V18" s="696" t="s">
        <v>371</v>
      </c>
    </row>
    <row r="19" spans="1:22">
      <c r="A19" s="696" t="s">
        <v>372</v>
      </c>
      <c r="B19" s="696"/>
      <c r="C19" s="696" t="s">
        <v>373</v>
      </c>
      <c r="D19" s="697">
        <v>2800</v>
      </c>
      <c r="E19" s="697">
        <v>2</v>
      </c>
      <c r="F19" s="696"/>
      <c r="G19" s="708" t="s">
        <v>353</v>
      </c>
      <c r="H19" s="708"/>
      <c r="I19" s="708"/>
      <c r="J19" s="708"/>
      <c r="K19" s="709">
        <f>D19</f>
        <v>2800</v>
      </c>
      <c r="L19" s="708"/>
      <c r="M19" s="708"/>
      <c r="N19" s="708"/>
      <c r="O19" s="708"/>
      <c r="P19" s="708"/>
      <c r="Q19" s="708"/>
      <c r="R19" s="708"/>
      <c r="S19" s="708" t="s">
        <v>353</v>
      </c>
      <c r="T19" s="708"/>
      <c r="U19" s="696"/>
      <c r="V19" s="696" t="s">
        <v>360</v>
      </c>
    </row>
    <row r="20" spans="1:22">
      <c r="A20" s="696" t="s">
        <v>374</v>
      </c>
      <c r="B20" s="696"/>
      <c r="C20" s="696" t="s">
        <v>375</v>
      </c>
      <c r="D20" s="697">
        <v>2400</v>
      </c>
      <c r="E20" s="697">
        <v>1</v>
      </c>
      <c r="F20" s="696"/>
      <c r="G20" s="708" t="s">
        <v>353</v>
      </c>
      <c r="H20" s="708"/>
      <c r="I20" s="708"/>
      <c r="J20" s="708"/>
      <c r="K20" s="709">
        <f>D20</f>
        <v>2400</v>
      </c>
      <c r="L20" s="708"/>
      <c r="M20" s="708">
        <v>750</v>
      </c>
      <c r="N20" s="708"/>
      <c r="O20" s="708"/>
      <c r="P20" s="708"/>
      <c r="Q20" s="708"/>
      <c r="R20" s="708"/>
      <c r="S20" s="708"/>
      <c r="T20" s="708"/>
      <c r="U20" s="696"/>
      <c r="V20" s="696"/>
    </row>
    <row r="21" spans="1:22">
      <c r="A21" s="696" t="s">
        <v>376</v>
      </c>
      <c r="B21" s="696"/>
      <c r="C21" s="696" t="s">
        <v>377</v>
      </c>
      <c r="D21" s="697">
        <v>2480</v>
      </c>
      <c r="E21" s="697">
        <v>1</v>
      </c>
      <c r="F21" s="696"/>
      <c r="G21" s="709">
        <v>3300</v>
      </c>
      <c r="H21" s="708"/>
      <c r="I21" s="708"/>
      <c r="J21" s="708"/>
      <c r="K21" s="709">
        <f>D21</f>
        <v>2480</v>
      </c>
      <c r="L21" s="708"/>
      <c r="M21" s="708"/>
      <c r="N21" s="708"/>
      <c r="O21" s="709">
        <v>2480</v>
      </c>
      <c r="P21" s="709"/>
      <c r="Q21" s="708"/>
      <c r="R21" s="708"/>
      <c r="S21" s="708"/>
      <c r="T21" s="708"/>
      <c r="U21" s="696"/>
      <c r="V21" s="696" t="s">
        <v>378</v>
      </c>
    </row>
    <row r="22" spans="1:22">
      <c r="A22" s="696" t="s">
        <v>379</v>
      </c>
      <c r="B22" s="696"/>
      <c r="C22" s="696" t="s">
        <v>380</v>
      </c>
      <c r="D22" s="697">
        <v>2300</v>
      </c>
      <c r="E22" s="697">
        <v>1</v>
      </c>
      <c r="F22" s="696"/>
      <c r="G22" s="708" t="s">
        <v>353</v>
      </c>
      <c r="H22" s="708"/>
      <c r="I22" s="708"/>
      <c r="J22" s="708" t="s">
        <v>353</v>
      </c>
      <c r="K22" s="708"/>
      <c r="L22" s="708"/>
      <c r="M22" s="708"/>
      <c r="N22" s="708"/>
      <c r="O22" s="708"/>
      <c r="P22" s="708">
        <v>660</v>
      </c>
      <c r="Q22" s="708"/>
      <c r="R22" s="708"/>
      <c r="S22" s="708" t="s">
        <v>353</v>
      </c>
      <c r="T22" s="708"/>
      <c r="U22" s="696"/>
      <c r="V22" s="696" t="s">
        <v>381</v>
      </c>
    </row>
    <row r="23" spans="1:22">
      <c r="A23" s="696" t="s">
        <v>382</v>
      </c>
      <c r="B23" s="696"/>
      <c r="C23" s="696" t="s">
        <v>383</v>
      </c>
      <c r="D23" s="697">
        <v>300</v>
      </c>
      <c r="E23" s="697"/>
      <c r="F23" s="696"/>
      <c r="G23" s="708"/>
      <c r="H23" s="708"/>
      <c r="I23" s="708"/>
      <c r="J23" s="708"/>
      <c r="K23" s="708"/>
      <c r="L23" s="708"/>
      <c r="M23" s="708"/>
      <c r="N23" s="708"/>
      <c r="O23" s="708"/>
      <c r="P23" s="708"/>
      <c r="Q23" s="708"/>
      <c r="R23" s="708"/>
      <c r="S23" s="708"/>
      <c r="T23" s="708"/>
      <c r="U23" s="696"/>
      <c r="V23" s="696"/>
    </row>
    <row r="24" spans="1:22">
      <c r="A24" s="696" t="s">
        <v>384</v>
      </c>
      <c r="B24" s="696"/>
      <c r="C24" s="696" t="s">
        <v>380</v>
      </c>
      <c r="D24" s="697">
        <v>430</v>
      </c>
      <c r="E24" s="697"/>
      <c r="F24" s="696"/>
      <c r="G24" s="708"/>
      <c r="H24" s="708"/>
      <c r="I24" s="708"/>
      <c r="J24" s="708" t="s">
        <v>353</v>
      </c>
      <c r="K24" s="708"/>
      <c r="L24" s="708"/>
      <c r="M24" s="708"/>
      <c r="N24" s="708"/>
      <c r="O24" s="708"/>
      <c r="P24" s="708"/>
      <c r="Q24" s="708"/>
      <c r="R24" s="708"/>
      <c r="S24" s="708"/>
      <c r="T24" s="708"/>
      <c r="U24" s="696"/>
      <c r="V24" s="696"/>
    </row>
    <row r="25" spans="1:22">
      <c r="A25" s="696" t="s">
        <v>385</v>
      </c>
      <c r="B25" s="696"/>
      <c r="C25" s="696" t="s">
        <v>386</v>
      </c>
      <c r="D25" s="697">
        <v>700</v>
      </c>
      <c r="E25" s="697"/>
      <c r="F25" s="696"/>
      <c r="G25" s="708" t="s">
        <v>353</v>
      </c>
      <c r="H25" s="708" t="s">
        <v>353</v>
      </c>
      <c r="I25" s="708"/>
      <c r="J25" s="708"/>
      <c r="K25" s="708"/>
      <c r="L25" s="708"/>
      <c r="M25" s="708"/>
      <c r="N25" s="708"/>
      <c r="O25" s="708"/>
      <c r="P25" s="708"/>
      <c r="Q25" s="708"/>
      <c r="R25" s="708"/>
      <c r="S25" s="708"/>
      <c r="T25" s="708"/>
      <c r="U25" s="696"/>
      <c r="V25" s="696"/>
    </row>
    <row r="26" spans="1:22">
      <c r="A26" s="696" t="s">
        <v>387</v>
      </c>
      <c r="B26" s="696"/>
      <c r="C26" s="696" t="s">
        <v>388</v>
      </c>
      <c r="D26" s="697">
        <v>600</v>
      </c>
      <c r="E26" s="697"/>
      <c r="F26" s="696"/>
      <c r="G26" s="708"/>
      <c r="H26" s="708"/>
      <c r="I26" s="708"/>
      <c r="J26" s="708" t="s">
        <v>353</v>
      </c>
      <c r="K26" s="708"/>
      <c r="L26" s="708"/>
      <c r="M26" s="708"/>
      <c r="N26" s="708"/>
      <c r="O26" s="708"/>
      <c r="P26" s="708"/>
      <c r="Q26" s="708"/>
      <c r="R26" s="708"/>
      <c r="S26" s="708"/>
      <c r="T26" s="708"/>
      <c r="U26" s="696"/>
      <c r="V26" s="696"/>
    </row>
    <row r="27" spans="1:22">
      <c r="A27" s="696" t="s">
        <v>389</v>
      </c>
      <c r="B27" s="696"/>
      <c r="C27" s="696" t="s">
        <v>390</v>
      </c>
      <c r="D27" s="710" t="s">
        <v>146</v>
      </c>
      <c r="E27" s="709"/>
      <c r="F27" s="696"/>
      <c r="G27" s="708"/>
      <c r="H27" s="708"/>
      <c r="I27" s="708"/>
      <c r="J27" s="708" t="s">
        <v>353</v>
      </c>
      <c r="K27" s="708"/>
      <c r="L27" s="708"/>
      <c r="M27" s="708"/>
      <c r="N27" s="708"/>
      <c r="O27" s="708"/>
      <c r="P27" s="708"/>
      <c r="Q27" s="708"/>
      <c r="R27" s="708"/>
      <c r="S27" s="708"/>
      <c r="T27" s="708"/>
      <c r="U27" s="696"/>
      <c r="V27" s="696"/>
    </row>
    <row r="28" spans="1:22">
      <c r="A28" s="696" t="s">
        <v>497</v>
      </c>
      <c r="B28" s="696"/>
      <c r="C28" s="696" t="s">
        <v>498</v>
      </c>
      <c r="D28" s="697">
        <v>143</v>
      </c>
      <c r="E28" s="697"/>
      <c r="F28" s="696"/>
      <c r="G28" s="708"/>
      <c r="H28" s="708"/>
      <c r="I28" s="708"/>
      <c r="J28" s="708" t="s">
        <v>353</v>
      </c>
      <c r="K28" s="708" t="s">
        <v>353</v>
      </c>
      <c r="L28" s="708"/>
      <c r="M28" s="708"/>
      <c r="N28" s="708"/>
      <c r="O28" s="708"/>
      <c r="P28" s="708"/>
      <c r="Q28" s="708"/>
      <c r="R28" s="708"/>
      <c r="S28" s="708"/>
      <c r="T28" s="708"/>
      <c r="U28" s="696"/>
      <c r="V28" s="696"/>
    </row>
    <row r="29" spans="1:22">
      <c r="A29" s="696" t="s">
        <v>499</v>
      </c>
      <c r="B29" s="696"/>
      <c r="C29" s="696" t="s">
        <v>500</v>
      </c>
      <c r="D29" s="697">
        <v>143</v>
      </c>
      <c r="E29" s="697"/>
      <c r="F29" s="696"/>
      <c r="G29" s="708"/>
      <c r="H29" s="708"/>
      <c r="I29" s="708"/>
      <c r="J29" s="708"/>
      <c r="K29" s="708"/>
      <c r="L29" s="708"/>
      <c r="M29" s="708"/>
      <c r="N29" s="708"/>
      <c r="O29" s="708"/>
      <c r="P29" s="708"/>
      <c r="Q29" s="708"/>
      <c r="R29" s="708"/>
      <c r="S29" s="708"/>
      <c r="T29" s="708"/>
      <c r="U29" s="696"/>
      <c r="V29" s="696"/>
    </row>
    <row r="30" spans="1:22">
      <c r="A30" s="696" t="s">
        <v>501</v>
      </c>
      <c r="B30" s="696"/>
      <c r="C30" s="696" t="s">
        <v>380</v>
      </c>
      <c r="D30" s="697">
        <v>140</v>
      </c>
      <c r="E30" s="697"/>
      <c r="F30" s="696"/>
      <c r="G30" s="708"/>
      <c r="H30" s="708"/>
      <c r="I30" s="708"/>
      <c r="J30" s="708"/>
      <c r="K30" s="708"/>
      <c r="L30" s="708" t="s">
        <v>353</v>
      </c>
      <c r="M30" s="708"/>
      <c r="N30" s="708"/>
      <c r="O30" s="708"/>
      <c r="P30" s="708"/>
      <c r="Q30" s="708"/>
      <c r="R30" s="708"/>
      <c r="S30" s="708"/>
      <c r="T30" s="708"/>
      <c r="U30" s="696"/>
      <c r="V30" s="696"/>
    </row>
    <row r="31" spans="1:22">
      <c r="A31" s="696" t="s">
        <v>502</v>
      </c>
      <c r="B31" s="696"/>
      <c r="C31" s="696" t="s">
        <v>380</v>
      </c>
      <c r="D31" s="710" t="s">
        <v>146</v>
      </c>
      <c r="E31" s="697"/>
      <c r="F31" s="696"/>
      <c r="G31" s="708"/>
      <c r="H31" s="708"/>
      <c r="I31" s="708"/>
      <c r="J31" s="708"/>
      <c r="K31" s="708"/>
      <c r="L31" s="708"/>
      <c r="M31" s="708"/>
      <c r="N31" s="708"/>
      <c r="O31" s="708"/>
      <c r="P31" s="708"/>
      <c r="Q31" s="708"/>
      <c r="R31" s="708"/>
      <c r="S31" s="708"/>
      <c r="T31" s="708"/>
      <c r="U31" s="696"/>
      <c r="V31" s="696"/>
    </row>
    <row r="32" spans="1:22">
      <c r="A32" s="696" t="s">
        <v>503</v>
      </c>
      <c r="B32" s="696"/>
      <c r="C32" s="696" t="s">
        <v>504</v>
      </c>
      <c r="D32" s="710" t="s">
        <v>146</v>
      </c>
      <c r="E32" s="697"/>
      <c r="F32" s="696"/>
      <c r="G32" s="708"/>
      <c r="H32" s="708"/>
      <c r="I32" s="708"/>
      <c r="J32" s="708"/>
      <c r="K32" s="708"/>
      <c r="L32" s="708"/>
      <c r="M32" s="708"/>
      <c r="N32" s="708"/>
      <c r="O32" s="708"/>
      <c r="P32" s="708"/>
      <c r="Q32" s="708"/>
      <c r="R32" s="708"/>
      <c r="S32" s="708"/>
      <c r="T32" s="708"/>
      <c r="U32" s="696"/>
      <c r="V32" s="696"/>
    </row>
    <row r="33" spans="1:22">
      <c r="A33" s="696" t="s">
        <v>505</v>
      </c>
      <c r="B33" s="696"/>
      <c r="C33" s="696" t="s">
        <v>355</v>
      </c>
      <c r="D33" s="710">
        <f>275*0.49</f>
        <v>134.75</v>
      </c>
      <c r="E33" s="697"/>
      <c r="F33" s="696"/>
      <c r="G33" s="708"/>
      <c r="H33" s="708"/>
      <c r="I33" s="708"/>
      <c r="J33" s="708"/>
      <c r="K33" s="708"/>
      <c r="L33" s="708"/>
      <c r="M33" s="708"/>
      <c r="N33" s="708"/>
      <c r="O33" s="708"/>
      <c r="P33" s="708"/>
      <c r="Q33" s="708"/>
      <c r="R33" s="708"/>
      <c r="S33" s="708"/>
      <c r="T33" s="708"/>
      <c r="U33" s="696"/>
      <c r="V33" s="696"/>
    </row>
    <row r="34" spans="1:22">
      <c r="A34" s="696" t="s">
        <v>506</v>
      </c>
      <c r="B34" s="696"/>
      <c r="C34" s="696" t="s">
        <v>507</v>
      </c>
      <c r="D34" s="710">
        <v>385</v>
      </c>
      <c r="E34" s="697"/>
      <c r="F34" s="696"/>
      <c r="G34" s="708"/>
      <c r="H34" s="708"/>
      <c r="I34" s="708"/>
      <c r="J34" s="708"/>
      <c r="K34" s="708"/>
      <c r="L34" s="708"/>
      <c r="M34" s="708"/>
      <c r="N34" s="708"/>
      <c r="O34" s="708"/>
      <c r="P34" s="708"/>
      <c r="Q34" s="708"/>
      <c r="R34" s="708"/>
      <c r="S34" s="708"/>
      <c r="T34" s="708"/>
      <c r="U34" s="696"/>
      <c r="V34" s="696"/>
    </row>
    <row r="35" spans="1:22">
      <c r="A35" s="696" t="s">
        <v>508</v>
      </c>
      <c r="B35" s="696"/>
      <c r="C35" s="696" t="s">
        <v>509</v>
      </c>
      <c r="D35" s="697"/>
      <c r="E35" s="697"/>
      <c r="F35" s="696"/>
      <c r="G35" s="709"/>
      <c r="H35" s="708"/>
      <c r="I35" s="708"/>
      <c r="J35" s="708"/>
      <c r="K35" s="708"/>
      <c r="L35" s="708"/>
      <c r="M35" s="708">
        <v>780</v>
      </c>
      <c r="N35" s="708"/>
      <c r="O35" s="708"/>
      <c r="P35" s="708"/>
      <c r="Q35" s="708"/>
      <c r="R35" s="708"/>
      <c r="S35" s="708"/>
      <c r="T35" s="708"/>
      <c r="U35" s="696"/>
      <c r="V35" s="696" t="s">
        <v>510</v>
      </c>
    </row>
    <row r="36" spans="1:22">
      <c r="A36" s="696" t="s">
        <v>511</v>
      </c>
      <c r="B36" s="696"/>
      <c r="C36" s="696" t="s">
        <v>504</v>
      </c>
      <c r="D36" s="697"/>
      <c r="E36" s="697"/>
      <c r="F36" s="696"/>
      <c r="G36" s="708"/>
      <c r="H36" s="708"/>
      <c r="I36" s="708"/>
      <c r="J36" s="708"/>
      <c r="K36" s="708"/>
      <c r="L36" s="708"/>
      <c r="M36" s="708">
        <v>1000</v>
      </c>
      <c r="N36" s="708"/>
      <c r="O36" s="708"/>
      <c r="P36" s="708"/>
      <c r="Q36" s="708"/>
      <c r="R36" s="708"/>
      <c r="S36" s="708"/>
      <c r="T36" s="708"/>
      <c r="U36" s="696"/>
      <c r="V36" s="696"/>
    </row>
    <row r="37" spans="1:22">
      <c r="A37" s="696" t="s">
        <v>512</v>
      </c>
      <c r="B37" s="696"/>
      <c r="C37" s="696" t="s">
        <v>513</v>
      </c>
      <c r="D37" s="697"/>
      <c r="E37" s="697"/>
      <c r="F37" s="696"/>
      <c r="G37" s="708"/>
      <c r="H37" s="708"/>
      <c r="I37" s="708"/>
      <c r="J37" s="708"/>
      <c r="K37" s="708"/>
      <c r="L37" s="708"/>
      <c r="M37" s="708"/>
      <c r="N37" s="708"/>
      <c r="O37" s="708"/>
      <c r="P37" s="708"/>
      <c r="Q37" s="708"/>
      <c r="R37" s="708"/>
      <c r="S37" s="708"/>
      <c r="T37" s="708"/>
      <c r="U37" s="696"/>
      <c r="V37" s="696"/>
    </row>
    <row r="38" spans="1:22">
      <c r="A38" s="696"/>
      <c r="B38" s="696"/>
      <c r="C38" s="696"/>
      <c r="D38" s="308"/>
      <c r="E38" s="697"/>
      <c r="F38" s="696"/>
      <c r="G38" s="708"/>
      <c r="H38" s="708"/>
      <c r="I38" s="708"/>
      <c r="J38" s="708"/>
      <c r="K38" s="708"/>
      <c r="L38" s="708"/>
      <c r="M38" s="708"/>
      <c r="N38" s="708"/>
      <c r="O38" s="708"/>
      <c r="P38" s="708"/>
      <c r="Q38" s="708"/>
      <c r="R38" s="708"/>
      <c r="S38" s="708"/>
      <c r="T38" s="708"/>
      <c r="U38" s="696"/>
      <c r="V38" s="696"/>
    </row>
    <row r="39" spans="1:22">
      <c r="A39" s="703" t="s">
        <v>514</v>
      </c>
      <c r="B39" s="696"/>
      <c r="C39" s="696"/>
      <c r="D39" s="697"/>
      <c r="E39" s="697"/>
      <c r="F39" s="696"/>
      <c r="G39" s="708"/>
      <c r="H39" s="708"/>
      <c r="I39" s="708"/>
      <c r="J39" s="708"/>
      <c r="K39" s="708"/>
      <c r="L39" s="708"/>
      <c r="M39" s="708"/>
      <c r="N39" s="708"/>
      <c r="O39" s="708"/>
      <c r="P39" s="708"/>
      <c r="Q39" s="708"/>
      <c r="R39" s="708"/>
      <c r="S39" s="708"/>
      <c r="T39" s="708"/>
      <c r="U39" s="696"/>
      <c r="V39" s="696"/>
    </row>
    <row r="40" spans="1:22">
      <c r="A40" s="696" t="s">
        <v>515</v>
      </c>
      <c r="B40" s="696"/>
      <c r="C40" s="696" t="s">
        <v>516</v>
      </c>
      <c r="D40" s="697">
        <v>15000</v>
      </c>
      <c r="E40" s="697"/>
      <c r="F40" s="696"/>
      <c r="G40" s="708"/>
      <c r="H40" s="708"/>
      <c r="I40" s="708"/>
      <c r="J40" s="708"/>
      <c r="K40" s="708"/>
      <c r="L40" s="708"/>
      <c r="M40" s="708"/>
      <c r="N40" s="708"/>
      <c r="O40" s="708"/>
      <c r="P40" s="708"/>
      <c r="Q40" s="708"/>
      <c r="R40" s="708" t="s">
        <v>353</v>
      </c>
      <c r="S40" s="708"/>
      <c r="T40" s="708"/>
      <c r="U40" s="696"/>
      <c r="V40" s="696"/>
    </row>
    <row r="41" spans="1:22">
      <c r="A41" s="696" t="s">
        <v>517</v>
      </c>
      <c r="B41" s="696"/>
      <c r="C41" s="696" t="s">
        <v>518</v>
      </c>
      <c r="D41" s="697">
        <v>6000</v>
      </c>
      <c r="E41" s="697"/>
      <c r="F41" s="696"/>
      <c r="G41" s="708"/>
      <c r="H41" s="708"/>
      <c r="I41" s="708"/>
      <c r="J41" s="708"/>
      <c r="K41" s="708"/>
      <c r="L41" s="708"/>
      <c r="M41" s="708"/>
      <c r="N41" s="708"/>
      <c r="O41" s="708"/>
      <c r="P41" s="708"/>
      <c r="Q41" s="708"/>
      <c r="R41" s="708" t="s">
        <v>353</v>
      </c>
      <c r="S41" s="708"/>
      <c r="T41" s="708"/>
      <c r="U41" s="696"/>
      <c r="V41" s="696" t="s">
        <v>519</v>
      </c>
    </row>
    <row r="42" spans="1:22">
      <c r="A42" s="696" t="s">
        <v>520</v>
      </c>
      <c r="B42" s="696"/>
      <c r="C42" s="696" t="s">
        <v>521</v>
      </c>
      <c r="D42" s="697">
        <f>9100*0.147</f>
        <v>1337.6999999999998</v>
      </c>
      <c r="E42" s="697"/>
      <c r="F42" s="696"/>
      <c r="G42" s="708"/>
      <c r="H42" s="708"/>
      <c r="I42" s="708"/>
      <c r="J42" s="708"/>
      <c r="K42" s="708"/>
      <c r="L42" s="708"/>
      <c r="M42" s="708"/>
      <c r="N42" s="708"/>
      <c r="O42" s="708"/>
      <c r="P42" s="708"/>
      <c r="Q42" s="708"/>
      <c r="R42" s="708"/>
      <c r="S42" s="708"/>
      <c r="T42" s="708"/>
      <c r="U42" s="696"/>
      <c r="V42" s="696" t="s">
        <v>522</v>
      </c>
    </row>
    <row r="43" spans="1:22">
      <c r="A43" s="696" t="s">
        <v>523</v>
      </c>
      <c r="B43" s="696"/>
      <c r="C43" s="696" t="s">
        <v>524</v>
      </c>
      <c r="D43" s="697">
        <f>8700*0.15</f>
        <v>1305</v>
      </c>
      <c r="E43" s="697"/>
      <c r="F43" s="696"/>
      <c r="G43" s="708"/>
      <c r="H43" s="708"/>
      <c r="I43" s="708"/>
      <c r="J43" s="708"/>
      <c r="K43" s="708"/>
      <c r="L43" s="708"/>
      <c r="M43" s="708"/>
      <c r="N43" s="708"/>
      <c r="O43" s="708"/>
      <c r="P43" s="708"/>
      <c r="Q43" s="708"/>
      <c r="R43" s="708"/>
      <c r="S43" s="708"/>
      <c r="T43" s="708"/>
      <c r="U43" s="696"/>
      <c r="V43" s="696" t="s">
        <v>525</v>
      </c>
    </row>
    <row r="44" spans="1:22">
      <c r="A44" s="696" t="s">
        <v>526</v>
      </c>
      <c r="B44" s="696"/>
      <c r="C44" s="696" t="s">
        <v>527</v>
      </c>
      <c r="D44" s="697">
        <f>4600*0.446</f>
        <v>2051.6</v>
      </c>
      <c r="E44" s="697"/>
      <c r="F44" s="696"/>
      <c r="G44" s="708"/>
      <c r="H44" s="708"/>
      <c r="I44" s="708"/>
      <c r="J44" s="708"/>
      <c r="K44" s="708"/>
      <c r="L44" s="708"/>
      <c r="M44" s="708"/>
      <c r="N44" s="708"/>
      <c r="O44" s="708"/>
      <c r="P44" s="708"/>
      <c r="Q44" s="708"/>
      <c r="R44" s="708"/>
      <c r="S44" s="708"/>
      <c r="T44" s="708"/>
      <c r="U44" s="696"/>
      <c r="V44" s="696" t="s">
        <v>528</v>
      </c>
    </row>
    <row r="45" spans="1:22">
      <c r="A45" s="696"/>
      <c r="B45" s="696"/>
      <c r="C45" s="696"/>
      <c r="D45" s="697"/>
      <c r="E45" s="697"/>
      <c r="F45" s="696"/>
      <c r="G45" s="708"/>
      <c r="H45" s="708"/>
      <c r="I45" s="708"/>
      <c r="J45" s="708"/>
      <c r="K45" s="708"/>
      <c r="L45" s="708"/>
      <c r="M45" s="708"/>
      <c r="N45" s="708"/>
      <c r="O45" s="708"/>
      <c r="P45" s="708"/>
      <c r="Q45" s="708"/>
      <c r="R45" s="708"/>
      <c r="S45" s="708"/>
      <c r="T45" s="708"/>
      <c r="U45" s="696"/>
      <c r="V45" s="696"/>
    </row>
    <row r="46" spans="1:22">
      <c r="A46" s="696" t="s">
        <v>529</v>
      </c>
      <c r="B46" s="696"/>
      <c r="C46" s="696"/>
      <c r="D46" s="697">
        <f>SUM(D9:D19)</f>
        <v>17000</v>
      </c>
      <c r="E46" s="697">
        <f>SUM(E9:E22)</f>
        <v>14</v>
      </c>
      <c r="F46" s="696"/>
      <c r="G46" s="709">
        <f>D46-D22-D20</f>
        <v>12300</v>
      </c>
      <c r="H46" s="709">
        <f>G46-5000</f>
        <v>7300</v>
      </c>
      <c r="I46" s="708"/>
      <c r="J46" s="708"/>
      <c r="K46" s="708"/>
      <c r="L46" s="708"/>
      <c r="M46" s="708"/>
      <c r="N46" s="708"/>
      <c r="O46" s="708"/>
      <c r="P46" s="708"/>
      <c r="Q46" s="708"/>
      <c r="R46" s="708"/>
      <c r="S46" s="708"/>
      <c r="T46" s="708"/>
      <c r="U46" s="696"/>
      <c r="V46" s="696"/>
    </row>
    <row r="47" spans="1:22">
      <c r="A47" s="696"/>
      <c r="B47" s="696" t="s">
        <v>530</v>
      </c>
      <c r="C47" s="696"/>
      <c r="D47" s="697">
        <f>D19</f>
        <v>2800</v>
      </c>
      <c r="E47" s="308">
        <f>D47/D46</f>
        <v>0.16470588235294117</v>
      </c>
      <c r="F47" s="696"/>
      <c r="G47" s="708"/>
      <c r="H47" s="708"/>
      <c r="I47" s="708"/>
      <c r="J47" s="708"/>
      <c r="K47" s="708"/>
      <c r="L47" s="708"/>
      <c r="M47" s="708"/>
      <c r="N47" s="708"/>
      <c r="O47" s="708"/>
      <c r="P47" s="708"/>
      <c r="Q47" s="708"/>
      <c r="R47" s="708"/>
      <c r="S47" s="708"/>
      <c r="T47" s="708"/>
      <c r="U47" s="696"/>
      <c r="V47" s="696"/>
    </row>
    <row r="48" spans="1:22">
      <c r="A48" s="703"/>
      <c r="B48" s="703"/>
      <c r="C48" s="703"/>
      <c r="D48" s="697"/>
      <c r="E48" s="697"/>
      <c r="F48" s="696"/>
      <c r="G48" s="708"/>
      <c r="H48" s="708"/>
      <c r="I48" s="708"/>
      <c r="J48" s="708"/>
      <c r="K48" s="708"/>
      <c r="L48" s="708"/>
      <c r="M48" s="708"/>
      <c r="N48" s="708"/>
      <c r="O48" s="708"/>
      <c r="P48" s="708"/>
      <c r="Q48" s="708"/>
      <c r="R48" s="708"/>
      <c r="S48" s="708"/>
      <c r="T48" s="708"/>
      <c r="U48" s="696"/>
      <c r="V48" s="696"/>
    </row>
    <row r="49" spans="1:22">
      <c r="A49" s="703" t="s">
        <v>531</v>
      </c>
      <c r="B49" s="696"/>
      <c r="C49" s="696"/>
      <c r="D49" s="697"/>
      <c r="E49" s="697"/>
      <c r="F49" s="696"/>
      <c r="G49" s="708"/>
      <c r="H49" s="708"/>
      <c r="I49" s="708"/>
      <c r="J49" s="708"/>
      <c r="K49" s="708"/>
      <c r="L49" s="708"/>
      <c r="M49" s="708"/>
      <c r="N49" s="708"/>
      <c r="O49" s="708"/>
      <c r="P49" s="708"/>
      <c r="Q49" s="708"/>
      <c r="R49" s="708"/>
      <c r="S49" s="708"/>
      <c r="T49" s="708"/>
      <c r="U49" s="711"/>
      <c r="V49" s="696"/>
    </row>
    <row r="50" spans="1:22" ht="3" customHeight="1">
      <c r="A50" s="696"/>
      <c r="B50" s="696"/>
      <c r="C50" s="696"/>
      <c r="D50" s="697"/>
      <c r="E50" s="697"/>
      <c r="F50" s="696"/>
      <c r="G50" s="708"/>
      <c r="H50" s="708"/>
      <c r="I50" s="708"/>
      <c r="J50" s="708"/>
      <c r="K50" s="708"/>
      <c r="L50" s="708"/>
      <c r="M50" s="708"/>
      <c r="N50" s="708"/>
      <c r="O50" s="708"/>
      <c r="P50" s="708"/>
      <c r="Q50" s="708"/>
      <c r="R50" s="708"/>
      <c r="S50" s="708"/>
      <c r="T50" s="708"/>
      <c r="U50" s="711"/>
      <c r="V50" s="696"/>
    </row>
    <row r="51" spans="1:22">
      <c r="A51" s="696" t="s">
        <v>532</v>
      </c>
      <c r="B51" s="696"/>
      <c r="C51" s="696"/>
      <c r="D51" s="697">
        <v>5000</v>
      </c>
      <c r="E51" s="697">
        <v>3</v>
      </c>
      <c r="F51" s="696"/>
      <c r="G51" s="708" t="s">
        <v>353</v>
      </c>
      <c r="H51" s="708" t="s">
        <v>353</v>
      </c>
      <c r="I51" s="708" t="s">
        <v>353</v>
      </c>
      <c r="J51" s="708"/>
      <c r="K51" s="708"/>
      <c r="L51" s="708"/>
      <c r="M51" s="708" t="s">
        <v>353</v>
      </c>
      <c r="N51" s="708"/>
      <c r="O51" s="708"/>
      <c r="P51" s="708"/>
      <c r="Q51" s="708"/>
      <c r="R51" s="708"/>
      <c r="S51" s="708" t="s">
        <v>353</v>
      </c>
      <c r="T51" s="708"/>
      <c r="U51" s="711"/>
      <c r="V51" s="696"/>
    </row>
    <row r="52" spans="1:22">
      <c r="A52" s="696" t="s">
        <v>533</v>
      </c>
      <c r="B52" s="696"/>
      <c r="C52" s="696"/>
      <c r="D52" s="697">
        <v>2400</v>
      </c>
      <c r="E52" s="697">
        <v>2</v>
      </c>
      <c r="F52" s="696"/>
      <c r="G52" s="708" t="s">
        <v>353</v>
      </c>
      <c r="H52" s="708" t="s">
        <v>353</v>
      </c>
      <c r="I52" s="708" t="s">
        <v>353</v>
      </c>
      <c r="J52" s="708"/>
      <c r="K52" s="708"/>
      <c r="L52" s="708"/>
      <c r="M52" s="708"/>
      <c r="N52" s="708"/>
      <c r="O52" s="708"/>
      <c r="P52" s="708"/>
      <c r="Q52" s="708"/>
      <c r="R52" s="708"/>
      <c r="S52" s="708"/>
      <c r="T52" s="708" t="s">
        <v>353</v>
      </c>
      <c r="U52" s="711"/>
      <c r="V52" s="696"/>
    </row>
    <row r="53" spans="1:22">
      <c r="A53" s="696"/>
      <c r="B53" s="696"/>
      <c r="C53" s="696"/>
      <c r="D53" s="697"/>
      <c r="E53" s="697"/>
      <c r="F53" s="696"/>
      <c r="G53" s="708"/>
      <c r="H53" s="708"/>
      <c r="I53" s="708"/>
      <c r="J53" s="708"/>
      <c r="K53" s="708"/>
      <c r="L53" s="708"/>
      <c r="M53" s="708"/>
      <c r="N53" s="708"/>
      <c r="O53" s="708"/>
      <c r="P53" s="708"/>
      <c r="Q53" s="708"/>
      <c r="R53" s="708"/>
      <c r="S53" s="708"/>
      <c r="T53" s="708"/>
      <c r="U53" s="711"/>
      <c r="V53" s="696"/>
    </row>
    <row r="54" spans="1:22">
      <c r="A54" s="696" t="s">
        <v>595</v>
      </c>
      <c r="B54" s="696"/>
      <c r="C54" s="696"/>
      <c r="D54" s="697">
        <f>SUM(D46:D52)</f>
        <v>27200</v>
      </c>
      <c r="E54" s="697"/>
      <c r="F54" s="696"/>
      <c r="G54" s="708"/>
      <c r="H54" s="708"/>
      <c r="I54" s="708"/>
      <c r="J54" s="708"/>
      <c r="K54" s="708"/>
      <c r="L54" s="708"/>
      <c r="M54" s="708"/>
      <c r="N54" s="708"/>
      <c r="O54" s="708"/>
      <c r="P54" s="708"/>
      <c r="Q54" s="708"/>
      <c r="R54" s="708"/>
      <c r="S54" s="708"/>
      <c r="T54" s="708"/>
      <c r="U54" s="696"/>
      <c r="V54" s="696"/>
    </row>
    <row r="55" spans="1:22">
      <c r="A55" s="696"/>
      <c r="B55" s="696"/>
      <c r="C55" s="696"/>
      <c r="D55" s="697"/>
      <c r="E55" s="697"/>
      <c r="F55" s="696"/>
      <c r="G55" s="701"/>
      <c r="H55" s="701"/>
      <c r="I55" s="701"/>
      <c r="J55" s="701"/>
      <c r="K55" s="701"/>
      <c r="L55" s="701"/>
      <c r="M55" s="701"/>
      <c r="N55" s="701"/>
      <c r="O55" s="701"/>
      <c r="P55" s="701"/>
      <c r="Q55" s="701"/>
      <c r="R55" s="712"/>
      <c r="S55" s="712"/>
      <c r="T55" s="712"/>
      <c r="U55" s="696"/>
      <c r="V55" s="696"/>
    </row>
    <row r="56" spans="1:22">
      <c r="A56" s="696"/>
      <c r="B56" s="696"/>
      <c r="C56" s="713" t="s">
        <v>534</v>
      </c>
      <c r="D56" s="714"/>
      <c r="E56" s="696"/>
      <c r="F56" s="696"/>
      <c r="G56" s="701"/>
      <c r="H56" s="701"/>
      <c r="I56" s="701"/>
      <c r="J56" s="701"/>
      <c r="K56" s="701"/>
      <c r="L56" s="701"/>
      <c r="M56" s="701"/>
      <c r="N56" s="701"/>
      <c r="O56" s="701"/>
      <c r="P56" s="701"/>
      <c r="Q56" s="701"/>
      <c r="R56" s="712"/>
      <c r="S56" s="712"/>
      <c r="T56" s="712"/>
      <c r="U56" s="696"/>
      <c r="V56" s="696"/>
    </row>
    <row r="57" spans="1:22" ht="3" customHeight="1">
      <c r="A57" s="696"/>
      <c r="B57" s="696"/>
      <c r="C57" s="703"/>
      <c r="D57" s="704"/>
      <c r="E57" s="696"/>
      <c r="F57" s="696"/>
      <c r="G57" s="701"/>
      <c r="H57" s="701"/>
      <c r="I57" s="701"/>
      <c r="J57" s="701"/>
      <c r="K57" s="701"/>
      <c r="L57" s="701"/>
      <c r="M57" s="701"/>
      <c r="N57" s="701"/>
      <c r="O57" s="701"/>
      <c r="P57" s="701"/>
      <c r="Q57" s="701"/>
      <c r="R57" s="712"/>
      <c r="S57" s="712"/>
      <c r="T57" s="712"/>
      <c r="U57" s="696"/>
      <c r="V57" s="696"/>
    </row>
    <row r="58" spans="1:22">
      <c r="A58" s="696"/>
      <c r="B58" s="696"/>
      <c r="C58" s="696" t="s">
        <v>535</v>
      </c>
      <c r="D58" s="715">
        <v>500</v>
      </c>
      <c r="E58" s="696"/>
      <c r="F58" s="696"/>
      <c r="G58" s="701"/>
      <c r="H58" s="701"/>
      <c r="I58" s="701"/>
      <c r="J58" s="701"/>
      <c r="K58" s="701"/>
      <c r="L58" s="701"/>
      <c r="M58" s="701"/>
      <c r="N58" s="701"/>
      <c r="O58" s="701"/>
      <c r="P58" s="701"/>
      <c r="Q58" s="701"/>
      <c r="R58" s="712"/>
      <c r="S58" s="712"/>
      <c r="T58" s="712"/>
      <c r="U58" s="696"/>
      <c r="V58" s="696"/>
    </row>
    <row r="59" spans="1:22">
      <c r="A59" s="696"/>
      <c r="B59" s="696"/>
      <c r="C59" s="696" t="s">
        <v>535</v>
      </c>
      <c r="D59" s="715">
        <f>D58*D54/1000</f>
        <v>13600</v>
      </c>
      <c r="E59" s="696"/>
      <c r="F59" s="696"/>
      <c r="G59" s="701"/>
      <c r="H59" s="701"/>
      <c r="I59" s="701"/>
      <c r="J59" s="701"/>
      <c r="K59" s="701"/>
      <c r="L59" s="701"/>
      <c r="M59" s="701"/>
      <c r="N59" s="701"/>
      <c r="O59" s="701"/>
      <c r="P59" s="701"/>
      <c r="Q59" s="701"/>
      <c r="R59" s="712"/>
      <c r="S59" s="712"/>
      <c r="T59" s="712"/>
      <c r="U59" s="696"/>
      <c r="V59" s="696"/>
    </row>
    <row r="60" spans="1:22" ht="3" customHeight="1">
      <c r="A60" s="696"/>
      <c r="B60" s="696"/>
      <c r="C60" s="696"/>
      <c r="D60" s="715"/>
      <c r="E60" s="696"/>
      <c r="F60" s="696"/>
      <c r="G60" s="708"/>
      <c r="H60" s="708"/>
      <c r="I60" s="708"/>
      <c r="J60" s="708"/>
      <c r="K60" s="708"/>
      <c r="L60" s="708"/>
      <c r="M60" s="708"/>
      <c r="N60" s="708"/>
      <c r="O60" s="708"/>
      <c r="P60" s="708"/>
      <c r="Q60" s="708"/>
      <c r="R60" s="708"/>
      <c r="S60" s="708"/>
      <c r="T60" s="696"/>
      <c r="U60" s="696"/>
      <c r="V60" s="696"/>
    </row>
    <row r="61" spans="1:22">
      <c r="A61" s="696"/>
      <c r="B61" s="696"/>
      <c r="C61" s="696" t="s">
        <v>536</v>
      </c>
      <c r="D61" s="715">
        <v>150</v>
      </c>
      <c r="E61" s="696"/>
      <c r="F61" s="696"/>
      <c r="G61" s="708"/>
      <c r="H61" s="708"/>
      <c r="I61" s="708"/>
      <c r="J61" s="708"/>
      <c r="K61" s="708"/>
      <c r="L61" s="708"/>
      <c r="M61" s="708"/>
      <c r="N61" s="708"/>
      <c r="O61" s="708"/>
      <c r="P61" s="708"/>
      <c r="Q61" s="708"/>
      <c r="R61" s="696"/>
      <c r="S61" s="696"/>
      <c r="T61" s="696"/>
      <c r="U61" s="696"/>
      <c r="V61" s="696"/>
    </row>
    <row r="62" spans="1:22">
      <c r="A62" s="696"/>
      <c r="B62" s="696"/>
      <c r="C62" s="696" t="s">
        <v>537</v>
      </c>
      <c r="D62" s="715">
        <f>SUM(D23,D24,D25,D26,D28,D29,D30,D33,D34,D54)*D61/1000</f>
        <v>4526.3625000000002</v>
      </c>
      <c r="E62" s="696"/>
      <c r="F62" s="696"/>
      <c r="G62" s="708"/>
      <c r="H62" s="708"/>
      <c r="I62" s="708"/>
      <c r="J62" s="708"/>
      <c r="K62" s="708"/>
      <c r="L62" s="708"/>
      <c r="M62" s="708"/>
      <c r="N62" s="708"/>
      <c r="O62" s="708"/>
      <c r="P62" s="708"/>
      <c r="Q62" s="708"/>
      <c r="R62" s="696"/>
      <c r="S62" s="696"/>
      <c r="T62" s="696"/>
      <c r="U62" s="696"/>
      <c r="V62" s="696"/>
    </row>
    <row r="63" spans="1:22" ht="3" customHeight="1">
      <c r="A63" s="696"/>
      <c r="B63" s="696"/>
      <c r="C63" s="696"/>
      <c r="D63" s="715"/>
      <c r="E63" s="696"/>
      <c r="F63" s="696"/>
      <c r="G63" s="708"/>
      <c r="H63" s="708"/>
      <c r="I63" s="708"/>
      <c r="J63" s="708"/>
      <c r="K63" s="708"/>
      <c r="L63" s="708"/>
      <c r="M63" s="708"/>
      <c r="N63" s="708"/>
      <c r="O63" s="708"/>
      <c r="P63" s="708"/>
      <c r="Q63" s="708"/>
      <c r="R63" s="696"/>
      <c r="S63" s="696"/>
      <c r="T63" s="696"/>
      <c r="U63" s="696"/>
      <c r="V63" s="696"/>
    </row>
    <row r="64" spans="1:22">
      <c r="A64" s="696"/>
      <c r="B64" s="696"/>
      <c r="C64" s="696" t="s">
        <v>538</v>
      </c>
      <c r="D64" s="715">
        <v>100</v>
      </c>
      <c r="E64" s="696"/>
      <c r="F64" s="696"/>
      <c r="G64" s="708"/>
      <c r="H64" s="708"/>
      <c r="I64" s="708"/>
      <c r="J64" s="708"/>
      <c r="K64" s="708"/>
      <c r="L64" s="708"/>
      <c r="M64" s="708"/>
      <c r="N64" s="708"/>
      <c r="O64" s="708"/>
      <c r="P64" s="708"/>
      <c r="Q64" s="708"/>
      <c r="R64" s="696"/>
      <c r="S64" s="696"/>
      <c r="T64" s="696"/>
      <c r="U64" s="696"/>
      <c r="V64" s="696"/>
    </row>
    <row r="65" spans="1:22">
      <c r="A65" s="696"/>
      <c r="B65" s="696"/>
      <c r="C65" s="716" t="s">
        <v>539</v>
      </c>
      <c r="D65" s="717">
        <f>D64*SUM(D40:D44)/1000</f>
        <v>2569.4299999999998</v>
      </c>
      <c r="E65" s="696"/>
      <c r="F65" s="696"/>
      <c r="G65" s="708"/>
      <c r="H65" s="708"/>
      <c r="I65" s="708"/>
      <c r="J65" s="708"/>
      <c r="K65" s="708"/>
      <c r="L65" s="708"/>
      <c r="M65" s="708"/>
      <c r="N65" s="708"/>
      <c r="O65" s="708"/>
      <c r="P65" s="708"/>
      <c r="Q65" s="708"/>
      <c r="R65" s="696"/>
      <c r="S65" s="696"/>
      <c r="T65" s="696"/>
      <c r="U65" s="696"/>
      <c r="V65" s="696"/>
    </row>
    <row r="66" spans="1:22" ht="3" customHeight="1">
      <c r="A66" s="696"/>
      <c r="B66" s="696"/>
      <c r="C66" s="718"/>
      <c r="D66" s="715"/>
      <c r="E66" s="696"/>
      <c r="F66" s="696"/>
      <c r="G66" s="708"/>
      <c r="H66" s="708"/>
      <c r="I66" s="708"/>
      <c r="J66" s="708"/>
      <c r="K66" s="708"/>
      <c r="L66" s="708"/>
      <c r="M66" s="708"/>
      <c r="N66" s="708"/>
      <c r="O66" s="708"/>
      <c r="P66" s="708"/>
      <c r="Q66" s="708"/>
      <c r="R66" s="696"/>
      <c r="S66" s="696"/>
      <c r="T66" s="696"/>
      <c r="U66" s="696"/>
      <c r="V66" s="696"/>
    </row>
    <row r="67" spans="1:22">
      <c r="A67" s="696"/>
      <c r="B67" s="696"/>
      <c r="C67" s="703" t="s">
        <v>540</v>
      </c>
      <c r="D67" s="719">
        <f>D65+D62+D59</f>
        <v>20695.7925</v>
      </c>
      <c r="E67" s="696"/>
      <c r="F67" s="696"/>
      <c r="G67" s="708"/>
      <c r="H67" s="708"/>
      <c r="I67" s="708"/>
      <c r="J67" s="708"/>
      <c r="K67" s="708"/>
      <c r="L67" s="708"/>
      <c r="M67" s="708"/>
      <c r="N67" s="708"/>
      <c r="O67" s="708"/>
      <c r="P67" s="708"/>
      <c r="Q67" s="708"/>
      <c r="R67" s="696"/>
      <c r="S67" s="696"/>
      <c r="T67" s="696"/>
      <c r="U67" s="696"/>
      <c r="V67" s="696"/>
    </row>
    <row r="68" spans="1:22">
      <c r="A68" s="696"/>
      <c r="B68" s="696"/>
      <c r="C68" s="712" t="s">
        <v>329</v>
      </c>
      <c r="D68" s="720">
        <f>-Financials!$AJ$192</f>
        <v>-1993</v>
      </c>
      <c r="E68" s="696"/>
      <c r="F68" s="696"/>
      <c r="G68" s="708"/>
      <c r="H68" s="708"/>
      <c r="I68" s="708"/>
      <c r="J68" s="708"/>
      <c r="K68" s="708"/>
      <c r="L68" s="708"/>
      <c r="M68" s="708"/>
      <c r="N68" s="708"/>
      <c r="O68" s="708"/>
      <c r="P68" s="708"/>
      <c r="Q68" s="708"/>
      <c r="R68" s="696"/>
      <c r="S68" s="696"/>
      <c r="T68" s="696"/>
      <c r="U68" s="696"/>
      <c r="V68" s="696"/>
    </row>
    <row r="69" spans="1:22">
      <c r="A69" s="696"/>
      <c r="B69" s="696"/>
      <c r="C69" s="716" t="s">
        <v>541</v>
      </c>
      <c r="D69" s="887"/>
      <c r="E69" s="696"/>
      <c r="F69" s="696"/>
      <c r="G69" s="708"/>
      <c r="H69" s="708"/>
      <c r="I69" s="708"/>
      <c r="J69" s="708"/>
      <c r="K69" s="708"/>
      <c r="L69" s="708"/>
      <c r="M69" s="708"/>
      <c r="N69" s="708"/>
      <c r="O69" s="708"/>
      <c r="P69" s="708"/>
      <c r="Q69" s="708"/>
      <c r="R69" s="696"/>
      <c r="S69" s="696"/>
      <c r="T69" s="696"/>
      <c r="U69" s="696"/>
      <c r="V69" s="696"/>
    </row>
    <row r="70" spans="1:22" ht="3" customHeight="1">
      <c r="A70" s="696"/>
      <c r="B70" s="696"/>
      <c r="C70" s="696"/>
      <c r="D70" s="715"/>
      <c r="E70" s="696"/>
      <c r="F70" s="696"/>
      <c r="G70" s="708"/>
      <c r="H70" s="708"/>
      <c r="I70" s="708"/>
      <c r="J70" s="708"/>
      <c r="K70" s="708"/>
      <c r="L70" s="708"/>
      <c r="M70" s="708"/>
      <c r="N70" s="708"/>
      <c r="O70" s="708"/>
      <c r="P70" s="708"/>
      <c r="Q70" s="708"/>
      <c r="R70" s="696"/>
      <c r="S70" s="696"/>
      <c r="T70" s="696"/>
      <c r="U70" s="696"/>
      <c r="V70" s="696"/>
    </row>
    <row r="71" spans="1:22">
      <c r="A71" s="718"/>
      <c r="B71" s="718"/>
      <c r="C71" s="703" t="s">
        <v>542</v>
      </c>
      <c r="D71" s="721">
        <f>D67+D68+D69</f>
        <v>18702.7925</v>
      </c>
      <c r="E71" s="718"/>
      <c r="F71" s="718"/>
      <c r="G71" s="706"/>
      <c r="H71" s="706"/>
      <c r="I71" s="706"/>
      <c r="J71" s="706"/>
      <c r="K71" s="706"/>
      <c r="L71" s="706"/>
      <c r="M71" s="706"/>
      <c r="N71" s="706"/>
      <c r="O71" s="706"/>
      <c r="P71" s="706"/>
      <c r="Q71" s="708"/>
      <c r="R71" s="696"/>
      <c r="S71" s="696"/>
      <c r="T71" s="696"/>
      <c r="U71" s="696"/>
      <c r="V71" s="696"/>
    </row>
    <row r="72" spans="1:22">
      <c r="A72" s="696"/>
      <c r="B72" s="696"/>
      <c r="C72" s="696" t="s">
        <v>326</v>
      </c>
      <c r="D72" s="722">
        <f>Financials!AN79</f>
        <v>143.35018700000001</v>
      </c>
      <c r="E72" s="696"/>
      <c r="F72" s="696"/>
      <c r="G72" s="709"/>
      <c r="H72" s="709"/>
      <c r="I72" s="709"/>
      <c r="J72" s="709"/>
      <c r="K72" s="709"/>
      <c r="L72" s="709"/>
      <c r="M72" s="709"/>
      <c r="N72" s="709"/>
      <c r="O72" s="709"/>
      <c r="P72" s="709"/>
      <c r="Q72" s="708"/>
      <c r="R72" s="696"/>
      <c r="S72" s="696"/>
      <c r="T72" s="696"/>
      <c r="U72" s="696"/>
      <c r="V72" s="696"/>
    </row>
    <row r="73" spans="1:22">
      <c r="A73" s="696"/>
      <c r="B73" s="696"/>
      <c r="C73" s="718"/>
      <c r="D73" s="718"/>
      <c r="E73" s="696"/>
      <c r="F73" s="696"/>
      <c r="G73" s="709"/>
      <c r="H73" s="709"/>
      <c r="I73" s="709"/>
      <c r="J73" s="709"/>
      <c r="K73" s="709"/>
      <c r="L73" s="709"/>
      <c r="M73" s="709"/>
      <c r="N73" s="709"/>
      <c r="O73" s="709"/>
      <c r="P73" s="709"/>
      <c r="Q73" s="708"/>
      <c r="R73" s="696"/>
      <c r="S73" s="696"/>
      <c r="T73" s="696"/>
      <c r="U73" s="696"/>
      <c r="V73" s="696"/>
    </row>
    <row r="74" spans="1:22">
      <c r="A74" s="703"/>
      <c r="B74" s="703"/>
      <c r="C74" s="703" t="s">
        <v>327</v>
      </c>
      <c r="D74" s="723">
        <f>D71/D72</f>
        <v>130.46925777641295</v>
      </c>
      <c r="E74" s="703"/>
      <c r="F74" s="703"/>
      <c r="G74" s="706"/>
      <c r="H74" s="706"/>
      <c r="I74" s="706"/>
      <c r="J74" s="706"/>
      <c r="K74" s="706"/>
      <c r="L74" s="706"/>
      <c r="M74" s="706"/>
      <c r="N74" s="706"/>
      <c r="O74" s="706"/>
      <c r="P74" s="706"/>
      <c r="Q74" s="708"/>
      <c r="R74" s="696"/>
      <c r="S74" s="696"/>
      <c r="T74" s="696"/>
      <c r="U74" s="696"/>
      <c r="V74" s="696"/>
    </row>
    <row r="75" spans="1:22">
      <c r="A75" s="696"/>
      <c r="B75" s="696"/>
      <c r="C75" s="696" t="s">
        <v>543</v>
      </c>
      <c r="D75" s="724" t="e">
        <v>#VALUE!</v>
      </c>
      <c r="E75" s="696"/>
      <c r="F75" s="696"/>
      <c r="G75" s="708"/>
      <c r="H75" s="708"/>
      <c r="I75" s="708"/>
      <c r="J75" s="708"/>
      <c r="K75" s="708"/>
      <c r="L75" s="708"/>
      <c r="M75" s="708"/>
      <c r="N75" s="708"/>
      <c r="O75" s="708"/>
      <c r="P75" s="708"/>
      <c r="Q75" s="708"/>
      <c r="R75" s="696"/>
      <c r="S75" s="696"/>
      <c r="T75" s="696"/>
      <c r="U75" s="696"/>
      <c r="V75" s="696"/>
    </row>
  </sheetData>
  <mergeCells count="3">
    <mergeCell ref="G6:M6"/>
    <mergeCell ref="R6:T6"/>
    <mergeCell ref="A5:T5"/>
  </mergeCells>
  <phoneticPr fontId="27" type="noConversion"/>
  <hyperlinks>
    <hyperlink ref="U2" location="'Table of Contents'!A1" display="Return to Table of Contents"/>
  </hyperlinks>
  <pageMargins left="0.75" right="0.39" top="1" bottom="1" header="0.5" footer="0.5"/>
  <pageSetup scale="5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enableFormatConditionsCalculation="0">
    <tabColor indexed="12"/>
  </sheetPr>
  <dimension ref="A1:CV246"/>
  <sheetViews>
    <sheetView showGridLines="0" zoomScaleNormal="100" workbookViewId="0">
      <pane xSplit="3" ySplit="6" topLeftCell="L7" activePane="bottomRight" state="frozen"/>
      <selection pane="topRight"/>
      <selection pane="bottomLeft"/>
      <selection pane="bottomRight"/>
    </sheetView>
  </sheetViews>
  <sheetFormatPr defaultRowHeight="12.75" outlineLevelRow="1" outlineLevelCol="1"/>
  <cols>
    <col min="1" max="1" width="1.28515625" customWidth="1"/>
    <col min="2" max="2" width="6.85546875" customWidth="1"/>
    <col min="3" max="3" width="45.28515625" customWidth="1"/>
    <col min="4" max="4" width="9" hidden="1" customWidth="1" outlineLevel="1"/>
    <col min="5" max="5" width="10" hidden="1" customWidth="1" outlineLevel="1"/>
    <col min="6" max="6" width="10.85546875" hidden="1" customWidth="1" outlineLevel="1"/>
    <col min="7" max="7" width="10.7109375" hidden="1" customWidth="1" outlineLevel="1"/>
    <col min="8" max="8" width="10.140625" customWidth="1" collapsed="1"/>
    <col min="9" max="20" width="10.140625" customWidth="1"/>
    <col min="21" max="21" width="3.85546875" customWidth="1"/>
    <col min="28" max="28" width="41.140625" bestFit="1" customWidth="1"/>
    <col min="29" max="29" width="12.5703125" bestFit="1" customWidth="1"/>
    <col min="30" max="31" width="11.28515625" bestFit="1" customWidth="1"/>
    <col min="32" max="32" width="18.140625" bestFit="1" customWidth="1"/>
    <col min="33" max="33" width="10.28515625" bestFit="1" customWidth="1"/>
    <col min="34" max="34" width="9.42578125" hidden="1" customWidth="1"/>
    <col min="35" max="39" width="9.140625" hidden="1" customWidth="1"/>
    <col min="40" max="40" width="108.5703125" hidden="1" customWidth="1" outlineLevel="1"/>
    <col min="41" max="41" width="9.140625" collapsed="1"/>
    <col min="42" max="42" width="34.42578125" customWidth="1"/>
    <col min="44" max="44" width="10.42578125" customWidth="1"/>
    <col min="48" max="48" width="18.28515625" customWidth="1"/>
    <col min="51" max="51" width="16.85546875" customWidth="1"/>
    <col min="52" max="52" width="13.5703125" customWidth="1"/>
    <col min="53" max="53" width="9.42578125" customWidth="1"/>
    <col min="54" max="54" width="8.7109375" customWidth="1"/>
    <col min="56" max="56" width="7.5703125" bestFit="1" customWidth="1"/>
    <col min="59" max="59" width="11.7109375" bestFit="1" customWidth="1"/>
    <col min="62" max="62" width="13.28515625" bestFit="1" customWidth="1"/>
    <col min="81" max="81" width="20.5703125" customWidth="1"/>
    <col min="82" max="88" width="10.5703125" bestFit="1" customWidth="1"/>
  </cols>
  <sheetData>
    <row r="1" spans="1:100" ht="15" customHeight="1">
      <c r="A1" s="1577"/>
      <c r="B1" s="421"/>
      <c r="C1" s="422" t="s">
        <v>391</v>
      </c>
      <c r="D1" s="422"/>
      <c r="E1" s="422"/>
      <c r="F1" s="422"/>
      <c r="G1" s="422"/>
      <c r="H1" s="423" t="s">
        <v>148</v>
      </c>
      <c r="I1" s="424"/>
      <c r="J1" s="424"/>
      <c r="K1" s="424">
        <f>IF(OR(ISERROR($J$2),$J$2="NA",$J$2="N/A"),2,1)</f>
        <v>1</v>
      </c>
      <c r="L1" s="424"/>
      <c r="M1" s="424"/>
      <c r="N1" s="424"/>
      <c r="O1" s="424"/>
      <c r="P1" s="424"/>
      <c r="Q1" s="424"/>
      <c r="R1" s="424"/>
      <c r="S1" s="424"/>
      <c r="T1" s="424"/>
      <c r="U1" s="424"/>
      <c r="V1" s="425"/>
      <c r="W1" s="425"/>
      <c r="X1" s="425"/>
      <c r="Y1" s="425"/>
      <c r="Z1" s="425"/>
      <c r="AA1" s="425"/>
      <c r="AH1" s="425"/>
      <c r="AI1" s="425"/>
      <c r="AJ1" s="425"/>
      <c r="AK1" s="425"/>
      <c r="AL1" s="425"/>
      <c r="AM1" s="425"/>
      <c r="AN1" s="428"/>
      <c r="AO1" s="425"/>
      <c r="AP1" s="425"/>
      <c r="AQ1" s="425"/>
      <c r="AR1" s="425"/>
      <c r="AS1" s="425"/>
      <c r="AT1" s="425"/>
      <c r="AU1" s="425"/>
      <c r="AV1" s="425"/>
      <c r="AW1" s="425"/>
      <c r="AX1" s="425"/>
      <c r="AY1" s="425"/>
      <c r="AZ1" s="425"/>
      <c r="BA1" s="425"/>
      <c r="BB1" s="425"/>
      <c r="BC1" s="425"/>
      <c r="BD1" s="425"/>
      <c r="BE1" s="425"/>
      <c r="BF1" s="425"/>
      <c r="BG1" s="426"/>
      <c r="BH1" s="425"/>
      <c r="BI1" s="425"/>
      <c r="BJ1" s="425"/>
      <c r="BK1" s="425"/>
      <c r="BL1" s="425"/>
      <c r="BM1" s="425"/>
      <c r="BN1" s="425"/>
      <c r="BO1" s="425"/>
      <c r="BP1" s="425"/>
      <c r="BQ1" s="425"/>
      <c r="BR1" s="425"/>
      <c r="BS1" s="425"/>
      <c r="BT1" s="425"/>
      <c r="BU1" s="425"/>
      <c r="BV1" s="425"/>
      <c r="BW1" s="425"/>
      <c r="BX1" s="425"/>
      <c r="BY1" s="425"/>
      <c r="BZ1" s="425"/>
      <c r="CA1" s="425"/>
      <c r="CB1" s="425"/>
      <c r="CC1" s="425"/>
      <c r="CD1" s="425"/>
      <c r="CE1" s="425"/>
      <c r="CF1" s="425"/>
      <c r="CG1" s="425"/>
      <c r="CH1" s="425"/>
      <c r="CI1" s="425"/>
      <c r="CJ1" s="425"/>
      <c r="CK1" s="425"/>
      <c r="CL1" s="425"/>
      <c r="CM1" s="425"/>
      <c r="CN1" s="425"/>
      <c r="CO1" s="425"/>
      <c r="CP1" s="425"/>
      <c r="CQ1" s="425"/>
      <c r="CR1" s="425"/>
      <c r="CS1" s="425"/>
      <c r="CT1" s="425"/>
      <c r="CU1" s="425"/>
      <c r="CV1" s="425"/>
    </row>
    <row r="2" spans="1:100" ht="17.25" customHeight="1">
      <c r="A2" s="1577"/>
      <c r="B2" s="421"/>
      <c r="C2" s="422" t="s">
        <v>392</v>
      </c>
      <c r="D2" s="422"/>
      <c r="E2" s="422"/>
      <c r="F2" s="422"/>
      <c r="G2" s="422"/>
      <c r="H2" s="429" t="s">
        <v>393</v>
      </c>
      <c r="I2" s="424"/>
      <c r="J2" s="430">
        <v>2824770</v>
      </c>
      <c r="K2" s="431"/>
      <c r="L2" s="431"/>
      <c r="M2" s="431"/>
      <c r="N2" s="431"/>
      <c r="O2" s="431"/>
      <c r="P2" s="605"/>
      <c r="Q2" s="431"/>
      <c r="R2" s="431"/>
      <c r="S2" s="431"/>
      <c r="T2" s="431"/>
      <c r="U2" s="424"/>
      <c r="V2" s="425"/>
      <c r="W2" s="425"/>
      <c r="X2" s="425"/>
      <c r="Y2" s="425"/>
      <c r="Z2" s="425"/>
      <c r="AA2" s="425"/>
      <c r="AH2" s="425"/>
      <c r="AI2" s="425"/>
      <c r="AJ2" s="425"/>
      <c r="AK2" s="425"/>
      <c r="AL2" s="425"/>
      <c r="AM2" s="425"/>
      <c r="AN2" s="428"/>
      <c r="AO2" s="425"/>
      <c r="AP2" s="425"/>
      <c r="AQ2" s="425"/>
      <c r="AR2" s="425"/>
      <c r="AS2" s="425"/>
      <c r="AT2" s="425"/>
      <c r="AU2" s="425"/>
      <c r="AV2" s="425"/>
      <c r="AW2" s="425"/>
      <c r="AX2" s="425"/>
      <c r="AY2" s="425"/>
      <c r="AZ2" s="425"/>
      <c r="BA2" s="425"/>
      <c r="BB2" s="425"/>
      <c r="BC2" s="425"/>
      <c r="BD2" s="425"/>
      <c r="BE2" s="425"/>
      <c r="BF2" s="425"/>
      <c r="BG2" s="426"/>
      <c r="BH2" s="425"/>
      <c r="BI2" s="425"/>
      <c r="BJ2" s="425"/>
      <c r="BK2" s="425"/>
      <c r="BL2" s="425"/>
      <c r="BM2" s="425"/>
      <c r="BN2" s="425"/>
      <c r="BO2" s="425"/>
      <c r="BP2" s="425"/>
      <c r="BQ2" s="425"/>
      <c r="BR2" s="425"/>
      <c r="BS2" s="425"/>
      <c r="BT2" s="425"/>
      <c r="BU2" s="425"/>
      <c r="BV2" s="425"/>
      <c r="BW2" s="425"/>
      <c r="BX2" s="425"/>
      <c r="BY2" s="425"/>
      <c r="BZ2" s="425"/>
      <c r="CA2" s="425"/>
      <c r="CB2" s="425"/>
      <c r="CC2" s="425"/>
      <c r="CD2" s="425"/>
      <c r="CE2" s="425"/>
      <c r="CF2" s="425"/>
      <c r="CG2" s="425"/>
      <c r="CH2" s="425"/>
      <c r="CI2" s="425"/>
      <c r="CJ2" s="425"/>
      <c r="CK2" s="425"/>
      <c r="CL2" s="425"/>
      <c r="CM2" s="425"/>
      <c r="CN2" s="425"/>
      <c r="CO2" s="425"/>
      <c r="CP2" s="425"/>
      <c r="CQ2" s="425"/>
      <c r="CR2" s="425"/>
      <c r="CS2" s="425"/>
      <c r="CT2" s="425"/>
      <c r="CU2" s="425"/>
      <c r="CV2" s="425"/>
    </row>
    <row r="3" spans="1:100" ht="18.75" customHeight="1" outlineLevel="1">
      <c r="A3" s="432"/>
      <c r="B3" s="421"/>
      <c r="C3" s="422" t="s">
        <v>394</v>
      </c>
      <c r="D3" s="422"/>
      <c r="E3" s="422"/>
      <c r="F3" s="422"/>
      <c r="G3" s="422"/>
      <c r="H3" s="429">
        <f>IF(OR(ISERROR($J$2),$J$2="NA",$J$2="N/A"),$J$3,J2)</f>
        <v>2824770</v>
      </c>
      <c r="I3" s="424"/>
      <c r="J3" s="430" t="e">
        <v>#NAME?</v>
      </c>
      <c r="K3" s="424"/>
      <c r="L3" s="424"/>
      <c r="M3" s="424"/>
      <c r="N3" s="424"/>
      <c r="O3" s="424"/>
      <c r="P3" s="514"/>
      <c r="Q3" s="424"/>
      <c r="R3" s="424"/>
      <c r="S3" s="424"/>
      <c r="T3" s="424"/>
      <c r="U3" s="424"/>
      <c r="V3" s="425"/>
      <c r="W3" s="425"/>
      <c r="X3" s="425"/>
      <c r="Y3" s="425"/>
      <c r="Z3" s="425"/>
      <c r="AA3" s="425"/>
      <c r="AH3" s="425"/>
      <c r="AI3" s="425"/>
      <c r="AJ3" s="425"/>
      <c r="AK3" s="425"/>
      <c r="AL3" s="425"/>
      <c r="AM3" s="425"/>
      <c r="AN3" s="428"/>
      <c r="AO3" s="425"/>
      <c r="AP3" s="425"/>
      <c r="AQ3" s="425"/>
      <c r="AR3" s="425"/>
      <c r="AS3" s="425"/>
      <c r="AT3" s="425"/>
      <c r="AU3" s="425"/>
      <c r="AV3" s="425"/>
      <c r="AW3" s="425"/>
      <c r="AX3" s="425"/>
      <c r="AY3" s="425"/>
      <c r="AZ3" s="425"/>
      <c r="BA3" s="425"/>
      <c r="BB3" s="425"/>
      <c r="BC3" s="425"/>
      <c r="BD3" s="425"/>
      <c r="BE3" s="425"/>
      <c r="BF3" s="425"/>
      <c r="BG3" s="426"/>
      <c r="BH3" s="425"/>
      <c r="BI3" s="425"/>
      <c r="BJ3" s="425"/>
      <c r="BK3" s="425"/>
      <c r="BL3" s="425"/>
      <c r="BM3" s="425"/>
      <c r="BN3" s="425"/>
      <c r="BO3" s="425"/>
      <c r="BP3" s="425"/>
      <c r="BQ3" s="425"/>
      <c r="BR3" s="425"/>
      <c r="BS3" s="425"/>
      <c r="BT3" s="425"/>
      <c r="BU3" s="425"/>
      <c r="BV3" s="425"/>
      <c r="BW3" s="425"/>
      <c r="BX3" s="425"/>
      <c r="BY3" s="425"/>
      <c r="BZ3" s="425"/>
      <c r="CA3" s="425"/>
      <c r="CB3" s="425"/>
      <c r="CC3" s="425"/>
      <c r="CD3" s="433"/>
      <c r="CE3" s="433"/>
      <c r="CF3" s="433"/>
      <c r="CG3" s="433"/>
      <c r="CH3" s="433"/>
      <c r="CI3" s="433">
        <f>IF(CI27&lt;&gt;"",CI38,"")</f>
        <v>2014</v>
      </c>
      <c r="CJ3" s="433">
        <f>IF(CJ27&lt;&gt;"",CJ38,"")</f>
        <v>2015</v>
      </c>
      <c r="CK3" s="425"/>
      <c r="CL3" s="425"/>
      <c r="CM3" s="425"/>
      <c r="CN3" s="425"/>
      <c r="CO3" s="425"/>
      <c r="CP3" s="425"/>
      <c r="CQ3" s="425"/>
      <c r="CR3" s="425"/>
      <c r="CS3" s="425"/>
      <c r="CT3" s="425"/>
      <c r="CU3" s="425"/>
      <c r="CV3" s="425"/>
    </row>
    <row r="4" spans="1:100">
      <c r="A4" s="434"/>
      <c r="B4" s="435"/>
      <c r="C4" s="436"/>
      <c r="D4" s="436"/>
      <c r="E4" s="436"/>
      <c r="F4" s="436"/>
      <c r="G4" s="436"/>
      <c r="H4" s="431"/>
      <c r="I4" s="431"/>
      <c r="J4" s="431"/>
      <c r="K4" s="431"/>
      <c r="L4" s="431"/>
      <c r="M4" s="431"/>
      <c r="N4" s="431"/>
      <c r="O4" s="431"/>
      <c r="P4" s="431"/>
      <c r="Q4" s="431"/>
      <c r="R4" s="431"/>
      <c r="S4" s="431"/>
      <c r="T4" s="431"/>
      <c r="U4" s="431"/>
      <c r="V4" s="426"/>
      <c r="W4" s="426"/>
      <c r="X4" s="426"/>
      <c r="Y4" s="426"/>
      <c r="Z4" s="426"/>
      <c r="AA4" s="426"/>
      <c r="AH4" s="426"/>
      <c r="AI4" s="426"/>
      <c r="AJ4" s="426"/>
      <c r="AK4" s="426"/>
      <c r="AL4" s="426"/>
      <c r="AM4" s="426"/>
      <c r="AN4" s="437"/>
      <c r="AO4" s="426"/>
      <c r="AP4" s="426"/>
      <c r="AQ4" s="426"/>
      <c r="AR4" s="426"/>
      <c r="AS4" s="426"/>
      <c r="AT4" s="426"/>
      <c r="AU4" s="426"/>
      <c r="AV4" s="426"/>
      <c r="AW4" s="426"/>
      <c r="AX4" s="426"/>
      <c r="AY4" s="438"/>
      <c r="AZ4" s="438"/>
      <c r="BA4" s="438"/>
      <c r="BB4" s="438"/>
      <c r="BC4" s="426"/>
      <c r="BD4" s="426"/>
      <c r="BE4" s="426"/>
      <c r="BF4" s="426"/>
      <c r="BG4" s="426"/>
      <c r="BH4" s="426"/>
      <c r="BI4" s="426"/>
      <c r="BJ4" s="426"/>
      <c r="BK4" s="426"/>
      <c r="BL4" s="426"/>
      <c r="BM4" s="426"/>
      <c r="BN4" s="426"/>
      <c r="BO4" s="426"/>
      <c r="BP4" s="426"/>
      <c r="BQ4" s="426"/>
      <c r="BR4" s="426"/>
      <c r="BS4" s="426"/>
      <c r="BT4" s="426"/>
      <c r="BU4" s="426"/>
      <c r="BV4" s="426"/>
      <c r="BW4" s="426"/>
      <c r="BX4" s="426"/>
      <c r="BY4" s="426"/>
      <c r="BZ4" s="426"/>
      <c r="CA4" s="426"/>
      <c r="CB4" s="426"/>
      <c r="CC4" s="426"/>
      <c r="CD4" s="426"/>
      <c r="CE4" s="426"/>
      <c r="CF4" s="426"/>
      <c r="CG4" s="426"/>
      <c r="CH4" s="426"/>
      <c r="CI4" s="426"/>
      <c r="CJ4" s="426"/>
      <c r="CK4" s="426"/>
      <c r="CL4" s="426"/>
      <c r="CM4" s="426"/>
      <c r="CN4" s="426"/>
      <c r="CO4" s="426"/>
      <c r="CP4" s="426"/>
      <c r="CQ4" s="426"/>
      <c r="CR4" s="426"/>
      <c r="CS4" s="426"/>
      <c r="CT4" s="426"/>
      <c r="CU4" s="426"/>
      <c r="CV4" s="426"/>
    </row>
    <row r="5" spans="1:100" ht="12.75" hidden="1" customHeight="1" outlineLevel="1"/>
    <row r="6" spans="1:100" collapsed="1">
      <c r="A6" s="434"/>
      <c r="B6" s="422" t="s">
        <v>395</v>
      </c>
      <c r="C6" s="422" t="s">
        <v>396</v>
      </c>
      <c r="D6" s="439">
        <v>2005</v>
      </c>
      <c r="E6" s="439">
        <v>2006</v>
      </c>
      <c r="F6" s="439">
        <v>2007</v>
      </c>
      <c r="G6" s="439">
        <v>2008</v>
      </c>
      <c r="H6" s="439">
        <v>2009</v>
      </c>
      <c r="I6" s="439">
        <v>2010</v>
      </c>
      <c r="J6" s="439">
        <v>2011</v>
      </c>
      <c r="K6" s="440">
        <v>2012</v>
      </c>
      <c r="L6" s="440">
        <v>2013</v>
      </c>
      <c r="M6" s="440">
        <v>2014</v>
      </c>
      <c r="N6" s="440">
        <v>2015</v>
      </c>
      <c r="O6" s="440">
        <v>2016</v>
      </c>
      <c r="P6" s="440">
        <v>2017</v>
      </c>
      <c r="Q6" s="440">
        <v>2018</v>
      </c>
      <c r="R6" s="440">
        <v>2019</v>
      </c>
      <c r="S6" s="440">
        <v>2020</v>
      </c>
      <c r="T6" s="440">
        <v>2021</v>
      </c>
      <c r="U6" s="424"/>
      <c r="V6" s="425"/>
      <c r="W6" s="425"/>
      <c r="X6" s="425"/>
      <c r="Y6" s="425"/>
      <c r="Z6" s="425"/>
      <c r="AA6" s="425"/>
      <c r="AH6" s="425"/>
      <c r="AI6" s="425"/>
      <c r="AJ6" s="425"/>
      <c r="AK6" s="425"/>
      <c r="AL6" s="425"/>
      <c r="AM6" s="425"/>
      <c r="AN6" s="428"/>
      <c r="AO6" s="425"/>
      <c r="AP6" s="425"/>
      <c r="AQ6" s="425"/>
      <c r="AR6" s="425"/>
      <c r="AS6" s="425"/>
      <c r="AT6" s="425"/>
      <c r="AU6" s="425"/>
      <c r="AV6" s="425"/>
      <c r="AW6" s="425"/>
      <c r="AX6" s="425"/>
      <c r="AY6" s="441"/>
      <c r="AZ6" s="441"/>
      <c r="BA6" s="441"/>
      <c r="BB6" s="441"/>
      <c r="BC6" s="425"/>
      <c r="BD6" s="425"/>
      <c r="BE6" s="425"/>
      <c r="BF6" s="425"/>
      <c r="BG6" s="427">
        <f>VALUE(RIGHT(BG7,4))</f>
        <v>2012</v>
      </c>
      <c r="BH6" s="425"/>
      <c r="BI6" s="425"/>
      <c r="BJ6" s="425"/>
      <c r="BK6" s="425"/>
      <c r="BL6" s="425"/>
      <c r="BM6" s="425"/>
      <c r="BN6" s="425"/>
      <c r="BO6" s="425"/>
      <c r="BP6" s="425"/>
      <c r="BQ6" s="425"/>
      <c r="BR6" s="425"/>
      <c r="BS6" s="425"/>
      <c r="BT6" s="425"/>
      <c r="BU6" s="425"/>
      <c r="BV6" s="425"/>
      <c r="BW6" s="425"/>
      <c r="BX6" s="425"/>
      <c r="BY6" s="425"/>
      <c r="BZ6" s="425"/>
      <c r="CA6" s="425"/>
      <c r="CB6" s="425"/>
      <c r="CC6" s="425"/>
      <c r="CD6" s="425"/>
      <c r="CE6" s="425"/>
      <c r="CF6" s="425"/>
      <c r="CG6" s="425"/>
      <c r="CH6" s="425"/>
      <c r="CI6" s="425"/>
      <c r="CJ6" s="425"/>
      <c r="CK6" s="425"/>
      <c r="CL6" s="425"/>
      <c r="CM6" s="425"/>
      <c r="CN6" s="425"/>
      <c r="CO6" s="425"/>
      <c r="CP6" s="425"/>
      <c r="CQ6" s="425"/>
      <c r="CR6" s="425"/>
      <c r="CS6" s="425"/>
      <c r="CT6" s="425"/>
      <c r="CU6" s="425"/>
      <c r="CV6" s="425"/>
    </row>
    <row r="7" spans="1:100" ht="7.5" customHeight="1">
      <c r="A7" s="434"/>
      <c r="B7" s="442"/>
      <c r="C7" s="443"/>
      <c r="D7" s="443"/>
      <c r="E7" s="443"/>
      <c r="F7" s="443"/>
      <c r="G7" s="443"/>
      <c r="H7" s="444"/>
      <c r="I7" s="444"/>
      <c r="J7" s="445"/>
      <c r="K7" s="445"/>
      <c r="L7" s="445"/>
      <c r="M7" s="445"/>
      <c r="N7" s="445"/>
      <c r="O7" s="445"/>
      <c r="P7" s="445"/>
      <c r="Q7" s="445"/>
      <c r="R7" s="445"/>
      <c r="S7" s="445"/>
      <c r="T7" s="445"/>
      <c r="U7" s="424"/>
      <c r="V7" s="425"/>
      <c r="W7" s="425"/>
      <c r="X7" s="425"/>
      <c r="Y7" s="425"/>
      <c r="Z7" s="425"/>
      <c r="AA7" s="425"/>
      <c r="AH7" s="425"/>
      <c r="AI7" s="425"/>
      <c r="AJ7" s="425"/>
      <c r="AK7" s="425"/>
      <c r="AL7" s="425"/>
      <c r="AM7" s="425"/>
      <c r="AN7" s="428"/>
      <c r="AO7" s="425"/>
      <c r="AP7" s="425"/>
      <c r="AQ7" s="425"/>
      <c r="AR7" s="425"/>
      <c r="AS7" s="425"/>
      <c r="AT7" s="425"/>
      <c r="AU7" s="425"/>
      <c r="AV7" s="425"/>
      <c r="AW7" s="425"/>
      <c r="AX7" s="425"/>
      <c r="AY7" s="425"/>
      <c r="AZ7" s="425"/>
      <c r="BA7" s="425"/>
      <c r="BB7" s="425"/>
      <c r="BC7" s="425"/>
      <c r="BD7" s="425"/>
      <c r="BE7" s="425"/>
      <c r="BF7" s="425"/>
      <c r="BG7" s="426" t="str">
        <f>IF($AZ$19="NA","NA",(MONTH($AZ$19)&amp;"/"&amp;YEAR($AZ$19)))</f>
        <v>12/2012</v>
      </c>
      <c r="BH7" s="425"/>
      <c r="BI7" s="425"/>
      <c r="BJ7" s="425"/>
      <c r="BK7" s="425"/>
      <c r="BL7" s="425"/>
      <c r="BM7" s="425"/>
      <c r="BN7" s="425"/>
      <c r="BO7" s="425"/>
      <c r="BP7" s="425"/>
      <c r="BQ7" s="425"/>
      <c r="BR7" s="425"/>
      <c r="BS7" s="425"/>
      <c r="BT7" s="425"/>
      <c r="BU7" s="425"/>
      <c r="BV7" s="425"/>
      <c r="BW7" s="425"/>
      <c r="BX7" s="425"/>
      <c r="BY7" s="425"/>
      <c r="BZ7" s="425"/>
      <c r="CA7" s="425"/>
      <c r="CB7" s="425"/>
      <c r="CC7" s="425"/>
      <c r="CD7" s="425"/>
      <c r="CE7" s="425"/>
      <c r="CF7" s="425"/>
      <c r="CG7" s="425"/>
      <c r="CH7" s="425"/>
      <c r="CI7" s="425"/>
      <c r="CJ7" s="425"/>
      <c r="CK7" s="425"/>
      <c r="CL7" s="425"/>
      <c r="CM7" s="425"/>
      <c r="CN7" s="425"/>
      <c r="CO7" s="425"/>
      <c r="CP7" s="425"/>
      <c r="CQ7" s="425"/>
      <c r="CR7" s="425"/>
      <c r="CS7" s="425"/>
      <c r="CT7" s="425"/>
      <c r="CU7" s="425"/>
      <c r="CV7" s="425"/>
    </row>
    <row r="8" spans="1:100">
      <c r="A8" s="434"/>
      <c r="B8" s="442"/>
      <c r="C8" s="424" t="s">
        <v>324</v>
      </c>
      <c r="D8" s="446">
        <v>5.5E-2</v>
      </c>
      <c r="E8" s="446">
        <v>5.7500000000000002E-2</v>
      </c>
      <c r="F8" s="446">
        <v>5.67E-2</v>
      </c>
      <c r="G8" s="446">
        <v>6.25E-2</v>
      </c>
      <c r="H8" s="728">
        <v>5.7500000000000002E-2</v>
      </c>
      <c r="I8" s="728">
        <v>0.05</v>
      </c>
      <c r="J8" s="728">
        <v>4.4999999999999998E-2</v>
      </c>
      <c r="K8" s="728">
        <v>3.7499999999999999E-2</v>
      </c>
      <c r="L8" s="728">
        <v>4.4999999999999998E-2</v>
      </c>
      <c r="M8" s="728">
        <v>3.7499999999999999E-2</v>
      </c>
      <c r="N8" s="728">
        <v>4.2500000000000003E-2</v>
      </c>
      <c r="O8" s="728">
        <v>0.04</v>
      </c>
      <c r="P8" s="750">
        <f t="shared" ref="P8:T8" si="0">+O8</f>
        <v>0.04</v>
      </c>
      <c r="Q8" s="750">
        <f t="shared" si="0"/>
        <v>0.04</v>
      </c>
      <c r="R8" s="750">
        <f t="shared" si="0"/>
        <v>0.04</v>
      </c>
      <c r="S8" s="750">
        <f t="shared" si="0"/>
        <v>0.04</v>
      </c>
      <c r="T8" s="750">
        <f t="shared" si="0"/>
        <v>0.04</v>
      </c>
      <c r="U8" s="424"/>
      <c r="V8" s="425"/>
      <c r="W8" s="425"/>
      <c r="X8" s="425"/>
      <c r="Y8" s="425"/>
      <c r="Z8" s="425"/>
      <c r="AA8" s="425"/>
      <c r="AH8" s="425"/>
      <c r="AI8" s="425"/>
      <c r="AJ8" s="425"/>
      <c r="AK8" s="425"/>
      <c r="AL8" s="425"/>
      <c r="AM8" s="425"/>
      <c r="AN8" s="447" t="s">
        <v>397</v>
      </c>
      <c r="AO8" s="425"/>
      <c r="AP8" s="425"/>
      <c r="AQ8" s="425"/>
      <c r="AR8" s="425"/>
      <c r="AS8" s="425"/>
      <c r="AT8" s="425"/>
      <c r="AU8" s="425"/>
      <c r="AV8" s="425"/>
      <c r="AW8" s="425"/>
      <c r="AX8" s="425"/>
      <c r="AY8" s="441"/>
      <c r="AZ8" s="448"/>
      <c r="BA8" s="448"/>
      <c r="BB8" s="441"/>
      <c r="BC8" s="425"/>
      <c r="BD8" s="425"/>
      <c r="BE8" s="425"/>
      <c r="BF8" s="425"/>
      <c r="BG8" s="449" t="e">
        <v>#NAME?</v>
      </c>
      <c r="BH8" s="447">
        <v>0.05</v>
      </c>
      <c r="BI8" s="450">
        <v>4.4999999999999998E-2</v>
      </c>
      <c r="BJ8" s="450">
        <v>3.7499999999999999E-2</v>
      </c>
      <c r="BK8" s="450">
        <v>4.4999999999999998E-2</v>
      </c>
      <c r="BL8" s="450">
        <v>3.7499999999999999E-2</v>
      </c>
      <c r="BM8" s="450">
        <v>4.2500000000000003E-2</v>
      </c>
      <c r="BN8" s="450">
        <v>0</v>
      </c>
      <c r="BO8" s="425"/>
      <c r="BP8" s="425"/>
      <c r="BQ8" s="425"/>
      <c r="BR8" s="425"/>
      <c r="BS8" s="425"/>
      <c r="BT8" s="425"/>
      <c r="BU8" s="425"/>
      <c r="BV8" s="425"/>
      <c r="BW8" s="425"/>
      <c r="BX8" s="425"/>
      <c r="BY8" s="425"/>
      <c r="BZ8" s="425"/>
      <c r="CA8" s="425"/>
      <c r="CB8" s="425"/>
      <c r="CC8" s="425"/>
      <c r="CD8" s="425"/>
      <c r="CE8" s="425"/>
      <c r="CF8" s="425"/>
      <c r="CG8" s="425"/>
      <c r="CH8" s="425"/>
      <c r="CI8" s="425"/>
      <c r="CJ8" s="425"/>
      <c r="CK8" s="425"/>
      <c r="CL8" s="425"/>
      <c r="CM8" s="425"/>
      <c r="CN8" s="425"/>
      <c r="CO8" s="425"/>
      <c r="CP8" s="425"/>
      <c r="CQ8" s="425"/>
      <c r="CR8" s="425"/>
      <c r="CS8" s="425"/>
      <c r="CT8" s="425"/>
      <c r="CU8" s="425"/>
      <c r="CV8" s="425"/>
    </row>
    <row r="9" spans="1:100" ht="12.75" customHeight="1" outlineLevel="1">
      <c r="A9" s="434"/>
      <c r="B9" s="442"/>
      <c r="C9" s="424" t="s">
        <v>398</v>
      </c>
      <c r="D9" s="451">
        <v>0.1</v>
      </c>
      <c r="E9" s="451">
        <v>0.1</v>
      </c>
      <c r="F9" s="451">
        <v>0.1</v>
      </c>
      <c r="G9" s="451">
        <v>0.1</v>
      </c>
      <c r="H9" s="729">
        <v>0.1</v>
      </c>
      <c r="I9" s="729">
        <v>0.1</v>
      </c>
      <c r="J9" s="729">
        <v>0.1</v>
      </c>
      <c r="K9" s="729">
        <v>0.1</v>
      </c>
      <c r="L9" s="729">
        <v>0.1</v>
      </c>
      <c r="M9" s="729">
        <v>0.1</v>
      </c>
      <c r="N9" s="729">
        <v>0.1</v>
      </c>
      <c r="O9" s="729">
        <v>0.1</v>
      </c>
      <c r="P9" s="745">
        <f t="shared" ref="P9:T9" si="1">+O9</f>
        <v>0.1</v>
      </c>
      <c r="Q9" s="745">
        <f t="shared" si="1"/>
        <v>0.1</v>
      </c>
      <c r="R9" s="745">
        <f t="shared" si="1"/>
        <v>0.1</v>
      </c>
      <c r="S9" s="745">
        <f t="shared" si="1"/>
        <v>0.1</v>
      </c>
      <c r="T9" s="745">
        <f t="shared" si="1"/>
        <v>0.1</v>
      </c>
      <c r="U9" s="424"/>
      <c r="V9" s="425"/>
      <c r="W9" s="425"/>
      <c r="X9" s="425"/>
      <c r="Y9" s="425"/>
      <c r="Z9" s="425"/>
      <c r="AA9" s="425"/>
      <c r="AH9" s="425"/>
      <c r="AI9" s="425"/>
      <c r="AJ9" s="425"/>
      <c r="AK9" s="425"/>
      <c r="AL9" s="425"/>
      <c r="AM9" s="425"/>
      <c r="AN9" s="428"/>
      <c r="AO9" s="425"/>
      <c r="AP9" s="425"/>
      <c r="AQ9" s="425"/>
      <c r="AR9" s="425"/>
      <c r="AS9" s="425"/>
      <c r="AT9" s="425"/>
      <c r="AU9" s="425"/>
      <c r="AV9" s="425"/>
      <c r="AW9" s="425"/>
      <c r="AX9" s="425"/>
      <c r="AY9" s="425"/>
      <c r="AZ9" s="424"/>
      <c r="BA9" s="452"/>
      <c r="BB9" s="452"/>
      <c r="BC9" s="452"/>
      <c r="BD9" s="452"/>
      <c r="BE9" s="425"/>
      <c r="BF9" s="425"/>
      <c r="BG9" s="453"/>
      <c r="BH9" s="428"/>
      <c r="BI9" s="425"/>
      <c r="BJ9" s="425"/>
      <c r="BK9" s="425"/>
      <c r="BL9" s="425"/>
      <c r="BM9" s="425"/>
      <c r="BN9" s="425"/>
      <c r="BO9" s="425"/>
      <c r="BP9" s="425"/>
      <c r="BQ9" s="425"/>
      <c r="BR9" s="425"/>
      <c r="BS9" s="425"/>
      <c r="BT9" s="425"/>
      <c r="BU9" s="425"/>
      <c r="BV9" s="425"/>
      <c r="BW9" s="425"/>
      <c r="BX9" s="425"/>
      <c r="BY9" s="425"/>
      <c r="BZ9" s="425"/>
      <c r="CA9" s="425"/>
      <c r="CB9" s="425"/>
      <c r="CC9" s="425"/>
      <c r="CD9" s="425"/>
      <c r="CE9" s="425"/>
      <c r="CF9" s="425"/>
      <c r="CG9" s="425"/>
      <c r="CH9" s="425"/>
      <c r="CI9" s="425"/>
      <c r="CJ9" s="425"/>
      <c r="CK9" s="425"/>
      <c r="CL9" s="425"/>
      <c r="CM9" s="425"/>
      <c r="CN9" s="425"/>
      <c r="CO9" s="425"/>
      <c r="CP9" s="425"/>
      <c r="CQ9" s="425"/>
      <c r="CR9" s="425"/>
      <c r="CS9" s="425"/>
      <c r="CT9" s="425"/>
      <c r="CU9" s="425"/>
      <c r="CV9" s="425"/>
    </row>
    <row r="10" spans="1:100" ht="12.75" customHeight="1" outlineLevel="1">
      <c r="A10" s="434"/>
      <c r="B10" s="442"/>
      <c r="C10" s="424" t="s">
        <v>399</v>
      </c>
      <c r="D10" s="454">
        <v>10</v>
      </c>
      <c r="E10" s="454">
        <v>10</v>
      </c>
      <c r="F10" s="454">
        <v>10</v>
      </c>
      <c r="G10" s="454">
        <v>10</v>
      </c>
      <c r="H10" s="730">
        <v>10</v>
      </c>
      <c r="I10" s="730">
        <v>10</v>
      </c>
      <c r="J10" s="730">
        <v>10</v>
      </c>
      <c r="K10" s="730">
        <v>10</v>
      </c>
      <c r="L10" s="730">
        <v>10</v>
      </c>
      <c r="M10" s="730">
        <v>10</v>
      </c>
      <c r="N10" s="730">
        <v>10</v>
      </c>
      <c r="O10" s="730">
        <v>10</v>
      </c>
      <c r="P10" s="746">
        <f t="shared" ref="P10:T10" si="2">+O10</f>
        <v>10</v>
      </c>
      <c r="Q10" s="746">
        <f t="shared" si="2"/>
        <v>10</v>
      </c>
      <c r="R10" s="746">
        <f t="shared" si="2"/>
        <v>10</v>
      </c>
      <c r="S10" s="746">
        <f t="shared" si="2"/>
        <v>10</v>
      </c>
      <c r="T10" s="746">
        <f t="shared" si="2"/>
        <v>10</v>
      </c>
      <c r="U10" s="424"/>
      <c r="V10" s="425"/>
      <c r="W10" s="425"/>
      <c r="X10" s="425"/>
      <c r="Y10" s="425"/>
      <c r="Z10" s="425"/>
      <c r="AA10" s="425"/>
      <c r="AH10" s="425"/>
      <c r="AI10" s="425"/>
      <c r="AJ10" s="425"/>
      <c r="AK10" s="425"/>
      <c r="AL10" s="425"/>
      <c r="AM10" s="425"/>
      <c r="AN10" s="428"/>
      <c r="AO10" s="425"/>
      <c r="AP10" s="425"/>
      <c r="AQ10" s="425"/>
      <c r="AR10" s="425"/>
      <c r="AS10" s="425"/>
      <c r="AT10" s="425"/>
      <c r="AU10" s="425"/>
      <c r="AV10" s="425"/>
      <c r="AW10" s="425"/>
      <c r="AX10" s="425"/>
      <c r="AY10" s="455" t="s">
        <v>400</v>
      </c>
      <c r="AZ10" s="456"/>
      <c r="BA10" s="457"/>
      <c r="BB10" s="452"/>
      <c r="BC10" s="452"/>
      <c r="BD10" s="452"/>
      <c r="BE10" s="425"/>
      <c r="BF10" s="425"/>
      <c r="BG10" s="454"/>
      <c r="BH10" s="428"/>
      <c r="BI10" s="425"/>
      <c r="BJ10" s="425"/>
      <c r="BK10" s="425"/>
      <c r="BL10" s="425"/>
      <c r="BM10" s="425"/>
      <c r="BN10" s="425"/>
      <c r="BO10" s="425"/>
      <c r="BP10" s="425"/>
      <c r="BQ10" s="425"/>
      <c r="BR10" s="425"/>
      <c r="BS10" s="425"/>
      <c r="BT10" s="425"/>
      <c r="BU10" s="425"/>
      <c r="BV10" s="425"/>
      <c r="BW10" s="425"/>
      <c r="BX10" s="425"/>
      <c r="BY10" s="425"/>
      <c r="BZ10" s="425"/>
      <c r="CA10" s="425"/>
      <c r="CB10" s="425"/>
      <c r="CC10" s="425"/>
      <c r="CD10" s="425"/>
      <c r="CE10" s="425"/>
      <c r="CF10" s="425"/>
      <c r="CG10" s="425"/>
      <c r="CH10" s="425"/>
      <c r="CI10" s="425"/>
      <c r="CJ10" s="425"/>
      <c r="CK10" s="425"/>
      <c r="CL10" s="425"/>
      <c r="CM10" s="425"/>
      <c r="CN10" s="425"/>
      <c r="CO10" s="425"/>
      <c r="CP10" s="425"/>
      <c r="CQ10" s="425"/>
      <c r="CR10" s="425"/>
      <c r="CS10" s="425"/>
      <c r="CT10" s="425"/>
      <c r="CU10" s="425"/>
      <c r="CV10" s="425"/>
    </row>
    <row r="11" spans="1:100">
      <c r="A11" s="434"/>
      <c r="B11" s="442"/>
      <c r="C11" s="424" t="s">
        <v>401</v>
      </c>
      <c r="D11" s="446">
        <v>0.08</v>
      </c>
      <c r="E11" s="446">
        <v>0.08</v>
      </c>
      <c r="F11" s="446">
        <v>7.9399999999999998E-2</v>
      </c>
      <c r="G11" s="446">
        <v>7.6700000000000004E-2</v>
      </c>
      <c r="H11" s="728">
        <v>7.7100000000000002E-2</v>
      </c>
      <c r="I11" s="728">
        <v>7.7149999999999996E-2</v>
      </c>
      <c r="J11" s="728">
        <v>7.7499999999999999E-2</v>
      </c>
      <c r="K11" s="728">
        <v>7.4999999999999997E-2</v>
      </c>
      <c r="L11" s="728">
        <v>7.4999999999999997E-2</v>
      </c>
      <c r="M11" s="728">
        <v>7.7499999999999999E-2</v>
      </c>
      <c r="N11" s="728">
        <v>7.4999999999999997E-2</v>
      </c>
      <c r="O11" s="728">
        <v>7.4999999999999997E-2</v>
      </c>
      <c r="P11" s="1546">
        <v>7.2499999999999995E-2</v>
      </c>
      <c r="Q11" s="1546">
        <v>6.8500000000000005E-2</v>
      </c>
      <c r="R11" s="750">
        <f t="shared" ref="R11:T11" si="3">+Q11</f>
        <v>6.8500000000000005E-2</v>
      </c>
      <c r="S11" s="750">
        <f t="shared" si="3"/>
        <v>6.8500000000000005E-2</v>
      </c>
      <c r="T11" s="750">
        <f t="shared" si="3"/>
        <v>6.8500000000000005E-2</v>
      </c>
      <c r="U11" s="424"/>
      <c r="V11" s="425"/>
      <c r="W11" s="425"/>
      <c r="X11" s="425"/>
      <c r="Y11" s="425"/>
      <c r="Z11" s="425"/>
      <c r="AA11" s="425"/>
      <c r="AH11" s="425"/>
      <c r="AI11" s="425"/>
      <c r="AJ11" s="425"/>
      <c r="AK11" s="425"/>
      <c r="AL11" s="425"/>
      <c r="AM11" s="425"/>
      <c r="AN11" s="447" t="s">
        <v>402</v>
      </c>
      <c r="AO11" s="425"/>
      <c r="AP11" s="425"/>
      <c r="AQ11" s="425"/>
      <c r="AR11" s="425"/>
      <c r="AS11" s="425"/>
      <c r="AT11" s="425"/>
      <c r="AU11" s="425"/>
      <c r="AV11" s="425"/>
      <c r="AW11" s="425"/>
      <c r="AX11" s="425"/>
      <c r="AY11" s="458" t="s">
        <v>403</v>
      </c>
      <c r="AZ11" s="459" t="str">
        <f>$AZ$16-1&amp;"FY"</f>
        <v>-8FY</v>
      </c>
      <c r="BA11" s="460"/>
      <c r="BB11" s="452"/>
      <c r="BC11" s="461"/>
      <c r="BD11" s="452"/>
      <c r="BE11" s="425"/>
      <c r="BF11" s="425"/>
      <c r="BG11" s="449" t="e">
        <v>#NAME?</v>
      </c>
      <c r="BH11" s="447">
        <v>7.7149999999999996E-2</v>
      </c>
      <c r="BI11" s="450">
        <v>7.7499999999999999E-2</v>
      </c>
      <c r="BJ11" s="450">
        <v>7.4999999999999997E-2</v>
      </c>
      <c r="BK11" s="450">
        <v>7.4999999999999997E-2</v>
      </c>
      <c r="BL11" s="450">
        <v>7.6249999999999998E-2</v>
      </c>
      <c r="BM11" s="450">
        <v>7.4999999999999997E-2</v>
      </c>
      <c r="BN11" s="450">
        <v>0</v>
      </c>
      <c r="BO11" s="425"/>
      <c r="BP11" s="425"/>
      <c r="BQ11" s="425"/>
      <c r="BR11" s="425"/>
      <c r="BS11" s="425"/>
      <c r="BT11" s="425"/>
      <c r="BU11" s="425"/>
      <c r="BV11" s="425"/>
      <c r="BW11" s="425"/>
      <c r="BX11" s="425"/>
      <c r="BY11" s="425"/>
      <c r="BZ11" s="425"/>
      <c r="CA11" s="425"/>
      <c r="CB11" s="425"/>
      <c r="CC11" s="425"/>
      <c r="CD11" s="425"/>
      <c r="CE11" s="425"/>
      <c r="CF11" s="425"/>
      <c r="CG11" s="425"/>
      <c r="CH11" s="425"/>
      <c r="CI11" s="425"/>
      <c r="CJ11" s="425"/>
      <c r="CK11" s="425"/>
      <c r="CL11" s="425"/>
      <c r="CM11" s="425"/>
      <c r="CN11" s="425"/>
      <c r="CO11" s="425"/>
      <c r="CP11" s="425"/>
      <c r="CQ11" s="425"/>
      <c r="CR11" s="425"/>
      <c r="CS11" s="425"/>
      <c r="CT11" s="425"/>
      <c r="CU11" s="425"/>
      <c r="CV11" s="425"/>
    </row>
    <row r="12" spans="1:100">
      <c r="A12" s="434"/>
      <c r="B12" s="442"/>
      <c r="C12" s="424" t="s">
        <v>322</v>
      </c>
      <c r="D12" s="446">
        <f>IF(ISNUMBER(D38/D37),D38/D37,0)</f>
        <v>4.6200688377018795E-2</v>
      </c>
      <c r="E12" s="446">
        <f>IF(ISNUMBER(E38/E37),E38/E37,0)</f>
        <v>0.13248815826135413</v>
      </c>
      <c r="F12" s="446">
        <f t="shared" ref="F12:P12" si="4">IF(ISNUMBER(F38/F37),F38/F37,0)</f>
        <v>8.8344864289515698E-2</v>
      </c>
      <c r="G12" s="446">
        <f t="shared" si="4"/>
        <v>-0.1861707025135807</v>
      </c>
      <c r="H12" s="446">
        <f t="shared" si="4"/>
        <v>0.18109924871490707</v>
      </c>
      <c r="I12" s="446">
        <f t="shared" si="4"/>
        <v>0.11364734299516908</v>
      </c>
      <c r="J12" s="446">
        <f t="shared" si="4"/>
        <v>4.8411322934719815E-2</v>
      </c>
      <c r="K12" s="446">
        <f t="shared" si="4"/>
        <v>0.11313300610559081</v>
      </c>
      <c r="L12" s="446">
        <f t="shared" si="4"/>
        <v>0.15740847672941449</v>
      </c>
      <c r="M12" s="446">
        <f t="shared" si="4"/>
        <v>7.2681429511072135E-2</v>
      </c>
      <c r="N12" s="446">
        <f t="shared" si="4"/>
        <v>-3.4629308987879741E-3</v>
      </c>
      <c r="O12" s="446">
        <f t="shared" si="4"/>
        <v>7.3417272566057817E-2</v>
      </c>
      <c r="P12" s="446">
        <f t="shared" si="4"/>
        <v>0.14100693177672383</v>
      </c>
      <c r="Q12" s="745">
        <f t="shared" ref="Q12:T12" si="5">+Q11</f>
        <v>6.8500000000000005E-2</v>
      </c>
      <c r="R12" s="745">
        <f t="shared" si="5"/>
        <v>6.8500000000000005E-2</v>
      </c>
      <c r="S12" s="745">
        <f t="shared" si="5"/>
        <v>6.8500000000000005E-2</v>
      </c>
      <c r="T12" s="745">
        <f t="shared" si="5"/>
        <v>6.8500000000000005E-2</v>
      </c>
      <c r="U12" s="424"/>
      <c r="V12" s="425"/>
      <c r="W12" s="425"/>
      <c r="X12" s="425"/>
      <c r="Y12" s="425"/>
      <c r="Z12" s="425"/>
      <c r="AA12" s="425"/>
      <c r="AH12" s="425"/>
      <c r="AI12" s="425"/>
      <c r="AJ12" s="425"/>
      <c r="AK12" s="425"/>
      <c r="AL12" s="425"/>
      <c r="AM12" s="425"/>
      <c r="AN12" s="447"/>
      <c r="AO12" s="425"/>
      <c r="AP12" s="425"/>
      <c r="AQ12" s="425"/>
      <c r="AR12" s="425"/>
      <c r="AS12" s="425"/>
      <c r="AT12" s="425"/>
      <c r="AU12" s="425"/>
      <c r="AV12" s="425"/>
      <c r="AW12" s="425"/>
      <c r="AX12" s="425"/>
      <c r="AY12" s="462" t="s">
        <v>404</v>
      </c>
      <c r="AZ12" s="463" t="str">
        <f>$AZ$16&amp;"FY"</f>
        <v>-7FY</v>
      </c>
      <c r="BA12" s="464" t="str">
        <f>($AZ$15-3)&amp;"FY"</f>
        <v>-3FY</v>
      </c>
      <c r="BB12" s="465"/>
      <c r="BC12" s="452"/>
      <c r="BD12" s="452"/>
      <c r="BE12" s="425"/>
      <c r="BF12" s="425"/>
      <c r="BG12" s="449"/>
      <c r="BH12" s="447"/>
      <c r="BI12" s="425"/>
      <c r="BJ12" s="425"/>
      <c r="BK12" s="425"/>
      <c r="BL12" s="425"/>
      <c r="BM12" s="425"/>
      <c r="BN12" s="425"/>
      <c r="BO12" s="425"/>
      <c r="BP12" s="425"/>
      <c r="BQ12" s="425"/>
      <c r="BR12" s="425"/>
      <c r="BS12" s="425"/>
      <c r="BT12" s="425"/>
      <c r="BU12" s="425"/>
      <c r="BV12" s="425"/>
      <c r="BW12" s="425"/>
      <c r="BX12" s="425"/>
      <c r="BY12" s="425"/>
      <c r="BZ12" s="425"/>
      <c r="CA12" s="425"/>
      <c r="CB12" s="425"/>
      <c r="CC12" s="425"/>
      <c r="CD12" s="425"/>
      <c r="CE12" s="425"/>
      <c r="CF12" s="425"/>
      <c r="CG12" s="425"/>
      <c r="CH12" s="425"/>
      <c r="CI12" s="425"/>
      <c r="CJ12" s="425"/>
      <c r="CK12" s="425"/>
      <c r="CL12" s="425"/>
      <c r="CM12" s="425"/>
      <c r="CN12" s="425"/>
      <c r="CO12" s="425"/>
      <c r="CP12" s="425"/>
      <c r="CQ12" s="425"/>
      <c r="CR12" s="425"/>
      <c r="CS12" s="425"/>
      <c r="CT12" s="425"/>
      <c r="CU12" s="425"/>
      <c r="CV12" s="425"/>
    </row>
    <row r="13" spans="1:100">
      <c r="A13" s="434"/>
      <c r="B13" s="442"/>
      <c r="C13" s="424" t="s">
        <v>748</v>
      </c>
      <c r="D13" s="446">
        <v>0.35</v>
      </c>
      <c r="E13" s="446">
        <v>0.35</v>
      </c>
      <c r="F13" s="446">
        <v>0.35</v>
      </c>
      <c r="G13" s="446">
        <v>0.35</v>
      </c>
      <c r="H13" s="728">
        <v>0.35</v>
      </c>
      <c r="I13" s="728">
        <v>0.35</v>
      </c>
      <c r="J13" s="728">
        <v>0.35</v>
      </c>
      <c r="K13" s="728">
        <v>0.35</v>
      </c>
      <c r="L13" s="728">
        <v>0.35</v>
      </c>
      <c r="M13" s="728">
        <v>0.35</v>
      </c>
      <c r="N13" s="728">
        <v>0.35</v>
      </c>
      <c r="O13" s="728">
        <v>0.35</v>
      </c>
      <c r="P13" s="747">
        <v>0.35</v>
      </c>
      <c r="Q13" s="747">
        <v>0.35</v>
      </c>
      <c r="R13" s="747">
        <v>0.35</v>
      </c>
      <c r="S13" s="747">
        <v>0.35</v>
      </c>
      <c r="T13" s="747">
        <v>0.35</v>
      </c>
      <c r="U13" s="424"/>
      <c r="V13" s="425"/>
      <c r="W13" s="425"/>
      <c r="X13" s="425"/>
      <c r="Y13" s="425"/>
      <c r="Z13" s="425"/>
      <c r="AA13" s="425"/>
      <c r="AH13" s="425"/>
      <c r="AI13" s="425"/>
      <c r="AJ13" s="425"/>
      <c r="AK13" s="425"/>
      <c r="AL13" s="425"/>
      <c r="AM13" s="425"/>
      <c r="AN13" s="428"/>
      <c r="AO13" s="425"/>
      <c r="AP13" s="425"/>
      <c r="AQ13" s="425"/>
      <c r="AR13" s="425"/>
      <c r="AS13" s="425"/>
      <c r="AT13" s="425"/>
      <c r="AU13" s="425"/>
      <c r="AV13" s="425"/>
      <c r="AW13" s="425"/>
      <c r="AX13" s="425"/>
      <c r="AY13" s="462" t="s">
        <v>405</v>
      </c>
      <c r="AZ13" s="466" t="str">
        <f>$AZ$15&amp;"FY"</f>
        <v>0FY</v>
      </c>
      <c r="BA13" s="460"/>
      <c r="BB13" s="452"/>
      <c r="BC13" s="452"/>
      <c r="BD13" s="452"/>
      <c r="BE13" s="425"/>
      <c r="BF13" s="425"/>
      <c r="BG13" s="449"/>
      <c r="BH13" s="428"/>
      <c r="BI13" s="425"/>
      <c r="BJ13" s="425"/>
      <c r="BK13" s="425"/>
      <c r="BL13" s="425"/>
      <c r="BM13" s="425"/>
      <c r="BN13" s="425"/>
      <c r="BO13" s="425"/>
      <c r="BP13" s="425"/>
      <c r="BQ13" s="425"/>
      <c r="BR13" s="425"/>
      <c r="BS13" s="425"/>
      <c r="BT13" s="425"/>
      <c r="BU13" s="425"/>
      <c r="BV13" s="425"/>
      <c r="BW13" s="425"/>
      <c r="BX13" s="425"/>
      <c r="BY13" s="425"/>
      <c r="BZ13" s="425"/>
      <c r="CA13" s="425"/>
      <c r="CB13" s="425"/>
      <c r="CC13" s="425"/>
      <c r="CD13" s="425"/>
      <c r="CE13" s="425"/>
      <c r="CF13" s="425"/>
      <c r="CG13" s="425"/>
      <c r="CH13" s="425"/>
      <c r="CI13" s="425"/>
      <c r="CJ13" s="425"/>
      <c r="CK13" s="425"/>
      <c r="CL13" s="425"/>
      <c r="CM13" s="425"/>
      <c r="CN13" s="425"/>
      <c r="CO13" s="425"/>
      <c r="CP13" s="425"/>
      <c r="CQ13" s="425"/>
      <c r="CR13" s="425"/>
      <c r="CS13" s="425"/>
      <c r="CT13" s="425"/>
      <c r="CU13" s="425"/>
      <c r="CV13" s="425"/>
    </row>
    <row r="14" spans="1:100" ht="7.5" customHeight="1">
      <c r="A14" s="434"/>
      <c r="B14" s="442"/>
      <c r="C14" s="443"/>
      <c r="D14" s="443"/>
      <c r="E14" s="443"/>
      <c r="F14" s="443"/>
      <c r="G14" s="443"/>
      <c r="H14" s="444"/>
      <c r="I14" s="444"/>
      <c r="J14" s="445"/>
      <c r="K14" s="445"/>
      <c r="L14" s="445"/>
      <c r="M14" s="445"/>
      <c r="N14" s="445"/>
      <c r="O14" s="445"/>
      <c r="P14" s="445"/>
      <c r="Q14" s="445"/>
      <c r="R14" s="445"/>
      <c r="S14" s="445"/>
      <c r="T14" s="445"/>
      <c r="U14" s="424"/>
      <c r="V14" s="425"/>
      <c r="W14" s="425"/>
      <c r="X14" s="425"/>
      <c r="Y14" s="425"/>
      <c r="Z14" s="425"/>
      <c r="AA14" s="425"/>
      <c r="AH14" s="425"/>
      <c r="AI14" s="425"/>
      <c r="AJ14" s="425"/>
      <c r="AK14" s="425"/>
      <c r="AL14" s="425"/>
      <c r="AM14" s="425"/>
      <c r="AN14" s="428"/>
      <c r="AO14" s="425"/>
      <c r="AP14" s="425"/>
      <c r="AQ14" s="425"/>
      <c r="AR14" s="425"/>
      <c r="AS14" s="425"/>
      <c r="AT14" s="425"/>
      <c r="AU14" s="425"/>
      <c r="AV14" s="425"/>
      <c r="AW14" s="425"/>
      <c r="AX14" s="425"/>
      <c r="AY14" s="467"/>
      <c r="AZ14" s="468"/>
      <c r="BA14" s="469"/>
      <c r="BB14" s="425"/>
      <c r="BC14" s="425"/>
      <c r="BD14" s="425"/>
      <c r="BE14" s="425"/>
      <c r="BF14" s="425"/>
      <c r="BG14" s="470"/>
      <c r="BH14" s="428"/>
      <c r="BI14" s="425"/>
      <c r="BJ14" s="425"/>
      <c r="BK14" s="425"/>
      <c r="BL14" s="425"/>
      <c r="BM14" s="425"/>
      <c r="BN14" s="425"/>
      <c r="BO14" s="425"/>
      <c r="BP14" s="425"/>
      <c r="BQ14" s="425"/>
      <c r="BR14" s="425"/>
      <c r="BS14" s="425"/>
      <c r="BT14" s="425"/>
      <c r="BU14" s="425"/>
      <c r="BV14" s="425"/>
      <c r="BW14" s="425"/>
      <c r="BX14" s="425"/>
      <c r="BY14" s="425"/>
      <c r="BZ14" s="425"/>
      <c r="CA14" s="425"/>
      <c r="CB14" s="425"/>
      <c r="CC14" s="425"/>
      <c r="CD14" s="425"/>
      <c r="CE14" s="425"/>
      <c r="CF14" s="425"/>
      <c r="CG14" s="425"/>
      <c r="CH14" s="425"/>
      <c r="CI14" s="425"/>
      <c r="CJ14" s="425"/>
      <c r="CK14" s="425"/>
      <c r="CL14" s="425"/>
      <c r="CM14" s="425"/>
      <c r="CN14" s="425"/>
      <c r="CO14" s="425"/>
      <c r="CP14" s="425"/>
      <c r="CQ14" s="425"/>
      <c r="CR14" s="425"/>
      <c r="CS14" s="425"/>
      <c r="CT14" s="425"/>
      <c r="CU14" s="425"/>
      <c r="CV14" s="425"/>
    </row>
    <row r="15" spans="1:100">
      <c r="A15" s="434"/>
      <c r="B15" s="422" t="s">
        <v>406</v>
      </c>
      <c r="C15" s="422" t="s">
        <v>407</v>
      </c>
      <c r="D15" s="440">
        <f t="shared" ref="D15:M15" si="6">+D6</f>
        <v>2005</v>
      </c>
      <c r="E15" s="440">
        <f t="shared" si="6"/>
        <v>2006</v>
      </c>
      <c r="F15" s="440">
        <f t="shared" si="6"/>
        <v>2007</v>
      </c>
      <c r="G15" s="440">
        <f t="shared" si="6"/>
        <v>2008</v>
      </c>
      <c r="H15" s="440">
        <f t="shared" si="6"/>
        <v>2009</v>
      </c>
      <c r="I15" s="440">
        <f t="shared" si="6"/>
        <v>2010</v>
      </c>
      <c r="J15" s="440">
        <f t="shared" si="6"/>
        <v>2011</v>
      </c>
      <c r="K15" s="440">
        <f t="shared" si="6"/>
        <v>2012</v>
      </c>
      <c r="L15" s="440">
        <f t="shared" si="6"/>
        <v>2013</v>
      </c>
      <c r="M15" s="440">
        <f t="shared" si="6"/>
        <v>2014</v>
      </c>
      <c r="N15" s="440">
        <f t="shared" ref="N15:T15" si="7">+N6</f>
        <v>2015</v>
      </c>
      <c r="O15" s="440">
        <f t="shared" si="7"/>
        <v>2016</v>
      </c>
      <c r="P15" s="440">
        <f t="shared" si="7"/>
        <v>2017</v>
      </c>
      <c r="Q15" s="440">
        <f t="shared" si="7"/>
        <v>2018</v>
      </c>
      <c r="R15" s="440">
        <f t="shared" si="7"/>
        <v>2019</v>
      </c>
      <c r="S15" s="440">
        <f t="shared" si="7"/>
        <v>2020</v>
      </c>
      <c r="T15" s="440">
        <f t="shared" si="7"/>
        <v>2021</v>
      </c>
      <c r="U15" s="424"/>
      <c r="V15" s="425"/>
      <c r="W15" s="425"/>
      <c r="X15" s="425"/>
      <c r="Y15" s="425"/>
      <c r="Z15" s="425"/>
      <c r="AA15" s="425"/>
      <c r="AH15" s="425"/>
      <c r="AI15" s="425"/>
      <c r="AJ15" s="425"/>
      <c r="AK15" s="425"/>
      <c r="AL15" s="425"/>
      <c r="AM15" s="425"/>
      <c r="AN15" s="428"/>
      <c r="AO15" s="425"/>
      <c r="AP15" s="425"/>
      <c r="AQ15" s="425"/>
      <c r="AR15" s="425"/>
      <c r="AS15" s="425"/>
      <c r="AT15" s="425"/>
      <c r="AU15" s="425"/>
      <c r="AV15" s="425"/>
      <c r="AW15" s="425"/>
      <c r="AX15" s="425"/>
      <c r="AY15" s="462" t="s">
        <v>408</v>
      </c>
      <c r="AZ15" s="466">
        <f>IF(ISERROR($AZ$18-YEAR($AZ$19)),0,$AZ$18-YEAR($AZ$19))</f>
        <v>0</v>
      </c>
      <c r="BA15" s="460"/>
      <c r="BB15" s="452"/>
      <c r="BC15" s="452"/>
      <c r="BD15" s="452"/>
      <c r="BE15" s="425"/>
      <c r="BF15" s="425"/>
      <c r="BG15" s="471"/>
      <c r="BH15" s="428"/>
      <c r="BI15" s="425"/>
      <c r="BJ15" s="425"/>
      <c r="BK15" s="425"/>
      <c r="BL15" s="425"/>
      <c r="BM15" s="425"/>
      <c r="BN15" s="425"/>
      <c r="BO15" s="425"/>
      <c r="BP15" s="425"/>
      <c r="BQ15" s="425"/>
      <c r="BR15" s="425"/>
      <c r="BS15" s="425"/>
      <c r="BT15" s="425"/>
      <c r="BU15" s="425"/>
      <c r="BV15" s="425"/>
      <c r="BW15" s="425"/>
      <c r="BX15" s="425"/>
      <c r="BY15" s="425"/>
      <c r="BZ15" s="425"/>
      <c r="CA15" s="425"/>
      <c r="CB15" s="425"/>
      <c r="CC15" s="425"/>
      <c r="CD15" s="425"/>
      <c r="CE15" s="425"/>
      <c r="CF15" s="425"/>
      <c r="CG15" s="425"/>
      <c r="CH15" s="425"/>
      <c r="CI15" s="425"/>
      <c r="CJ15" s="425"/>
      <c r="CK15" s="425"/>
      <c r="CL15" s="425"/>
      <c r="CM15" s="425"/>
      <c r="CN15" s="425"/>
      <c r="CO15" s="425"/>
      <c r="CP15" s="425"/>
      <c r="CQ15" s="425"/>
      <c r="CR15" s="425"/>
      <c r="CS15" s="425"/>
      <c r="CT15" s="425"/>
      <c r="CU15" s="425"/>
      <c r="CV15" s="425"/>
    </row>
    <row r="16" spans="1:100" ht="11.25" customHeight="1">
      <c r="A16" s="434"/>
      <c r="B16" s="442"/>
      <c r="C16" s="443"/>
      <c r="D16" s="443"/>
      <c r="E16" s="443"/>
      <c r="F16" s="443"/>
      <c r="G16" s="443"/>
      <c r="H16" s="472"/>
      <c r="I16" s="472"/>
      <c r="J16" s="473"/>
      <c r="K16" s="473"/>
      <c r="L16" s="473"/>
      <c r="M16" s="473"/>
      <c r="N16" s="473"/>
      <c r="O16" s="473"/>
      <c r="P16" s="473"/>
      <c r="Q16" s="473"/>
      <c r="R16" s="473"/>
      <c r="S16" s="473"/>
      <c r="T16" s="473"/>
      <c r="U16" s="424"/>
      <c r="V16" s="425"/>
      <c r="W16" s="425"/>
      <c r="X16" s="425"/>
      <c r="Y16" s="425"/>
      <c r="Z16" s="425"/>
      <c r="AA16" s="425"/>
      <c r="AH16" s="425"/>
      <c r="AI16" s="425"/>
      <c r="AJ16" s="425"/>
      <c r="AK16" s="425"/>
      <c r="AL16" s="425"/>
      <c r="AM16" s="425"/>
      <c r="AN16" s="428"/>
      <c r="AO16" s="425"/>
      <c r="AP16" s="425"/>
      <c r="AQ16" s="425"/>
      <c r="AR16" s="425"/>
      <c r="AS16" s="425"/>
      <c r="AT16" s="425"/>
      <c r="AU16" s="425"/>
      <c r="AV16" s="425"/>
      <c r="AW16" s="425"/>
      <c r="AX16" s="425"/>
      <c r="AY16" s="462" t="s">
        <v>409</v>
      </c>
      <c r="AZ16" s="474">
        <f>AZ15-7</f>
        <v>-7</v>
      </c>
      <c r="BA16" s="460"/>
      <c r="BB16" s="452"/>
      <c r="BC16" s="452"/>
      <c r="BD16" s="452"/>
      <c r="BE16" s="425"/>
      <c r="BF16" s="425"/>
      <c r="BG16" s="470"/>
      <c r="BH16" s="428"/>
      <c r="BI16" s="425"/>
      <c r="BJ16" s="425"/>
      <c r="BK16" s="425"/>
      <c r="BL16" s="425"/>
      <c r="BM16" s="425"/>
      <c r="BN16" s="425"/>
      <c r="BO16" s="425"/>
      <c r="BP16" s="425"/>
      <c r="BQ16" s="425"/>
      <c r="BR16" s="425"/>
      <c r="BS16" s="425"/>
      <c r="BT16" s="425"/>
      <c r="BU16" s="425"/>
      <c r="BV16" s="425"/>
      <c r="BW16" s="425"/>
      <c r="BX16" s="425"/>
      <c r="BY16" s="425"/>
      <c r="BZ16" s="425"/>
      <c r="CA16" s="425"/>
      <c r="CB16" s="425"/>
      <c r="CC16" s="425"/>
      <c r="CD16" s="425"/>
      <c r="CE16" s="425"/>
      <c r="CF16" s="425"/>
      <c r="CG16" s="425"/>
      <c r="CH16" s="425"/>
      <c r="CI16" s="425"/>
      <c r="CJ16" s="425"/>
      <c r="CK16" s="425"/>
      <c r="CL16" s="425"/>
      <c r="CM16" s="425"/>
      <c r="CN16" s="425"/>
      <c r="CO16" s="425"/>
      <c r="CP16" s="425"/>
      <c r="CQ16" s="425"/>
      <c r="CR16" s="425"/>
      <c r="CS16" s="425"/>
      <c r="CT16" s="425"/>
      <c r="CU16" s="425"/>
      <c r="CV16" s="425"/>
    </row>
    <row r="17" spans="1:100" ht="15" customHeight="1">
      <c r="A17" s="434"/>
      <c r="B17" s="475" t="s">
        <v>410</v>
      </c>
      <c r="C17" s="476" t="s">
        <v>133</v>
      </c>
      <c r="D17" s="477"/>
      <c r="E17" s="477"/>
      <c r="F17" s="477"/>
      <c r="G17" s="477"/>
      <c r="H17" s="473"/>
      <c r="I17" s="473"/>
      <c r="J17" s="473"/>
      <c r="K17" s="473"/>
      <c r="L17" s="516"/>
      <c r="M17" s="516"/>
      <c r="N17" s="516"/>
      <c r="O17" s="516"/>
      <c r="P17" s="516"/>
      <c r="Q17" s="473"/>
      <c r="R17" s="473"/>
      <c r="S17" s="473"/>
      <c r="T17" s="473"/>
      <c r="U17" s="424"/>
      <c r="V17" s="425"/>
      <c r="W17" s="425"/>
      <c r="X17" s="425"/>
      <c r="Y17" s="425"/>
      <c r="Z17" s="425"/>
      <c r="AA17" s="425"/>
      <c r="AH17" s="425"/>
      <c r="AI17" s="425"/>
      <c r="AJ17" s="425"/>
      <c r="AK17" s="425"/>
      <c r="AL17" s="425"/>
      <c r="AM17" s="425"/>
      <c r="AN17" s="428"/>
      <c r="AO17" s="425"/>
      <c r="AP17" s="425"/>
      <c r="AQ17" s="425"/>
      <c r="AR17" s="425"/>
      <c r="AS17" s="425"/>
      <c r="AT17" s="425"/>
      <c r="AU17" s="425"/>
      <c r="AV17" s="425"/>
      <c r="AW17" s="425"/>
      <c r="AX17" s="425"/>
      <c r="AY17" s="462" t="s">
        <v>411</v>
      </c>
      <c r="AZ17" s="478">
        <v>12</v>
      </c>
      <c r="BA17" s="479" t="s">
        <v>1018</v>
      </c>
      <c r="BB17" s="452"/>
      <c r="BC17" s="480"/>
      <c r="BD17" s="452"/>
      <c r="BE17" s="425"/>
      <c r="BF17" s="425"/>
      <c r="BG17" s="481"/>
      <c r="BH17" s="428"/>
      <c r="BI17" s="425"/>
      <c r="BJ17" s="425"/>
      <c r="BK17" s="425"/>
      <c r="BL17" s="425"/>
      <c r="BM17" s="425"/>
      <c r="BN17" s="425"/>
      <c r="BO17" s="425"/>
      <c r="BP17" s="425"/>
      <c r="BQ17" s="425"/>
      <c r="BR17" s="425"/>
      <c r="BS17" s="425"/>
      <c r="BT17" s="425"/>
      <c r="BU17" s="425"/>
      <c r="BV17" s="425"/>
      <c r="BW17" s="425"/>
      <c r="BX17" s="425"/>
      <c r="BY17" s="425"/>
      <c r="BZ17" s="425"/>
      <c r="CA17" s="425"/>
      <c r="CB17" s="425"/>
      <c r="CC17" s="425"/>
      <c r="CD17" s="425"/>
      <c r="CE17" s="425"/>
      <c r="CF17" s="425"/>
      <c r="CG17" s="425"/>
      <c r="CH17" s="425"/>
      <c r="CI17" s="425"/>
      <c r="CJ17" s="425"/>
      <c r="CK17" s="425"/>
      <c r="CL17" s="425"/>
      <c r="CM17" s="425"/>
      <c r="CN17" s="425"/>
      <c r="CO17" s="425"/>
      <c r="CP17" s="425"/>
      <c r="CQ17" s="425"/>
      <c r="CR17" s="425"/>
      <c r="CS17" s="425"/>
      <c r="CT17" s="425"/>
      <c r="CU17" s="425"/>
      <c r="CV17" s="425"/>
    </row>
    <row r="18" spans="1:100" ht="10.5" customHeight="1">
      <c r="A18" s="434"/>
      <c r="B18" s="442"/>
      <c r="C18" s="443"/>
      <c r="D18" s="443"/>
      <c r="E18" s="443"/>
      <c r="F18" s="443"/>
      <c r="G18" s="443"/>
      <c r="H18" s="444"/>
      <c r="I18" s="444"/>
      <c r="J18" s="445"/>
      <c r="K18" s="445"/>
      <c r="L18" s="445"/>
      <c r="M18" s="445"/>
      <c r="N18" s="445"/>
      <c r="O18" s="445"/>
      <c r="P18" s="445"/>
      <c r="Q18" s="445"/>
      <c r="R18" s="445"/>
      <c r="S18" s="445"/>
      <c r="T18" s="445"/>
      <c r="U18" s="424"/>
      <c r="V18" s="425"/>
      <c r="W18" s="425"/>
      <c r="X18" s="425"/>
      <c r="Y18" s="425"/>
      <c r="Z18" s="425"/>
      <c r="AA18" s="425"/>
      <c r="AH18" s="425"/>
      <c r="AI18" s="425"/>
      <c r="AJ18" s="425"/>
      <c r="AK18" s="425"/>
      <c r="AL18" s="425"/>
      <c r="AM18" s="425"/>
      <c r="AN18" s="428"/>
      <c r="AO18" s="425"/>
      <c r="AP18" s="425"/>
      <c r="AQ18" s="425"/>
      <c r="AR18" s="425"/>
      <c r="AS18" s="425"/>
      <c r="AT18" s="425"/>
      <c r="AU18" s="425"/>
      <c r="AV18" s="425"/>
      <c r="AW18" s="425"/>
      <c r="AX18" s="425"/>
      <c r="AY18" s="482" t="s">
        <v>412</v>
      </c>
      <c r="AZ18" s="483">
        <v>2012</v>
      </c>
      <c r="BA18" s="460" t="s">
        <v>1018</v>
      </c>
      <c r="BB18" s="425"/>
      <c r="BC18" s="425"/>
      <c r="BD18" s="425"/>
      <c r="BE18" s="425"/>
      <c r="BF18" s="425"/>
      <c r="BG18" s="470"/>
      <c r="BH18" s="428"/>
      <c r="BI18" s="425"/>
      <c r="BJ18" s="425"/>
      <c r="BK18" s="425"/>
      <c r="BL18" s="425"/>
      <c r="BM18" s="425"/>
      <c r="BN18" s="425"/>
      <c r="BO18" s="425"/>
      <c r="BP18" s="425"/>
      <c r="BQ18" s="425"/>
      <c r="BR18" s="425"/>
      <c r="BS18" s="425"/>
      <c r="BT18" s="425"/>
      <c r="BU18" s="425"/>
      <c r="BV18" s="425"/>
      <c r="BW18" s="425"/>
      <c r="BX18" s="425"/>
      <c r="BY18" s="425"/>
      <c r="BZ18" s="425"/>
      <c r="CA18" s="425"/>
      <c r="CB18" s="425"/>
      <c r="CC18" s="425"/>
      <c r="CD18" s="425"/>
      <c r="CE18" s="425"/>
      <c r="CF18" s="425"/>
      <c r="CG18" s="425"/>
      <c r="CH18" s="425"/>
      <c r="CI18" s="425"/>
      <c r="CJ18" s="425"/>
      <c r="CK18" s="425"/>
      <c r="CL18" s="425"/>
      <c r="CM18" s="425"/>
      <c r="CN18" s="425"/>
      <c r="CO18" s="425"/>
      <c r="CP18" s="425"/>
      <c r="CQ18" s="425"/>
      <c r="CR18" s="425"/>
      <c r="CS18" s="425"/>
      <c r="CT18" s="425"/>
      <c r="CU18" s="425"/>
      <c r="CV18" s="425"/>
    </row>
    <row r="19" spans="1:100" outlineLevel="1">
      <c r="A19" s="434"/>
      <c r="B19" s="442"/>
      <c r="C19" s="424" t="s">
        <v>315</v>
      </c>
      <c r="D19" s="444">
        <v>95</v>
      </c>
      <c r="E19" s="444">
        <v>98</v>
      </c>
      <c r="F19" s="444">
        <v>102</v>
      </c>
      <c r="G19" s="444">
        <v>117</v>
      </c>
      <c r="H19" s="731">
        <v>106</v>
      </c>
      <c r="I19" s="731">
        <v>101</v>
      </c>
      <c r="J19" s="731">
        <v>111</v>
      </c>
      <c r="K19" s="731">
        <v>118</v>
      </c>
      <c r="L19" s="732">
        <v>128</v>
      </c>
      <c r="M19" s="732">
        <v>106</v>
      </c>
      <c r="N19" s="732">
        <v>102</v>
      </c>
      <c r="O19" s="732">
        <v>54</v>
      </c>
      <c r="P19" s="732">
        <v>50</v>
      </c>
      <c r="Q19" s="445">
        <f t="shared" ref="Q19:T19" si="8">P19+P19*(-(Q8-P8))*Q9*100</f>
        <v>50</v>
      </c>
      <c r="R19" s="445">
        <f t="shared" si="8"/>
        <v>50</v>
      </c>
      <c r="S19" s="445">
        <f t="shared" si="8"/>
        <v>50</v>
      </c>
      <c r="T19" s="445">
        <f t="shared" si="8"/>
        <v>50</v>
      </c>
      <c r="U19" s="424"/>
      <c r="V19" s="425"/>
      <c r="W19" s="425"/>
      <c r="X19" s="425"/>
      <c r="Y19" s="425"/>
      <c r="Z19" s="425"/>
      <c r="AA19" s="425"/>
      <c r="AH19" s="425"/>
      <c r="AI19" s="425"/>
      <c r="AJ19" s="425"/>
      <c r="AK19" s="425"/>
      <c r="AL19" s="425"/>
      <c r="AM19" s="425"/>
      <c r="AN19" s="484" t="s">
        <v>413</v>
      </c>
      <c r="AO19" s="425"/>
      <c r="AP19" s="425"/>
      <c r="AQ19" s="425"/>
      <c r="AR19" s="425"/>
      <c r="AS19" s="425"/>
      <c r="AT19" s="425"/>
      <c r="AU19" s="425"/>
      <c r="AV19" s="425"/>
      <c r="AW19" s="425"/>
      <c r="AX19" s="425"/>
      <c r="AY19" s="485" t="s">
        <v>414</v>
      </c>
      <c r="AZ19" s="486" t="s">
        <v>415</v>
      </c>
      <c r="BA19" s="487" t="e">
        <v>#NAME?</v>
      </c>
      <c r="BB19" s="441"/>
      <c r="BC19" s="425"/>
      <c r="BD19" s="425"/>
      <c r="BE19" s="425"/>
      <c r="BF19" s="425"/>
      <c r="BG19" s="488" t="e">
        <v>#NAME?</v>
      </c>
      <c r="BH19" s="489">
        <v>101</v>
      </c>
      <c r="BI19" s="490">
        <v>111</v>
      </c>
      <c r="BJ19" s="490">
        <v>118</v>
      </c>
      <c r="BK19" s="490">
        <v>128</v>
      </c>
      <c r="BL19" s="490">
        <v>106</v>
      </c>
      <c r="BM19" s="490">
        <v>102</v>
      </c>
      <c r="BN19" s="490">
        <v>0</v>
      </c>
      <c r="BO19" s="425"/>
      <c r="BP19" s="425"/>
      <c r="BQ19" s="425"/>
      <c r="BR19" s="425"/>
      <c r="BS19" s="425"/>
      <c r="BT19" s="425"/>
      <c r="BU19" s="425"/>
      <c r="BV19" s="425"/>
      <c r="BW19" s="425"/>
      <c r="BX19" s="425"/>
      <c r="BY19" s="425"/>
      <c r="BZ19" s="425"/>
      <c r="CA19" s="425"/>
      <c r="CB19" s="425"/>
      <c r="CC19" s="425"/>
      <c r="CD19" s="425"/>
      <c r="CE19" s="425"/>
      <c r="CF19" s="425"/>
      <c r="CG19" s="425"/>
      <c r="CH19" s="425"/>
      <c r="CI19" s="425"/>
      <c r="CJ19" s="425"/>
      <c r="CK19" s="425"/>
      <c r="CL19" s="425"/>
      <c r="CM19" s="425"/>
      <c r="CN19" s="425"/>
      <c r="CO19" s="425"/>
      <c r="CP19" s="425"/>
      <c r="CQ19" s="425"/>
      <c r="CR19" s="425"/>
      <c r="CS19" s="425"/>
      <c r="CT19" s="425"/>
      <c r="CU19" s="425"/>
      <c r="CV19" s="425"/>
    </row>
    <row r="20" spans="1:100" outlineLevel="1">
      <c r="A20" s="434"/>
      <c r="B20" s="442"/>
      <c r="C20" s="424" t="s">
        <v>316</v>
      </c>
      <c r="D20" s="444">
        <v>95</v>
      </c>
      <c r="E20" s="444">
        <v>62</v>
      </c>
      <c r="F20" s="444">
        <v>24</v>
      </c>
      <c r="G20" s="444">
        <v>29</v>
      </c>
      <c r="H20" s="731">
        <v>24</v>
      </c>
      <c r="I20" s="731">
        <v>24</v>
      </c>
      <c r="J20" s="731">
        <v>21</v>
      </c>
      <c r="K20" s="731">
        <v>22</v>
      </c>
      <c r="L20" s="732">
        <v>24</v>
      </c>
      <c r="M20" s="732">
        <v>22</v>
      </c>
      <c r="N20" s="732">
        <v>17</v>
      </c>
      <c r="O20" s="732">
        <v>11</v>
      </c>
      <c r="P20" s="732">
        <v>0</v>
      </c>
      <c r="Q20" s="445">
        <f>+P20</f>
        <v>0</v>
      </c>
      <c r="R20" s="445">
        <f>+Q20</f>
        <v>0</v>
      </c>
      <c r="S20" s="445">
        <f>+R20</f>
        <v>0</v>
      </c>
      <c r="T20" s="445">
        <f>+S20</f>
        <v>0</v>
      </c>
      <c r="U20" s="424"/>
      <c r="V20" s="425"/>
      <c r="W20" s="425"/>
      <c r="X20" s="425"/>
      <c r="Y20" s="425"/>
      <c r="Z20" s="425"/>
      <c r="AA20" s="425"/>
      <c r="AH20" s="425"/>
      <c r="AI20" s="425"/>
      <c r="AJ20" s="425"/>
      <c r="AK20" s="425"/>
      <c r="AL20" s="425"/>
      <c r="AM20" s="425"/>
      <c r="AN20" s="491" t="s">
        <v>416</v>
      </c>
      <c r="AO20" s="425"/>
      <c r="AP20" s="425"/>
      <c r="AQ20" s="425"/>
      <c r="AR20" s="425"/>
      <c r="AS20" s="425"/>
      <c r="AT20" s="425"/>
      <c r="AU20" s="425"/>
      <c r="AV20" s="425"/>
      <c r="AW20" s="425"/>
      <c r="AX20" s="425"/>
      <c r="AY20" s="492" t="s">
        <v>314</v>
      </c>
      <c r="AZ20" s="425"/>
      <c r="BA20" s="425"/>
      <c r="BB20" s="425"/>
      <c r="BC20" s="425"/>
      <c r="BD20" s="425"/>
      <c r="BE20" s="425"/>
      <c r="BF20" s="425"/>
      <c r="BG20" s="488" t="e">
        <v>#NAME?</v>
      </c>
      <c r="BH20" s="493">
        <v>24</v>
      </c>
      <c r="BI20" s="490">
        <v>21</v>
      </c>
      <c r="BJ20" s="490">
        <v>22</v>
      </c>
      <c r="BK20" s="490">
        <v>24</v>
      </c>
      <c r="BL20" s="490">
        <v>22</v>
      </c>
      <c r="BM20" s="490">
        <v>17</v>
      </c>
      <c r="BN20" s="490">
        <v>0</v>
      </c>
      <c r="BO20" s="425"/>
      <c r="BP20" s="425"/>
      <c r="BQ20" s="425"/>
      <c r="BR20" s="425"/>
      <c r="BS20" s="425"/>
      <c r="BT20" s="425"/>
      <c r="BU20" s="425"/>
      <c r="BV20" s="425"/>
      <c r="BW20" s="425"/>
      <c r="BX20" s="425"/>
      <c r="BY20" s="425"/>
      <c r="BZ20" s="425"/>
      <c r="CA20" s="425"/>
      <c r="CB20" s="425"/>
      <c r="CC20" s="425"/>
      <c r="CD20" s="425"/>
      <c r="CE20" s="425"/>
      <c r="CF20" s="425"/>
      <c r="CG20" s="425"/>
      <c r="CH20" s="425"/>
      <c r="CI20" s="425"/>
      <c r="CJ20" s="425"/>
      <c r="CK20" s="425"/>
      <c r="CL20" s="425"/>
      <c r="CM20" s="425"/>
      <c r="CN20" s="425"/>
      <c r="CO20" s="425"/>
      <c r="CP20" s="425"/>
      <c r="CQ20" s="425"/>
      <c r="CR20" s="425"/>
      <c r="CS20" s="425"/>
      <c r="CT20" s="425"/>
      <c r="CU20" s="425"/>
      <c r="CV20" s="425"/>
    </row>
    <row r="21" spans="1:100" outlineLevel="1">
      <c r="A21" s="434"/>
      <c r="B21" s="442"/>
      <c r="C21" s="424" t="s">
        <v>317</v>
      </c>
      <c r="D21" s="444">
        <v>430</v>
      </c>
      <c r="E21" s="444">
        <v>407</v>
      </c>
      <c r="F21" s="444">
        <v>435</v>
      </c>
      <c r="G21" s="444">
        <v>547</v>
      </c>
      <c r="H21" s="731">
        <v>605</v>
      </c>
      <c r="I21" s="731">
        <v>543</v>
      </c>
      <c r="J21" s="731">
        <v>511</v>
      </c>
      <c r="K21" s="731">
        <v>467</v>
      </c>
      <c r="L21" s="732">
        <v>403</v>
      </c>
      <c r="M21" s="732">
        <v>396</v>
      </c>
      <c r="N21" s="732">
        <v>263</v>
      </c>
      <c r="O21" s="732">
        <v>258</v>
      </c>
      <c r="P21" s="732">
        <v>235</v>
      </c>
      <c r="Q21" s="445">
        <f t="shared" ref="Q21:T21" si="9">+P35*P8</f>
        <v>244.28</v>
      </c>
      <c r="R21" s="445">
        <f t="shared" si="9"/>
        <v>235.13120000000001</v>
      </c>
      <c r="S21" s="445">
        <f t="shared" si="9"/>
        <v>227.25644799999998</v>
      </c>
      <c r="T21" s="445">
        <f t="shared" si="9"/>
        <v>219.50670592</v>
      </c>
      <c r="U21" s="424"/>
      <c r="V21" s="425"/>
      <c r="W21" s="425"/>
      <c r="X21" s="425"/>
      <c r="Y21" s="425"/>
      <c r="Z21" s="425"/>
      <c r="AA21" s="425"/>
      <c r="AH21" s="425"/>
      <c r="AI21" s="425"/>
      <c r="AJ21" s="425"/>
      <c r="AK21" s="425"/>
      <c r="AL21" s="425"/>
      <c r="AM21" s="425"/>
      <c r="AN21" s="484" t="s">
        <v>417</v>
      </c>
      <c r="AO21" s="425"/>
      <c r="AP21" s="425"/>
      <c r="AQ21" s="425"/>
      <c r="AR21" s="425"/>
      <c r="AS21" s="425"/>
      <c r="AT21" s="425"/>
      <c r="AU21" s="425"/>
      <c r="AV21" s="425"/>
      <c r="AW21" s="425"/>
      <c r="AX21" s="425"/>
      <c r="AY21" s="428" t="s">
        <v>314</v>
      </c>
      <c r="AZ21" s="428">
        <f>MATCH($AY$20,AY21:AY22,0)</f>
        <v>1</v>
      </c>
      <c r="BA21" s="428"/>
      <c r="BB21" s="425"/>
      <c r="BC21" s="425"/>
      <c r="BD21" s="425"/>
      <c r="BE21" s="425"/>
      <c r="BF21" s="425"/>
      <c r="BG21" s="488" t="e">
        <v>#NAME?</v>
      </c>
      <c r="BH21" s="489">
        <v>543</v>
      </c>
      <c r="BI21" s="490">
        <v>511</v>
      </c>
      <c r="BJ21" s="490">
        <v>467</v>
      </c>
      <c r="BK21" s="490">
        <v>403</v>
      </c>
      <c r="BL21" s="490">
        <v>396</v>
      </c>
      <c r="BM21" s="490">
        <v>263</v>
      </c>
      <c r="BN21" s="490">
        <v>0</v>
      </c>
      <c r="BO21" s="425"/>
      <c r="BP21" s="425"/>
      <c r="BQ21" s="425"/>
      <c r="BR21" s="425"/>
      <c r="BS21" s="425"/>
      <c r="BT21" s="425"/>
      <c r="BU21" s="425"/>
      <c r="BV21" s="425"/>
      <c r="BW21" s="425"/>
      <c r="BX21" s="425"/>
      <c r="BY21" s="425"/>
      <c r="BZ21" s="425"/>
      <c r="CA21" s="425"/>
      <c r="CB21" s="425"/>
      <c r="CC21" s="425"/>
      <c r="CD21" s="425"/>
      <c r="CE21" s="425"/>
      <c r="CF21" s="425"/>
      <c r="CG21" s="425"/>
      <c r="CH21" s="425"/>
      <c r="CI21" s="425"/>
      <c r="CJ21" s="425"/>
      <c r="CK21" s="425"/>
      <c r="CL21" s="425"/>
      <c r="CM21" s="425"/>
      <c r="CN21" s="425"/>
      <c r="CO21" s="425"/>
      <c r="CP21" s="425"/>
      <c r="CQ21" s="425"/>
      <c r="CR21" s="425"/>
      <c r="CS21" s="425"/>
      <c r="CT21" s="425"/>
      <c r="CU21" s="425"/>
      <c r="CV21" s="425"/>
    </row>
    <row r="22" spans="1:100" outlineLevel="1">
      <c r="A22" s="434"/>
      <c r="B22" s="442"/>
      <c r="C22" s="424" t="s">
        <v>318</v>
      </c>
      <c r="D22" s="444">
        <v>-548</v>
      </c>
      <c r="E22" s="444">
        <v>-558</v>
      </c>
      <c r="F22" s="444">
        <v>-608</v>
      </c>
      <c r="G22" s="444">
        <v>-757</v>
      </c>
      <c r="H22" s="731">
        <v>-735</v>
      </c>
      <c r="I22" s="731">
        <v>-670</v>
      </c>
      <c r="J22" s="731">
        <v>-623</v>
      </c>
      <c r="K22" s="731">
        <v>-614</v>
      </c>
      <c r="L22" s="732">
        <v>-611</v>
      </c>
      <c r="M22" s="732">
        <v>-563</v>
      </c>
      <c r="N22" s="732">
        <v>-435</v>
      </c>
      <c r="O22" s="732">
        <v>-422</v>
      </c>
      <c r="P22" s="732">
        <v>-390</v>
      </c>
      <c r="Q22" s="445">
        <f t="shared" ref="Q22:T22" si="10">-P42*Q11</f>
        <v>-392.64200000000005</v>
      </c>
      <c r="R22" s="445">
        <f t="shared" si="10"/>
        <v>-383.71247700000004</v>
      </c>
      <c r="S22" s="445">
        <f t="shared" si="10"/>
        <v>-376.97978167450003</v>
      </c>
      <c r="T22" s="445">
        <f t="shared" si="10"/>
        <v>-370.5393967192033</v>
      </c>
      <c r="U22" s="424"/>
      <c r="V22" s="425"/>
      <c r="W22" s="425"/>
      <c r="X22" s="425"/>
      <c r="Y22" s="425"/>
      <c r="Z22" s="425"/>
      <c r="AA22" s="425"/>
      <c r="AH22" s="425"/>
      <c r="AI22" s="425"/>
      <c r="AJ22" s="425"/>
      <c r="AK22" s="425"/>
      <c r="AL22" s="425"/>
      <c r="AM22" s="425"/>
      <c r="AN22" s="491" t="s">
        <v>418</v>
      </c>
      <c r="AO22" s="425"/>
      <c r="AP22" s="425"/>
      <c r="AQ22" s="425"/>
      <c r="AR22" s="425"/>
      <c r="AS22" s="425"/>
      <c r="AT22" s="425"/>
      <c r="AU22" s="425"/>
      <c r="AV22" s="425"/>
      <c r="AW22" s="425"/>
      <c r="AX22" s="425"/>
      <c r="AY22" s="437" t="s">
        <v>419</v>
      </c>
      <c r="AZ22" s="437"/>
      <c r="BA22" s="437"/>
      <c r="BB22" s="437"/>
      <c r="BC22" s="425"/>
      <c r="BD22" s="425"/>
      <c r="BE22" s="425"/>
      <c r="BF22" s="425"/>
      <c r="BG22" s="488" t="e">
        <v>#NAME?</v>
      </c>
      <c r="BH22" s="493">
        <v>-670</v>
      </c>
      <c r="BI22" s="490">
        <v>-623</v>
      </c>
      <c r="BJ22" s="490">
        <v>-614</v>
      </c>
      <c r="BK22" s="490">
        <v>-611</v>
      </c>
      <c r="BL22" s="490">
        <v>-563</v>
      </c>
      <c r="BM22" s="490">
        <v>-435</v>
      </c>
      <c r="BN22" s="490">
        <v>0</v>
      </c>
      <c r="BO22" s="425"/>
      <c r="BP22" s="425"/>
      <c r="BQ22" s="425"/>
      <c r="BR22" s="425"/>
      <c r="BS22" s="425"/>
      <c r="BT22" s="425"/>
      <c r="BU22" s="425"/>
      <c r="BV22" s="425"/>
      <c r="BW22" s="425"/>
      <c r="BX22" s="425"/>
      <c r="BY22" s="425"/>
      <c r="BZ22" s="425"/>
      <c r="CA22" s="425"/>
      <c r="CB22" s="425"/>
      <c r="CC22" s="425"/>
      <c r="CD22" s="425"/>
      <c r="CE22" s="425"/>
      <c r="CF22" s="425"/>
      <c r="CG22" s="425"/>
      <c r="CH22" s="425"/>
      <c r="CI22" s="425"/>
      <c r="CJ22" s="425"/>
      <c r="CK22" s="425"/>
      <c r="CL22" s="425"/>
      <c r="CM22" s="425"/>
      <c r="CN22" s="425"/>
      <c r="CO22" s="425"/>
      <c r="CP22" s="425"/>
      <c r="CQ22" s="425"/>
      <c r="CR22" s="425"/>
      <c r="CS22" s="425"/>
      <c r="CT22" s="425"/>
      <c r="CU22" s="425"/>
      <c r="CV22" s="425"/>
    </row>
    <row r="23" spans="1:100" ht="12.75" hidden="1" customHeight="1" outlineLevel="1">
      <c r="A23" s="434"/>
      <c r="B23" s="435"/>
      <c r="C23" s="431" t="s">
        <v>420</v>
      </c>
      <c r="D23" s="472">
        <f t="shared" ref="D23:K23" si="11">IF(ISNUMBER(D26-SUM(D19:D22)),D26-SUM(D19:D22),0)</f>
        <v>208</v>
      </c>
      <c r="E23" s="472">
        <f t="shared" si="11"/>
        <v>193</v>
      </c>
      <c r="F23" s="472">
        <f t="shared" si="11"/>
        <v>176</v>
      </c>
      <c r="G23" s="472">
        <f t="shared" si="11"/>
        <v>142</v>
      </c>
      <c r="H23" s="494">
        <f t="shared" si="11"/>
        <v>271</v>
      </c>
      <c r="I23" s="494">
        <f t="shared" si="11"/>
        <v>278</v>
      </c>
      <c r="J23" s="494">
        <f t="shared" si="11"/>
        <v>423</v>
      </c>
      <c r="K23" s="494">
        <f t="shared" si="11"/>
        <v>419</v>
      </c>
      <c r="L23" s="444">
        <f>((L32+(-L22-K42*L12)))</f>
        <v>-1173</v>
      </c>
      <c r="M23" s="444">
        <f t="shared" ref="M23:T23" si="12">((M32+(-M22-L42*M12)))</f>
        <v>490</v>
      </c>
      <c r="N23" s="444">
        <f t="shared" si="12"/>
        <v>55</v>
      </c>
      <c r="O23" s="444">
        <f t="shared" si="12"/>
        <v>271.99999999999994</v>
      </c>
      <c r="P23" s="444">
        <f t="shared" si="12"/>
        <v>-169</v>
      </c>
      <c r="Q23" s="444">
        <f t="shared" si="12"/>
        <v>0</v>
      </c>
      <c r="R23" s="444">
        <f t="shared" si="12"/>
        <v>0</v>
      </c>
      <c r="S23" s="444">
        <f t="shared" si="12"/>
        <v>0</v>
      </c>
      <c r="T23" s="444">
        <f t="shared" si="12"/>
        <v>0</v>
      </c>
      <c r="U23" s="495"/>
      <c r="V23" s="496"/>
      <c r="W23" s="496"/>
      <c r="X23" s="426"/>
      <c r="Y23" s="426"/>
      <c r="Z23" s="426"/>
      <c r="AA23" s="426"/>
      <c r="AH23" s="426"/>
      <c r="AI23" s="426"/>
      <c r="AJ23" s="426"/>
      <c r="AK23" s="426"/>
      <c r="AL23" s="426"/>
      <c r="AM23" s="426"/>
      <c r="AN23" s="491"/>
      <c r="AO23" s="426"/>
      <c r="AP23" s="426"/>
      <c r="AQ23" s="426"/>
      <c r="AR23" s="426"/>
      <c r="AS23" s="426"/>
      <c r="AT23" s="426"/>
      <c r="AU23" s="426"/>
      <c r="AV23" s="497" t="s">
        <v>421</v>
      </c>
      <c r="AW23" s="426"/>
      <c r="AX23" s="426"/>
      <c r="AY23" s="426"/>
      <c r="AZ23" s="426"/>
      <c r="BA23" s="426"/>
      <c r="BB23" s="426"/>
      <c r="BC23" s="426"/>
      <c r="BD23" s="426"/>
      <c r="BE23" s="426"/>
      <c r="BF23" s="426"/>
      <c r="BG23" s="427"/>
      <c r="BH23" s="491"/>
      <c r="BI23" s="426"/>
      <c r="BJ23" s="426"/>
      <c r="BK23" s="426"/>
      <c r="BL23" s="426"/>
      <c r="BM23" s="426"/>
      <c r="BN23" s="426"/>
      <c r="BO23" s="426"/>
      <c r="BP23" s="426"/>
      <c r="BQ23" s="426"/>
      <c r="BR23" s="426"/>
      <c r="BS23" s="426"/>
      <c r="BT23" s="426"/>
      <c r="BU23" s="426"/>
      <c r="BV23" s="426"/>
      <c r="BW23" s="426"/>
      <c r="BX23" s="426"/>
      <c r="BY23" s="426"/>
      <c r="BZ23" s="426"/>
      <c r="CA23" s="426"/>
      <c r="CB23" s="426"/>
      <c r="CC23" s="426"/>
      <c r="CD23" s="426"/>
      <c r="CE23" s="426"/>
      <c r="CF23" s="426"/>
      <c r="CG23" s="426"/>
      <c r="CH23" s="426"/>
      <c r="CI23" s="426"/>
      <c r="CJ23" s="426"/>
      <c r="CK23" s="426"/>
      <c r="CL23" s="426"/>
      <c r="CM23" s="426"/>
      <c r="CN23" s="426"/>
      <c r="CO23" s="426"/>
      <c r="CP23" s="426"/>
      <c r="CQ23" s="426"/>
      <c r="CR23" s="426"/>
      <c r="CS23" s="426"/>
      <c r="CT23" s="426"/>
      <c r="CU23" s="426"/>
      <c r="CV23" s="426"/>
    </row>
    <row r="24" spans="1:100" outlineLevel="1">
      <c r="A24" s="434"/>
      <c r="B24" s="435"/>
      <c r="C24" s="431" t="s">
        <v>422</v>
      </c>
      <c r="D24" s="444">
        <f t="shared" ref="D24:J24" si="13">IF(ISERROR(D26-SUM(D19:D22)),0,D26-SUM(D19:D22))</f>
        <v>208</v>
      </c>
      <c r="E24" s="444">
        <f t="shared" si="13"/>
        <v>193</v>
      </c>
      <c r="F24" s="444">
        <f t="shared" si="13"/>
        <v>176</v>
      </c>
      <c r="G24" s="444">
        <f t="shared" si="13"/>
        <v>142</v>
      </c>
      <c r="H24" s="444">
        <f t="shared" si="13"/>
        <v>271</v>
      </c>
      <c r="I24" s="444">
        <f t="shared" si="13"/>
        <v>278</v>
      </c>
      <c r="J24" s="444">
        <f t="shared" si="13"/>
        <v>423</v>
      </c>
      <c r="K24" s="444">
        <f t="shared" ref="K24:P24" si="14">IF(ISERROR(K26-SUM(K19:K22)),0,K26-SUM(K19:K22))</f>
        <v>419</v>
      </c>
      <c r="L24" s="444">
        <f t="shared" si="14"/>
        <v>452</v>
      </c>
      <c r="M24" s="444">
        <f t="shared" si="14"/>
        <v>376</v>
      </c>
      <c r="N24" s="444">
        <f t="shared" si="14"/>
        <v>344</v>
      </c>
      <c r="O24" s="444">
        <f t="shared" si="14"/>
        <v>205</v>
      </c>
      <c r="P24" s="444">
        <f t="shared" si="14"/>
        <v>214</v>
      </c>
      <c r="Q24" s="444">
        <f>P24+((Q32+(-Q22-P42*Q12))/Q10)</f>
        <v>214</v>
      </c>
      <c r="R24" s="444">
        <f>Q24+((R32+(-R22-Q42*R12))/R10)</f>
        <v>214</v>
      </c>
      <c r="S24" s="444">
        <f>R24+((S32+(-S22-R42*S12))/S10)</f>
        <v>214</v>
      </c>
      <c r="T24" s="444">
        <f>S24+((T32+(-T22-S42*T12))/T10)</f>
        <v>214</v>
      </c>
      <c r="U24" s="424">
        <v>0</v>
      </c>
      <c r="V24" s="424" t="b">
        <v>0</v>
      </c>
      <c r="W24" s="426"/>
      <c r="X24" s="426"/>
      <c r="Y24" s="426"/>
      <c r="Z24" s="426"/>
      <c r="AA24" s="426"/>
      <c r="AH24" s="426"/>
      <c r="AI24" s="426"/>
      <c r="AJ24" s="426"/>
      <c r="AK24" s="426"/>
      <c r="AL24" s="426"/>
      <c r="AM24" s="426"/>
      <c r="AN24" s="491"/>
      <c r="AO24" s="426"/>
      <c r="AP24" s="426"/>
      <c r="AQ24" s="426"/>
      <c r="AR24" s="426"/>
      <c r="AS24" s="426"/>
      <c r="AT24" s="426"/>
      <c r="AU24" s="426"/>
      <c r="AV24" s="426" t="s">
        <v>421</v>
      </c>
      <c r="AW24" s="426"/>
      <c r="AX24" s="426"/>
      <c r="AY24" s="426"/>
      <c r="AZ24" s="426"/>
      <c r="BA24" s="426"/>
      <c r="BB24" s="426"/>
      <c r="BC24" s="426"/>
      <c r="BD24" s="426"/>
      <c r="BE24" s="426"/>
      <c r="BF24" s="426"/>
      <c r="BG24" s="488"/>
      <c r="BH24" s="491"/>
      <c r="BI24" s="426"/>
      <c r="BJ24" s="426"/>
      <c r="BK24" s="426"/>
      <c r="BL24" s="426"/>
      <c r="BM24" s="426"/>
      <c r="BN24" s="426"/>
      <c r="BO24" s="426"/>
      <c r="BP24" s="426"/>
      <c r="BQ24" s="426"/>
      <c r="BR24" s="426"/>
      <c r="BS24" s="426"/>
      <c r="BT24" s="426"/>
      <c r="BU24" s="426"/>
      <c r="BV24" s="426"/>
      <c r="BW24" s="426"/>
      <c r="BX24" s="426"/>
      <c r="BY24" s="426"/>
      <c r="BZ24" s="426"/>
      <c r="CA24" s="426"/>
      <c r="CB24" s="426"/>
      <c r="CC24" s="426"/>
      <c r="CD24" s="426"/>
      <c r="CE24" s="426"/>
      <c r="CF24" s="426"/>
      <c r="CG24" s="426"/>
      <c r="CH24" s="426"/>
      <c r="CI24" s="426"/>
      <c r="CJ24" s="426"/>
      <c r="CK24" s="426"/>
      <c r="CL24" s="426"/>
      <c r="CM24" s="426"/>
      <c r="CN24" s="426"/>
      <c r="CO24" s="426"/>
      <c r="CP24" s="426"/>
      <c r="CQ24" s="426"/>
      <c r="CR24" s="426"/>
      <c r="CS24" s="426"/>
      <c r="CT24" s="426"/>
      <c r="CU24" s="426"/>
      <c r="CV24" s="426"/>
    </row>
    <row r="25" spans="1:100">
      <c r="A25" s="434"/>
      <c r="B25" s="442"/>
      <c r="C25" s="499" t="s">
        <v>424</v>
      </c>
      <c r="D25" s="500">
        <f t="shared" ref="D25:J25" si="15">CHOOSE(dropDown,SUM(D19:D22)+D24,SUM(D19:D23))</f>
        <v>280</v>
      </c>
      <c r="E25" s="500">
        <f t="shared" si="15"/>
        <v>202</v>
      </c>
      <c r="F25" s="500">
        <f t="shared" si="15"/>
        <v>129</v>
      </c>
      <c r="G25" s="500">
        <f t="shared" si="15"/>
        <v>78</v>
      </c>
      <c r="H25" s="500">
        <f t="shared" si="15"/>
        <v>271</v>
      </c>
      <c r="I25" s="500">
        <f t="shared" si="15"/>
        <v>276</v>
      </c>
      <c r="J25" s="500">
        <f t="shared" si="15"/>
        <v>443</v>
      </c>
      <c r="K25" s="500">
        <f t="shared" ref="K25:T25" si="16">CHOOSE(dropDown,SUM(K19:K22)+K24,SUM(K19:K23))</f>
        <v>412</v>
      </c>
      <c r="L25" s="500">
        <f t="shared" si="16"/>
        <v>396</v>
      </c>
      <c r="M25" s="500">
        <f>CHOOSE(dropDown,SUM(M19:M22)+M24,SUM(M19:M23))</f>
        <v>337</v>
      </c>
      <c r="N25" s="501">
        <f t="shared" si="16"/>
        <v>291</v>
      </c>
      <c r="O25" s="501">
        <f t="shared" si="16"/>
        <v>106</v>
      </c>
      <c r="P25" s="501">
        <f t="shared" si="16"/>
        <v>109</v>
      </c>
      <c r="Q25" s="501">
        <f t="shared" si="16"/>
        <v>115.63799999999992</v>
      </c>
      <c r="R25" s="501">
        <f t="shared" si="16"/>
        <v>115.418723</v>
      </c>
      <c r="S25" s="501">
        <f t="shared" si="16"/>
        <v>114.27666632549995</v>
      </c>
      <c r="T25" s="501">
        <f t="shared" si="16"/>
        <v>112.96730920079671</v>
      </c>
      <c r="U25" s="424"/>
      <c r="V25" s="425"/>
      <c r="W25" s="425"/>
      <c r="X25" s="425"/>
      <c r="Y25" s="425"/>
      <c r="Z25" s="425"/>
      <c r="AA25" s="425"/>
      <c r="AH25" s="425"/>
      <c r="AI25" s="425"/>
      <c r="AJ25" s="425"/>
      <c r="AK25" s="425"/>
      <c r="AL25" s="425"/>
      <c r="AM25" s="425"/>
      <c r="AN25" s="491"/>
      <c r="AO25" s="425"/>
      <c r="AP25" s="425"/>
      <c r="AQ25" s="425"/>
      <c r="AR25" s="425"/>
      <c r="AS25" s="425"/>
      <c r="AT25" s="425"/>
      <c r="AU25" s="425"/>
      <c r="AV25" s="498" t="s">
        <v>423</v>
      </c>
      <c r="AW25" s="473">
        <v>6</v>
      </c>
      <c r="AX25" s="424" t="str">
        <f>"ISO4217:"&amp;Pension!$AQ$186</f>
        <v>ISO4217:USD</v>
      </c>
      <c r="AY25" s="424" t="b">
        <v>0</v>
      </c>
      <c r="AZ25" s="424" t="b">
        <v>0</v>
      </c>
      <c r="BA25" s="425"/>
      <c r="BB25" s="425"/>
      <c r="BC25" s="425"/>
      <c r="BD25" s="425"/>
      <c r="BE25" s="425"/>
      <c r="BF25" s="425"/>
      <c r="BG25" s="502"/>
      <c r="BH25" s="491"/>
      <c r="BI25" s="425"/>
      <c r="BJ25" s="425"/>
      <c r="BK25" s="425"/>
      <c r="BL25" s="425"/>
      <c r="BM25" s="425"/>
      <c r="BN25" s="425"/>
      <c r="BO25" s="425"/>
      <c r="BP25" s="425"/>
      <c r="BQ25" s="425"/>
      <c r="BR25" s="425"/>
      <c r="BS25" s="425"/>
      <c r="BT25" s="425"/>
      <c r="BU25" s="425"/>
      <c r="BV25" s="425"/>
      <c r="BW25" s="425"/>
      <c r="BX25" s="425"/>
      <c r="BY25" s="425"/>
      <c r="BZ25" s="425"/>
      <c r="CA25" s="425"/>
      <c r="CB25" s="425"/>
      <c r="CC25" s="425"/>
      <c r="CD25" s="425"/>
      <c r="CE25" s="425"/>
      <c r="CF25" s="425"/>
      <c r="CG25" s="425"/>
      <c r="CH25" s="425"/>
      <c r="CI25" s="425"/>
      <c r="CJ25" s="425"/>
      <c r="CK25" s="425"/>
      <c r="CL25" s="425"/>
      <c r="CM25" s="425"/>
      <c r="CN25" s="425"/>
      <c r="CO25" s="425"/>
      <c r="CP25" s="425"/>
      <c r="CQ25" s="425"/>
      <c r="CR25" s="425"/>
      <c r="CS25" s="425"/>
      <c r="CT25" s="425"/>
      <c r="CU25" s="425"/>
      <c r="CV25" s="425"/>
    </row>
    <row r="26" spans="1:100">
      <c r="A26" s="434"/>
      <c r="B26" s="442"/>
      <c r="C26" s="436"/>
      <c r="D26" s="503">
        <v>280</v>
      </c>
      <c r="E26" s="743">
        <v>202</v>
      </c>
      <c r="F26" s="743">
        <v>129</v>
      </c>
      <c r="G26" s="743">
        <v>78</v>
      </c>
      <c r="H26" s="744">
        <v>271</v>
      </c>
      <c r="I26" s="731">
        <v>276</v>
      </c>
      <c r="J26" s="731">
        <v>443</v>
      </c>
      <c r="K26" s="731">
        <v>412</v>
      </c>
      <c r="L26" s="731">
        <v>396</v>
      </c>
      <c r="M26" s="731">
        <v>337</v>
      </c>
      <c r="N26" s="731">
        <v>291</v>
      </c>
      <c r="O26" s="731">
        <v>106</v>
      </c>
      <c r="P26" s="731">
        <v>109</v>
      </c>
      <c r="Q26" s="503"/>
      <c r="R26" s="503"/>
      <c r="S26" s="503"/>
      <c r="T26" s="503"/>
      <c r="U26" s="424"/>
      <c r="V26" s="425"/>
      <c r="W26" s="425"/>
      <c r="X26" s="425"/>
      <c r="Y26" s="425"/>
      <c r="Z26" s="425"/>
      <c r="AA26" s="425"/>
      <c r="AH26" s="425"/>
      <c r="AI26" s="425"/>
      <c r="AJ26" s="425"/>
      <c r="AK26" s="425"/>
      <c r="AL26" s="425"/>
      <c r="AM26" s="425"/>
      <c r="AN26" s="491" t="s">
        <v>425</v>
      </c>
      <c r="AO26" s="425"/>
      <c r="AP26" s="425"/>
      <c r="AQ26" s="425"/>
      <c r="AR26" s="425"/>
      <c r="AS26" s="425"/>
      <c r="AT26" s="425"/>
      <c r="AU26" s="425"/>
      <c r="AV26" s="425"/>
      <c r="AW26" s="425"/>
      <c r="AX26" s="425"/>
      <c r="AY26" s="425"/>
      <c r="AZ26" s="425"/>
      <c r="BA26" s="425"/>
      <c r="BB26" s="425"/>
      <c r="BC26" s="425"/>
      <c r="BD26" s="425"/>
      <c r="BE26" s="425"/>
      <c r="BF26" s="425"/>
      <c r="BG26" s="505" t="e">
        <v>#NAME?</v>
      </c>
      <c r="BH26" s="493">
        <v>276</v>
      </c>
      <c r="BI26" s="490">
        <v>443</v>
      </c>
      <c r="BJ26" s="490">
        <v>412</v>
      </c>
      <c r="BK26" s="490">
        <v>396</v>
      </c>
      <c r="BL26" s="490">
        <v>337</v>
      </c>
      <c r="BM26" s="490">
        <v>291</v>
      </c>
      <c r="BN26" s="490">
        <v>0</v>
      </c>
      <c r="BO26" s="425"/>
      <c r="BP26" s="425"/>
      <c r="BQ26" s="425"/>
      <c r="BR26" s="425"/>
      <c r="BS26" s="425"/>
      <c r="BT26" s="425"/>
      <c r="BU26" s="425"/>
      <c r="BV26" s="425"/>
      <c r="BW26" s="425"/>
      <c r="BX26" s="425"/>
      <c r="BY26" s="425"/>
      <c r="BZ26" s="425"/>
      <c r="CA26" s="425"/>
      <c r="CB26" s="425"/>
      <c r="CC26" s="506" t="s">
        <v>426</v>
      </c>
      <c r="CD26" s="425">
        <f>CD38</f>
        <v>2009</v>
      </c>
      <c r="CE26" s="425">
        <f>CE38</f>
        <v>2010</v>
      </c>
      <c r="CF26" s="425">
        <f>CF38</f>
        <v>2011</v>
      </c>
      <c r="CG26" s="425">
        <f>CG38</f>
        <v>2012</v>
      </c>
      <c r="CH26" s="425"/>
      <c r="CI26" s="425"/>
      <c r="CJ26" s="425"/>
      <c r="CK26" s="425"/>
      <c r="CL26" s="425"/>
      <c r="CM26" s="425"/>
      <c r="CN26" s="425"/>
      <c r="CO26" s="425"/>
      <c r="CP26" s="425"/>
      <c r="CQ26" s="425"/>
      <c r="CR26" s="425"/>
      <c r="CS26" s="425"/>
      <c r="CT26" s="425"/>
      <c r="CU26" s="425"/>
      <c r="CV26" s="425"/>
    </row>
    <row r="27" spans="1:100">
      <c r="A27" s="434"/>
      <c r="B27" s="475" t="s">
        <v>427</v>
      </c>
      <c r="C27" s="476" t="s">
        <v>600</v>
      </c>
      <c r="D27" s="477"/>
      <c r="E27" s="590"/>
      <c r="F27" s="477"/>
      <c r="G27" s="477"/>
      <c r="H27" s="444"/>
      <c r="I27" s="444"/>
      <c r="J27" s="445"/>
      <c r="K27" s="445"/>
      <c r="L27" s="445"/>
      <c r="M27" s="445"/>
      <c r="N27" s="445"/>
      <c r="O27" s="445"/>
      <c r="P27" s="445"/>
      <c r="Q27" s="445"/>
      <c r="R27" s="445"/>
      <c r="S27" s="445"/>
      <c r="T27" s="445"/>
      <c r="U27" s="424"/>
      <c r="V27" s="425"/>
      <c r="W27" s="425"/>
      <c r="X27" s="425"/>
      <c r="Y27" s="425"/>
      <c r="Z27" s="425"/>
      <c r="AA27" s="425"/>
      <c r="AH27" s="425"/>
      <c r="AI27" s="425"/>
      <c r="AJ27" s="425"/>
      <c r="AK27" s="425"/>
      <c r="AL27" s="425"/>
      <c r="AM27" s="425"/>
      <c r="AN27" s="428"/>
      <c r="AO27" s="425"/>
      <c r="AP27" s="425"/>
      <c r="AQ27" s="425"/>
      <c r="AR27" s="425"/>
      <c r="AS27" s="425"/>
      <c r="AT27" s="425"/>
      <c r="AU27" s="425"/>
      <c r="AV27" s="425"/>
      <c r="AW27" s="425"/>
      <c r="AX27" s="425"/>
      <c r="AY27" s="425"/>
      <c r="AZ27" s="425"/>
      <c r="BA27" s="425"/>
      <c r="BB27" s="425"/>
      <c r="BC27" s="425"/>
      <c r="BD27" s="425"/>
      <c r="BE27" s="425"/>
      <c r="BF27" s="425"/>
      <c r="BG27" s="481"/>
      <c r="BH27" s="428"/>
      <c r="BI27" s="425"/>
      <c r="BJ27" s="425"/>
      <c r="BK27" s="425"/>
      <c r="BL27" s="425"/>
      <c r="BM27" s="425"/>
      <c r="BN27" s="425"/>
      <c r="BO27" s="425"/>
      <c r="BP27" s="425"/>
      <c r="BQ27" s="425"/>
      <c r="BR27" s="425"/>
      <c r="BS27" s="425"/>
      <c r="BT27" s="425"/>
      <c r="BU27" s="425"/>
      <c r="BV27" s="425"/>
      <c r="BW27" s="425"/>
      <c r="BX27" s="425"/>
      <c r="BY27" s="425"/>
      <c r="BZ27" s="425"/>
      <c r="CA27" s="425"/>
      <c r="CB27" s="425"/>
      <c r="CC27" s="426" t="s">
        <v>153</v>
      </c>
      <c r="CD27" s="507">
        <v>0.62</v>
      </c>
      <c r="CE27" s="507">
        <v>0.63</v>
      </c>
      <c r="CF27" s="507">
        <v>0.54</v>
      </c>
      <c r="CG27" s="507">
        <v>0.46</v>
      </c>
      <c r="CH27" s="492" t="e">
        <v>#NAME?</v>
      </c>
      <c r="CI27" s="508">
        <v>0.56949470000000002</v>
      </c>
      <c r="CJ27" s="508">
        <v>0.57208720000000002</v>
      </c>
      <c r="CK27" s="508">
        <v>0</v>
      </c>
      <c r="CL27" s="425"/>
      <c r="CM27" s="425"/>
      <c r="CN27" s="425"/>
      <c r="CO27" s="425"/>
      <c r="CP27" s="425"/>
      <c r="CQ27" s="425"/>
      <c r="CR27" s="425"/>
      <c r="CS27" s="425"/>
      <c r="CT27" s="425"/>
      <c r="CU27" s="425"/>
      <c r="CV27" s="509" t="s">
        <v>428</v>
      </c>
    </row>
    <row r="28" spans="1:100" ht="7.5" customHeight="1">
      <c r="A28" s="434"/>
      <c r="B28" s="442"/>
      <c r="C28" s="443"/>
      <c r="D28" s="443"/>
      <c r="E28" s="443"/>
      <c r="F28" s="443"/>
      <c r="G28" s="443"/>
      <c r="H28" s="444"/>
      <c r="I28" s="444"/>
      <c r="J28" s="445"/>
      <c r="K28" s="445"/>
      <c r="L28" s="445"/>
      <c r="M28" s="445"/>
      <c r="N28" s="445"/>
      <c r="O28" s="445"/>
      <c r="P28" s="445"/>
      <c r="Q28" s="445"/>
      <c r="R28" s="445"/>
      <c r="S28" s="445"/>
      <c r="T28" s="445"/>
      <c r="U28" s="424"/>
      <c r="V28" s="425"/>
      <c r="W28" s="425"/>
      <c r="X28" s="425"/>
      <c r="Y28" s="425"/>
      <c r="Z28" s="425"/>
      <c r="AA28" s="425"/>
      <c r="AH28" s="425"/>
      <c r="AI28" s="425"/>
      <c r="AJ28" s="425"/>
      <c r="AK28" s="425"/>
      <c r="AL28" s="425"/>
      <c r="AM28" s="425"/>
      <c r="AN28" s="428"/>
      <c r="AO28" s="425"/>
      <c r="AP28" s="425"/>
      <c r="AQ28" s="425"/>
      <c r="AR28" s="425"/>
      <c r="AS28" s="425"/>
      <c r="AT28" s="425"/>
      <c r="AU28" s="425"/>
      <c r="AV28" s="425"/>
      <c r="AW28" s="425"/>
      <c r="AX28" s="425"/>
      <c r="AY28" s="425"/>
      <c r="AZ28" s="425"/>
      <c r="BA28" s="425"/>
      <c r="BB28" s="425"/>
      <c r="BC28" s="425"/>
      <c r="BD28" s="425"/>
      <c r="BE28" s="425"/>
      <c r="BF28" s="425"/>
      <c r="BG28" s="470"/>
      <c r="BH28" s="428"/>
      <c r="BI28" s="425"/>
      <c r="BJ28" s="425"/>
      <c r="BK28" s="425"/>
      <c r="BL28" s="425"/>
      <c r="BM28" s="425"/>
      <c r="BN28" s="425"/>
      <c r="BO28" s="425"/>
      <c r="BP28" s="425"/>
      <c r="BQ28" s="425"/>
      <c r="BR28" s="425"/>
      <c r="BS28" s="425"/>
      <c r="BT28" s="425"/>
      <c r="BU28" s="425"/>
      <c r="BV28" s="425"/>
      <c r="BW28" s="425"/>
      <c r="BX28" s="425"/>
      <c r="BY28" s="425"/>
      <c r="BZ28" s="425"/>
      <c r="CA28" s="425"/>
      <c r="CB28" s="425"/>
      <c r="CC28" s="426" t="s">
        <v>154</v>
      </c>
      <c r="CD28" s="507">
        <v>0.28000000000000003</v>
      </c>
      <c r="CE28" s="507">
        <v>0.25</v>
      </c>
      <c r="CF28" s="507">
        <v>0.27</v>
      </c>
      <c r="CG28" s="507">
        <v>0.32</v>
      </c>
      <c r="CH28" s="492" t="e">
        <v>#NAME?</v>
      </c>
      <c r="CI28" s="508">
        <v>0.28333069999999999</v>
      </c>
      <c r="CJ28" s="508">
        <v>0.27487139999999999</v>
      </c>
      <c r="CK28" s="508">
        <v>0</v>
      </c>
      <c r="CL28" s="425"/>
      <c r="CM28" s="425"/>
      <c r="CN28" s="425"/>
      <c r="CO28" s="425"/>
      <c r="CP28" s="425"/>
      <c r="CQ28" s="425"/>
      <c r="CR28" s="425"/>
      <c r="CS28" s="425"/>
      <c r="CT28" s="425"/>
      <c r="CU28" s="425"/>
      <c r="CV28" s="509" t="s">
        <v>429</v>
      </c>
    </row>
    <row r="29" spans="1:100" outlineLevel="1">
      <c r="A29" s="434"/>
      <c r="B29" s="442"/>
      <c r="C29" s="424" t="s">
        <v>430</v>
      </c>
      <c r="D29" s="444">
        <v>7935</v>
      </c>
      <c r="E29" s="444">
        <f t="shared" ref="E29:J29" si="17">D35</f>
        <v>7784</v>
      </c>
      <c r="F29" s="444">
        <f t="shared" si="17"/>
        <v>7306</v>
      </c>
      <c r="G29" s="444">
        <f t="shared" si="17"/>
        <v>10638</v>
      </c>
      <c r="H29" s="444">
        <f t="shared" si="17"/>
        <v>9572</v>
      </c>
      <c r="I29" s="444">
        <f t="shared" si="17"/>
        <v>9988</v>
      </c>
      <c r="J29" s="444">
        <f t="shared" si="17"/>
        <v>10630</v>
      </c>
      <c r="K29" s="444">
        <f>J35</f>
        <v>10770</v>
      </c>
      <c r="L29" s="444">
        <f>+K35</f>
        <v>11347</v>
      </c>
      <c r="M29" s="444">
        <f>+L35</f>
        <v>10257</v>
      </c>
      <c r="N29" s="444">
        <f t="shared" ref="N29:T29" si="18">+M35</f>
        <v>7319</v>
      </c>
      <c r="O29" s="444">
        <f t="shared" si="18"/>
        <v>6374</v>
      </c>
      <c r="P29" s="444">
        <f t="shared" si="18"/>
        <v>6214</v>
      </c>
      <c r="Q29" s="444">
        <f t="shared" si="18"/>
        <v>6107</v>
      </c>
      <c r="R29" s="444">
        <f t="shared" si="18"/>
        <v>5878.28</v>
      </c>
      <c r="S29" s="444">
        <f t="shared" si="18"/>
        <v>5681.4111999999996</v>
      </c>
      <c r="T29" s="444">
        <f t="shared" si="18"/>
        <v>5487.6676479999996</v>
      </c>
      <c r="U29" s="424"/>
      <c r="V29" s="425"/>
      <c r="W29" s="425"/>
      <c r="X29" s="425"/>
      <c r="Y29" s="425"/>
      <c r="Z29" s="425"/>
      <c r="AA29" s="425"/>
      <c r="AH29" s="425"/>
      <c r="AI29" s="425"/>
      <c r="AJ29" s="425"/>
      <c r="AK29" s="425"/>
      <c r="AL29" s="425"/>
      <c r="AM29" s="425"/>
      <c r="AN29" s="509" t="s">
        <v>431</v>
      </c>
      <c r="AO29" s="425"/>
      <c r="AP29" s="425"/>
      <c r="AQ29" s="425"/>
      <c r="AR29" s="425"/>
      <c r="AS29" s="425"/>
      <c r="AT29" s="425"/>
      <c r="AU29" s="425"/>
      <c r="AV29" s="425"/>
      <c r="AW29" s="425"/>
      <c r="AX29" s="425"/>
      <c r="AY29" s="425"/>
      <c r="AZ29" s="425"/>
      <c r="BA29" s="425"/>
      <c r="BB29" s="425"/>
      <c r="BC29" s="425"/>
      <c r="BD29" s="425"/>
      <c r="BE29" s="425"/>
      <c r="BF29" s="425"/>
      <c r="BG29" s="488" t="e">
        <v>#NAME?</v>
      </c>
      <c r="BH29" s="509"/>
      <c r="BI29" s="425"/>
      <c r="BJ29" s="425"/>
      <c r="BK29" s="425"/>
      <c r="BL29" s="425"/>
      <c r="BM29" s="425"/>
      <c r="BN29" s="425"/>
      <c r="BO29" s="425"/>
      <c r="BP29" s="425"/>
      <c r="BQ29" s="425"/>
      <c r="BR29" s="425"/>
      <c r="BS29" s="425"/>
      <c r="BT29" s="425"/>
      <c r="BU29" s="425"/>
      <c r="BV29" s="425"/>
      <c r="BW29" s="425"/>
      <c r="BX29" s="425"/>
      <c r="BY29" s="425"/>
      <c r="BZ29" s="425"/>
      <c r="CA29" s="425"/>
      <c r="CB29" s="425"/>
      <c r="CC29" s="426" t="s">
        <v>155</v>
      </c>
      <c r="CD29" s="507">
        <v>0</v>
      </c>
      <c r="CE29" s="507">
        <v>0</v>
      </c>
      <c r="CF29" s="507">
        <v>0.03</v>
      </c>
      <c r="CG29" s="507">
        <v>0.04</v>
      </c>
      <c r="CH29" s="492" t="e">
        <v>#NAME?</v>
      </c>
      <c r="CI29" s="508">
        <v>4.7221800000000001E-2</v>
      </c>
      <c r="CJ29" s="508">
        <v>5.4442299999999999E-2</v>
      </c>
      <c r="CK29" s="508">
        <v>0</v>
      </c>
      <c r="CL29" s="425"/>
      <c r="CM29" s="425"/>
      <c r="CN29" s="425"/>
      <c r="CO29" s="425"/>
      <c r="CP29" s="425"/>
      <c r="CQ29" s="425"/>
      <c r="CR29" s="425"/>
      <c r="CS29" s="425"/>
      <c r="CT29" s="425"/>
      <c r="CU29" s="425"/>
      <c r="CV29" s="509" t="s">
        <v>432</v>
      </c>
    </row>
    <row r="30" spans="1:100" outlineLevel="1">
      <c r="A30" s="434"/>
      <c r="B30" s="442"/>
      <c r="C30" s="424" t="s">
        <v>315</v>
      </c>
      <c r="D30" s="444">
        <f t="shared" ref="D30:K30" si="19">D19</f>
        <v>95</v>
      </c>
      <c r="E30" s="444">
        <f t="shared" si="19"/>
        <v>98</v>
      </c>
      <c r="F30" s="444">
        <f t="shared" si="19"/>
        <v>102</v>
      </c>
      <c r="G30" s="444">
        <f t="shared" si="19"/>
        <v>117</v>
      </c>
      <c r="H30" s="444">
        <f t="shared" si="19"/>
        <v>106</v>
      </c>
      <c r="I30" s="444">
        <f t="shared" si="19"/>
        <v>101</v>
      </c>
      <c r="J30" s="444">
        <f t="shared" si="19"/>
        <v>111</v>
      </c>
      <c r="K30" s="444">
        <f t="shared" si="19"/>
        <v>118</v>
      </c>
      <c r="L30" s="444">
        <f>+L19</f>
        <v>128</v>
      </c>
      <c r="M30" s="444">
        <f>+M19</f>
        <v>106</v>
      </c>
      <c r="N30" s="444">
        <f t="shared" ref="N30:T30" si="20">+N19</f>
        <v>102</v>
      </c>
      <c r="O30" s="444">
        <f t="shared" si="20"/>
        <v>54</v>
      </c>
      <c r="P30" s="444">
        <f t="shared" si="20"/>
        <v>50</v>
      </c>
      <c r="Q30" s="444">
        <f t="shared" si="20"/>
        <v>50</v>
      </c>
      <c r="R30" s="444">
        <f t="shared" si="20"/>
        <v>50</v>
      </c>
      <c r="S30" s="444">
        <f t="shared" si="20"/>
        <v>50</v>
      </c>
      <c r="T30" s="444">
        <f t="shared" si="20"/>
        <v>50</v>
      </c>
      <c r="U30" s="424"/>
      <c r="V30" s="425"/>
      <c r="W30" s="425"/>
      <c r="X30" s="425"/>
      <c r="Y30" s="425"/>
      <c r="Z30" s="425"/>
      <c r="AA30" s="425"/>
      <c r="AH30" s="425"/>
      <c r="AI30" s="425"/>
      <c r="AJ30" s="425"/>
      <c r="AK30" s="425"/>
      <c r="AL30" s="425"/>
      <c r="AM30" s="425"/>
      <c r="AN30" s="428"/>
      <c r="AO30" s="425"/>
      <c r="AP30" s="425"/>
      <c r="AQ30" s="425"/>
      <c r="AR30" s="425"/>
      <c r="AS30" s="425"/>
      <c r="AT30" s="425"/>
      <c r="AU30" s="425"/>
      <c r="AV30" s="425"/>
      <c r="AW30" s="425"/>
      <c r="AX30" s="425"/>
      <c r="AY30" s="425"/>
      <c r="AZ30" s="425"/>
      <c r="BA30" s="425"/>
      <c r="BB30" s="425"/>
      <c r="BC30" s="425"/>
      <c r="BD30" s="425"/>
      <c r="BE30" s="425"/>
      <c r="BF30" s="425"/>
      <c r="BG30" s="488"/>
      <c r="BH30" s="428"/>
      <c r="BI30" s="425"/>
      <c r="BJ30" s="425"/>
      <c r="BK30" s="425"/>
      <c r="BL30" s="425"/>
      <c r="BM30" s="425"/>
      <c r="BN30" s="425"/>
      <c r="BO30" s="425"/>
      <c r="BP30" s="425"/>
      <c r="BQ30" s="425"/>
      <c r="BR30" s="425"/>
      <c r="BS30" s="425"/>
      <c r="BT30" s="425"/>
      <c r="BU30" s="425"/>
      <c r="BV30" s="425"/>
      <c r="BW30" s="425"/>
      <c r="BX30" s="425"/>
      <c r="BY30" s="425"/>
      <c r="BZ30" s="425"/>
      <c r="CA30" s="425"/>
      <c r="CB30" s="425"/>
      <c r="CC30" s="426" t="s">
        <v>156</v>
      </c>
      <c r="CD30" s="507">
        <v>0.1</v>
      </c>
      <c r="CE30" s="507">
        <v>0.12</v>
      </c>
      <c r="CF30" s="507">
        <v>0.16</v>
      </c>
      <c r="CG30" s="507">
        <v>0.18</v>
      </c>
      <c r="CH30" s="492" t="e">
        <v>#NAME?</v>
      </c>
      <c r="CI30" s="508">
        <v>9.9952799999999994E-2</v>
      </c>
      <c r="CJ30" s="508">
        <v>9.8598999999999992E-2</v>
      </c>
      <c r="CK30" s="508">
        <v>0</v>
      </c>
      <c r="CL30" s="425"/>
      <c r="CM30" s="425"/>
      <c r="CN30" s="425"/>
      <c r="CO30" s="425"/>
      <c r="CP30" s="425"/>
      <c r="CQ30" s="425"/>
      <c r="CR30" s="425"/>
      <c r="CS30" s="425"/>
      <c r="CT30" s="425"/>
      <c r="CU30" s="425"/>
      <c r="CV30" s="509" t="s">
        <v>433</v>
      </c>
    </row>
    <row r="31" spans="1:100" outlineLevel="1">
      <c r="A31" s="434"/>
      <c r="B31" s="442"/>
      <c r="C31" s="424" t="s">
        <v>317</v>
      </c>
      <c r="D31" s="444">
        <f t="shared" ref="D31:K31" si="21">D21</f>
        <v>430</v>
      </c>
      <c r="E31" s="444">
        <f t="shared" si="21"/>
        <v>407</v>
      </c>
      <c r="F31" s="444">
        <f t="shared" si="21"/>
        <v>435</v>
      </c>
      <c r="G31" s="444">
        <f t="shared" si="21"/>
        <v>547</v>
      </c>
      <c r="H31" s="444">
        <f t="shared" si="21"/>
        <v>605</v>
      </c>
      <c r="I31" s="444">
        <f t="shared" si="21"/>
        <v>543</v>
      </c>
      <c r="J31" s="444">
        <f t="shared" si="21"/>
        <v>511</v>
      </c>
      <c r="K31" s="444">
        <f t="shared" si="21"/>
        <v>467</v>
      </c>
      <c r="L31" s="444">
        <f>+L21</f>
        <v>403</v>
      </c>
      <c r="M31" s="444">
        <f>+M21</f>
        <v>396</v>
      </c>
      <c r="N31" s="444">
        <f t="shared" ref="N31:T31" si="22">+N21</f>
        <v>263</v>
      </c>
      <c r="O31" s="444">
        <f t="shared" si="22"/>
        <v>258</v>
      </c>
      <c r="P31" s="444">
        <f t="shared" si="22"/>
        <v>235</v>
      </c>
      <c r="Q31" s="444">
        <f t="shared" si="22"/>
        <v>244.28</v>
      </c>
      <c r="R31" s="444">
        <f t="shared" si="22"/>
        <v>235.13120000000001</v>
      </c>
      <c r="S31" s="444">
        <f t="shared" si="22"/>
        <v>227.25644799999998</v>
      </c>
      <c r="T31" s="444">
        <f t="shared" si="22"/>
        <v>219.50670592</v>
      </c>
      <c r="U31" s="424"/>
      <c r="V31" s="425"/>
      <c r="W31" s="425"/>
      <c r="X31" s="425"/>
      <c r="Y31" s="425"/>
      <c r="Z31" s="425"/>
      <c r="AA31" s="425"/>
      <c r="AH31" s="425"/>
      <c r="AI31" s="425"/>
      <c r="AJ31" s="425"/>
      <c r="AK31" s="425"/>
      <c r="AL31" s="425"/>
      <c r="AM31" s="425"/>
      <c r="AN31" s="428"/>
      <c r="AO31" s="425"/>
      <c r="AP31" s="425"/>
      <c r="AQ31" s="425"/>
      <c r="AR31" s="425"/>
      <c r="AS31" s="425"/>
      <c r="AT31" s="425"/>
      <c r="AU31" s="425"/>
      <c r="AV31" s="425"/>
      <c r="AW31" s="425"/>
      <c r="AX31" s="425"/>
      <c r="AY31" s="425"/>
      <c r="AZ31" s="425"/>
      <c r="BA31" s="425"/>
      <c r="BB31" s="425"/>
      <c r="BC31" s="425"/>
      <c r="BD31" s="425"/>
      <c r="BE31" s="425"/>
      <c r="BF31" s="425"/>
      <c r="BG31" s="488"/>
      <c r="BH31" s="428"/>
      <c r="BI31" s="425"/>
      <c r="BJ31" s="425"/>
      <c r="BK31" s="425"/>
      <c r="BL31" s="425"/>
      <c r="BM31" s="425"/>
      <c r="BN31" s="425"/>
      <c r="BO31" s="425"/>
      <c r="BP31" s="425"/>
      <c r="BQ31" s="425"/>
      <c r="BR31" s="425"/>
      <c r="BS31" s="425"/>
      <c r="BT31" s="425"/>
      <c r="BU31" s="425"/>
      <c r="BV31" s="425"/>
      <c r="BW31" s="425"/>
      <c r="BX31" s="425"/>
      <c r="BY31" s="425"/>
      <c r="BZ31" s="425"/>
      <c r="CA31" s="425"/>
      <c r="CB31" s="425"/>
      <c r="CC31" s="506" t="s">
        <v>595</v>
      </c>
      <c r="CD31" s="510">
        <f>SUM(CD27:CD30)</f>
        <v>1</v>
      </c>
      <c r="CE31" s="510">
        <f>SUM(CE27:CE30)</f>
        <v>1</v>
      </c>
      <c r="CF31" s="510">
        <f>SUM(CF27:CF30)</f>
        <v>1</v>
      </c>
      <c r="CG31" s="510">
        <f>SUM(CG27:CG30)</f>
        <v>1</v>
      </c>
      <c r="CH31" s="510"/>
      <c r="CI31" s="510"/>
      <c r="CJ31" s="510"/>
      <c r="CK31" s="510"/>
      <c r="CL31" s="425"/>
      <c r="CM31" s="425"/>
      <c r="CN31" s="425"/>
      <c r="CO31" s="425"/>
      <c r="CP31" s="425"/>
      <c r="CQ31" s="425"/>
      <c r="CR31" s="425"/>
      <c r="CS31" s="425"/>
      <c r="CT31" s="425"/>
      <c r="CU31" s="425"/>
      <c r="CV31" s="425"/>
    </row>
    <row r="32" spans="1:100" outlineLevel="1">
      <c r="A32" s="434"/>
      <c r="B32" s="442"/>
      <c r="C32" s="424" t="s">
        <v>434</v>
      </c>
      <c r="D32" s="511">
        <v>185</v>
      </c>
      <c r="E32" s="511">
        <v>-120</v>
      </c>
      <c r="F32" s="511">
        <v>-51</v>
      </c>
      <c r="G32" s="511">
        <v>-301</v>
      </c>
      <c r="H32" s="731">
        <v>493</v>
      </c>
      <c r="I32" s="731">
        <v>761</v>
      </c>
      <c r="J32" s="731">
        <v>505</v>
      </c>
      <c r="K32" s="731">
        <v>848</v>
      </c>
      <c r="L32" s="731">
        <v>-421</v>
      </c>
      <c r="M32" s="731">
        <v>590</v>
      </c>
      <c r="N32" s="731">
        <v>-402</v>
      </c>
      <c r="O32" s="731">
        <v>264</v>
      </c>
      <c r="P32" s="731">
        <v>214</v>
      </c>
      <c r="Q32" s="444">
        <f t="shared" ref="Q32:T32" si="23">P35*(-(Q8-P8))*Q9</f>
        <v>0</v>
      </c>
      <c r="R32" s="444">
        <f t="shared" si="23"/>
        <v>0</v>
      </c>
      <c r="S32" s="444">
        <f t="shared" si="23"/>
        <v>0</v>
      </c>
      <c r="T32" s="444">
        <f t="shared" si="23"/>
        <v>0</v>
      </c>
      <c r="U32" s="424"/>
      <c r="V32" s="425"/>
      <c r="W32" s="425"/>
      <c r="X32" s="425"/>
      <c r="Y32" s="425"/>
      <c r="Z32" s="425"/>
      <c r="AA32" s="425"/>
      <c r="AH32" s="425"/>
      <c r="AI32" s="425"/>
      <c r="AJ32" s="425"/>
      <c r="AK32" s="425"/>
      <c r="AL32" s="425"/>
      <c r="AM32" s="425"/>
      <c r="AN32" s="428"/>
      <c r="AO32" s="425"/>
      <c r="AP32" s="425"/>
      <c r="AQ32" s="425"/>
      <c r="AR32" s="425"/>
      <c r="AS32" s="425"/>
      <c r="AT32" s="425"/>
      <c r="AU32" s="425"/>
      <c r="AV32" s="425"/>
      <c r="AW32" s="425"/>
      <c r="AX32" s="425"/>
      <c r="AY32" s="425"/>
      <c r="AZ32" s="425"/>
      <c r="BA32" s="425"/>
      <c r="BB32" s="425"/>
      <c r="BC32" s="425"/>
      <c r="BD32" s="425"/>
      <c r="BE32" s="425"/>
      <c r="BF32" s="425"/>
      <c r="BG32" s="444"/>
      <c r="BH32" s="428"/>
      <c r="BI32" s="425"/>
      <c r="BJ32" s="425"/>
      <c r="BK32" s="425"/>
      <c r="BL32" s="425"/>
      <c r="BM32" s="425"/>
      <c r="BN32" s="425"/>
      <c r="BO32" s="425"/>
      <c r="BP32" s="425"/>
      <c r="BQ32" s="425"/>
      <c r="BR32" s="425"/>
      <c r="BS32" s="425"/>
      <c r="BT32" s="425"/>
      <c r="BU32" s="425"/>
      <c r="BV32" s="425"/>
      <c r="BW32" s="425"/>
      <c r="BX32" s="425"/>
      <c r="BY32" s="425"/>
      <c r="BZ32" s="425"/>
      <c r="CA32" s="425"/>
      <c r="CB32" s="425"/>
      <c r="CC32" s="425"/>
      <c r="CD32" s="425"/>
      <c r="CE32" s="425"/>
      <c r="CF32" s="425"/>
      <c r="CG32" s="425"/>
      <c r="CH32" s="513"/>
      <c r="CI32" s="513"/>
      <c r="CJ32" s="513"/>
      <c r="CK32" s="425"/>
      <c r="CL32" s="425"/>
      <c r="CM32" s="425"/>
      <c r="CN32" s="425"/>
      <c r="CO32" s="425"/>
      <c r="CP32" s="425"/>
      <c r="CQ32" s="425"/>
      <c r="CR32" s="425"/>
      <c r="CS32" s="425"/>
      <c r="CT32" s="425"/>
      <c r="CU32" s="425"/>
      <c r="CV32" s="425"/>
    </row>
    <row r="33" spans="1:100" outlineLevel="1">
      <c r="A33" s="434"/>
      <c r="B33" s="442"/>
      <c r="C33" s="424" t="s">
        <v>321</v>
      </c>
      <c r="D33" s="511">
        <v>-873</v>
      </c>
      <c r="E33" s="511">
        <v>-764</v>
      </c>
      <c r="F33" s="511">
        <v>-763</v>
      </c>
      <c r="G33" s="511">
        <v>-897</v>
      </c>
      <c r="H33" s="731">
        <v>-1150</v>
      </c>
      <c r="I33" s="731">
        <v>-935</v>
      </c>
      <c r="J33" s="731">
        <v>-913</v>
      </c>
      <c r="K33" s="731">
        <v>-938</v>
      </c>
      <c r="L33" s="731">
        <v>-950</v>
      </c>
      <c r="M33" s="731">
        <v>-806</v>
      </c>
      <c r="N33" s="731">
        <v>-698</v>
      </c>
      <c r="O33" s="731">
        <v>-685</v>
      </c>
      <c r="P33" s="731">
        <v>-598</v>
      </c>
      <c r="Q33" s="748">
        <v>-523</v>
      </c>
      <c r="R33" s="748">
        <v>-482</v>
      </c>
      <c r="S33" s="748">
        <v>-471</v>
      </c>
      <c r="T33" s="748">
        <v>-455</v>
      </c>
      <c r="U33" s="424"/>
      <c r="V33" s="425"/>
      <c r="W33" s="425"/>
      <c r="X33" s="425"/>
      <c r="Y33" s="425"/>
      <c r="Z33" s="425"/>
      <c r="AA33" s="425"/>
      <c r="AH33" s="425"/>
      <c r="AI33" s="425"/>
      <c r="AJ33" s="425"/>
      <c r="AK33" s="425"/>
      <c r="AL33" s="425"/>
      <c r="AM33" s="425"/>
      <c r="AN33" s="428"/>
      <c r="AO33" s="425"/>
      <c r="AP33" s="425"/>
      <c r="AQ33" s="425"/>
      <c r="AR33" s="426"/>
      <c r="AS33" s="425"/>
      <c r="AT33" s="425"/>
      <c r="AU33" s="425"/>
      <c r="AV33" s="425"/>
      <c r="AW33" s="425"/>
      <c r="AX33" s="425"/>
      <c r="AY33" s="425"/>
      <c r="AZ33" s="425"/>
      <c r="BA33" s="425"/>
      <c r="BB33" s="425"/>
      <c r="BC33" s="425"/>
      <c r="BD33" s="425"/>
      <c r="BE33" s="425"/>
      <c r="BF33" s="425"/>
      <c r="BG33" s="444"/>
      <c r="BH33" s="428"/>
      <c r="BI33" s="425"/>
      <c r="BJ33" s="425"/>
      <c r="BK33" s="425"/>
      <c r="BL33" s="425"/>
      <c r="BM33" s="425"/>
      <c r="BN33" s="425"/>
      <c r="BO33" s="425"/>
      <c r="BP33" s="425"/>
      <c r="BQ33" s="425"/>
      <c r="BR33" s="425"/>
      <c r="BS33" s="425"/>
      <c r="BT33" s="425"/>
      <c r="BU33" s="425"/>
      <c r="BV33" s="425"/>
      <c r="BW33" s="425"/>
      <c r="BX33" s="425"/>
      <c r="BY33" s="425"/>
      <c r="BZ33" s="425"/>
      <c r="CA33" s="425"/>
      <c r="CB33" s="425"/>
      <c r="CC33" s="425"/>
      <c r="CD33" s="425"/>
      <c r="CE33" s="425"/>
      <c r="CF33" s="425"/>
      <c r="CG33" s="425"/>
      <c r="CH33" s="425"/>
      <c r="CI33" s="425"/>
      <c r="CJ33" s="425"/>
      <c r="CK33" s="425"/>
      <c r="CL33" s="425"/>
      <c r="CM33" s="425"/>
      <c r="CN33" s="425"/>
      <c r="CO33" s="425"/>
      <c r="CP33" s="425"/>
      <c r="CQ33" s="425"/>
      <c r="CR33" s="425"/>
      <c r="CS33" s="425"/>
      <c r="CT33" s="425"/>
      <c r="CU33" s="425"/>
      <c r="CV33" s="425"/>
    </row>
    <row r="34" spans="1:100" outlineLevel="1">
      <c r="A34" s="434"/>
      <c r="B34" s="442"/>
      <c r="C34" s="424" t="s">
        <v>150</v>
      </c>
      <c r="D34" s="444">
        <f t="shared" ref="D34:N34" si="24">IF(ISNUMBER(D35-SUM(D29:D33)),D35-SUM(D29:D33),0)</f>
        <v>12</v>
      </c>
      <c r="E34" s="444">
        <f t="shared" si="24"/>
        <v>-99</v>
      </c>
      <c r="F34" s="444">
        <f t="shared" si="24"/>
        <v>3609</v>
      </c>
      <c r="G34" s="444">
        <f t="shared" si="24"/>
        <v>-532</v>
      </c>
      <c r="H34" s="444">
        <f t="shared" si="24"/>
        <v>362</v>
      </c>
      <c r="I34" s="444">
        <f t="shared" si="24"/>
        <v>172</v>
      </c>
      <c r="J34" s="444">
        <f t="shared" si="24"/>
        <v>-74</v>
      </c>
      <c r="K34" s="444">
        <f t="shared" si="24"/>
        <v>82</v>
      </c>
      <c r="L34" s="444">
        <f t="shared" si="24"/>
        <v>-250</v>
      </c>
      <c r="M34" s="444">
        <f t="shared" si="24"/>
        <v>-3224</v>
      </c>
      <c r="N34" s="444">
        <f t="shared" si="24"/>
        <v>-210</v>
      </c>
      <c r="O34" s="444">
        <f t="shared" ref="O34:P34" si="25">IF(ISNUMBER(O35-SUM(O29:O33)),O35-SUM(O29:O33),0)</f>
        <v>-51</v>
      </c>
      <c r="P34" s="444">
        <f t="shared" si="25"/>
        <v>-8</v>
      </c>
      <c r="Q34" s="748">
        <v>0</v>
      </c>
      <c r="R34" s="748">
        <v>0</v>
      </c>
      <c r="S34" s="748">
        <v>0</v>
      </c>
      <c r="T34" s="748">
        <v>0</v>
      </c>
      <c r="U34" s="424"/>
      <c r="V34" s="425"/>
      <c r="W34" s="425"/>
      <c r="X34" s="425"/>
      <c r="Y34" s="425"/>
      <c r="Z34" s="425"/>
      <c r="AA34" s="425"/>
      <c r="AH34" s="425"/>
      <c r="AI34" s="425"/>
      <c r="AJ34" s="425"/>
      <c r="AK34" s="425"/>
      <c r="AL34" s="425"/>
      <c r="AM34" s="425"/>
      <c r="AN34" s="428"/>
      <c r="AO34" s="425"/>
      <c r="AP34" s="425"/>
      <c r="AQ34" s="425"/>
      <c r="AR34" s="425"/>
      <c r="AS34" s="425"/>
      <c r="AT34" s="425"/>
      <c r="AU34" s="425"/>
      <c r="AV34" s="425"/>
      <c r="AW34" s="425"/>
      <c r="AX34" s="425"/>
      <c r="AY34" s="425"/>
      <c r="AZ34" s="425"/>
      <c r="BA34" s="425"/>
      <c r="BB34" s="425"/>
      <c r="BC34" s="425"/>
      <c r="BD34" s="425"/>
      <c r="BE34" s="425"/>
      <c r="BF34" s="425"/>
      <c r="BG34" s="488"/>
      <c r="BH34" s="428"/>
      <c r="BI34" s="425"/>
      <c r="BJ34" s="425"/>
      <c r="BK34" s="425"/>
      <c r="BL34" s="425"/>
      <c r="BM34" s="425"/>
      <c r="BN34" s="425"/>
      <c r="BO34" s="425"/>
      <c r="BP34" s="425"/>
      <c r="BQ34" s="425"/>
      <c r="BR34" s="425"/>
      <c r="BS34" s="425"/>
      <c r="BT34" s="425"/>
      <c r="BU34" s="425"/>
      <c r="BV34" s="425"/>
      <c r="BW34" s="425"/>
      <c r="BX34" s="425"/>
      <c r="BY34" s="425"/>
      <c r="BZ34" s="425"/>
      <c r="CA34" s="425"/>
      <c r="CB34" s="425"/>
      <c r="CC34" s="425"/>
      <c r="CD34" s="425"/>
      <c r="CE34" s="425"/>
      <c r="CF34" s="425"/>
      <c r="CG34" s="425"/>
      <c r="CH34" s="425"/>
      <c r="CI34" s="425"/>
      <c r="CJ34" s="425"/>
      <c r="CK34" s="425"/>
      <c r="CL34" s="425"/>
      <c r="CM34" s="425"/>
      <c r="CN34" s="425"/>
      <c r="CO34" s="425"/>
      <c r="CP34" s="425"/>
      <c r="CQ34" s="425"/>
      <c r="CR34" s="425"/>
      <c r="CS34" s="425"/>
      <c r="CT34" s="425"/>
      <c r="CU34" s="425"/>
      <c r="CV34" s="425"/>
    </row>
    <row r="35" spans="1:100">
      <c r="A35" s="434"/>
      <c r="B35" s="442"/>
      <c r="C35" s="499" t="s">
        <v>435</v>
      </c>
      <c r="D35" s="500">
        <v>7784</v>
      </c>
      <c r="E35" s="500">
        <v>7306</v>
      </c>
      <c r="F35" s="500">
        <v>10638</v>
      </c>
      <c r="G35" s="500">
        <v>9572</v>
      </c>
      <c r="H35" s="734">
        <v>9988</v>
      </c>
      <c r="I35" s="734">
        <v>10630</v>
      </c>
      <c r="J35" s="734">
        <v>10770</v>
      </c>
      <c r="K35" s="734">
        <v>11347</v>
      </c>
      <c r="L35" s="734">
        <v>10257</v>
      </c>
      <c r="M35" s="734">
        <v>7319</v>
      </c>
      <c r="N35" s="734">
        <v>6374</v>
      </c>
      <c r="O35" s="734">
        <v>6214</v>
      </c>
      <c r="P35" s="734">
        <v>6107</v>
      </c>
      <c r="Q35" s="500">
        <f t="shared" ref="Q35:T35" si="26">SUM(Q29:Q34)</f>
        <v>5878.28</v>
      </c>
      <c r="R35" s="500">
        <f t="shared" si="26"/>
        <v>5681.4111999999996</v>
      </c>
      <c r="S35" s="500">
        <f t="shared" si="26"/>
        <v>5487.6676479999996</v>
      </c>
      <c r="T35" s="500">
        <f t="shared" si="26"/>
        <v>5302.1743539199997</v>
      </c>
      <c r="U35" s="514"/>
      <c r="V35" s="425"/>
      <c r="W35" s="425"/>
      <c r="X35" s="425"/>
      <c r="Y35" s="425"/>
      <c r="Z35" s="425"/>
      <c r="AA35" s="425"/>
      <c r="AH35" s="425"/>
      <c r="AI35" s="425"/>
      <c r="AJ35" s="425"/>
      <c r="AK35" s="425"/>
      <c r="AL35" s="425"/>
      <c r="AM35" s="425"/>
      <c r="AN35" s="509" t="s">
        <v>436</v>
      </c>
      <c r="AO35" s="425"/>
      <c r="AP35" s="425"/>
      <c r="AQ35" s="425"/>
      <c r="AR35" s="425"/>
      <c r="AS35" s="425"/>
      <c r="AT35" s="425"/>
      <c r="AU35" s="425"/>
      <c r="AV35" s="425"/>
      <c r="AW35" s="425"/>
      <c r="AX35" s="425"/>
      <c r="AY35" s="425"/>
      <c r="AZ35" s="425"/>
      <c r="BA35" s="425"/>
      <c r="BB35" s="425"/>
      <c r="BC35" s="425"/>
      <c r="BD35" s="425"/>
      <c r="BE35" s="425"/>
      <c r="BF35" s="425"/>
      <c r="BG35" s="502" t="e">
        <v>#NAME?</v>
      </c>
      <c r="BH35" s="515">
        <v>10630</v>
      </c>
      <c r="BI35" s="490">
        <v>10770</v>
      </c>
      <c r="BJ35" s="490">
        <v>11347</v>
      </c>
      <c r="BK35" s="490">
        <v>10257</v>
      </c>
      <c r="BL35" s="490">
        <v>7319</v>
      </c>
      <c r="BM35" s="490">
        <v>6374</v>
      </c>
      <c r="BN35" s="490">
        <v>0</v>
      </c>
      <c r="BO35" s="425"/>
      <c r="BP35" s="425"/>
      <c r="BQ35" s="425"/>
      <c r="BR35" s="425"/>
      <c r="BS35" s="425"/>
      <c r="BT35" s="425"/>
      <c r="BU35" s="425"/>
      <c r="BV35" s="425"/>
      <c r="BW35" s="425"/>
      <c r="BX35" s="425"/>
      <c r="BY35" s="425"/>
      <c r="BZ35" s="425"/>
      <c r="CA35" s="425"/>
      <c r="CB35" s="425"/>
      <c r="CC35" s="425"/>
      <c r="CD35" s="425"/>
      <c r="CE35" s="425"/>
      <c r="CF35" s="425"/>
      <c r="CG35" s="425"/>
      <c r="CH35" s="425"/>
      <c r="CI35" s="425"/>
      <c r="CJ35" s="425"/>
      <c r="CK35" s="425"/>
      <c r="CL35" s="425"/>
      <c r="CM35" s="425"/>
      <c r="CN35" s="425"/>
      <c r="CO35" s="425"/>
      <c r="CP35" s="425"/>
      <c r="CQ35" s="425"/>
      <c r="CR35" s="425"/>
      <c r="CS35" s="425"/>
      <c r="CT35" s="425"/>
      <c r="CU35" s="425"/>
      <c r="CV35" s="425"/>
    </row>
    <row r="36" spans="1:100">
      <c r="A36" s="434"/>
      <c r="B36" s="442"/>
      <c r="C36" s="443"/>
      <c r="D36" s="443"/>
      <c r="E36" s="443"/>
      <c r="F36" s="443"/>
      <c r="G36" s="443"/>
      <c r="H36" s="444"/>
      <c r="I36" s="444"/>
      <c r="J36" s="445"/>
      <c r="K36" s="445"/>
      <c r="L36" s="445"/>
      <c r="M36" s="445"/>
      <c r="N36" s="445"/>
      <c r="O36" s="445"/>
      <c r="P36" s="445"/>
      <c r="Q36" s="445"/>
      <c r="R36" s="445"/>
      <c r="S36" s="445"/>
      <c r="T36" s="445"/>
      <c r="U36" s="424"/>
      <c r="V36" s="425"/>
      <c r="W36" s="425"/>
      <c r="X36" s="425"/>
      <c r="Y36" s="425"/>
      <c r="Z36" s="425"/>
      <c r="AA36" s="425"/>
      <c r="AH36" s="425"/>
      <c r="AI36" s="425"/>
      <c r="AJ36" s="425"/>
      <c r="AK36" s="425"/>
      <c r="AL36" s="425"/>
      <c r="AM36" s="425"/>
      <c r="AN36" s="428"/>
      <c r="AO36" s="425"/>
      <c r="AP36" s="425"/>
      <c r="AQ36" s="425"/>
      <c r="AR36" s="425"/>
      <c r="AS36" s="425"/>
      <c r="AT36" s="425"/>
      <c r="AU36" s="425"/>
      <c r="AV36" s="425"/>
      <c r="AW36" s="425"/>
      <c r="AX36" s="425"/>
      <c r="AY36" s="425"/>
      <c r="AZ36" s="425"/>
      <c r="BA36" s="425"/>
      <c r="BB36" s="425"/>
      <c r="BC36" s="425"/>
      <c r="BD36" s="425"/>
      <c r="BE36" s="425"/>
      <c r="BF36" s="425"/>
      <c r="BG36" s="470"/>
      <c r="BH36" s="428"/>
      <c r="BI36" s="425"/>
      <c r="BJ36" s="425"/>
      <c r="BK36" s="425"/>
      <c r="BL36" s="425"/>
      <c r="BM36" s="425"/>
      <c r="BN36" s="425"/>
      <c r="BO36" s="425"/>
      <c r="BP36" s="425"/>
      <c r="BQ36" s="425"/>
      <c r="BR36" s="425"/>
      <c r="BS36" s="425"/>
      <c r="BT36" s="425"/>
      <c r="BU36" s="425"/>
      <c r="BV36" s="425"/>
      <c r="BW36" s="425"/>
      <c r="BX36" s="425"/>
      <c r="BY36" s="425"/>
      <c r="BZ36" s="425"/>
      <c r="CA36" s="425"/>
      <c r="CB36" s="425"/>
      <c r="CC36" s="425"/>
      <c r="CD36" s="425"/>
      <c r="CE36" s="425"/>
      <c r="CF36" s="425"/>
      <c r="CG36" s="425"/>
      <c r="CH36" s="425"/>
      <c r="CI36" s="425"/>
      <c r="CJ36" s="425"/>
      <c r="CK36" s="425"/>
      <c r="CL36" s="425"/>
      <c r="CM36" s="425"/>
      <c r="CN36" s="425"/>
      <c r="CO36" s="425"/>
      <c r="CP36" s="425"/>
      <c r="CQ36" s="425"/>
      <c r="CR36" s="425"/>
      <c r="CS36" s="425"/>
      <c r="CT36" s="425"/>
      <c r="CU36" s="425"/>
      <c r="CV36" s="425"/>
    </row>
    <row r="37" spans="1:100" outlineLevel="1">
      <c r="A37" s="434"/>
      <c r="B37" s="442"/>
      <c r="C37" s="424" t="s">
        <v>437</v>
      </c>
      <c r="D37" s="444">
        <v>7554</v>
      </c>
      <c r="E37" s="444">
        <f t="shared" ref="E37:K37" si="27">D42</f>
        <v>7178</v>
      </c>
      <c r="F37" s="444">
        <f t="shared" si="27"/>
        <v>7516</v>
      </c>
      <c r="G37" s="444">
        <f t="shared" si="27"/>
        <v>10861</v>
      </c>
      <c r="H37" s="444">
        <f t="shared" si="27"/>
        <v>7587</v>
      </c>
      <c r="I37" s="444">
        <f t="shared" si="27"/>
        <v>8280</v>
      </c>
      <c r="J37" s="444">
        <f t="shared" si="27"/>
        <v>8655</v>
      </c>
      <c r="K37" s="444">
        <f t="shared" si="27"/>
        <v>8353</v>
      </c>
      <c r="L37" s="444">
        <f>+K42</f>
        <v>8659</v>
      </c>
      <c r="M37" s="444">
        <f>+L42</f>
        <v>9122</v>
      </c>
      <c r="N37" s="444">
        <f t="shared" ref="N37:T37" si="28">+M42</f>
        <v>6353</v>
      </c>
      <c r="O37" s="444">
        <f t="shared" si="28"/>
        <v>5639</v>
      </c>
      <c r="P37" s="444">
        <f t="shared" si="28"/>
        <v>5482</v>
      </c>
      <c r="Q37" s="444">
        <f t="shared" si="28"/>
        <v>5732</v>
      </c>
      <c r="R37" s="444">
        <f t="shared" si="28"/>
        <v>5601.6419999999998</v>
      </c>
      <c r="S37" s="444">
        <f t="shared" si="28"/>
        <v>5503.3544769999999</v>
      </c>
      <c r="T37" s="444">
        <f t="shared" si="28"/>
        <v>5409.3342586745002</v>
      </c>
      <c r="U37" s="424"/>
      <c r="V37" s="425"/>
      <c r="W37" s="425"/>
      <c r="X37" s="425"/>
      <c r="Y37" s="425"/>
      <c r="Z37" s="425"/>
      <c r="AA37" s="425"/>
      <c r="AH37" s="425"/>
      <c r="AI37" s="425"/>
      <c r="AJ37" s="425"/>
      <c r="AK37" s="425"/>
      <c r="AL37" s="425"/>
      <c r="AM37" s="425"/>
      <c r="AN37" s="509" t="s">
        <v>438</v>
      </c>
      <c r="AO37" s="425"/>
      <c r="AP37" s="425"/>
      <c r="AQ37" s="425"/>
      <c r="AR37" s="425"/>
      <c r="AS37" s="425"/>
      <c r="AT37" s="425"/>
      <c r="AU37" s="425"/>
      <c r="AV37" s="425"/>
      <c r="AW37" s="425"/>
      <c r="AX37" s="425"/>
      <c r="AY37" s="425"/>
      <c r="AZ37" s="425"/>
      <c r="BA37" s="425"/>
      <c r="BB37" s="425"/>
      <c r="BC37" s="425"/>
      <c r="BD37" s="425"/>
      <c r="BE37" s="425"/>
      <c r="BF37" s="425"/>
      <c r="BG37" s="488" t="e">
        <v>#NAME?</v>
      </c>
      <c r="BH37" s="509"/>
      <c r="BI37" s="425"/>
      <c r="BJ37" s="425"/>
      <c r="BK37" s="425"/>
      <c r="BL37" s="425"/>
      <c r="BM37" s="425"/>
      <c r="BN37" s="425"/>
      <c r="BO37" s="425"/>
      <c r="BP37" s="425"/>
      <c r="BQ37" s="425"/>
      <c r="BR37" s="425"/>
      <c r="BS37" s="425"/>
      <c r="BT37" s="425"/>
      <c r="BU37" s="425"/>
      <c r="BV37" s="425"/>
      <c r="BW37" s="425"/>
      <c r="BX37" s="425"/>
      <c r="BY37" s="425"/>
      <c r="BZ37" s="425"/>
      <c r="CA37" s="425"/>
      <c r="CB37" s="425"/>
      <c r="CC37" s="425"/>
      <c r="CD37" s="425"/>
      <c r="CE37" s="425"/>
      <c r="CF37" s="425"/>
      <c r="CG37" s="425"/>
      <c r="CH37" s="425"/>
      <c r="CI37" s="425"/>
      <c r="CJ37" s="425"/>
      <c r="CK37" s="425"/>
      <c r="CL37" s="425"/>
      <c r="CM37" s="425"/>
      <c r="CN37" s="425"/>
      <c r="CO37" s="425"/>
      <c r="CP37" s="425"/>
      <c r="CQ37" s="425"/>
      <c r="CR37" s="425"/>
      <c r="CS37" s="425"/>
      <c r="CT37" s="425"/>
      <c r="CU37" s="425"/>
      <c r="CV37" s="425"/>
    </row>
    <row r="38" spans="1:100" outlineLevel="1">
      <c r="A38" s="434"/>
      <c r="B38" s="442"/>
      <c r="C38" s="424" t="s">
        <v>439</v>
      </c>
      <c r="D38" s="444">
        <v>349</v>
      </c>
      <c r="E38" s="516">
        <v>951</v>
      </c>
      <c r="F38" s="516">
        <v>664</v>
      </c>
      <c r="G38" s="516">
        <v>-2022</v>
      </c>
      <c r="H38" s="733">
        <v>1374</v>
      </c>
      <c r="I38" s="731">
        <v>941</v>
      </c>
      <c r="J38" s="732">
        <v>419</v>
      </c>
      <c r="K38" s="732">
        <v>945</v>
      </c>
      <c r="L38" s="732">
        <v>1363</v>
      </c>
      <c r="M38" s="732">
        <v>663</v>
      </c>
      <c r="N38" s="732">
        <v>-22</v>
      </c>
      <c r="O38" s="732">
        <v>414</v>
      </c>
      <c r="P38" s="732">
        <v>773</v>
      </c>
      <c r="Q38" s="445">
        <f t="shared" ref="Q38:T38" si="29">IF(ISERROR(((P42+0.5*Q39)*Q12)),"",((P42+0.5*Q39)*Q12))</f>
        <v>392.64200000000005</v>
      </c>
      <c r="R38" s="445">
        <f t="shared" si="29"/>
        <v>383.71247700000004</v>
      </c>
      <c r="S38" s="445">
        <f t="shared" si="29"/>
        <v>376.97978167450003</v>
      </c>
      <c r="T38" s="445">
        <f t="shared" si="29"/>
        <v>370.5393967192033</v>
      </c>
      <c r="U38" s="514"/>
      <c r="V38" s="425"/>
      <c r="W38" s="425"/>
      <c r="X38" s="425"/>
      <c r="Y38" s="425"/>
      <c r="Z38" s="425"/>
      <c r="AA38" s="425"/>
      <c r="AH38" s="425"/>
      <c r="AI38" s="425"/>
      <c r="AJ38" s="425"/>
      <c r="AK38" s="425"/>
      <c r="AL38" s="425"/>
      <c r="AM38" s="425"/>
      <c r="AN38" s="509" t="s">
        <v>440</v>
      </c>
      <c r="AO38" s="425"/>
      <c r="AP38" s="425"/>
      <c r="AQ38" s="425"/>
      <c r="AR38" s="426"/>
      <c r="AS38" s="425"/>
      <c r="AT38" s="425"/>
      <c r="AU38" s="425"/>
      <c r="AV38" s="425"/>
      <c r="AW38" s="425"/>
      <c r="AX38" s="425"/>
      <c r="AY38" s="425"/>
      <c r="AZ38" s="425"/>
      <c r="BA38" s="425"/>
      <c r="BB38" s="425"/>
      <c r="BC38" s="425"/>
      <c r="BD38" s="425"/>
      <c r="BE38" s="425"/>
      <c r="BF38" s="425"/>
      <c r="BG38" s="488" t="e">
        <v>#NAME?</v>
      </c>
      <c r="BH38" s="515">
        <v>941</v>
      </c>
      <c r="BI38" s="490">
        <v>419</v>
      </c>
      <c r="BJ38" s="490">
        <v>945</v>
      </c>
      <c r="BK38" s="490">
        <v>1363</v>
      </c>
      <c r="BL38" s="490">
        <v>663</v>
      </c>
      <c r="BM38" s="490">
        <v>22</v>
      </c>
      <c r="BN38" s="490">
        <v>0</v>
      </c>
      <c r="BO38" s="425"/>
      <c r="BP38" s="425"/>
      <c r="BQ38" s="425"/>
      <c r="BR38" s="425"/>
      <c r="BS38" s="425"/>
      <c r="BT38" s="425"/>
      <c r="BU38" s="425"/>
      <c r="BV38" s="425"/>
      <c r="BW38" s="425"/>
      <c r="BX38" s="425"/>
      <c r="BY38" s="425"/>
      <c r="BZ38" s="425"/>
      <c r="CA38" s="425"/>
      <c r="CB38" s="425"/>
      <c r="CC38" s="506" t="s">
        <v>441</v>
      </c>
      <c r="CD38" s="517">
        <f>H6</f>
        <v>2009</v>
      </c>
      <c r="CE38" s="517">
        <f t="shared" ref="CE38:CJ38" si="30">I6</f>
        <v>2010</v>
      </c>
      <c r="CF38" s="517">
        <f t="shared" si="30"/>
        <v>2011</v>
      </c>
      <c r="CG38" s="517">
        <f t="shared" si="30"/>
        <v>2012</v>
      </c>
      <c r="CH38" s="517">
        <f t="shared" si="30"/>
        <v>2013</v>
      </c>
      <c r="CI38" s="517">
        <f t="shared" si="30"/>
        <v>2014</v>
      </c>
      <c r="CJ38" s="517">
        <f t="shared" si="30"/>
        <v>2015</v>
      </c>
      <c r="CK38" s="517"/>
      <c r="CL38" s="517"/>
      <c r="CM38" s="517"/>
      <c r="CN38" s="517"/>
      <c r="CO38" s="517"/>
      <c r="CP38" s="517"/>
      <c r="CQ38" s="517"/>
      <c r="CR38" s="517"/>
      <c r="CS38" s="517"/>
      <c r="CT38" s="517"/>
      <c r="CU38" s="517"/>
      <c r="CV38" s="517"/>
    </row>
    <row r="39" spans="1:100" outlineLevel="1">
      <c r="A39" s="434"/>
      <c r="B39" s="442"/>
      <c r="C39" s="424" t="s">
        <v>442</v>
      </c>
      <c r="D39" s="512">
        <v>130</v>
      </c>
      <c r="E39" s="512">
        <v>140</v>
      </c>
      <c r="F39" s="512">
        <v>162</v>
      </c>
      <c r="G39" s="512">
        <v>212</v>
      </c>
      <c r="H39" s="731">
        <v>219</v>
      </c>
      <c r="I39" s="731">
        <v>220</v>
      </c>
      <c r="J39" s="731">
        <v>229</v>
      </c>
      <c r="K39" s="731">
        <v>234</v>
      </c>
      <c r="L39" s="731">
        <v>226</v>
      </c>
      <c r="M39" s="731">
        <v>187</v>
      </c>
      <c r="N39" s="731">
        <v>0</v>
      </c>
      <c r="O39" s="731">
        <v>113</v>
      </c>
      <c r="P39" s="731">
        <v>75</v>
      </c>
      <c r="Q39" s="748">
        <v>0</v>
      </c>
      <c r="R39" s="748">
        <v>0</v>
      </c>
      <c r="S39" s="748">
        <v>0</v>
      </c>
      <c r="T39" s="748">
        <v>0</v>
      </c>
      <c r="U39" s="424"/>
      <c r="V39" s="425"/>
      <c r="W39" s="425"/>
      <c r="X39" s="425"/>
      <c r="Y39" s="425"/>
      <c r="Z39" s="425"/>
      <c r="AA39" s="425"/>
      <c r="AH39" s="425"/>
      <c r="AI39" s="425"/>
      <c r="AJ39" s="425"/>
      <c r="AK39" s="425"/>
      <c r="AL39" s="425"/>
      <c r="AM39" s="425"/>
      <c r="AN39" s="428"/>
      <c r="AO39" s="425"/>
      <c r="AP39" s="425"/>
      <c r="AQ39" s="425"/>
      <c r="AR39" s="425"/>
      <c r="AS39" s="425"/>
      <c r="AT39" s="425"/>
      <c r="AU39" s="425"/>
      <c r="AV39" s="425"/>
      <c r="AW39" s="425"/>
      <c r="AX39" s="425"/>
      <c r="AY39" s="425"/>
      <c r="AZ39" s="425"/>
      <c r="BA39" s="425"/>
      <c r="BB39" s="425"/>
      <c r="BC39" s="425"/>
      <c r="BD39" s="425"/>
      <c r="BE39" s="425"/>
      <c r="BF39" s="425"/>
      <c r="BG39" s="444"/>
      <c r="BH39" s="428"/>
      <c r="BI39" s="425"/>
      <c r="BJ39" s="425"/>
      <c r="BK39" s="425"/>
      <c r="BL39" s="425"/>
      <c r="BM39" s="425"/>
      <c r="BN39" s="425"/>
      <c r="BO39" s="425"/>
      <c r="BP39" s="425"/>
      <c r="BQ39" s="425"/>
      <c r="BR39" s="425"/>
      <c r="BS39" s="425"/>
      <c r="BT39" s="425"/>
      <c r="BU39" s="425"/>
      <c r="BV39" s="425"/>
      <c r="BW39" s="425"/>
      <c r="BX39" s="425"/>
      <c r="BY39" s="425"/>
      <c r="BZ39" s="425"/>
      <c r="CA39" s="425"/>
      <c r="CB39" s="425"/>
      <c r="CC39" s="425"/>
      <c r="CD39" s="518"/>
      <c r="CE39" s="518"/>
      <c r="CF39" s="518"/>
      <c r="CG39" s="518"/>
      <c r="CH39" s="518"/>
      <c r="CI39" s="518"/>
      <c r="CJ39" s="518"/>
      <c r="CK39" s="518"/>
      <c r="CL39" s="425"/>
      <c r="CM39" s="425"/>
      <c r="CN39" s="425"/>
      <c r="CO39" s="425"/>
      <c r="CP39" s="425"/>
      <c r="CQ39" s="425"/>
      <c r="CR39" s="425"/>
      <c r="CS39" s="425"/>
      <c r="CT39" s="425"/>
      <c r="CU39" s="425"/>
      <c r="CV39" s="425"/>
    </row>
    <row r="40" spans="1:100" outlineLevel="1">
      <c r="A40" s="434"/>
      <c r="B40" s="442"/>
      <c r="C40" s="424" t="s">
        <v>321</v>
      </c>
      <c r="D40" s="444">
        <f t="shared" ref="D40:L40" si="31">D33</f>
        <v>-873</v>
      </c>
      <c r="E40" s="444">
        <f t="shared" si="31"/>
        <v>-764</v>
      </c>
      <c r="F40" s="444">
        <f t="shared" si="31"/>
        <v>-763</v>
      </c>
      <c r="G40" s="444">
        <f t="shared" si="31"/>
        <v>-897</v>
      </c>
      <c r="H40" s="444">
        <f t="shared" si="31"/>
        <v>-1150</v>
      </c>
      <c r="I40" s="444">
        <f t="shared" si="31"/>
        <v>-935</v>
      </c>
      <c r="J40" s="444">
        <f t="shared" si="31"/>
        <v>-913</v>
      </c>
      <c r="K40" s="444">
        <f t="shared" si="31"/>
        <v>-938</v>
      </c>
      <c r="L40" s="444">
        <f t="shared" si="31"/>
        <v>-950</v>
      </c>
      <c r="M40" s="444">
        <f t="shared" ref="M40:T40" si="32">M33</f>
        <v>-806</v>
      </c>
      <c r="N40" s="444">
        <f t="shared" si="32"/>
        <v>-698</v>
      </c>
      <c r="O40" s="444">
        <f t="shared" ref="O40:P40" si="33">O33</f>
        <v>-685</v>
      </c>
      <c r="P40" s="444">
        <f t="shared" si="33"/>
        <v>-598</v>
      </c>
      <c r="Q40" s="444">
        <f t="shared" si="32"/>
        <v>-523</v>
      </c>
      <c r="R40" s="444">
        <f t="shared" si="32"/>
        <v>-482</v>
      </c>
      <c r="S40" s="444">
        <f t="shared" si="32"/>
        <v>-471</v>
      </c>
      <c r="T40" s="444">
        <f t="shared" si="32"/>
        <v>-455</v>
      </c>
      <c r="U40" s="424"/>
      <c r="V40" s="425"/>
      <c r="W40" s="425"/>
      <c r="X40" s="425"/>
      <c r="Y40" s="425"/>
      <c r="Z40" s="425"/>
      <c r="AA40" s="425"/>
      <c r="AH40" s="425"/>
      <c r="AI40" s="425"/>
      <c r="AJ40" s="425"/>
      <c r="AK40" s="425"/>
      <c r="AL40" s="425"/>
      <c r="AM40" s="425"/>
      <c r="AN40" s="428"/>
      <c r="AO40" s="425"/>
      <c r="AP40" s="425"/>
      <c r="AQ40" s="425"/>
      <c r="AR40" s="426"/>
      <c r="AS40" s="425"/>
      <c r="AT40" s="425"/>
      <c r="AU40" s="425"/>
      <c r="AV40" s="425"/>
      <c r="AW40" s="425"/>
      <c r="AX40" s="425"/>
      <c r="AY40" s="425"/>
      <c r="AZ40" s="425"/>
      <c r="BA40" s="425"/>
      <c r="BB40" s="425"/>
      <c r="BC40" s="425"/>
      <c r="BD40" s="425"/>
      <c r="BE40" s="425"/>
      <c r="BF40" s="425"/>
      <c r="BG40" s="488"/>
      <c r="BH40" s="428"/>
      <c r="BI40" s="425"/>
      <c r="BJ40" s="425"/>
      <c r="BK40" s="425"/>
      <c r="BL40" s="425"/>
      <c r="BM40" s="425"/>
      <c r="BN40" s="425"/>
      <c r="BO40" s="425"/>
      <c r="BP40" s="425"/>
      <c r="BQ40" s="425"/>
      <c r="BR40" s="425"/>
      <c r="BS40" s="425"/>
      <c r="BT40" s="425"/>
      <c r="BU40" s="425"/>
      <c r="BV40" s="425"/>
      <c r="BW40" s="425"/>
      <c r="BX40" s="425"/>
      <c r="BY40" s="425"/>
      <c r="BZ40" s="425"/>
      <c r="CA40" s="425"/>
      <c r="CB40" s="492"/>
      <c r="CC40" s="425" t="s">
        <v>443</v>
      </c>
      <c r="CD40" s="519">
        <v>7901.4751281982799</v>
      </c>
      <c r="CE40" s="519">
        <v>8389.9916615849397</v>
      </c>
      <c r="CF40" s="519">
        <v>3810.1809006175199</v>
      </c>
      <c r="CG40" s="519">
        <v>3441.1048444693797</v>
      </c>
      <c r="CH40" s="519">
        <v>3128.9387643256996</v>
      </c>
      <c r="CI40" s="519">
        <v>3128.9387643256996</v>
      </c>
      <c r="CJ40" s="519">
        <v>3128.9387643256996</v>
      </c>
      <c r="CK40" s="519"/>
      <c r="CL40" s="519"/>
      <c r="CM40" s="519"/>
      <c r="CN40" s="519"/>
      <c r="CO40" s="519"/>
      <c r="CP40" s="519"/>
      <c r="CQ40" s="519"/>
      <c r="CR40" s="519"/>
      <c r="CS40" s="519"/>
      <c r="CT40" s="519"/>
      <c r="CU40" s="519"/>
      <c r="CV40" s="519"/>
    </row>
    <row r="41" spans="1:100" outlineLevel="1">
      <c r="A41" s="434"/>
      <c r="B41" s="442"/>
      <c r="C41" s="424" t="s">
        <v>699</v>
      </c>
      <c r="D41" s="444">
        <f t="shared" ref="D41:I41" si="34">IF(ISNUMBER(D42-SUM(D37:D40)),D42-SUM(D37:D40),0)</f>
        <v>18</v>
      </c>
      <c r="E41" s="444">
        <f t="shared" si="34"/>
        <v>11</v>
      </c>
      <c r="F41" s="444">
        <f t="shared" si="34"/>
        <v>3282</v>
      </c>
      <c r="G41" s="444">
        <f t="shared" si="34"/>
        <v>-567</v>
      </c>
      <c r="H41" s="444">
        <f t="shared" si="34"/>
        <v>250</v>
      </c>
      <c r="I41" s="444">
        <f t="shared" si="34"/>
        <v>149</v>
      </c>
      <c r="J41" s="444">
        <f t="shared" ref="J41:O41" si="35">IF(ISNUMBER(J42-SUM(J37:J40)),J42-SUM(J37:J40),0)</f>
        <v>-37</v>
      </c>
      <c r="K41" s="444">
        <f t="shared" si="35"/>
        <v>65</v>
      </c>
      <c r="L41" s="444">
        <f t="shared" si="35"/>
        <v>-176</v>
      </c>
      <c r="M41" s="444">
        <f t="shared" si="35"/>
        <v>-2813</v>
      </c>
      <c r="N41" s="444">
        <f t="shared" si="35"/>
        <v>6</v>
      </c>
      <c r="O41" s="444">
        <f t="shared" si="35"/>
        <v>1</v>
      </c>
      <c r="P41" s="444">
        <f t="shared" ref="P41" si="36">IF(ISNUMBER(P42-SUM(P37:P40)),P42-SUM(P37:P40),0)</f>
        <v>0</v>
      </c>
      <c r="Q41" s="748">
        <v>0</v>
      </c>
      <c r="R41" s="748">
        <v>0</v>
      </c>
      <c r="S41" s="748">
        <v>0</v>
      </c>
      <c r="T41" s="748">
        <v>0</v>
      </c>
      <c r="U41" s="424"/>
      <c r="V41" s="425"/>
      <c r="W41" s="425"/>
      <c r="X41" s="425"/>
      <c r="Y41" s="425"/>
      <c r="Z41" s="425"/>
      <c r="AA41" s="425"/>
      <c r="AH41" s="425"/>
      <c r="AI41" s="425"/>
      <c r="AJ41" s="425"/>
      <c r="AK41" s="425"/>
      <c r="AL41" s="425"/>
      <c r="AM41" s="425"/>
      <c r="AN41" s="428"/>
      <c r="AO41" s="425"/>
      <c r="AP41" s="425"/>
      <c r="AQ41" s="425"/>
      <c r="AR41" s="425"/>
      <c r="AS41" s="425"/>
      <c r="AT41" s="425"/>
      <c r="AU41" s="425"/>
      <c r="AV41" s="425"/>
      <c r="AW41" s="425"/>
      <c r="AX41" s="425"/>
      <c r="AY41" s="425"/>
      <c r="AZ41" s="425"/>
      <c r="BA41" s="425"/>
      <c r="BB41" s="425"/>
      <c r="BC41" s="425"/>
      <c r="BD41" s="425"/>
      <c r="BE41" s="425"/>
      <c r="BF41" s="425"/>
      <c r="BG41" s="444"/>
      <c r="BH41" s="428"/>
      <c r="BI41" s="425"/>
      <c r="BJ41" s="425"/>
      <c r="BK41" s="425"/>
      <c r="BL41" s="425"/>
      <c r="BM41" s="425"/>
      <c r="BN41" s="425"/>
      <c r="BO41" s="425"/>
      <c r="BP41" s="425"/>
      <c r="BQ41" s="425"/>
      <c r="BR41" s="425"/>
      <c r="BS41" s="425"/>
      <c r="BT41" s="425"/>
      <c r="BU41" s="425"/>
      <c r="BV41" s="425"/>
      <c r="BW41" s="425"/>
      <c r="BX41" s="425"/>
      <c r="BY41" s="425"/>
      <c r="BZ41" s="425"/>
      <c r="CA41" s="425"/>
      <c r="CB41" s="425"/>
      <c r="CC41" s="425" t="s">
        <v>444</v>
      </c>
      <c r="CD41" s="519">
        <f>H44</f>
        <v>1708</v>
      </c>
      <c r="CE41" s="519">
        <f t="shared" ref="CE41:CJ41" si="37">I44</f>
        <v>1975</v>
      </c>
      <c r="CF41" s="519">
        <f t="shared" si="37"/>
        <v>2417</v>
      </c>
      <c r="CG41" s="519">
        <f t="shared" si="37"/>
        <v>2688</v>
      </c>
      <c r="CH41" s="519">
        <f t="shared" si="37"/>
        <v>1135</v>
      </c>
      <c r="CI41" s="519">
        <f t="shared" si="37"/>
        <v>966</v>
      </c>
      <c r="CJ41" s="519">
        <f t="shared" si="37"/>
        <v>735</v>
      </c>
      <c r="CK41" s="519"/>
      <c r="CL41" s="519"/>
      <c r="CM41" s="519"/>
      <c r="CN41" s="519"/>
      <c r="CO41" s="519"/>
      <c r="CP41" s="519"/>
      <c r="CQ41" s="519"/>
      <c r="CR41" s="519"/>
      <c r="CS41" s="519"/>
      <c r="CT41" s="519"/>
      <c r="CU41" s="519"/>
      <c r="CV41" s="519"/>
    </row>
    <row r="42" spans="1:100">
      <c r="A42" s="434"/>
      <c r="B42" s="442"/>
      <c r="C42" s="499" t="s">
        <v>445</v>
      </c>
      <c r="D42" s="500">
        <v>7178</v>
      </c>
      <c r="E42" s="500">
        <v>7516</v>
      </c>
      <c r="F42" s="500">
        <v>10861</v>
      </c>
      <c r="G42" s="500">
        <v>7587</v>
      </c>
      <c r="H42" s="734">
        <v>8280</v>
      </c>
      <c r="I42" s="734">
        <v>8655</v>
      </c>
      <c r="J42" s="734">
        <v>8353</v>
      </c>
      <c r="K42" s="734">
        <v>8659</v>
      </c>
      <c r="L42" s="734">
        <v>9122</v>
      </c>
      <c r="M42" s="734">
        <v>6353</v>
      </c>
      <c r="N42" s="734">
        <v>5639</v>
      </c>
      <c r="O42" s="734">
        <v>5482</v>
      </c>
      <c r="P42" s="734">
        <v>5732</v>
      </c>
      <c r="Q42" s="500">
        <f t="shared" ref="Q42:T42" si="38">SUM(Q37:Q41)</f>
        <v>5601.6419999999998</v>
      </c>
      <c r="R42" s="500">
        <f t="shared" si="38"/>
        <v>5503.3544769999999</v>
      </c>
      <c r="S42" s="500">
        <f t="shared" si="38"/>
        <v>5409.3342586745002</v>
      </c>
      <c r="T42" s="500">
        <f t="shared" si="38"/>
        <v>5324.8736553937033</v>
      </c>
      <c r="U42" s="514"/>
      <c r="V42" s="425"/>
      <c r="W42" s="425"/>
      <c r="X42" s="425"/>
      <c r="Y42" s="425"/>
      <c r="Z42" s="425"/>
      <c r="AA42" s="425"/>
      <c r="AH42" s="425"/>
      <c r="AI42" s="425"/>
      <c r="AJ42" s="425"/>
      <c r="AK42" s="425"/>
      <c r="AL42" s="425"/>
      <c r="AM42" s="425"/>
      <c r="AN42" s="509" t="s">
        <v>446</v>
      </c>
      <c r="AO42" s="425"/>
      <c r="AP42" s="425"/>
      <c r="AQ42" s="425"/>
      <c r="AR42" s="425"/>
      <c r="AS42" s="425"/>
      <c r="AT42" s="425"/>
      <c r="AU42" s="425"/>
      <c r="AV42" s="425"/>
      <c r="AW42" s="425"/>
      <c r="AX42" s="425"/>
      <c r="AY42" s="425"/>
      <c r="AZ42" s="425"/>
      <c r="BA42" s="425"/>
      <c r="BB42" s="425"/>
      <c r="BC42" s="425"/>
      <c r="BD42" s="425"/>
      <c r="BE42" s="425"/>
      <c r="BF42" s="425"/>
      <c r="BG42" s="500" t="e">
        <v>#NAME?</v>
      </c>
      <c r="BH42" s="515">
        <v>8655</v>
      </c>
      <c r="BI42" s="490">
        <v>8353</v>
      </c>
      <c r="BJ42" s="490">
        <v>8659</v>
      </c>
      <c r="BK42" s="490">
        <v>9122</v>
      </c>
      <c r="BL42" s="490">
        <v>6353</v>
      </c>
      <c r="BM42" s="490">
        <v>5639</v>
      </c>
      <c r="BN42" s="490">
        <v>0</v>
      </c>
      <c r="BO42" s="425"/>
      <c r="BP42" s="425"/>
      <c r="BQ42" s="425"/>
      <c r="BR42" s="425"/>
      <c r="BS42" s="425"/>
      <c r="BT42" s="425"/>
      <c r="BU42" s="425"/>
      <c r="BV42" s="425"/>
      <c r="BW42" s="425"/>
      <c r="BX42" s="425"/>
      <c r="BY42" s="425"/>
      <c r="BZ42" s="425"/>
      <c r="CA42" s="425"/>
      <c r="CB42" s="425"/>
      <c r="CC42" s="425" t="s">
        <v>447</v>
      </c>
      <c r="CD42" s="520">
        <f>IF(ISNUMBER(CD41/CD40),CD41/CD40,NA())</f>
        <v>0.21616216874550406</v>
      </c>
      <c r="CE42" s="520">
        <f t="shared" ref="CE42:CJ42" si="39">IF(ISNUMBER(CE41/CE40),CE41/CE40,NA())</f>
        <v>0.2353995188151243</v>
      </c>
      <c r="CF42" s="520">
        <f t="shared" si="39"/>
        <v>0.63435308271275892</v>
      </c>
      <c r="CG42" s="520">
        <f t="shared" si="39"/>
        <v>0.78114446420317984</v>
      </c>
      <c r="CH42" s="520">
        <f t="shared" si="39"/>
        <v>0.36274279731536951</v>
      </c>
      <c r="CI42" s="520">
        <f t="shared" si="39"/>
        <v>0.30873087419087836</v>
      </c>
      <c r="CJ42" s="520">
        <f t="shared" si="39"/>
        <v>0.23490392601479876</v>
      </c>
      <c r="CK42" s="520"/>
      <c r="CL42" s="520"/>
      <c r="CM42" s="520"/>
      <c r="CN42" s="520"/>
      <c r="CO42" s="520"/>
      <c r="CP42" s="520"/>
      <c r="CQ42" s="520"/>
      <c r="CR42" s="520"/>
      <c r="CS42" s="520"/>
      <c r="CT42" s="520"/>
      <c r="CU42" s="520"/>
      <c r="CV42" s="520"/>
    </row>
    <row r="43" spans="1:100">
      <c r="A43" s="434"/>
      <c r="B43" s="442"/>
      <c r="C43" s="443"/>
      <c r="D43" s="443"/>
      <c r="E43" s="443"/>
      <c r="F43" s="443"/>
      <c r="G43" s="443"/>
      <c r="H43" s="444"/>
      <c r="I43" s="444"/>
      <c r="J43" s="445"/>
      <c r="K43" s="445"/>
      <c r="L43" s="445"/>
      <c r="M43" s="445"/>
      <c r="N43" s="445"/>
      <c r="O43" s="445"/>
      <c r="P43" s="445"/>
      <c r="Q43" s="445"/>
      <c r="R43" s="445"/>
      <c r="S43" s="445"/>
      <c r="T43" s="445"/>
      <c r="U43" s="424"/>
      <c r="V43" s="425"/>
      <c r="W43" s="425"/>
      <c r="X43" s="425"/>
      <c r="Y43" s="425"/>
      <c r="Z43" s="425"/>
      <c r="AA43" s="425"/>
      <c r="AH43" s="425"/>
      <c r="AI43" s="425"/>
      <c r="AJ43" s="425"/>
      <c r="AK43" s="425"/>
      <c r="AL43" s="425"/>
      <c r="AM43" s="425"/>
      <c r="AN43" s="428"/>
      <c r="AO43" s="425"/>
      <c r="AP43" s="425"/>
      <c r="AQ43" s="425"/>
      <c r="AR43" s="425"/>
      <c r="AS43" s="425"/>
      <c r="AT43" s="425"/>
      <c r="AU43" s="425"/>
      <c r="AV43" s="425"/>
      <c r="AW43" s="425"/>
      <c r="AX43" s="425"/>
      <c r="AY43" s="425"/>
      <c r="AZ43" s="425"/>
      <c r="BA43" s="425"/>
      <c r="BB43" s="425"/>
      <c r="BC43" s="425"/>
      <c r="BD43" s="425"/>
      <c r="BE43" s="425"/>
      <c r="BF43" s="425"/>
      <c r="BG43" s="470"/>
      <c r="BH43" s="428"/>
      <c r="BI43" s="425"/>
      <c r="BJ43" s="425"/>
      <c r="BK43" s="425"/>
      <c r="BL43" s="425"/>
      <c r="BM43" s="425"/>
      <c r="BN43" s="425"/>
      <c r="BO43" s="425"/>
      <c r="BP43" s="425"/>
      <c r="BQ43" s="425"/>
      <c r="BR43" s="425"/>
      <c r="BS43" s="425"/>
      <c r="BT43" s="425"/>
      <c r="BU43" s="425"/>
      <c r="BV43" s="425"/>
      <c r="BW43" s="425"/>
      <c r="BX43" s="425"/>
      <c r="BY43" s="425"/>
      <c r="BZ43" s="425"/>
      <c r="CA43" s="425"/>
      <c r="CB43" s="425"/>
      <c r="CC43" s="425" t="s">
        <v>448</v>
      </c>
      <c r="CD43" s="520">
        <f>IF(ISNUMBER(H45),H45,NA())</f>
        <v>0.82899479375250296</v>
      </c>
      <c r="CE43" s="520">
        <f t="shared" ref="CE43:CJ43" si="40">IF(ISNUMBER(I45),I45,NA())</f>
        <v>0.81420507996237068</v>
      </c>
      <c r="CF43" s="520">
        <f t="shared" si="40"/>
        <v>0.77558031569173635</v>
      </c>
      <c r="CG43" s="520">
        <f t="shared" si="40"/>
        <v>0.76310919185687842</v>
      </c>
      <c r="CH43" s="520">
        <f t="shared" si="40"/>
        <v>0.88934386272789312</v>
      </c>
      <c r="CI43" s="520">
        <f t="shared" si="40"/>
        <v>0.8680147561142233</v>
      </c>
      <c r="CJ43" s="520">
        <f t="shared" si="40"/>
        <v>0.8846877941637904</v>
      </c>
      <c r="CK43" s="520"/>
      <c r="CL43" s="520"/>
      <c r="CM43" s="520"/>
      <c r="CN43" s="520"/>
      <c r="CO43" s="520"/>
      <c r="CP43" s="520"/>
      <c r="CQ43" s="520"/>
      <c r="CR43" s="520"/>
      <c r="CS43" s="520"/>
      <c r="CT43" s="520"/>
      <c r="CU43" s="520"/>
      <c r="CV43" s="520"/>
    </row>
    <row r="44" spans="1:100">
      <c r="A44" s="434"/>
      <c r="B44" s="442"/>
      <c r="C44" s="499" t="s">
        <v>444</v>
      </c>
      <c r="D44" s="500">
        <f t="shared" ref="D44:M44" si="41">IF(ISERROR(D35-D42),0,D35-D42)</f>
        <v>606</v>
      </c>
      <c r="E44" s="500">
        <f t="shared" si="41"/>
        <v>-210</v>
      </c>
      <c r="F44" s="500">
        <f t="shared" si="41"/>
        <v>-223</v>
      </c>
      <c r="G44" s="500">
        <f t="shared" si="41"/>
        <v>1985</v>
      </c>
      <c r="H44" s="500">
        <f t="shared" si="41"/>
        <v>1708</v>
      </c>
      <c r="I44" s="500">
        <f t="shared" si="41"/>
        <v>1975</v>
      </c>
      <c r="J44" s="500">
        <f t="shared" si="41"/>
        <v>2417</v>
      </c>
      <c r="K44" s="500">
        <f t="shared" si="41"/>
        <v>2688</v>
      </c>
      <c r="L44" s="500">
        <f t="shared" si="41"/>
        <v>1135</v>
      </c>
      <c r="M44" s="500">
        <f t="shared" si="41"/>
        <v>966</v>
      </c>
      <c r="N44" s="500">
        <f t="shared" ref="N44:T44" si="42">IF(ISERROR(N35-N42),0,N35-N42)</f>
        <v>735</v>
      </c>
      <c r="O44" s="500">
        <f t="shared" si="42"/>
        <v>732</v>
      </c>
      <c r="P44" s="500">
        <f t="shared" si="42"/>
        <v>375</v>
      </c>
      <c r="Q44" s="500">
        <f t="shared" si="42"/>
        <v>276.63799999999992</v>
      </c>
      <c r="R44" s="500">
        <f t="shared" si="42"/>
        <v>178.05672299999969</v>
      </c>
      <c r="S44" s="500">
        <f t="shared" si="42"/>
        <v>78.333389325499411</v>
      </c>
      <c r="T44" s="500">
        <f t="shared" si="42"/>
        <v>-22.699301473703599</v>
      </c>
      <c r="U44" s="424"/>
      <c r="V44" s="425"/>
      <c r="W44" s="425"/>
      <c r="X44" s="425"/>
      <c r="Y44" s="425"/>
      <c r="Z44" s="425"/>
      <c r="AA44" s="425"/>
      <c r="AH44" s="425"/>
      <c r="AI44" s="425"/>
      <c r="AJ44" s="425"/>
      <c r="AK44" s="425"/>
      <c r="AL44" s="425"/>
      <c r="AM44" s="425"/>
      <c r="AN44" s="428"/>
      <c r="AO44" s="425"/>
      <c r="AP44" s="425"/>
      <c r="AQ44" s="425"/>
      <c r="AR44" s="425"/>
      <c r="AS44" s="425"/>
      <c r="AT44" s="425"/>
      <c r="AU44" s="425"/>
      <c r="AV44" s="425"/>
      <c r="AW44" s="425"/>
      <c r="AX44" s="425"/>
      <c r="AY44" s="425"/>
      <c r="AZ44" s="425"/>
      <c r="BA44" s="425"/>
      <c r="BB44" s="425"/>
      <c r="BC44" s="425"/>
      <c r="BD44" s="425"/>
      <c r="BE44" s="425"/>
      <c r="BF44" s="425"/>
      <c r="BG44" s="500"/>
      <c r="BH44" s="428"/>
      <c r="BI44" s="425"/>
      <c r="BJ44" s="425"/>
      <c r="BK44" s="425"/>
      <c r="BL44" s="425"/>
      <c r="BM44" s="425"/>
      <c r="BN44" s="425"/>
      <c r="BO44" s="425"/>
      <c r="BP44" s="425"/>
      <c r="BQ44" s="425"/>
      <c r="BR44" s="425"/>
      <c r="BS44" s="425"/>
      <c r="BT44" s="425"/>
      <c r="BU44" s="425"/>
      <c r="BV44" s="425"/>
      <c r="BW44" s="425"/>
      <c r="BX44" s="425"/>
      <c r="BY44" s="425"/>
      <c r="BZ44" s="425"/>
      <c r="CA44" s="425"/>
      <c r="CB44" s="425"/>
      <c r="CC44" s="425"/>
      <c r="CD44" s="521" t="s">
        <v>1016</v>
      </c>
      <c r="CE44" s="521" t="s">
        <v>1016</v>
      </c>
      <c r="CF44" s="521" t="s">
        <v>1016</v>
      </c>
      <c r="CG44" s="521" t="s">
        <v>1016</v>
      </c>
      <c r="CH44" s="521" t="s">
        <v>1016</v>
      </c>
      <c r="CI44" s="521" t="s">
        <v>1016</v>
      </c>
      <c r="CJ44" s="521" t="s">
        <v>1016</v>
      </c>
      <c r="CK44" s="425"/>
      <c r="CL44" s="425"/>
      <c r="CM44" s="425"/>
      <c r="CN44" s="425"/>
      <c r="CO44" s="425"/>
      <c r="CP44" s="425"/>
      <c r="CQ44" s="425"/>
      <c r="CR44" s="425"/>
      <c r="CS44" s="425"/>
      <c r="CT44" s="425"/>
      <c r="CU44" s="425"/>
      <c r="CV44" s="425"/>
    </row>
    <row r="45" spans="1:100">
      <c r="A45" s="434"/>
      <c r="B45" s="442"/>
      <c r="C45" s="499" t="s">
        <v>151</v>
      </c>
      <c r="D45" s="522">
        <f t="shared" ref="D45:M45" si="43">IF(ISERROR(D42/D35),"NA",D42/D35)</f>
        <v>0.92214799588900309</v>
      </c>
      <c r="E45" s="522">
        <f t="shared" si="43"/>
        <v>1.0287434984943882</v>
      </c>
      <c r="F45" s="522">
        <f t="shared" si="43"/>
        <v>1.0209625869524346</v>
      </c>
      <c r="G45" s="522">
        <f t="shared" si="43"/>
        <v>0.7926243209360635</v>
      </c>
      <c r="H45" s="522">
        <f t="shared" si="43"/>
        <v>0.82899479375250296</v>
      </c>
      <c r="I45" s="522">
        <f t="shared" si="43"/>
        <v>0.81420507996237068</v>
      </c>
      <c r="J45" s="522">
        <f t="shared" si="43"/>
        <v>0.77558031569173635</v>
      </c>
      <c r="K45" s="522">
        <f t="shared" si="43"/>
        <v>0.76310919185687842</v>
      </c>
      <c r="L45" s="522">
        <f t="shared" si="43"/>
        <v>0.88934386272789312</v>
      </c>
      <c r="M45" s="522">
        <f t="shared" si="43"/>
        <v>0.8680147561142233</v>
      </c>
      <c r="N45" s="522">
        <f t="shared" ref="N45:T45" si="44">IF(ISERROR(N42/N35),"NA",N42/N35)</f>
        <v>0.8846877941637904</v>
      </c>
      <c r="O45" s="522">
        <f t="shared" si="44"/>
        <v>0.88220148052784031</v>
      </c>
      <c r="P45" s="522">
        <f t="shared" si="44"/>
        <v>0.93859505485508432</v>
      </c>
      <c r="Q45" s="522">
        <f t="shared" si="44"/>
        <v>0.95293895493239522</v>
      </c>
      <c r="R45" s="522">
        <f t="shared" si="44"/>
        <v>0.96865977188906871</v>
      </c>
      <c r="S45" s="522">
        <f t="shared" si="44"/>
        <v>0.98572555877102941</v>
      </c>
      <c r="T45" s="522">
        <f t="shared" si="44"/>
        <v>1.0042811307132746</v>
      </c>
      <c r="U45" s="424"/>
      <c r="V45" s="425"/>
      <c r="W45" s="425"/>
      <c r="X45" s="425"/>
      <c r="Y45" s="425"/>
      <c r="Z45" s="425"/>
      <c r="AA45" s="425"/>
      <c r="AH45" s="425"/>
      <c r="AI45" s="425"/>
      <c r="AJ45" s="425"/>
      <c r="AK45" s="425"/>
      <c r="AL45" s="425"/>
      <c r="AM45" s="425"/>
      <c r="AN45" s="428"/>
      <c r="AO45" s="425"/>
      <c r="AP45" s="425"/>
      <c r="AQ45" s="425"/>
      <c r="AR45" s="425"/>
      <c r="AS45" s="425"/>
      <c r="AT45" s="425"/>
      <c r="AU45" s="425"/>
      <c r="AV45" s="425"/>
      <c r="AW45" s="425"/>
      <c r="AX45" s="425"/>
      <c r="AY45" s="425"/>
      <c r="AZ45" s="425"/>
      <c r="BA45" s="425"/>
      <c r="BB45" s="425"/>
      <c r="BC45" s="425"/>
      <c r="BD45" s="425"/>
      <c r="BE45" s="425"/>
      <c r="BF45" s="425"/>
      <c r="BG45" s="523"/>
      <c r="BH45" s="428"/>
      <c r="BI45" s="425"/>
      <c r="BJ45" s="425"/>
      <c r="BK45" s="425"/>
      <c r="BL45" s="425"/>
      <c r="BM45" s="425"/>
      <c r="BN45" s="425"/>
      <c r="BO45" s="425"/>
      <c r="BP45" s="425"/>
      <c r="BQ45" s="425"/>
      <c r="BR45" s="425"/>
      <c r="BS45" s="425"/>
      <c r="BT45" s="425"/>
      <c r="BU45" s="425"/>
      <c r="BV45" s="425"/>
      <c r="BW45" s="425"/>
      <c r="BX45" s="425"/>
      <c r="BY45" s="425"/>
      <c r="BZ45" s="425"/>
      <c r="CA45" s="425"/>
      <c r="CB45" s="425"/>
      <c r="CC45" s="425"/>
      <c r="CD45" s="524"/>
      <c r="CE45" s="524"/>
      <c r="CF45" s="524"/>
      <c r="CG45" s="524"/>
      <c r="CH45" s="524"/>
      <c r="CI45" s="524"/>
      <c r="CJ45" s="524"/>
      <c r="CK45" s="425"/>
      <c r="CL45" s="425"/>
      <c r="CM45" s="425"/>
      <c r="CN45" s="425"/>
      <c r="CO45" s="425"/>
      <c r="CP45" s="425"/>
      <c r="CQ45" s="425"/>
      <c r="CR45" s="425"/>
      <c r="CS45" s="425"/>
      <c r="CT45" s="425"/>
      <c r="CU45" s="425"/>
      <c r="CV45" s="425"/>
    </row>
    <row r="46" spans="1:100" ht="12.75" customHeight="1">
      <c r="A46" s="434"/>
      <c r="B46" s="442"/>
      <c r="C46" s="443"/>
      <c r="D46" s="443"/>
      <c r="E46" s="443"/>
      <c r="F46" s="443"/>
      <c r="G46" s="443"/>
      <c r="H46" s="525"/>
      <c r="I46" s="525"/>
      <c r="J46" s="525"/>
      <c r="K46" s="525"/>
      <c r="L46" s="525"/>
      <c r="M46" s="525"/>
      <c r="N46" s="525"/>
      <c r="O46" s="525"/>
      <c r="P46" s="525"/>
      <c r="Q46" s="525"/>
      <c r="R46" s="525"/>
      <c r="S46" s="525"/>
      <c r="T46" s="525"/>
      <c r="U46" s="424"/>
      <c r="V46" s="425"/>
      <c r="W46" s="425"/>
      <c r="X46" s="425"/>
      <c r="Y46" s="425"/>
      <c r="Z46" s="425"/>
      <c r="AA46" s="425"/>
      <c r="AH46" s="425"/>
      <c r="AI46" s="425"/>
      <c r="AJ46" s="425"/>
      <c r="AK46" s="425"/>
      <c r="AL46" s="425"/>
      <c r="AM46" s="425"/>
      <c r="AN46" s="428"/>
      <c r="AO46" s="425"/>
      <c r="AP46" s="425"/>
      <c r="AQ46" s="425"/>
      <c r="AR46" s="425"/>
      <c r="AS46" s="425"/>
      <c r="AT46" s="425"/>
      <c r="AU46" s="425"/>
      <c r="AV46" s="425"/>
      <c r="AW46" s="425"/>
      <c r="AX46" s="425"/>
      <c r="AY46" s="425"/>
      <c r="AZ46" s="425"/>
      <c r="BA46" s="425"/>
      <c r="BB46" s="425"/>
      <c r="BC46" s="425"/>
      <c r="BD46" s="425"/>
      <c r="BE46" s="425"/>
      <c r="BF46" s="425"/>
      <c r="BG46" s="470"/>
      <c r="BH46" s="428"/>
      <c r="BI46" s="425"/>
      <c r="BJ46" s="425"/>
      <c r="BK46" s="425"/>
      <c r="BL46" s="425"/>
      <c r="BM46" s="425"/>
      <c r="BN46" s="425"/>
      <c r="BO46" s="425"/>
      <c r="BP46" s="425"/>
      <c r="BQ46" s="425"/>
      <c r="BR46" s="425"/>
      <c r="BS46" s="425"/>
      <c r="BT46" s="425"/>
      <c r="BU46" s="425"/>
      <c r="BV46" s="425"/>
      <c r="BW46" s="425"/>
      <c r="BX46" s="425"/>
      <c r="BY46" s="425"/>
      <c r="BZ46" s="425"/>
      <c r="CA46" s="425"/>
      <c r="CB46" s="425"/>
      <c r="CC46" s="425"/>
      <c r="CD46" s="425"/>
      <c r="CE46" s="425"/>
      <c r="CF46" s="425"/>
      <c r="CG46" s="425"/>
      <c r="CH46" s="425"/>
      <c r="CI46" s="425"/>
      <c r="CJ46" s="425"/>
      <c r="CK46" s="425"/>
      <c r="CL46" s="425"/>
      <c r="CM46" s="425"/>
      <c r="CN46" s="425"/>
      <c r="CO46" s="425"/>
      <c r="CP46" s="425"/>
      <c r="CQ46" s="425"/>
      <c r="CR46" s="425"/>
      <c r="CS46" s="425"/>
      <c r="CT46" s="425"/>
      <c r="CU46" s="425"/>
      <c r="CV46" s="425"/>
    </row>
    <row r="47" spans="1:100">
      <c r="A47" s="434"/>
      <c r="B47" s="442"/>
      <c r="C47" s="499" t="s">
        <v>449</v>
      </c>
      <c r="D47" s="500">
        <f>IF(ISERROR(D44*D13),0,D44*D13)</f>
        <v>212.1</v>
      </c>
      <c r="E47" s="500">
        <f t="shared" ref="E47:K47" si="45">+D47+(E44-D44)*E13</f>
        <v>-73.499999999999972</v>
      </c>
      <c r="F47" s="500">
        <f t="shared" si="45"/>
        <v>-78.049999999999969</v>
      </c>
      <c r="G47" s="500">
        <f t="shared" si="45"/>
        <v>694.75</v>
      </c>
      <c r="H47" s="500">
        <f t="shared" si="45"/>
        <v>597.79999999999995</v>
      </c>
      <c r="I47" s="500">
        <f t="shared" si="45"/>
        <v>691.25</v>
      </c>
      <c r="J47" s="500">
        <f t="shared" si="45"/>
        <v>845.95</v>
      </c>
      <c r="K47" s="500">
        <f t="shared" si="45"/>
        <v>940.80000000000007</v>
      </c>
      <c r="L47" s="500">
        <f>+K47+(L44-K44)*L13</f>
        <v>397.25000000000011</v>
      </c>
      <c r="M47" s="500">
        <f t="shared" ref="M47:T47" si="46">+L47+(M44-L44)*M13</f>
        <v>338.10000000000014</v>
      </c>
      <c r="N47" s="500">
        <f t="shared" si="46"/>
        <v>257.25000000000011</v>
      </c>
      <c r="O47" s="500">
        <f t="shared" si="46"/>
        <v>256.2000000000001</v>
      </c>
      <c r="P47" s="500">
        <f t="shared" si="46"/>
        <v>131.25000000000011</v>
      </c>
      <c r="Q47" s="500">
        <f t="shared" si="46"/>
        <v>96.823300000000089</v>
      </c>
      <c r="R47" s="500">
        <f t="shared" si="46"/>
        <v>62.319853050000013</v>
      </c>
      <c r="S47" s="500">
        <f t="shared" si="46"/>
        <v>27.416686263924916</v>
      </c>
      <c r="T47" s="500">
        <f t="shared" si="46"/>
        <v>-7.9447555157961318</v>
      </c>
      <c r="U47" s="424"/>
      <c r="V47" s="425"/>
      <c r="W47" s="425"/>
      <c r="X47" s="425"/>
      <c r="Y47" s="425"/>
      <c r="Z47" s="425"/>
      <c r="AA47" s="425"/>
      <c r="AH47" s="425"/>
      <c r="AI47" s="425"/>
      <c r="AJ47" s="425"/>
      <c r="AK47" s="425"/>
      <c r="AL47" s="425"/>
      <c r="AM47" s="425"/>
      <c r="AN47" s="428"/>
      <c r="AO47" s="425"/>
      <c r="AP47" s="425"/>
      <c r="AQ47" s="425"/>
      <c r="AR47" s="425"/>
      <c r="AS47" s="425"/>
      <c r="AT47" s="425"/>
      <c r="AU47" s="425"/>
      <c r="AV47" s="425"/>
      <c r="AW47" s="425"/>
      <c r="AX47" s="425"/>
      <c r="AY47" s="425"/>
      <c r="AZ47" s="425"/>
      <c r="BA47" s="425"/>
      <c r="BB47" s="425"/>
      <c r="BC47" s="425"/>
      <c r="BD47" s="425"/>
      <c r="BE47" s="425"/>
      <c r="BF47" s="425"/>
      <c r="BG47" s="500"/>
      <c r="BH47" s="428"/>
      <c r="BI47" s="425"/>
      <c r="BJ47" s="425"/>
      <c r="BK47" s="425"/>
      <c r="BL47" s="425"/>
      <c r="BM47" s="425"/>
      <c r="BN47" s="425"/>
      <c r="BO47" s="425"/>
      <c r="BP47" s="425"/>
      <c r="BQ47" s="425"/>
      <c r="BR47" s="425"/>
      <c r="BS47" s="425"/>
      <c r="BT47" s="425"/>
      <c r="BU47" s="425"/>
      <c r="BV47" s="425"/>
      <c r="BW47" s="425"/>
      <c r="BX47" s="425"/>
      <c r="BY47" s="425"/>
      <c r="BZ47" s="425"/>
      <c r="CA47" s="425"/>
      <c r="CB47" s="425"/>
      <c r="CC47" s="425"/>
      <c r="CD47" s="425"/>
      <c r="CE47" s="425"/>
      <c r="CF47" s="425"/>
      <c r="CG47" s="425"/>
      <c r="CH47" s="425"/>
      <c r="CI47" s="425"/>
      <c r="CJ47" s="425"/>
      <c r="CK47" s="425"/>
      <c r="CL47" s="425"/>
      <c r="CM47" s="425"/>
      <c r="CN47" s="425"/>
      <c r="CO47" s="425"/>
      <c r="CP47" s="425"/>
      <c r="CQ47" s="425"/>
      <c r="CR47" s="425"/>
      <c r="CS47" s="425"/>
      <c r="CT47" s="425"/>
      <c r="CU47" s="425"/>
      <c r="CV47" s="425"/>
    </row>
    <row r="48" spans="1:100">
      <c r="A48" s="434"/>
      <c r="B48" s="442"/>
      <c r="C48" s="443"/>
      <c r="D48" s="443"/>
      <c r="E48" s="443"/>
      <c r="F48" s="443"/>
      <c r="G48" s="443"/>
      <c r="H48" s="526"/>
      <c r="I48" s="526"/>
      <c r="J48" s="516"/>
      <c r="K48" s="516"/>
      <c r="L48" s="516"/>
      <c r="M48" s="516"/>
      <c r="N48" s="516"/>
      <c r="O48" s="516"/>
      <c r="P48" s="516"/>
      <c r="Q48" s="516"/>
      <c r="R48" s="516"/>
      <c r="S48" s="516"/>
      <c r="T48" s="516"/>
      <c r="U48" s="424"/>
      <c r="V48" s="425"/>
      <c r="W48" s="425"/>
      <c r="X48" s="425"/>
      <c r="Y48" s="425"/>
      <c r="Z48" s="425"/>
      <c r="AA48" s="425"/>
      <c r="AH48" s="425"/>
      <c r="AI48" s="425"/>
      <c r="AJ48" s="425"/>
      <c r="AK48" s="425"/>
      <c r="AL48" s="425"/>
      <c r="AM48" s="425"/>
      <c r="AN48" s="428"/>
      <c r="AO48" s="425"/>
      <c r="AP48" s="425"/>
      <c r="AQ48" s="425"/>
      <c r="AR48" s="425"/>
      <c r="AS48" s="425"/>
      <c r="AT48" s="425"/>
      <c r="AU48" s="425"/>
      <c r="AV48" s="425"/>
      <c r="AW48" s="425"/>
      <c r="AX48" s="425"/>
      <c r="AY48" s="425"/>
      <c r="AZ48" s="425"/>
      <c r="BA48" s="425"/>
      <c r="BB48" s="425"/>
      <c r="BC48" s="425"/>
      <c r="BD48" s="425"/>
      <c r="BE48" s="425"/>
      <c r="BF48" s="425"/>
      <c r="BG48" s="470"/>
      <c r="BH48" s="428"/>
      <c r="BI48" s="425"/>
      <c r="BJ48" s="425"/>
      <c r="BK48" s="425"/>
      <c r="BL48" s="425"/>
      <c r="BM48" s="425"/>
      <c r="BN48" s="425"/>
      <c r="BO48" s="425"/>
      <c r="BP48" s="425"/>
      <c r="BQ48" s="425"/>
      <c r="BR48" s="425"/>
      <c r="BS48" s="425"/>
      <c r="BT48" s="425"/>
      <c r="BU48" s="425"/>
      <c r="BV48" s="425"/>
      <c r="BW48" s="425"/>
      <c r="BX48" s="425"/>
      <c r="BY48" s="425"/>
      <c r="BZ48" s="425"/>
      <c r="CA48" s="425"/>
      <c r="CB48" s="425"/>
      <c r="CC48" s="425"/>
      <c r="CD48" s="425"/>
      <c r="CE48" s="425"/>
      <c r="CF48" s="425"/>
      <c r="CG48" s="425"/>
      <c r="CH48" s="425"/>
      <c r="CI48" s="425"/>
      <c r="CJ48" s="425"/>
      <c r="CK48" s="425"/>
      <c r="CL48" s="425"/>
      <c r="CM48" s="425"/>
      <c r="CN48" s="425"/>
      <c r="CO48" s="425"/>
      <c r="CP48" s="425"/>
      <c r="CQ48" s="425"/>
      <c r="CR48" s="425"/>
      <c r="CS48" s="425"/>
      <c r="CT48" s="425"/>
      <c r="CU48" s="425"/>
      <c r="CV48" s="425"/>
    </row>
    <row r="49" spans="1:100">
      <c r="A49" s="434"/>
      <c r="B49" s="475" t="s">
        <v>450</v>
      </c>
      <c r="C49" s="476" t="s">
        <v>123</v>
      </c>
      <c r="D49" s="477"/>
      <c r="E49" s="477"/>
      <c r="F49" s="477"/>
      <c r="G49" s="477"/>
      <c r="H49" s="526"/>
      <c r="I49" s="526"/>
      <c r="J49" s="516"/>
      <c r="K49" s="516"/>
      <c r="L49" s="516"/>
      <c r="M49" s="516"/>
      <c r="N49" s="516"/>
      <c r="O49" s="516"/>
      <c r="P49" s="516"/>
      <c r="Q49" s="516"/>
      <c r="R49" s="516"/>
      <c r="S49" s="516"/>
      <c r="T49" s="516"/>
      <c r="U49" s="424"/>
      <c r="V49" s="425"/>
      <c r="W49" s="425"/>
      <c r="X49" s="425"/>
      <c r="Y49" s="425"/>
      <c r="Z49" s="425"/>
      <c r="AA49" s="425"/>
      <c r="AH49" s="425"/>
      <c r="AI49" s="425"/>
      <c r="AJ49" s="425"/>
      <c r="AK49" s="425"/>
      <c r="AL49" s="425"/>
      <c r="AM49" s="425"/>
      <c r="AN49" s="428"/>
      <c r="AO49" s="425"/>
      <c r="AP49" s="425"/>
      <c r="AQ49" s="425"/>
      <c r="AR49" s="425"/>
      <c r="AS49" s="425"/>
      <c r="AT49" s="425"/>
      <c r="AU49" s="425"/>
      <c r="AV49" s="425"/>
      <c r="AW49" s="425"/>
      <c r="AX49" s="425"/>
      <c r="AY49" s="425"/>
      <c r="AZ49" s="425"/>
      <c r="BA49" s="425"/>
      <c r="BB49" s="425"/>
      <c r="BC49" s="425"/>
      <c r="BD49" s="425"/>
      <c r="BE49" s="425"/>
      <c r="BF49" s="425"/>
      <c r="BG49" s="481"/>
      <c r="BH49" s="428"/>
      <c r="BI49" s="425"/>
      <c r="BJ49" s="425"/>
      <c r="BK49" s="425"/>
      <c r="BL49" s="425"/>
      <c r="BM49" s="425"/>
      <c r="BN49" s="425"/>
      <c r="BO49" s="425"/>
      <c r="BP49" s="425"/>
      <c r="BQ49" s="425"/>
      <c r="BR49" s="425"/>
      <c r="BS49" s="425"/>
      <c r="BT49" s="425"/>
      <c r="BU49" s="425"/>
      <c r="BV49" s="425"/>
      <c r="BW49" s="425"/>
      <c r="BX49" s="425"/>
      <c r="BY49" s="425"/>
      <c r="BZ49" s="425"/>
      <c r="CA49" s="425"/>
      <c r="CB49" s="425"/>
      <c r="CC49" s="425"/>
      <c r="CD49" s="425"/>
      <c r="CE49" s="425"/>
      <c r="CF49" s="425"/>
      <c r="CG49" s="425"/>
      <c r="CH49" s="425"/>
      <c r="CI49" s="425"/>
      <c r="CJ49" s="425"/>
      <c r="CK49" s="425"/>
      <c r="CL49" s="425"/>
      <c r="CM49" s="425"/>
      <c r="CN49" s="425"/>
      <c r="CO49" s="425"/>
      <c r="CP49" s="425"/>
      <c r="CQ49" s="425"/>
      <c r="CR49" s="425"/>
      <c r="CS49" s="425"/>
      <c r="CT49" s="425"/>
      <c r="CU49" s="425"/>
      <c r="CV49" s="425"/>
    </row>
    <row r="50" spans="1:100" ht="7.5" customHeight="1">
      <c r="A50" s="434"/>
      <c r="B50" s="442"/>
      <c r="C50" s="443"/>
      <c r="D50" s="443"/>
      <c r="E50" s="443"/>
      <c r="F50" s="443"/>
      <c r="G50" s="443"/>
      <c r="H50" s="526"/>
      <c r="I50" s="526"/>
      <c r="J50" s="516"/>
      <c r="K50" s="516"/>
      <c r="L50" s="516"/>
      <c r="M50" s="516"/>
      <c r="N50" s="516"/>
      <c r="O50" s="516"/>
      <c r="P50" s="516"/>
      <c r="Q50" s="516"/>
      <c r="R50" s="516"/>
      <c r="S50" s="516"/>
      <c r="T50" s="516"/>
      <c r="U50" s="424"/>
      <c r="V50" s="425"/>
      <c r="W50" s="425"/>
      <c r="X50" s="425"/>
      <c r="Y50" s="425"/>
      <c r="Z50" s="425"/>
      <c r="AA50" s="425"/>
      <c r="AH50" s="425"/>
      <c r="AI50" s="425"/>
      <c r="AJ50" s="425"/>
      <c r="AK50" s="425"/>
      <c r="AL50" s="425"/>
      <c r="AM50" s="425"/>
      <c r="AN50" s="428"/>
      <c r="AO50" s="425"/>
      <c r="AP50" s="425"/>
      <c r="AQ50" s="425"/>
      <c r="AR50" s="425"/>
      <c r="AS50" s="425"/>
      <c r="AT50" s="425"/>
      <c r="AU50" s="425"/>
      <c r="AV50" s="425"/>
      <c r="AW50" s="425"/>
      <c r="AX50" s="425"/>
      <c r="AY50" s="425"/>
      <c r="AZ50" s="425"/>
      <c r="BA50" s="425"/>
      <c r="BB50" s="425"/>
      <c r="BC50" s="425"/>
      <c r="BD50" s="425"/>
      <c r="BE50" s="425"/>
      <c r="BF50" s="425"/>
      <c r="BG50" s="470"/>
      <c r="BH50" s="428"/>
      <c r="BI50" s="425"/>
      <c r="BJ50" s="425"/>
      <c r="BK50" s="425"/>
      <c r="BL50" s="425"/>
      <c r="BM50" s="425"/>
      <c r="BN50" s="425"/>
      <c r="BO50" s="425"/>
      <c r="BP50" s="425"/>
      <c r="BQ50" s="425"/>
      <c r="BR50" s="425"/>
      <c r="BS50" s="425"/>
      <c r="BT50" s="425"/>
      <c r="BU50" s="425"/>
      <c r="BV50" s="425"/>
      <c r="BW50" s="425"/>
      <c r="BX50" s="425"/>
      <c r="BY50" s="425"/>
      <c r="BZ50" s="425"/>
      <c r="CA50" s="425"/>
      <c r="CB50" s="425"/>
      <c r="CC50" s="425"/>
      <c r="CD50" s="425"/>
      <c r="CE50" s="425"/>
      <c r="CF50" s="425"/>
      <c r="CG50" s="425"/>
      <c r="CH50" s="425"/>
      <c r="CI50" s="425"/>
      <c r="CJ50" s="425"/>
      <c r="CK50" s="425"/>
      <c r="CL50" s="425"/>
      <c r="CM50" s="425"/>
      <c r="CN50" s="425"/>
      <c r="CO50" s="425"/>
      <c r="CP50" s="425"/>
      <c r="CQ50" s="425"/>
      <c r="CR50" s="425"/>
      <c r="CS50" s="425"/>
      <c r="CT50" s="425"/>
      <c r="CU50" s="425"/>
      <c r="CV50" s="425"/>
    </row>
    <row r="51" spans="1:100">
      <c r="A51" s="434"/>
      <c r="B51" s="442"/>
      <c r="C51" s="499" t="s">
        <v>451</v>
      </c>
      <c r="D51" s="527">
        <f>+D25*(1-D13)</f>
        <v>182</v>
      </c>
      <c r="E51" s="527">
        <f>+E25*(1-E13)</f>
        <v>131.30000000000001</v>
      </c>
      <c r="F51" s="527">
        <f>+F25*(1-F13)</f>
        <v>83.850000000000009</v>
      </c>
      <c r="G51" s="527">
        <f>+G25*(1-G13)</f>
        <v>50.7</v>
      </c>
      <c r="H51" s="527">
        <f>+H25*(1-H13)</f>
        <v>176.15</v>
      </c>
      <c r="I51" s="527">
        <f t="shared" ref="I51:T51" si="47">+I25*(1-I13)</f>
        <v>179.4</v>
      </c>
      <c r="J51" s="527">
        <f t="shared" si="47"/>
        <v>287.95</v>
      </c>
      <c r="K51" s="527">
        <f t="shared" si="47"/>
        <v>267.8</v>
      </c>
      <c r="L51" s="527">
        <f t="shared" si="47"/>
        <v>257.40000000000003</v>
      </c>
      <c r="M51" s="527">
        <f t="shared" si="47"/>
        <v>219.05</v>
      </c>
      <c r="N51" s="527">
        <f t="shared" si="47"/>
        <v>189.15</v>
      </c>
      <c r="O51" s="527">
        <f t="shared" si="47"/>
        <v>68.900000000000006</v>
      </c>
      <c r="P51" s="527">
        <f t="shared" si="47"/>
        <v>70.850000000000009</v>
      </c>
      <c r="Q51" s="527">
        <f t="shared" si="47"/>
        <v>75.164699999999954</v>
      </c>
      <c r="R51" s="527">
        <f t="shared" si="47"/>
        <v>75.022169950000006</v>
      </c>
      <c r="S51" s="527">
        <f t="shared" si="47"/>
        <v>74.279833111574973</v>
      </c>
      <c r="T51" s="527">
        <f t="shared" si="47"/>
        <v>73.428750980517862</v>
      </c>
      <c r="U51" s="424"/>
      <c r="V51" s="425"/>
      <c r="W51" s="425"/>
      <c r="X51" s="425"/>
      <c r="Y51" s="425"/>
      <c r="Z51" s="425"/>
      <c r="AA51" s="425"/>
      <c r="AH51" s="425"/>
      <c r="AI51" s="425"/>
      <c r="AJ51" s="425"/>
      <c r="AK51" s="425"/>
      <c r="AL51" s="425"/>
      <c r="AM51" s="425"/>
      <c r="AN51" s="428"/>
      <c r="AO51" s="425"/>
      <c r="AP51" s="425"/>
      <c r="AQ51" s="425"/>
      <c r="AR51" s="425"/>
      <c r="AS51" s="425"/>
      <c r="AT51" s="425"/>
      <c r="AU51" s="425"/>
      <c r="AV51" s="425"/>
      <c r="AW51" s="425"/>
      <c r="AX51" s="425"/>
      <c r="AY51" s="425"/>
      <c r="AZ51" s="425"/>
      <c r="BA51" s="425"/>
      <c r="BB51" s="425"/>
      <c r="BC51" s="425"/>
      <c r="BD51" s="425"/>
      <c r="BE51" s="425"/>
      <c r="BF51" s="425"/>
      <c r="BG51" s="528"/>
      <c r="BH51" s="428"/>
      <c r="BI51" s="425"/>
      <c r="BJ51" s="425"/>
      <c r="BK51" s="425"/>
      <c r="BL51" s="425"/>
      <c r="BM51" s="425"/>
      <c r="BN51" s="425"/>
      <c r="BO51" s="425"/>
      <c r="BP51" s="425"/>
      <c r="BQ51" s="425"/>
      <c r="BR51" s="425"/>
      <c r="BS51" s="425"/>
      <c r="BT51" s="425"/>
      <c r="BU51" s="425"/>
      <c r="BV51" s="425"/>
      <c r="BW51" s="425"/>
      <c r="BX51" s="425"/>
      <c r="BY51" s="425"/>
      <c r="BZ51" s="425"/>
      <c r="CA51" s="425"/>
      <c r="CB51" s="425"/>
      <c r="CC51" s="425"/>
      <c r="CD51" s="425"/>
      <c r="CE51" s="425"/>
      <c r="CF51" s="425"/>
      <c r="CG51" s="425"/>
      <c r="CH51" s="425"/>
      <c r="CI51" s="425"/>
      <c r="CJ51" s="425"/>
      <c r="CK51" s="425"/>
      <c r="CL51" s="425"/>
      <c r="CM51" s="425"/>
      <c r="CN51" s="425"/>
      <c r="CO51" s="425"/>
      <c r="CP51" s="425"/>
      <c r="CQ51" s="425"/>
      <c r="CR51" s="425"/>
      <c r="CS51" s="425"/>
      <c r="CT51" s="425"/>
      <c r="CU51" s="425"/>
      <c r="CV51" s="425"/>
    </row>
    <row r="52" spans="1:100">
      <c r="A52" s="434"/>
      <c r="B52" s="442"/>
      <c r="C52" s="499" t="s">
        <v>152</v>
      </c>
      <c r="D52" s="527">
        <f t="shared" ref="D52:J52" si="48">IF(ISERROR(-D39*(1-D13)),0,(-D39*(1-D13)))</f>
        <v>-84.5</v>
      </c>
      <c r="E52" s="527">
        <f t="shared" si="48"/>
        <v>-91</v>
      </c>
      <c r="F52" s="527">
        <f t="shared" si="48"/>
        <v>-105.3</v>
      </c>
      <c r="G52" s="527">
        <f t="shared" si="48"/>
        <v>-137.80000000000001</v>
      </c>
      <c r="H52" s="527">
        <f t="shared" si="48"/>
        <v>-142.35</v>
      </c>
      <c r="I52" s="527">
        <f t="shared" si="48"/>
        <v>-143</v>
      </c>
      <c r="J52" s="527">
        <f t="shared" si="48"/>
        <v>-148.85</v>
      </c>
      <c r="K52" s="527">
        <f>IF(ISERROR(-K39*(1-K13)),0,(-K39*(1-K13)))</f>
        <v>-152.1</v>
      </c>
      <c r="L52" s="527">
        <f>IF(ISERROR(-L39*(1-L13)),0,(-L39*(1-L13)))</f>
        <v>-146.9</v>
      </c>
      <c r="M52" s="527">
        <f>IF(ISERROR(-M39*(1-M13)),0,(-M39*(1-M13)))</f>
        <v>-121.55</v>
      </c>
      <c r="N52" s="527">
        <f t="shared" ref="N52:T52" si="49">IF(ISERROR(-N39*(1-N13)),0,(-N39*(1-N13)))</f>
        <v>0</v>
      </c>
      <c r="O52" s="527">
        <f t="shared" si="49"/>
        <v>-73.45</v>
      </c>
      <c r="P52" s="527">
        <f t="shared" si="49"/>
        <v>-48.75</v>
      </c>
      <c r="Q52" s="527">
        <f t="shared" si="49"/>
        <v>0</v>
      </c>
      <c r="R52" s="527">
        <f t="shared" si="49"/>
        <v>0</v>
      </c>
      <c r="S52" s="527">
        <f t="shared" si="49"/>
        <v>0</v>
      </c>
      <c r="T52" s="527">
        <f t="shared" si="49"/>
        <v>0</v>
      </c>
      <c r="U52" s="424"/>
      <c r="V52" s="425"/>
      <c r="W52" s="425"/>
      <c r="X52" s="425"/>
      <c r="Y52" s="425"/>
      <c r="Z52" s="425"/>
      <c r="AA52" s="425"/>
      <c r="AH52" s="425"/>
      <c r="AI52" s="425"/>
      <c r="AJ52" s="425"/>
      <c r="AK52" s="425"/>
      <c r="AL52" s="425"/>
      <c r="AM52" s="425"/>
      <c r="AN52" s="428"/>
      <c r="AO52" s="425"/>
      <c r="AP52" s="425"/>
      <c r="AQ52" s="425"/>
      <c r="AR52" s="425"/>
      <c r="AS52" s="425"/>
      <c r="AT52" s="425"/>
      <c r="AU52" s="425"/>
      <c r="AV52" s="425"/>
      <c r="AW52" s="425"/>
      <c r="AX52" s="425"/>
      <c r="AY52" s="425"/>
      <c r="AZ52" s="425"/>
      <c r="BA52" s="425"/>
      <c r="BB52" s="425"/>
      <c r="BC52" s="425"/>
      <c r="BD52" s="425"/>
      <c r="BE52" s="425"/>
      <c r="BF52" s="425"/>
      <c r="BG52" s="528"/>
      <c r="BH52" s="428"/>
      <c r="BI52" s="425"/>
      <c r="BJ52" s="425"/>
      <c r="BK52" s="425"/>
      <c r="BL52" s="425"/>
      <c r="BM52" s="425"/>
      <c r="BN52" s="425"/>
      <c r="BO52" s="425"/>
      <c r="BP52" s="425"/>
      <c r="BQ52" s="425"/>
      <c r="BR52" s="425"/>
      <c r="BS52" s="425"/>
      <c r="BT52" s="425"/>
      <c r="BU52" s="425"/>
      <c r="BV52" s="425"/>
      <c r="BW52" s="425"/>
      <c r="BX52" s="425"/>
      <c r="BY52" s="425"/>
      <c r="BZ52" s="425"/>
      <c r="CA52" s="425"/>
      <c r="CB52" s="425"/>
      <c r="CC52" s="425"/>
      <c r="CD52" s="425"/>
      <c r="CE52" s="425"/>
      <c r="CF52" s="425"/>
      <c r="CG52" s="425"/>
      <c r="CH52" s="425"/>
      <c r="CI52" s="425"/>
      <c r="CJ52" s="425"/>
      <c r="CK52" s="425"/>
      <c r="CL52" s="425"/>
      <c r="CM52" s="425"/>
      <c r="CN52" s="425"/>
      <c r="CO52" s="425"/>
      <c r="CP52" s="425"/>
      <c r="CQ52" s="425"/>
      <c r="CR52" s="425"/>
      <c r="CS52" s="425"/>
      <c r="CT52" s="425"/>
      <c r="CU52" s="425"/>
      <c r="CV52" s="425"/>
    </row>
    <row r="53" spans="1:100" ht="7.5" customHeight="1">
      <c r="A53" s="434"/>
      <c r="B53" s="442"/>
      <c r="C53" s="443"/>
      <c r="D53" s="443"/>
      <c r="E53" s="443"/>
      <c r="F53" s="443"/>
      <c r="G53" s="443"/>
      <c r="H53" s="473"/>
      <c r="I53" s="473"/>
      <c r="J53" s="473"/>
      <c r="K53" s="473"/>
      <c r="L53" s="473"/>
      <c r="M53" s="473"/>
      <c r="N53" s="473"/>
      <c r="O53" s="473"/>
      <c r="P53" s="473"/>
      <c r="Q53" s="473"/>
      <c r="R53" s="473"/>
      <c r="S53" s="473"/>
      <c r="T53" s="473"/>
      <c r="U53" s="424"/>
      <c r="V53" s="425"/>
      <c r="W53" s="425"/>
      <c r="X53" s="425"/>
      <c r="Y53" s="425"/>
      <c r="Z53" s="425"/>
      <c r="AA53" s="425"/>
      <c r="AH53" s="425"/>
      <c r="AI53" s="425"/>
      <c r="AJ53" s="425"/>
      <c r="AK53" s="425"/>
      <c r="AL53" s="425"/>
      <c r="AM53" s="425"/>
      <c r="AN53" s="428"/>
      <c r="AO53" s="425"/>
      <c r="AP53" s="425"/>
      <c r="AQ53" s="425"/>
      <c r="AR53" s="425"/>
      <c r="AS53" s="425"/>
      <c r="AT53" s="425"/>
      <c r="AU53" s="425"/>
      <c r="AV53" s="425"/>
      <c r="AW53" s="425"/>
      <c r="AX53" s="425"/>
      <c r="AY53" s="425"/>
      <c r="AZ53" s="425"/>
      <c r="BA53" s="425"/>
      <c r="BB53" s="425"/>
      <c r="BC53" s="425"/>
      <c r="BD53" s="425"/>
      <c r="BE53" s="425"/>
      <c r="BF53" s="425"/>
      <c r="BG53" s="426"/>
      <c r="BH53" s="428"/>
      <c r="BI53" s="425"/>
      <c r="BJ53" s="425"/>
      <c r="BK53" s="425"/>
      <c r="BL53" s="425"/>
      <c r="BM53" s="425"/>
      <c r="BN53" s="425"/>
      <c r="BO53" s="425"/>
      <c r="BP53" s="425"/>
      <c r="BQ53" s="425"/>
      <c r="BR53" s="425"/>
      <c r="BS53" s="425"/>
      <c r="BT53" s="425"/>
      <c r="BU53" s="425"/>
      <c r="BV53" s="425"/>
      <c r="BW53" s="425"/>
      <c r="BX53" s="425"/>
      <c r="BY53" s="425"/>
      <c r="BZ53" s="425"/>
      <c r="CA53" s="425"/>
      <c r="CB53" s="425"/>
      <c r="CC53" s="425"/>
      <c r="CD53" s="425"/>
      <c r="CE53" s="425"/>
      <c r="CF53" s="425"/>
      <c r="CG53" s="425"/>
      <c r="CH53" s="425"/>
      <c r="CI53" s="425"/>
      <c r="CJ53" s="425"/>
      <c r="CK53" s="425"/>
      <c r="CL53" s="425"/>
      <c r="CM53" s="425"/>
      <c r="CN53" s="425"/>
      <c r="CO53" s="425"/>
      <c r="CP53" s="425"/>
      <c r="CQ53" s="425"/>
      <c r="CR53" s="425"/>
      <c r="CS53" s="425"/>
      <c r="CT53" s="425"/>
      <c r="CU53" s="425"/>
      <c r="CV53" s="425"/>
    </row>
    <row r="54" spans="1:100" ht="12" customHeight="1">
      <c r="A54" s="434"/>
      <c r="B54" s="422" t="s">
        <v>452</v>
      </c>
      <c r="C54" s="422" t="s">
        <v>453</v>
      </c>
      <c r="D54" s="440">
        <f>+D15</f>
        <v>2005</v>
      </c>
      <c r="E54" s="440">
        <f>+E15</f>
        <v>2006</v>
      </c>
      <c r="F54" s="440">
        <f>+F15</f>
        <v>2007</v>
      </c>
      <c r="G54" s="440">
        <f>+G15</f>
        <v>2008</v>
      </c>
      <c r="H54" s="440">
        <f>+H15</f>
        <v>2009</v>
      </c>
      <c r="I54" s="440">
        <f t="shared" ref="I54:T54" si="50">+I15</f>
        <v>2010</v>
      </c>
      <c r="J54" s="440">
        <f t="shared" si="50"/>
        <v>2011</v>
      </c>
      <c r="K54" s="440">
        <f t="shared" si="50"/>
        <v>2012</v>
      </c>
      <c r="L54" s="440">
        <f t="shared" si="50"/>
        <v>2013</v>
      </c>
      <c r="M54" s="440">
        <f t="shared" si="50"/>
        <v>2014</v>
      </c>
      <c r="N54" s="440">
        <f t="shared" si="50"/>
        <v>2015</v>
      </c>
      <c r="O54" s="440">
        <f t="shared" si="50"/>
        <v>2016</v>
      </c>
      <c r="P54" s="440">
        <f t="shared" si="50"/>
        <v>2017</v>
      </c>
      <c r="Q54" s="440">
        <f t="shared" si="50"/>
        <v>2018</v>
      </c>
      <c r="R54" s="440">
        <f t="shared" si="50"/>
        <v>2019</v>
      </c>
      <c r="S54" s="440">
        <f t="shared" si="50"/>
        <v>2020</v>
      </c>
      <c r="T54" s="440">
        <f t="shared" si="50"/>
        <v>2021</v>
      </c>
      <c r="U54" s="424"/>
      <c r="V54" s="425"/>
      <c r="W54" s="425"/>
      <c r="X54" s="425"/>
      <c r="Y54" s="425"/>
      <c r="Z54" s="425"/>
      <c r="AA54" s="425"/>
      <c r="AH54" s="425"/>
      <c r="AI54" s="425"/>
      <c r="AJ54" s="425"/>
      <c r="AK54" s="425"/>
      <c r="AL54" s="425"/>
      <c r="AM54" s="425"/>
      <c r="AN54" s="428"/>
      <c r="AO54" s="425"/>
      <c r="AP54" s="425"/>
      <c r="AQ54" s="425"/>
      <c r="AR54" s="425"/>
      <c r="AS54" s="425"/>
      <c r="AT54" s="425"/>
      <c r="AU54" s="425"/>
      <c r="AV54" s="425"/>
      <c r="AW54" s="425"/>
      <c r="AX54" s="425"/>
      <c r="AY54" s="425"/>
      <c r="AZ54" s="425"/>
      <c r="BA54" s="425"/>
      <c r="BB54" s="425"/>
      <c r="BC54" s="425"/>
      <c r="BD54" s="425"/>
      <c r="BE54" s="425"/>
      <c r="BF54" s="425"/>
      <c r="BG54" s="426"/>
      <c r="BH54" s="428"/>
      <c r="BI54" s="425"/>
      <c r="BJ54" s="425"/>
      <c r="BK54" s="425"/>
      <c r="BL54" s="425"/>
      <c r="BM54" s="425"/>
      <c r="BN54" s="425"/>
      <c r="BO54" s="425"/>
      <c r="BP54" s="425"/>
      <c r="BQ54" s="425"/>
      <c r="BR54" s="425"/>
      <c r="BS54" s="425"/>
      <c r="BT54" s="425"/>
      <c r="BU54" s="425"/>
      <c r="BV54" s="425"/>
      <c r="BW54" s="425"/>
      <c r="BX54" s="425"/>
      <c r="BY54" s="425"/>
      <c r="BZ54" s="425"/>
      <c r="CA54" s="425"/>
      <c r="CB54" s="425"/>
      <c r="CC54" s="425"/>
      <c r="CD54" s="425"/>
      <c r="CE54" s="425"/>
      <c r="CF54" s="425"/>
      <c r="CG54" s="425"/>
      <c r="CH54" s="425"/>
      <c r="CI54" s="425"/>
      <c r="CJ54" s="425"/>
      <c r="CK54" s="425"/>
      <c r="CL54" s="425"/>
      <c r="CM54" s="425"/>
      <c r="CN54" s="425"/>
      <c r="CO54" s="425"/>
      <c r="CP54" s="425"/>
      <c r="CQ54" s="425"/>
      <c r="CR54" s="425"/>
      <c r="CS54" s="425"/>
      <c r="CT54" s="425"/>
      <c r="CU54" s="425"/>
      <c r="CV54" s="425"/>
    </row>
    <row r="55" spans="1:100" ht="27.75" customHeight="1">
      <c r="A55" s="434"/>
      <c r="B55" s="529"/>
      <c r="C55" s="1576" t="s">
        <v>454</v>
      </c>
      <c r="D55" s="1576"/>
      <c r="E55" s="1576"/>
      <c r="F55" s="1576"/>
      <c r="G55" s="1576"/>
      <c r="H55" s="1576"/>
      <c r="I55" s="1576"/>
      <c r="J55" s="1576"/>
      <c r="K55" s="1576"/>
      <c r="L55" s="1576"/>
      <c r="M55" s="1576"/>
      <c r="N55" s="1576"/>
      <c r="O55" s="1576"/>
      <c r="P55" s="1576"/>
      <c r="Q55" s="1576"/>
      <c r="R55" s="1576"/>
      <c r="S55" s="1576"/>
      <c r="T55" s="1576"/>
      <c r="U55" s="424"/>
      <c r="V55" s="425"/>
      <c r="W55" s="425"/>
      <c r="X55" s="425"/>
      <c r="Y55" s="530"/>
      <c r="Z55" s="530"/>
      <c r="AA55" s="530"/>
      <c r="AH55" s="530"/>
      <c r="AI55" s="530"/>
      <c r="AJ55" s="530"/>
      <c r="AK55" s="530"/>
      <c r="AL55" s="530"/>
      <c r="AM55" s="530"/>
      <c r="AN55" s="531"/>
      <c r="AO55" s="530"/>
      <c r="AP55" s="530"/>
      <c r="AQ55" s="530"/>
      <c r="AR55" s="530"/>
      <c r="AS55" s="530"/>
      <c r="AT55" s="530"/>
      <c r="AU55" s="530"/>
      <c r="AV55" s="530"/>
      <c r="AW55" s="530"/>
      <c r="AX55" s="530"/>
      <c r="AY55" s="530"/>
      <c r="AZ55" s="530"/>
      <c r="BA55" s="530"/>
      <c r="BB55" s="530"/>
      <c r="BC55" s="530"/>
      <c r="BD55" s="530"/>
      <c r="BE55" s="530"/>
      <c r="BF55" s="530"/>
      <c r="BG55" s="532"/>
      <c r="BH55" s="531"/>
      <c r="BI55" s="530"/>
      <c r="BJ55" s="530"/>
      <c r="BK55" s="530"/>
      <c r="BL55" s="530"/>
      <c r="BM55" s="530"/>
      <c r="BN55" s="530"/>
      <c r="BO55" s="530"/>
      <c r="BP55" s="530"/>
      <c r="BQ55" s="530"/>
      <c r="BR55" s="530"/>
      <c r="BS55" s="530"/>
      <c r="BT55" s="530"/>
      <c r="BU55" s="530"/>
      <c r="BV55" s="530"/>
      <c r="BW55" s="530"/>
      <c r="BX55" s="530"/>
      <c r="BY55" s="530"/>
      <c r="BZ55" s="530"/>
      <c r="CA55" s="530"/>
      <c r="CB55" s="530"/>
      <c r="CC55" s="530"/>
      <c r="CD55" s="530"/>
      <c r="CE55" s="530"/>
      <c r="CF55" s="530"/>
      <c r="CG55" s="530"/>
      <c r="CH55" s="530"/>
      <c r="CI55" s="530"/>
      <c r="CJ55" s="530"/>
      <c r="CK55" s="530"/>
      <c r="CL55" s="530"/>
      <c r="CM55" s="530"/>
      <c r="CN55" s="530"/>
      <c r="CO55" s="530"/>
      <c r="CP55" s="530"/>
      <c r="CQ55" s="530"/>
      <c r="CR55" s="530"/>
      <c r="CS55" s="530"/>
      <c r="CT55" s="530"/>
      <c r="CU55" s="530"/>
      <c r="CV55" s="530"/>
    </row>
    <row r="56" spans="1:100">
      <c r="A56" s="434"/>
      <c r="B56" s="529"/>
      <c r="C56" s="533"/>
      <c r="D56" s="533"/>
      <c r="E56" s="533"/>
      <c r="F56" s="533"/>
      <c r="G56" s="533"/>
      <c r="H56" s="533"/>
      <c r="I56" s="533"/>
      <c r="J56" s="533"/>
      <c r="K56" s="533"/>
      <c r="L56" s="533"/>
      <c r="M56" s="533"/>
      <c r="N56" s="533"/>
      <c r="O56" s="533"/>
      <c r="P56" s="533"/>
      <c r="Q56" s="533"/>
      <c r="R56" s="533"/>
      <c r="S56" s="533"/>
      <c r="T56" s="533"/>
      <c r="U56" s="424"/>
      <c r="V56" s="425"/>
      <c r="W56" s="425"/>
      <c r="X56" s="425"/>
      <c r="Y56" s="530"/>
      <c r="Z56" s="530"/>
      <c r="AA56" s="530"/>
      <c r="AH56" s="530"/>
      <c r="AI56" s="530"/>
      <c r="AJ56" s="530"/>
      <c r="AK56" s="530"/>
      <c r="AL56" s="530"/>
      <c r="AM56" s="530"/>
      <c r="AN56" s="531"/>
      <c r="AO56" s="530"/>
      <c r="AP56" s="530"/>
      <c r="AQ56" s="530"/>
      <c r="AR56" s="530"/>
      <c r="AS56" s="530"/>
      <c r="AT56" s="530"/>
      <c r="AU56" s="530"/>
      <c r="AV56" s="530"/>
      <c r="AW56" s="530"/>
      <c r="AX56" s="530"/>
      <c r="AY56" s="530"/>
      <c r="AZ56" s="530"/>
      <c r="BA56" s="530"/>
      <c r="BB56" s="530"/>
      <c r="BC56" s="530"/>
      <c r="BD56" s="530"/>
      <c r="BE56" s="530"/>
      <c r="BF56" s="530"/>
      <c r="BG56" s="532"/>
      <c r="BH56" s="531"/>
      <c r="BI56" s="530"/>
      <c r="BJ56" s="530"/>
      <c r="BK56" s="530"/>
      <c r="BL56" s="530"/>
      <c r="BM56" s="530"/>
      <c r="BN56" s="530"/>
      <c r="BO56" s="530"/>
      <c r="BP56" s="530"/>
      <c r="BQ56" s="530"/>
      <c r="BR56" s="530"/>
      <c r="BS56" s="530"/>
      <c r="BT56" s="530"/>
      <c r="BU56" s="530"/>
      <c r="BV56" s="530"/>
      <c r="BW56" s="530"/>
      <c r="BX56" s="530"/>
      <c r="BY56" s="530"/>
      <c r="BZ56" s="530"/>
      <c r="CA56" s="530"/>
      <c r="CB56" s="530"/>
      <c r="CC56" s="530"/>
      <c r="CD56" s="530"/>
      <c r="CE56" s="530"/>
      <c r="CF56" s="530"/>
      <c r="CG56" s="530"/>
      <c r="CH56" s="530"/>
      <c r="CI56" s="530"/>
      <c r="CJ56" s="530"/>
      <c r="CK56" s="530"/>
      <c r="CL56" s="530"/>
      <c r="CM56" s="530"/>
      <c r="CN56" s="530"/>
      <c r="CO56" s="530"/>
      <c r="CP56" s="530"/>
      <c r="CQ56" s="530"/>
      <c r="CR56" s="530"/>
      <c r="CS56" s="530"/>
      <c r="CT56" s="530"/>
      <c r="CU56" s="530"/>
      <c r="CV56" s="530"/>
    </row>
    <row r="57" spans="1:100">
      <c r="A57" s="434"/>
      <c r="B57" s="534" t="s">
        <v>410</v>
      </c>
      <c r="C57" s="535" t="s">
        <v>455</v>
      </c>
      <c r="D57" s="536"/>
      <c r="E57" s="536"/>
      <c r="F57" s="536"/>
      <c r="G57" s="536"/>
      <c r="H57" s="537"/>
      <c r="I57" s="537"/>
      <c r="J57" s="537"/>
      <c r="K57" s="537"/>
      <c r="L57" s="537"/>
      <c r="M57" s="537"/>
      <c r="N57" s="537"/>
      <c r="O57" s="537"/>
      <c r="P57" s="537"/>
      <c r="Q57" s="537"/>
      <c r="R57" s="537"/>
      <c r="S57" s="537"/>
      <c r="T57" s="537"/>
      <c r="U57" s="424"/>
      <c r="V57" s="425"/>
      <c r="W57" s="425"/>
      <c r="X57" s="425"/>
      <c r="Y57" s="530"/>
      <c r="Z57" s="530"/>
      <c r="AA57" s="530"/>
      <c r="AH57" s="530"/>
      <c r="AI57" s="530"/>
      <c r="AJ57" s="530"/>
      <c r="AK57" s="530"/>
      <c r="AL57" s="530"/>
      <c r="AM57" s="530"/>
      <c r="AN57" s="531"/>
      <c r="AO57" s="530"/>
      <c r="AP57" s="530"/>
      <c r="AQ57" s="530"/>
      <c r="AR57" s="530"/>
      <c r="AS57" s="530"/>
      <c r="AT57" s="530"/>
      <c r="AU57" s="530"/>
      <c r="AV57" s="530"/>
      <c r="AW57" s="530"/>
      <c r="AX57" s="530"/>
      <c r="AY57" s="530"/>
      <c r="AZ57" s="530"/>
      <c r="BA57" s="530"/>
      <c r="BB57" s="530"/>
      <c r="BC57" s="530"/>
      <c r="BD57" s="530"/>
      <c r="BE57" s="530"/>
      <c r="BF57" s="530"/>
      <c r="BG57" s="532"/>
      <c r="BH57" s="531"/>
      <c r="BI57" s="530"/>
      <c r="BJ57" s="530"/>
      <c r="BK57" s="530"/>
      <c r="BL57" s="530"/>
      <c r="BM57" s="530"/>
      <c r="BN57" s="530"/>
      <c r="BO57" s="530"/>
      <c r="BP57" s="530"/>
      <c r="BQ57" s="530"/>
      <c r="BR57" s="530"/>
      <c r="BS57" s="530"/>
      <c r="BT57" s="530"/>
      <c r="BU57" s="530"/>
      <c r="BV57" s="530"/>
      <c r="BW57" s="530"/>
      <c r="BX57" s="530"/>
      <c r="BY57" s="530"/>
      <c r="BZ57" s="530"/>
      <c r="CA57" s="530"/>
      <c r="CB57" s="530"/>
      <c r="CC57" s="530"/>
      <c r="CD57" s="530"/>
      <c r="CE57" s="530"/>
      <c r="CF57" s="530"/>
      <c r="CG57" s="530"/>
      <c r="CH57" s="530"/>
      <c r="CI57" s="530"/>
      <c r="CJ57" s="530"/>
      <c r="CK57" s="530"/>
      <c r="CL57" s="530"/>
      <c r="CM57" s="530"/>
      <c r="CN57" s="530"/>
      <c r="CO57" s="530"/>
      <c r="CP57" s="530"/>
      <c r="CQ57" s="530"/>
      <c r="CR57" s="530"/>
      <c r="CS57" s="530"/>
      <c r="CT57" s="530"/>
      <c r="CU57" s="530"/>
      <c r="CV57" s="530"/>
    </row>
    <row r="58" spans="1:100" ht="7.5" customHeight="1">
      <c r="A58" s="434"/>
      <c r="B58" s="442"/>
      <c r="C58" s="443"/>
      <c r="D58" s="443"/>
      <c r="E58" s="443"/>
      <c r="F58" s="443"/>
      <c r="G58" s="443"/>
      <c r="H58" s="526"/>
      <c r="I58" s="526"/>
      <c r="J58" s="516"/>
      <c r="K58" s="516"/>
      <c r="L58" s="516"/>
      <c r="M58" s="516"/>
      <c r="N58" s="516"/>
      <c r="O58" s="516"/>
      <c r="P58" s="516"/>
      <c r="Q58" s="516"/>
      <c r="R58" s="516"/>
      <c r="S58" s="516"/>
      <c r="T58" s="516"/>
      <c r="U58" s="424"/>
      <c r="V58" s="425"/>
      <c r="W58" s="425"/>
      <c r="X58" s="425"/>
      <c r="Y58" s="425"/>
      <c r="Z58" s="425"/>
      <c r="AA58" s="425"/>
      <c r="AH58" s="425"/>
      <c r="AI58" s="425"/>
      <c r="AJ58" s="425"/>
      <c r="AK58" s="425"/>
      <c r="AL58" s="425"/>
      <c r="AM58" s="425"/>
      <c r="AN58" s="428"/>
      <c r="AO58" s="425"/>
      <c r="AP58" s="425"/>
      <c r="AQ58" s="425"/>
      <c r="AR58" s="425"/>
      <c r="AS58" s="425"/>
      <c r="AT58" s="425"/>
      <c r="AU58" s="425"/>
      <c r="AV58" s="425"/>
      <c r="AW58" s="425"/>
      <c r="AX58" s="425"/>
      <c r="AY58" s="425"/>
      <c r="AZ58" s="425"/>
      <c r="BA58" s="425"/>
      <c r="BB58" s="425"/>
      <c r="BC58" s="425"/>
      <c r="BD58" s="425"/>
      <c r="BE58" s="425"/>
      <c r="BF58" s="425"/>
      <c r="BG58" s="426"/>
      <c r="BH58" s="428"/>
      <c r="BI58" s="425"/>
      <c r="BJ58" s="425"/>
      <c r="BK58" s="425"/>
      <c r="BL58" s="425"/>
      <c r="BM58" s="425"/>
      <c r="BN58" s="425"/>
      <c r="BO58" s="425"/>
      <c r="BP58" s="425"/>
      <c r="BQ58" s="425"/>
      <c r="BR58" s="425"/>
      <c r="BS58" s="425"/>
      <c r="BT58" s="425"/>
      <c r="BU58" s="425"/>
      <c r="BV58" s="425"/>
      <c r="BW58" s="425"/>
      <c r="BX58" s="425"/>
      <c r="BY58" s="425"/>
      <c r="BZ58" s="425"/>
      <c r="CA58" s="425"/>
      <c r="CB58" s="425"/>
      <c r="CC58" s="425"/>
      <c r="CD58" s="425"/>
      <c r="CE58" s="425"/>
      <c r="CF58" s="425"/>
      <c r="CG58" s="425"/>
      <c r="CH58" s="425"/>
      <c r="CI58" s="425"/>
      <c r="CJ58" s="425"/>
      <c r="CK58" s="425"/>
      <c r="CL58" s="425"/>
      <c r="CM58" s="425"/>
      <c r="CN58" s="425"/>
      <c r="CO58" s="425"/>
      <c r="CP58" s="425"/>
      <c r="CQ58" s="425"/>
      <c r="CR58" s="425"/>
      <c r="CS58" s="425"/>
      <c r="CT58" s="425"/>
      <c r="CU58" s="425"/>
      <c r="CV58" s="425"/>
    </row>
    <row r="59" spans="1:100" ht="15.75" customHeight="1">
      <c r="A59" s="434"/>
      <c r="B59" s="529"/>
      <c r="C59" s="537" t="s">
        <v>456</v>
      </c>
      <c r="D59" s="537"/>
      <c r="E59" s="537"/>
      <c r="F59" s="537"/>
      <c r="G59" s="537"/>
      <c r="H59" s="537"/>
      <c r="I59" s="537"/>
      <c r="J59" s="537"/>
      <c r="K59" s="537"/>
      <c r="L59" s="444"/>
      <c r="M59" s="516"/>
      <c r="N59" s="444">
        <f t="shared" ref="N59:T59" si="51">+N52</f>
        <v>0</v>
      </c>
      <c r="O59" s="444">
        <f t="shared" si="51"/>
        <v>-73.45</v>
      </c>
      <c r="P59" s="444">
        <f t="shared" si="51"/>
        <v>-48.75</v>
      </c>
      <c r="Q59" s="444">
        <f t="shared" si="51"/>
        <v>0</v>
      </c>
      <c r="R59" s="444">
        <f t="shared" si="51"/>
        <v>0</v>
      </c>
      <c r="S59" s="444">
        <f t="shared" si="51"/>
        <v>0</v>
      </c>
      <c r="T59" s="444">
        <f t="shared" si="51"/>
        <v>0</v>
      </c>
      <c r="U59" s="424"/>
      <c r="V59" s="425"/>
      <c r="W59" s="425"/>
      <c r="X59" s="425"/>
      <c r="Y59" s="530"/>
      <c r="Z59" s="530"/>
      <c r="AA59" s="530"/>
      <c r="AH59" s="530"/>
      <c r="AI59" s="530"/>
      <c r="AJ59" s="530"/>
      <c r="AK59" s="530"/>
      <c r="AL59" s="530"/>
      <c r="AM59" s="530"/>
      <c r="AN59" s="531"/>
      <c r="AO59" s="530"/>
      <c r="AP59" s="530"/>
      <c r="AQ59" s="530"/>
      <c r="AR59" s="530"/>
      <c r="AS59" s="530"/>
      <c r="AT59" s="530"/>
      <c r="AU59" s="530"/>
      <c r="AV59" s="530"/>
      <c r="AW59" s="530"/>
      <c r="AX59" s="530"/>
      <c r="AY59" s="530"/>
      <c r="AZ59" s="530"/>
      <c r="BA59" s="530"/>
      <c r="BB59" s="530"/>
      <c r="BC59" s="530"/>
      <c r="BD59" s="530"/>
      <c r="BE59" s="530"/>
      <c r="BF59" s="530"/>
      <c r="BG59" s="532"/>
      <c r="BH59" s="531"/>
      <c r="BI59" s="530"/>
      <c r="BJ59" s="530"/>
      <c r="BK59" s="530"/>
      <c r="BL59" s="530"/>
      <c r="BM59" s="530"/>
      <c r="BN59" s="530"/>
      <c r="BO59" s="530"/>
      <c r="BP59" s="530"/>
      <c r="BQ59" s="530"/>
      <c r="BR59" s="530"/>
      <c r="BS59" s="530"/>
      <c r="BT59" s="530"/>
      <c r="BU59" s="530"/>
      <c r="BV59" s="530"/>
      <c r="BW59" s="530"/>
      <c r="BX59" s="530"/>
      <c r="BY59" s="530"/>
      <c r="BZ59" s="530"/>
      <c r="CA59" s="530"/>
      <c r="CB59" s="530"/>
      <c r="CC59" s="530"/>
      <c r="CD59" s="530"/>
      <c r="CE59" s="530"/>
      <c r="CF59" s="530"/>
      <c r="CG59" s="530"/>
      <c r="CH59" s="530"/>
      <c r="CI59" s="530"/>
      <c r="CJ59" s="530"/>
      <c r="CK59" s="530"/>
      <c r="CL59" s="530"/>
      <c r="CM59" s="530"/>
      <c r="CN59" s="530"/>
      <c r="CO59" s="530"/>
      <c r="CP59" s="530"/>
      <c r="CQ59" s="530"/>
      <c r="CR59" s="530"/>
      <c r="CS59" s="530"/>
      <c r="CT59" s="530"/>
      <c r="CU59" s="530"/>
      <c r="CV59" s="530"/>
    </row>
    <row r="60" spans="1:100" ht="15.75" customHeight="1">
      <c r="A60" s="434"/>
      <c r="B60" s="529"/>
      <c r="C60" s="537" t="s">
        <v>457</v>
      </c>
      <c r="D60" s="537"/>
      <c r="E60" s="537"/>
      <c r="F60" s="537"/>
      <c r="G60" s="537"/>
      <c r="H60" s="537"/>
      <c r="I60" s="537"/>
      <c r="J60" s="537"/>
      <c r="K60" s="537"/>
      <c r="L60" s="444"/>
      <c r="M60" s="516"/>
      <c r="N60" s="444">
        <f t="shared" ref="N60:T60" si="52">N25*(1-N13)</f>
        <v>189.15</v>
      </c>
      <c r="O60" s="444">
        <f t="shared" si="52"/>
        <v>68.900000000000006</v>
      </c>
      <c r="P60" s="444">
        <f t="shared" si="52"/>
        <v>70.850000000000009</v>
      </c>
      <c r="Q60" s="444">
        <f t="shared" si="52"/>
        <v>75.164699999999954</v>
      </c>
      <c r="R60" s="444">
        <f t="shared" si="52"/>
        <v>75.022169950000006</v>
      </c>
      <c r="S60" s="444">
        <f t="shared" si="52"/>
        <v>74.279833111574973</v>
      </c>
      <c r="T60" s="444">
        <f t="shared" si="52"/>
        <v>73.428750980517862</v>
      </c>
      <c r="U60" s="424"/>
      <c r="V60" s="425"/>
      <c r="W60" s="425"/>
      <c r="X60" s="425"/>
      <c r="Y60" s="530"/>
      <c r="Z60" s="530"/>
      <c r="AA60" s="530"/>
      <c r="AH60" s="530"/>
      <c r="AI60" s="530"/>
      <c r="AJ60" s="530"/>
      <c r="AK60" s="530"/>
      <c r="AL60" s="530"/>
      <c r="AM60" s="530"/>
      <c r="AN60" s="531"/>
      <c r="AO60" s="530"/>
      <c r="AP60" s="530"/>
      <c r="AQ60" s="530"/>
      <c r="AR60" s="530"/>
      <c r="AS60" s="530"/>
      <c r="AT60" s="530"/>
      <c r="AU60" s="530"/>
      <c r="AV60" s="530"/>
      <c r="AW60" s="530"/>
      <c r="AX60" s="530"/>
      <c r="AY60" s="530"/>
      <c r="AZ60" s="530"/>
      <c r="BA60" s="530"/>
      <c r="BB60" s="530"/>
      <c r="BC60" s="530"/>
      <c r="BD60" s="530"/>
      <c r="BE60" s="530"/>
      <c r="BF60" s="530"/>
      <c r="BG60" s="532"/>
      <c r="BH60" s="531"/>
      <c r="BI60" s="530"/>
      <c r="BJ60" s="530"/>
      <c r="BK60" s="530"/>
      <c r="BL60" s="530"/>
      <c r="BM60" s="530"/>
      <c r="BN60" s="530"/>
      <c r="BO60" s="530"/>
      <c r="BP60" s="530"/>
      <c r="BQ60" s="530"/>
      <c r="BR60" s="530"/>
      <c r="BS60" s="530"/>
      <c r="BT60" s="530"/>
      <c r="BU60" s="530"/>
      <c r="BV60" s="530"/>
      <c r="BW60" s="530"/>
      <c r="BX60" s="530"/>
      <c r="BY60" s="530"/>
      <c r="BZ60" s="530"/>
      <c r="CA60" s="530"/>
      <c r="CB60" s="530"/>
      <c r="CC60" s="530"/>
      <c r="CD60" s="530"/>
      <c r="CE60" s="530"/>
      <c r="CF60" s="530"/>
      <c r="CG60" s="530"/>
      <c r="CH60" s="530"/>
      <c r="CI60" s="530"/>
      <c r="CJ60" s="530"/>
      <c r="CK60" s="530"/>
      <c r="CL60" s="530"/>
      <c r="CM60" s="530"/>
      <c r="CN60" s="530"/>
      <c r="CO60" s="530"/>
      <c r="CP60" s="530"/>
      <c r="CQ60" s="530"/>
      <c r="CR60" s="530"/>
      <c r="CS60" s="530"/>
      <c r="CT60" s="530"/>
      <c r="CU60" s="530"/>
      <c r="CV60" s="530"/>
    </row>
    <row r="61" spans="1:100" ht="15.75" customHeight="1">
      <c r="A61" s="434"/>
      <c r="B61" s="529"/>
      <c r="C61" s="537" t="s">
        <v>458</v>
      </c>
      <c r="D61" s="537"/>
      <c r="E61" s="537"/>
      <c r="F61" s="537"/>
      <c r="G61" s="537"/>
      <c r="H61" s="537"/>
      <c r="I61" s="537"/>
      <c r="J61" s="537"/>
      <c r="K61" s="537"/>
      <c r="L61" s="444"/>
      <c r="M61" s="516"/>
      <c r="N61" s="444">
        <f t="shared" ref="N61:T61" si="53">N47-M47</f>
        <v>-80.850000000000023</v>
      </c>
      <c r="O61" s="444">
        <f t="shared" si="53"/>
        <v>-1.0500000000000114</v>
      </c>
      <c r="P61" s="444">
        <f t="shared" si="53"/>
        <v>-124.94999999999999</v>
      </c>
      <c r="Q61" s="444">
        <f t="shared" si="53"/>
        <v>-34.426700000000025</v>
      </c>
      <c r="R61" s="444">
        <f t="shared" si="53"/>
        <v>-34.503446950000075</v>
      </c>
      <c r="S61" s="444">
        <f t="shared" si="53"/>
        <v>-34.903166786075097</v>
      </c>
      <c r="T61" s="444">
        <f t="shared" si="53"/>
        <v>-35.361441779721048</v>
      </c>
      <c r="U61" s="424"/>
      <c r="V61" s="425"/>
      <c r="W61" s="425"/>
      <c r="X61" s="425"/>
      <c r="Y61" s="530"/>
      <c r="Z61" s="530"/>
      <c r="AA61" s="530"/>
      <c r="AH61" s="530"/>
      <c r="AI61" s="530"/>
      <c r="AJ61" s="530"/>
      <c r="AK61" s="530"/>
      <c r="AL61" s="530"/>
      <c r="AM61" s="530"/>
      <c r="AN61" s="531"/>
      <c r="AO61" s="530"/>
      <c r="AP61" s="530"/>
      <c r="AQ61" s="530"/>
      <c r="AR61" s="530"/>
      <c r="AS61" s="530"/>
      <c r="AT61" s="530"/>
      <c r="AU61" s="530"/>
      <c r="AV61" s="530"/>
      <c r="AW61" s="530"/>
      <c r="AX61" s="530"/>
      <c r="AY61" s="530"/>
      <c r="AZ61" s="530"/>
      <c r="BA61" s="530"/>
      <c r="BB61" s="530"/>
      <c r="BC61" s="530"/>
      <c r="BD61" s="530"/>
      <c r="BE61" s="530"/>
      <c r="BF61" s="530"/>
      <c r="BG61" s="532"/>
      <c r="BH61" s="531"/>
      <c r="BI61" s="530"/>
      <c r="BJ61" s="530"/>
      <c r="BK61" s="530"/>
      <c r="BL61" s="530"/>
      <c r="BM61" s="530"/>
      <c r="BN61" s="530"/>
      <c r="BO61" s="530"/>
      <c r="BP61" s="530"/>
      <c r="BQ61" s="530"/>
      <c r="BR61" s="530"/>
      <c r="BS61" s="530"/>
      <c r="BT61" s="530"/>
      <c r="BU61" s="530"/>
      <c r="BV61" s="530"/>
      <c r="BW61" s="530"/>
      <c r="BX61" s="530"/>
      <c r="BY61" s="530"/>
      <c r="BZ61" s="530"/>
      <c r="CA61" s="530"/>
      <c r="CB61" s="530"/>
      <c r="CC61" s="530"/>
      <c r="CD61" s="530"/>
      <c r="CE61" s="530"/>
      <c r="CF61" s="530"/>
      <c r="CG61" s="530"/>
      <c r="CH61" s="530"/>
      <c r="CI61" s="530"/>
      <c r="CJ61" s="530"/>
      <c r="CK61" s="530"/>
      <c r="CL61" s="530"/>
      <c r="CM61" s="530"/>
      <c r="CN61" s="530"/>
      <c r="CO61" s="530"/>
      <c r="CP61" s="530"/>
      <c r="CQ61" s="530"/>
      <c r="CR61" s="530"/>
      <c r="CS61" s="530"/>
      <c r="CT61" s="530"/>
      <c r="CU61" s="530"/>
      <c r="CV61" s="530"/>
    </row>
    <row r="62" spans="1:100" ht="15.75" customHeight="1">
      <c r="A62" s="434"/>
      <c r="B62" s="529"/>
      <c r="C62" s="538" t="s">
        <v>459</v>
      </c>
      <c r="D62" s="538"/>
      <c r="E62" s="538"/>
      <c r="F62" s="538"/>
      <c r="G62" s="538"/>
      <c r="H62" s="538"/>
      <c r="I62" s="538"/>
      <c r="J62" s="538"/>
      <c r="K62" s="538"/>
      <c r="L62" s="500"/>
      <c r="M62" s="516"/>
      <c r="N62" s="500">
        <f>SUM(N59:N61)</f>
        <v>108.29999999999998</v>
      </c>
      <c r="O62" s="500">
        <f t="shared" ref="O62:T62" si="54">SUM(O59:O61)</f>
        <v>-5.6000000000000085</v>
      </c>
      <c r="P62" s="500">
        <f t="shared" si="54"/>
        <v>-102.84999999999998</v>
      </c>
      <c r="Q62" s="500">
        <f t="shared" si="54"/>
        <v>40.737999999999928</v>
      </c>
      <c r="R62" s="500">
        <f t="shared" si="54"/>
        <v>40.51872299999993</v>
      </c>
      <c r="S62" s="500">
        <f t="shared" si="54"/>
        <v>39.376666325499876</v>
      </c>
      <c r="T62" s="500">
        <f t="shared" si="54"/>
        <v>38.067309200796814</v>
      </c>
      <c r="U62" s="514"/>
      <c r="V62" s="425"/>
      <c r="W62" s="425"/>
      <c r="X62" s="425"/>
      <c r="Y62" s="530"/>
      <c r="Z62" s="530"/>
      <c r="AA62" s="530"/>
      <c r="AH62" s="530"/>
      <c r="AI62" s="530"/>
      <c r="AJ62" s="530"/>
      <c r="AK62" s="530"/>
      <c r="AL62" s="530"/>
      <c r="AM62" s="530"/>
      <c r="AN62" s="531"/>
      <c r="AO62" s="530"/>
      <c r="AP62" s="530"/>
      <c r="AQ62" s="530"/>
      <c r="AR62" s="530"/>
      <c r="AS62" s="530"/>
      <c r="AT62" s="530"/>
      <c r="AU62" s="530"/>
      <c r="AV62" s="530"/>
      <c r="AW62" s="530"/>
      <c r="AX62" s="530"/>
      <c r="AY62" s="530"/>
      <c r="AZ62" s="530"/>
      <c r="BA62" s="530"/>
      <c r="BB62" s="530"/>
      <c r="BC62" s="530"/>
      <c r="BD62" s="530"/>
      <c r="BE62" s="530"/>
      <c r="BF62" s="530"/>
      <c r="BG62" s="532"/>
      <c r="BH62" s="531"/>
      <c r="BI62" s="530"/>
      <c r="BJ62" s="530"/>
      <c r="BK62" s="530"/>
      <c r="BL62" s="530"/>
      <c r="BM62" s="530"/>
      <c r="BN62" s="530"/>
      <c r="BO62" s="530"/>
      <c r="BP62" s="530"/>
      <c r="BQ62" s="530"/>
      <c r="BR62" s="530"/>
      <c r="BS62" s="530"/>
      <c r="BT62" s="530"/>
      <c r="BU62" s="530"/>
      <c r="BV62" s="530"/>
      <c r="BW62" s="530"/>
      <c r="BX62" s="530"/>
      <c r="BY62" s="530"/>
      <c r="BZ62" s="530"/>
      <c r="CA62" s="530"/>
      <c r="CB62" s="530"/>
      <c r="CC62" s="530"/>
      <c r="CD62" s="530"/>
      <c r="CE62" s="530"/>
      <c r="CF62" s="530"/>
      <c r="CG62" s="530"/>
      <c r="CH62" s="530"/>
      <c r="CI62" s="530"/>
      <c r="CJ62" s="530"/>
      <c r="CK62" s="530"/>
      <c r="CL62" s="530"/>
      <c r="CM62" s="530"/>
      <c r="CN62" s="530"/>
      <c r="CO62" s="530"/>
      <c r="CP62" s="530"/>
      <c r="CQ62" s="530"/>
      <c r="CR62" s="530"/>
      <c r="CS62" s="530"/>
      <c r="CT62" s="530"/>
      <c r="CU62" s="530"/>
      <c r="CV62" s="530"/>
    </row>
    <row r="63" spans="1:100">
      <c r="A63" s="434"/>
      <c r="B63" s="442"/>
      <c r="C63" s="443"/>
      <c r="D63" s="443"/>
      <c r="E63" s="443"/>
      <c r="F63" s="443"/>
      <c r="G63" s="443"/>
      <c r="H63" s="526"/>
      <c r="I63" s="526"/>
      <c r="J63" s="516"/>
      <c r="K63" s="516"/>
      <c r="L63" s="516"/>
      <c r="M63" s="516"/>
      <c r="N63" s="516"/>
      <c r="O63" s="516"/>
      <c r="P63" s="516"/>
      <c r="Q63" s="516"/>
      <c r="R63" s="516"/>
      <c r="S63" s="516"/>
      <c r="T63" s="516"/>
      <c r="U63" s="424"/>
      <c r="V63" s="425"/>
      <c r="W63" s="425"/>
      <c r="X63" s="425"/>
      <c r="Y63" s="425"/>
      <c r="Z63" s="425"/>
      <c r="AA63" s="425"/>
      <c r="AH63" s="425"/>
      <c r="AI63" s="425"/>
      <c r="AJ63" s="425"/>
      <c r="AK63" s="425"/>
      <c r="AL63" s="425"/>
      <c r="AM63" s="425"/>
      <c r="AN63" s="428"/>
      <c r="AO63" s="425"/>
      <c r="AP63" s="425"/>
      <c r="AQ63" s="425"/>
      <c r="AR63" s="425"/>
      <c r="AS63" s="425"/>
      <c r="AT63" s="425"/>
      <c r="AU63" s="425"/>
      <c r="AV63" s="425"/>
      <c r="AW63" s="425"/>
      <c r="AX63" s="425"/>
      <c r="AY63" s="425"/>
      <c r="AZ63" s="425"/>
      <c r="BA63" s="425"/>
      <c r="BB63" s="425"/>
      <c r="BC63" s="425"/>
      <c r="BD63" s="425"/>
      <c r="BE63" s="425"/>
      <c r="BF63" s="425"/>
      <c r="BG63" s="426"/>
      <c r="BH63" s="428"/>
      <c r="BI63" s="425"/>
      <c r="BJ63" s="425"/>
      <c r="BK63" s="425"/>
      <c r="BL63" s="425"/>
      <c r="BM63" s="425"/>
      <c r="BN63" s="425"/>
      <c r="BO63" s="425"/>
      <c r="BP63" s="425"/>
      <c r="BQ63" s="425"/>
      <c r="BR63" s="425"/>
      <c r="BS63" s="425"/>
      <c r="BT63" s="425"/>
      <c r="BU63" s="425"/>
      <c r="BV63" s="425"/>
      <c r="BW63" s="425"/>
      <c r="BX63" s="425"/>
      <c r="BY63" s="425"/>
      <c r="BZ63" s="425"/>
      <c r="CA63" s="425"/>
      <c r="CB63" s="425"/>
      <c r="CC63" s="425"/>
      <c r="CD63" s="425"/>
      <c r="CE63" s="425"/>
      <c r="CF63" s="425"/>
      <c r="CG63" s="425"/>
      <c r="CH63" s="425"/>
      <c r="CI63" s="425"/>
      <c r="CJ63" s="425"/>
      <c r="CK63" s="425"/>
      <c r="CL63" s="425"/>
      <c r="CM63" s="425"/>
      <c r="CN63" s="425"/>
      <c r="CO63" s="425"/>
      <c r="CP63" s="425"/>
      <c r="CQ63" s="425"/>
      <c r="CR63" s="425"/>
      <c r="CS63" s="425"/>
      <c r="CT63" s="425"/>
      <c r="CU63" s="425"/>
      <c r="CV63" s="425"/>
    </row>
    <row r="64" spans="1:100">
      <c r="A64" s="434"/>
      <c r="B64" s="534" t="s">
        <v>427</v>
      </c>
      <c r="C64" s="535" t="s">
        <v>460</v>
      </c>
      <c r="D64" s="536"/>
      <c r="E64" s="536"/>
      <c r="F64" s="536"/>
      <c r="G64" s="536"/>
      <c r="H64" s="537"/>
      <c r="I64" s="537"/>
      <c r="J64" s="537"/>
      <c r="K64" s="537"/>
      <c r="L64" s="444"/>
      <c r="M64" s="516"/>
      <c r="N64" s="444"/>
      <c r="O64" s="444"/>
      <c r="P64" s="444"/>
      <c r="Q64" s="444"/>
      <c r="R64" s="444"/>
      <c r="S64" s="444"/>
      <c r="T64" s="444"/>
      <c r="U64" s="424"/>
      <c r="V64" s="425"/>
      <c r="W64" s="425"/>
      <c r="X64" s="425"/>
      <c r="Y64" s="530"/>
      <c r="Z64" s="530"/>
      <c r="AA64" s="530"/>
      <c r="AH64" s="530"/>
      <c r="AI64" s="530"/>
      <c r="AJ64" s="530"/>
      <c r="AK64" s="530"/>
      <c r="AL64" s="530"/>
      <c r="AM64" s="530"/>
      <c r="AN64" s="531"/>
      <c r="AO64" s="530"/>
      <c r="AP64" s="530"/>
      <c r="AQ64" s="530"/>
      <c r="AR64" s="530"/>
      <c r="AS64" s="530"/>
      <c r="AT64" s="530"/>
      <c r="AU64" s="530"/>
      <c r="AV64" s="530"/>
      <c r="AW64" s="530"/>
      <c r="AX64" s="530"/>
      <c r="AY64" s="530"/>
      <c r="AZ64" s="530"/>
      <c r="BA64" s="530"/>
      <c r="BB64" s="530"/>
      <c r="BC64" s="530"/>
      <c r="BD64" s="530"/>
      <c r="BE64" s="530"/>
      <c r="BF64" s="530"/>
      <c r="BG64" s="532"/>
      <c r="BH64" s="531"/>
      <c r="BI64" s="530"/>
      <c r="BJ64" s="530"/>
      <c r="BK64" s="530"/>
      <c r="BL64" s="530"/>
      <c r="BM64" s="530"/>
      <c r="BN64" s="530"/>
      <c r="BO64" s="530"/>
      <c r="BP64" s="530"/>
      <c r="BQ64" s="530"/>
      <c r="BR64" s="530"/>
      <c r="BS64" s="530"/>
      <c r="BT64" s="530"/>
      <c r="BU64" s="530"/>
      <c r="BV64" s="530"/>
      <c r="BW64" s="530"/>
      <c r="BX64" s="530"/>
      <c r="BY64" s="530"/>
      <c r="BZ64" s="530"/>
      <c r="CA64" s="530"/>
      <c r="CB64" s="530"/>
      <c r="CC64" s="530"/>
      <c r="CD64" s="530"/>
      <c r="CE64" s="530"/>
      <c r="CF64" s="530"/>
      <c r="CG64" s="530"/>
      <c r="CH64" s="530"/>
      <c r="CI64" s="530"/>
      <c r="CJ64" s="530"/>
      <c r="CK64" s="530"/>
      <c r="CL64" s="530"/>
      <c r="CM64" s="530"/>
      <c r="CN64" s="530"/>
      <c r="CO64" s="530"/>
      <c r="CP64" s="530"/>
      <c r="CQ64" s="530"/>
      <c r="CR64" s="530"/>
      <c r="CS64" s="530"/>
      <c r="CT64" s="530"/>
      <c r="CU64" s="530"/>
      <c r="CV64" s="530"/>
    </row>
    <row r="65" spans="1:100" ht="7.5" customHeight="1">
      <c r="A65" s="434"/>
      <c r="B65" s="442"/>
      <c r="C65" s="443"/>
      <c r="D65" s="443"/>
      <c r="E65" s="443"/>
      <c r="F65" s="443"/>
      <c r="G65" s="443"/>
      <c r="H65" s="526"/>
      <c r="I65" s="526"/>
      <c r="J65" s="516"/>
      <c r="K65" s="516"/>
      <c r="L65" s="516"/>
      <c r="M65" s="516"/>
      <c r="N65" s="516"/>
      <c r="O65" s="516"/>
      <c r="P65" s="516"/>
      <c r="Q65" s="516"/>
      <c r="R65" s="516"/>
      <c r="S65" s="516"/>
      <c r="T65" s="516"/>
      <c r="U65" s="424"/>
      <c r="V65" s="425"/>
      <c r="W65" s="425"/>
      <c r="X65" s="425"/>
      <c r="Y65" s="425"/>
      <c r="Z65" s="425"/>
      <c r="AA65" s="425"/>
      <c r="AH65" s="425"/>
      <c r="AI65" s="425"/>
      <c r="AJ65" s="425"/>
      <c r="AK65" s="425"/>
      <c r="AL65" s="425"/>
      <c r="AM65" s="425"/>
      <c r="AN65" s="428"/>
      <c r="AO65" s="425"/>
      <c r="AP65" s="425"/>
      <c r="AQ65" s="425"/>
      <c r="AR65" s="425"/>
      <c r="AS65" s="425"/>
      <c r="AT65" s="425"/>
      <c r="AU65" s="425"/>
      <c r="AV65" s="425"/>
      <c r="AW65" s="425"/>
      <c r="AX65" s="425"/>
      <c r="AY65" s="425"/>
      <c r="AZ65" s="425"/>
      <c r="BA65" s="425"/>
      <c r="BB65" s="425"/>
      <c r="BC65" s="425"/>
      <c r="BD65" s="425"/>
      <c r="BE65" s="425"/>
      <c r="BF65" s="425"/>
      <c r="BG65" s="426"/>
      <c r="BH65" s="428"/>
      <c r="BI65" s="425"/>
      <c r="BJ65" s="425"/>
      <c r="BK65" s="425"/>
      <c r="BL65" s="425"/>
      <c r="BM65" s="425"/>
      <c r="BN65" s="425"/>
      <c r="BO65" s="425"/>
      <c r="BP65" s="425"/>
      <c r="BQ65" s="425"/>
      <c r="BR65" s="425"/>
      <c r="BS65" s="425"/>
      <c r="BT65" s="425"/>
      <c r="BU65" s="425"/>
      <c r="BV65" s="425"/>
      <c r="BW65" s="425"/>
      <c r="BX65" s="425"/>
      <c r="BY65" s="425"/>
      <c r="BZ65" s="425"/>
      <c r="CA65" s="425"/>
      <c r="CB65" s="425"/>
      <c r="CC65" s="425"/>
      <c r="CD65" s="425"/>
      <c r="CE65" s="425"/>
      <c r="CF65" s="425"/>
      <c r="CG65" s="425"/>
      <c r="CH65" s="425"/>
      <c r="CI65" s="425"/>
      <c r="CJ65" s="425"/>
      <c r="CK65" s="425"/>
      <c r="CL65" s="425"/>
      <c r="CM65" s="425"/>
      <c r="CN65" s="425"/>
      <c r="CO65" s="425"/>
      <c r="CP65" s="425"/>
      <c r="CQ65" s="425"/>
      <c r="CR65" s="425"/>
      <c r="CS65" s="425"/>
      <c r="CT65" s="425"/>
      <c r="CU65" s="425"/>
      <c r="CV65" s="425"/>
    </row>
    <row r="66" spans="1:100" ht="15.75" customHeight="1">
      <c r="A66" s="434"/>
      <c r="B66" s="529"/>
      <c r="C66" s="537" t="s">
        <v>461</v>
      </c>
      <c r="D66" s="537"/>
      <c r="E66" s="537"/>
      <c r="F66" s="537"/>
      <c r="G66" s="537"/>
      <c r="H66" s="537"/>
      <c r="I66" s="537"/>
      <c r="J66" s="537"/>
      <c r="K66" s="537"/>
      <c r="L66" s="444"/>
      <c r="M66" s="516"/>
      <c r="N66" s="444">
        <f t="shared" ref="N66:T66" si="55">N44-M44</f>
        <v>-231</v>
      </c>
      <c r="O66" s="444">
        <f t="shared" si="55"/>
        <v>-3</v>
      </c>
      <c r="P66" s="444">
        <f t="shared" si="55"/>
        <v>-357</v>
      </c>
      <c r="Q66" s="444">
        <f t="shared" si="55"/>
        <v>-98.36200000000008</v>
      </c>
      <c r="R66" s="444">
        <f t="shared" si="55"/>
        <v>-98.581277000000227</v>
      </c>
      <c r="S66" s="444">
        <f t="shared" si="55"/>
        <v>-99.723333674500282</v>
      </c>
      <c r="T66" s="444">
        <f t="shared" si="55"/>
        <v>-101.03269079920301</v>
      </c>
      <c r="U66" s="424"/>
      <c r="V66" s="425"/>
      <c r="W66" s="425"/>
      <c r="X66" s="425"/>
      <c r="Y66" s="530"/>
      <c r="Z66" s="530"/>
      <c r="AA66" s="530"/>
      <c r="AH66" s="530"/>
      <c r="AI66" s="530"/>
      <c r="AJ66" s="530"/>
      <c r="AK66" s="530"/>
      <c r="AL66" s="530"/>
      <c r="AM66" s="530"/>
      <c r="AN66" s="531"/>
      <c r="AO66" s="530"/>
      <c r="AP66" s="530"/>
      <c r="AQ66" s="530"/>
      <c r="AR66" s="530"/>
      <c r="AS66" s="530"/>
      <c r="AT66" s="530"/>
      <c r="AU66" s="530"/>
      <c r="AV66" s="530"/>
      <c r="AW66" s="530"/>
      <c r="AX66" s="530"/>
      <c r="AY66" s="530"/>
      <c r="AZ66" s="530"/>
      <c r="BA66" s="530"/>
      <c r="BB66" s="530"/>
      <c r="BC66" s="530"/>
      <c r="BD66" s="530"/>
      <c r="BE66" s="530"/>
      <c r="BF66" s="530"/>
      <c r="BG66" s="532"/>
      <c r="BH66" s="531"/>
      <c r="BI66" s="530"/>
      <c r="BJ66" s="530"/>
      <c r="BK66" s="530"/>
      <c r="BL66" s="530"/>
      <c r="BM66" s="530"/>
      <c r="BN66" s="530"/>
      <c r="BO66" s="530"/>
      <c r="BP66" s="530"/>
      <c r="BQ66" s="530"/>
      <c r="BR66" s="530"/>
      <c r="BS66" s="530"/>
      <c r="BT66" s="530"/>
      <c r="BU66" s="530"/>
      <c r="BV66" s="530"/>
      <c r="BW66" s="530"/>
      <c r="BX66" s="530"/>
      <c r="BY66" s="530"/>
      <c r="BZ66" s="530"/>
      <c r="CA66" s="530"/>
      <c r="CB66" s="530"/>
      <c r="CC66" s="530"/>
      <c r="CD66" s="530"/>
      <c r="CE66" s="530"/>
      <c r="CF66" s="530"/>
      <c r="CG66" s="530"/>
      <c r="CH66" s="530"/>
      <c r="CI66" s="530"/>
      <c r="CJ66" s="530"/>
      <c r="CK66" s="530"/>
      <c r="CL66" s="530"/>
      <c r="CM66" s="530"/>
      <c r="CN66" s="530"/>
      <c r="CO66" s="530"/>
      <c r="CP66" s="530"/>
      <c r="CQ66" s="530"/>
      <c r="CR66" s="530"/>
      <c r="CS66" s="530"/>
      <c r="CT66" s="530"/>
      <c r="CU66" s="530"/>
      <c r="CV66" s="530"/>
    </row>
    <row r="67" spans="1:100" ht="15.75" customHeight="1">
      <c r="A67" s="434"/>
      <c r="B67" s="529"/>
      <c r="C67" s="537" t="s">
        <v>462</v>
      </c>
      <c r="D67" s="537"/>
      <c r="E67" s="537"/>
      <c r="F67" s="537"/>
      <c r="G67" s="537"/>
      <c r="H67" s="537"/>
      <c r="I67" s="537"/>
      <c r="J67" s="537"/>
      <c r="K67" s="537"/>
      <c r="L67" s="444"/>
      <c r="M67" s="516"/>
      <c r="N67" s="444">
        <f t="shared" ref="N67:T67" si="56">CHOOSE(dropDown,IF(ISERROR((N22+N38)*(1-N13)+(-N32*(1-N13))+((N24+N20)*(1-N13))),0,(N22+N38)*(1-N13)+(-N32*(1-N13))+((N24+N20)*(1-N13))),IF(ISERROR((N22+N38)*(1-N13)+(-N32*(1-N13))+((N23+N20)*(1-N13))),0,(N22+N38)*(1-N13)+(-N32*(1-N13))+((N23+N20)*(1-N13))))</f>
        <v>198.9</v>
      </c>
      <c r="O67" s="444">
        <f t="shared" si="56"/>
        <v>-36.399999999999977</v>
      </c>
      <c r="P67" s="444">
        <f t="shared" si="56"/>
        <v>248.95000000000002</v>
      </c>
      <c r="Q67" s="444">
        <f t="shared" si="56"/>
        <v>139.1</v>
      </c>
      <c r="R67" s="444">
        <f t="shared" si="56"/>
        <v>139.1</v>
      </c>
      <c r="S67" s="444">
        <f t="shared" si="56"/>
        <v>139.1</v>
      </c>
      <c r="T67" s="444">
        <f t="shared" si="56"/>
        <v>139.1</v>
      </c>
      <c r="U67" s="424"/>
      <c r="V67" s="425"/>
      <c r="W67" s="425"/>
      <c r="X67" s="425"/>
      <c r="Y67" s="530"/>
      <c r="Z67" s="530"/>
      <c r="AA67" s="530"/>
      <c r="AH67" s="530"/>
      <c r="AI67" s="530"/>
      <c r="AJ67" s="530"/>
      <c r="AK67" s="530"/>
      <c r="AL67" s="530"/>
      <c r="AM67" s="530"/>
      <c r="AN67" s="531"/>
      <c r="AO67" s="530"/>
      <c r="AP67" s="530"/>
      <c r="AQ67" s="530"/>
      <c r="AR67" s="530"/>
      <c r="AS67" s="530"/>
      <c r="AT67" s="530"/>
      <c r="AU67" s="530"/>
      <c r="AV67" s="530"/>
      <c r="AW67" s="530"/>
      <c r="AX67" s="530"/>
      <c r="AY67" s="530"/>
      <c r="AZ67" s="530"/>
      <c r="BA67" s="530"/>
      <c r="BB67" s="530"/>
      <c r="BC67" s="530"/>
      <c r="BD67" s="530"/>
      <c r="BE67" s="530"/>
      <c r="BF67" s="530"/>
      <c r="BG67" s="532"/>
      <c r="BH67" s="531"/>
      <c r="BI67" s="530"/>
      <c r="BJ67" s="530"/>
      <c r="BK67" s="530"/>
      <c r="BL67" s="530"/>
      <c r="BM67" s="530"/>
      <c r="BN67" s="530"/>
      <c r="BO67" s="530"/>
      <c r="BP67" s="530"/>
      <c r="BQ67" s="530"/>
      <c r="BR67" s="530"/>
      <c r="BS67" s="530"/>
      <c r="BT67" s="530"/>
      <c r="BU67" s="530"/>
      <c r="BV67" s="530"/>
      <c r="BW67" s="530"/>
      <c r="BX67" s="530"/>
      <c r="BY67" s="530"/>
      <c r="BZ67" s="530"/>
      <c r="CA67" s="530"/>
      <c r="CB67" s="530"/>
      <c r="CC67" s="530"/>
      <c r="CD67" s="530"/>
      <c r="CE67" s="530"/>
      <c r="CF67" s="530"/>
      <c r="CG67" s="530"/>
      <c r="CH67" s="530"/>
      <c r="CI67" s="530"/>
      <c r="CJ67" s="530"/>
      <c r="CK67" s="530"/>
      <c r="CL67" s="530"/>
      <c r="CM67" s="530"/>
      <c r="CN67" s="530"/>
      <c r="CO67" s="530"/>
      <c r="CP67" s="530"/>
      <c r="CQ67" s="530"/>
      <c r="CR67" s="530"/>
      <c r="CS67" s="530"/>
      <c r="CT67" s="530"/>
      <c r="CU67" s="530"/>
      <c r="CV67" s="530"/>
    </row>
    <row r="68" spans="1:100" ht="15.75" customHeight="1">
      <c r="A68" s="434"/>
      <c r="B68" s="529"/>
      <c r="C68" s="538" t="s">
        <v>463</v>
      </c>
      <c r="D68" s="538"/>
      <c r="E68" s="538"/>
      <c r="F68" s="538"/>
      <c r="G68" s="538"/>
      <c r="H68" s="538"/>
      <c r="I68" s="538"/>
      <c r="J68" s="538"/>
      <c r="K68" s="538"/>
      <c r="L68" s="500"/>
      <c r="M68" s="516"/>
      <c r="N68" s="500">
        <f t="shared" ref="N68:T68" si="57">SUM(N66:N67)</f>
        <v>-32.099999999999994</v>
      </c>
      <c r="O68" s="500">
        <f t="shared" si="57"/>
        <v>-39.399999999999977</v>
      </c>
      <c r="P68" s="500">
        <f t="shared" si="57"/>
        <v>-108.04999999999998</v>
      </c>
      <c r="Q68" s="500">
        <f t="shared" si="57"/>
        <v>40.737999999999914</v>
      </c>
      <c r="R68" s="500">
        <f t="shared" si="57"/>
        <v>40.518722999999767</v>
      </c>
      <c r="S68" s="500">
        <f t="shared" si="57"/>
        <v>39.376666325499713</v>
      </c>
      <c r="T68" s="500">
        <f t="shared" si="57"/>
        <v>38.067309200796984</v>
      </c>
      <c r="U68" s="514"/>
      <c r="V68" s="425"/>
      <c r="W68" s="425"/>
      <c r="X68" s="425"/>
      <c r="Y68" s="530"/>
      <c r="Z68" s="530"/>
      <c r="AA68" s="530"/>
      <c r="AH68" s="530"/>
      <c r="AI68" s="530"/>
      <c r="AJ68" s="530"/>
      <c r="AK68" s="530"/>
      <c r="AL68" s="530"/>
      <c r="AM68" s="530"/>
      <c r="AN68" s="531"/>
      <c r="AO68" s="530"/>
      <c r="AP68" s="530"/>
      <c r="AQ68" s="530"/>
      <c r="AR68" s="530"/>
      <c r="AS68" s="530"/>
      <c r="AT68" s="530"/>
      <c r="AU68" s="530"/>
      <c r="AV68" s="530"/>
      <c r="AW68" s="530"/>
      <c r="AX68" s="530"/>
      <c r="AY68" s="530"/>
      <c r="AZ68" s="530"/>
      <c r="BA68" s="530"/>
      <c r="BB68" s="530"/>
      <c r="BC68" s="530"/>
      <c r="BD68" s="530"/>
      <c r="BE68" s="530"/>
      <c r="BF68" s="530"/>
      <c r="BG68" s="532"/>
      <c r="BH68" s="531"/>
      <c r="BI68" s="530"/>
      <c r="BJ68" s="530"/>
      <c r="BK68" s="530"/>
      <c r="BL68" s="530"/>
      <c r="BM68" s="530"/>
      <c r="BN68" s="530"/>
      <c r="BO68" s="530"/>
      <c r="BP68" s="530"/>
      <c r="BQ68" s="530"/>
      <c r="BR68" s="530"/>
      <c r="BS68" s="530"/>
      <c r="BT68" s="530"/>
      <c r="BU68" s="530"/>
      <c r="BV68" s="530"/>
      <c r="BW68" s="530"/>
      <c r="BX68" s="530"/>
      <c r="BY68" s="530"/>
      <c r="BZ68" s="530"/>
      <c r="CA68" s="530"/>
      <c r="CB68" s="530"/>
      <c r="CC68" s="530"/>
      <c r="CD68" s="530"/>
      <c r="CE68" s="530"/>
      <c r="CF68" s="530"/>
      <c r="CG68" s="530"/>
      <c r="CH68" s="530"/>
      <c r="CI68" s="530"/>
      <c r="CJ68" s="530"/>
      <c r="CK68" s="530"/>
      <c r="CL68" s="530"/>
      <c r="CM68" s="530"/>
      <c r="CN68" s="530"/>
      <c r="CO68" s="530"/>
      <c r="CP68" s="530"/>
      <c r="CQ68" s="530"/>
      <c r="CR68" s="530"/>
      <c r="CS68" s="530"/>
      <c r="CT68" s="530"/>
      <c r="CU68" s="530"/>
      <c r="CV68" s="530"/>
    </row>
    <row r="69" spans="1:100" ht="24.75" customHeight="1">
      <c r="A69" s="434"/>
      <c r="B69" s="539"/>
      <c r="C69" s="540" t="s">
        <v>817</v>
      </c>
      <c r="D69" s="541"/>
      <c r="E69" s="541"/>
      <c r="F69" s="541"/>
      <c r="G69" s="541"/>
      <c r="H69" s="542"/>
      <c r="I69" s="542"/>
      <c r="J69" s="542"/>
      <c r="K69" s="542"/>
      <c r="L69" s="543"/>
      <c r="M69" s="516"/>
      <c r="N69" s="543">
        <f t="shared" ref="N69:T69" si="58">ROUND(N62-N68,0)</f>
        <v>140</v>
      </c>
      <c r="O69" s="543">
        <f t="shared" si="58"/>
        <v>34</v>
      </c>
      <c r="P69" s="543">
        <f t="shared" si="58"/>
        <v>5</v>
      </c>
      <c r="Q69" s="543">
        <f t="shared" si="58"/>
        <v>0</v>
      </c>
      <c r="R69" s="543">
        <f t="shared" si="58"/>
        <v>0</v>
      </c>
      <c r="S69" s="543">
        <f t="shared" si="58"/>
        <v>0</v>
      </c>
      <c r="T69" s="543">
        <f t="shared" si="58"/>
        <v>0</v>
      </c>
      <c r="U69" s="1574" t="str">
        <f>IF(AND(L69&lt;&gt;0,M69&lt;&gt;0,T69&lt;&gt;0),"Check Failing? : Have you not updated Company Contributions on row 39?","")</f>
        <v/>
      </c>
      <c r="V69" s="1575"/>
      <c r="W69" s="1575"/>
      <c r="X69" s="1575"/>
      <c r="Y69" s="1575"/>
      <c r="Z69" s="544"/>
      <c r="AA69" s="544"/>
      <c r="AH69" s="544"/>
      <c r="AI69" s="544"/>
      <c r="AJ69" s="544"/>
      <c r="AK69" s="544"/>
      <c r="AL69" s="544"/>
      <c r="AM69" s="544"/>
      <c r="AN69" s="544"/>
      <c r="AO69" s="544"/>
      <c r="AP69" s="544"/>
      <c r="AQ69" s="544"/>
      <c r="AR69" s="544"/>
      <c r="AS69" s="544"/>
      <c r="AT69" s="544"/>
      <c r="AU69" s="544"/>
      <c r="AV69" s="544"/>
      <c r="AW69" s="544"/>
      <c r="AX69" s="544"/>
      <c r="AY69" s="544"/>
      <c r="AZ69" s="544"/>
      <c r="BA69" s="544"/>
      <c r="BB69" s="544"/>
      <c r="BC69" s="544"/>
      <c r="BD69" s="544"/>
      <c r="BE69" s="544"/>
      <c r="BF69" s="544"/>
      <c r="BG69" s="546"/>
      <c r="BH69" s="544"/>
      <c r="BI69" s="544"/>
      <c r="BJ69" s="544"/>
      <c r="BK69" s="544"/>
      <c r="BL69" s="544"/>
      <c r="BM69" s="544"/>
      <c r="BN69" s="544"/>
      <c r="BO69" s="544"/>
      <c r="BP69" s="544"/>
      <c r="BQ69" s="544"/>
      <c r="BR69" s="544"/>
      <c r="BS69" s="544"/>
      <c r="BT69" s="544"/>
      <c r="BU69" s="544"/>
      <c r="BV69" s="544"/>
      <c r="BW69" s="544"/>
      <c r="BX69" s="544"/>
      <c r="BY69" s="544"/>
      <c r="BZ69" s="544"/>
      <c r="CA69" s="544"/>
      <c r="CB69" s="544"/>
      <c r="CC69" s="544"/>
      <c r="CD69" s="544"/>
      <c r="CE69" s="544"/>
      <c r="CF69" s="544"/>
      <c r="CG69" s="544"/>
      <c r="CH69" s="544"/>
      <c r="CI69" s="544"/>
      <c r="CJ69" s="544"/>
      <c r="CK69" s="544"/>
      <c r="CL69" s="544"/>
      <c r="CM69" s="544"/>
      <c r="CN69" s="544"/>
      <c r="CO69" s="544"/>
      <c r="CP69" s="544"/>
      <c r="CQ69" s="544"/>
      <c r="CR69" s="544"/>
      <c r="CS69" s="544"/>
      <c r="CT69" s="544"/>
      <c r="CU69" s="544"/>
      <c r="CV69" s="544"/>
    </row>
    <row r="70" spans="1:100">
      <c r="A70" s="434"/>
      <c r="B70" s="539"/>
      <c r="C70" s="541"/>
      <c r="D70" s="541"/>
      <c r="E70" s="541"/>
      <c r="F70" s="541"/>
      <c r="G70" s="541"/>
      <c r="H70" s="542"/>
      <c r="I70" s="542"/>
      <c r="J70" s="542"/>
      <c r="K70" s="542"/>
      <c r="L70" s="547"/>
      <c r="M70" s="547"/>
      <c r="N70" s="547"/>
      <c r="O70" s="547"/>
      <c r="P70" s="547"/>
      <c r="Q70" s="547"/>
      <c r="R70" s="547"/>
      <c r="S70" s="547"/>
      <c r="T70" s="547"/>
      <c r="U70" s="548"/>
      <c r="V70" s="544"/>
      <c r="W70" s="544"/>
      <c r="X70" s="544"/>
      <c r="Y70" s="544"/>
      <c r="Z70" s="544"/>
      <c r="AA70" s="544"/>
      <c r="AH70" s="544"/>
      <c r="AI70" s="544"/>
      <c r="AJ70" s="544"/>
      <c r="AK70" s="544"/>
      <c r="AL70" s="544"/>
      <c r="AM70" s="544"/>
      <c r="AN70" s="544"/>
      <c r="AO70" s="544"/>
      <c r="AP70" s="544"/>
      <c r="AQ70" s="544"/>
      <c r="AR70" s="544"/>
      <c r="AS70" s="544"/>
      <c r="AT70" s="544"/>
      <c r="AU70" s="544"/>
      <c r="AV70" s="544"/>
      <c r="AW70" s="544"/>
      <c r="AX70" s="544"/>
      <c r="AY70" s="544"/>
      <c r="AZ70" s="544"/>
      <c r="BA70" s="544"/>
      <c r="BB70" s="544"/>
      <c r="BC70" s="544"/>
      <c r="BD70" s="544"/>
      <c r="BE70" s="544"/>
      <c r="BF70" s="544"/>
      <c r="BG70" s="546"/>
      <c r="BH70" s="544"/>
      <c r="BI70" s="544"/>
      <c r="BJ70" s="544"/>
      <c r="BK70" s="544"/>
      <c r="BL70" s="544"/>
      <c r="BM70" s="544"/>
      <c r="BN70" s="544"/>
      <c r="BO70" s="544"/>
      <c r="BP70" s="544"/>
      <c r="BQ70" s="544"/>
      <c r="BR70" s="544"/>
      <c r="BS70" s="544"/>
      <c r="BT70" s="544"/>
      <c r="BU70" s="544"/>
      <c r="BV70" s="544"/>
      <c r="BW70" s="544"/>
      <c r="BX70" s="544"/>
      <c r="BY70" s="544"/>
      <c r="BZ70" s="544"/>
      <c r="CA70" s="544"/>
      <c r="CB70" s="544"/>
      <c r="CC70" s="544"/>
      <c r="CD70" s="544"/>
      <c r="CE70" s="544"/>
      <c r="CF70" s="544"/>
      <c r="CG70" s="544"/>
      <c r="CH70" s="544"/>
      <c r="CI70" s="544"/>
      <c r="CJ70" s="544"/>
      <c r="CK70" s="544"/>
      <c r="CL70" s="544"/>
      <c r="CM70" s="544"/>
      <c r="CN70" s="544"/>
      <c r="CO70" s="544"/>
      <c r="CP70" s="544"/>
      <c r="CQ70" s="544"/>
      <c r="CR70" s="544"/>
      <c r="CS70" s="544"/>
      <c r="CT70" s="544"/>
      <c r="CU70" s="544"/>
      <c r="CV70" s="544"/>
    </row>
    <row r="71" spans="1:100">
      <c r="A71" s="434"/>
      <c r="B71" s="422" t="s">
        <v>464</v>
      </c>
      <c r="C71" s="422" t="s">
        <v>465</v>
      </c>
      <c r="D71" s="422"/>
      <c r="E71" s="422"/>
      <c r="F71" s="422"/>
      <c r="G71" s="422"/>
      <c r="H71" s="422"/>
      <c r="I71" s="422"/>
      <c r="J71" s="422"/>
      <c r="K71" s="422"/>
      <c r="L71" s="422"/>
      <c r="M71" s="422"/>
      <c r="N71" s="422"/>
      <c r="O71" s="422"/>
      <c r="P71" s="422"/>
      <c r="Q71" s="422"/>
      <c r="R71" s="422"/>
      <c r="S71" s="422"/>
      <c r="T71" s="422"/>
      <c r="U71" s="424"/>
      <c r="V71" s="425"/>
      <c r="W71" s="425"/>
      <c r="X71" s="425"/>
      <c r="Y71" s="425"/>
      <c r="Z71" s="425"/>
      <c r="AA71" s="425"/>
      <c r="AH71" s="425"/>
      <c r="AI71" s="425"/>
      <c r="AJ71" s="425"/>
      <c r="AK71" s="425"/>
      <c r="AL71" s="425"/>
      <c r="AM71" s="425"/>
      <c r="AN71" s="428"/>
      <c r="AO71" s="425"/>
      <c r="AP71" s="425"/>
      <c r="AQ71" s="425"/>
      <c r="AR71" s="425"/>
      <c r="AS71" s="425"/>
      <c r="AT71" s="425"/>
      <c r="AU71" s="425"/>
      <c r="AV71" s="425"/>
      <c r="AW71" s="425"/>
      <c r="AX71" s="425"/>
      <c r="AY71" s="425"/>
      <c r="AZ71" s="425"/>
      <c r="BA71" s="425"/>
      <c r="BB71" s="425"/>
      <c r="BC71" s="425"/>
      <c r="BD71" s="425"/>
      <c r="BE71" s="425"/>
      <c r="BF71" s="425"/>
      <c r="BG71" s="426"/>
      <c r="BH71" s="428"/>
      <c r="BI71" s="425"/>
      <c r="BJ71" s="425"/>
      <c r="BK71" s="425"/>
      <c r="BL71" s="425"/>
      <c r="BM71" s="425"/>
      <c r="BN71" s="425"/>
      <c r="BO71" s="425"/>
      <c r="BP71" s="425"/>
      <c r="BQ71" s="425"/>
      <c r="BR71" s="425"/>
      <c r="BS71" s="425"/>
      <c r="BT71" s="425"/>
      <c r="BU71" s="425"/>
      <c r="BV71" s="425"/>
      <c r="BW71" s="425"/>
      <c r="BX71" s="425"/>
      <c r="BY71" s="425"/>
      <c r="BZ71" s="425"/>
      <c r="CA71" s="425"/>
      <c r="CB71" s="425"/>
      <c r="CC71" s="425"/>
      <c r="CD71" s="425"/>
      <c r="CE71" s="425"/>
      <c r="CF71" s="425"/>
      <c r="CG71" s="425"/>
      <c r="CH71" s="425"/>
      <c r="CI71" s="425"/>
      <c r="CJ71" s="425"/>
      <c r="CK71" s="425"/>
      <c r="CL71" s="425"/>
      <c r="CM71" s="425"/>
      <c r="CN71" s="425"/>
      <c r="CO71" s="425"/>
      <c r="CP71" s="425"/>
      <c r="CQ71" s="425"/>
      <c r="CR71" s="425"/>
      <c r="CS71" s="425"/>
      <c r="CT71" s="425"/>
      <c r="CU71" s="425"/>
      <c r="CV71" s="425"/>
    </row>
    <row r="72" spans="1:100" ht="7.5" customHeight="1">
      <c r="A72" s="434"/>
      <c r="B72" s="442"/>
      <c r="C72" s="443"/>
      <c r="D72" s="443"/>
      <c r="E72" s="443"/>
      <c r="F72" s="443"/>
      <c r="G72" s="443"/>
      <c r="H72" s="549"/>
      <c r="I72" s="549"/>
      <c r="J72" s="549"/>
      <c r="K72" s="549"/>
      <c r="L72" s="549"/>
      <c r="M72" s="549"/>
      <c r="N72" s="549"/>
      <c r="O72" s="549"/>
      <c r="P72" s="549"/>
      <c r="Q72" s="549"/>
      <c r="R72" s="549"/>
      <c r="S72" s="549"/>
      <c r="T72" s="549"/>
      <c r="U72" s="424"/>
      <c r="V72" s="425"/>
      <c r="W72" s="425"/>
      <c r="X72" s="425"/>
      <c r="Y72" s="425"/>
      <c r="Z72" s="425"/>
      <c r="AA72" s="425"/>
      <c r="AH72" s="425"/>
      <c r="AI72" s="425"/>
      <c r="AJ72" s="425"/>
      <c r="AK72" s="425"/>
      <c r="AL72" s="425"/>
      <c r="AM72" s="425"/>
      <c r="AN72" s="428"/>
      <c r="AO72" s="425"/>
      <c r="AP72" s="425"/>
      <c r="AQ72" s="425"/>
      <c r="AR72" s="425"/>
      <c r="AS72" s="425"/>
      <c r="AT72" s="425"/>
      <c r="AU72" s="425"/>
      <c r="AV72" s="425"/>
      <c r="AW72" s="425"/>
      <c r="AX72" s="425"/>
      <c r="AY72" s="425"/>
      <c r="AZ72" s="425"/>
      <c r="BA72" s="425"/>
      <c r="BB72" s="425"/>
      <c r="BC72" s="425"/>
      <c r="BD72" s="425"/>
      <c r="BE72" s="425"/>
      <c r="BF72" s="425"/>
      <c r="BG72" s="426"/>
      <c r="BH72" s="428"/>
      <c r="BI72" s="425"/>
      <c r="BJ72" s="425"/>
      <c r="BK72" s="425"/>
      <c r="BL72" s="425"/>
      <c r="BM72" s="425"/>
      <c r="BN72" s="425"/>
      <c r="BO72" s="425"/>
      <c r="BP72" s="425"/>
      <c r="BQ72" s="425"/>
      <c r="BR72" s="425"/>
      <c r="BS72" s="425"/>
      <c r="BT72" s="425"/>
      <c r="BU72" s="425"/>
      <c r="BV72" s="425"/>
      <c r="BW72" s="425"/>
      <c r="BX72" s="425"/>
      <c r="BY72" s="425"/>
      <c r="BZ72" s="425"/>
      <c r="CA72" s="425"/>
      <c r="CB72" s="425"/>
      <c r="CC72" s="425"/>
      <c r="CD72" s="425"/>
      <c r="CE72" s="425"/>
      <c r="CF72" s="425"/>
      <c r="CG72" s="425"/>
      <c r="CH72" s="425"/>
      <c r="CI72" s="425"/>
      <c r="CJ72" s="425"/>
      <c r="CK72" s="425"/>
      <c r="CL72" s="425"/>
      <c r="CM72" s="425"/>
      <c r="CN72" s="425"/>
      <c r="CO72" s="425"/>
      <c r="CP72" s="425"/>
      <c r="CQ72" s="425"/>
      <c r="CR72" s="425"/>
      <c r="CS72" s="425"/>
      <c r="CT72" s="425"/>
      <c r="CU72" s="425"/>
      <c r="CV72" s="425"/>
    </row>
    <row r="73" spans="1:100">
      <c r="A73" s="434"/>
      <c r="B73" s="442"/>
      <c r="C73" s="550" t="s">
        <v>466</v>
      </c>
      <c r="D73" s="551"/>
      <c r="E73" s="551"/>
      <c r="F73" s="551"/>
      <c r="G73" s="551"/>
      <c r="H73" s="549"/>
      <c r="I73" s="549"/>
      <c r="J73" s="549"/>
      <c r="K73" s="549"/>
      <c r="L73" s="549"/>
      <c r="M73" s="549"/>
      <c r="N73" s="549"/>
      <c r="O73" s="549"/>
      <c r="P73" s="549"/>
      <c r="Q73" s="549"/>
      <c r="R73" s="549"/>
      <c r="S73" s="549"/>
      <c r="T73" s="549"/>
      <c r="U73" s="424"/>
      <c r="V73" s="425"/>
      <c r="W73" s="425"/>
      <c r="X73" s="425"/>
      <c r="Y73" s="425"/>
      <c r="Z73" s="425"/>
      <c r="AA73" s="425"/>
      <c r="AH73" s="425"/>
      <c r="AI73" s="425"/>
      <c r="AJ73" s="425"/>
      <c r="AK73" s="425"/>
      <c r="AL73" s="425"/>
      <c r="AM73" s="425"/>
      <c r="AN73" s="428"/>
      <c r="AO73" s="425"/>
      <c r="AP73" s="425"/>
      <c r="AQ73" s="425"/>
      <c r="AR73" s="425"/>
      <c r="AS73" s="425"/>
      <c r="AT73" s="425"/>
      <c r="AU73" s="425"/>
      <c r="AV73" s="425"/>
      <c r="AW73" s="425"/>
      <c r="AX73" s="425"/>
      <c r="AY73" s="425"/>
      <c r="AZ73" s="425"/>
      <c r="BA73" s="425"/>
      <c r="BB73" s="425"/>
      <c r="BC73" s="425"/>
      <c r="BD73" s="425"/>
      <c r="BE73" s="425"/>
      <c r="BF73" s="425"/>
      <c r="BG73" s="426"/>
      <c r="BH73" s="428"/>
      <c r="BI73" s="425"/>
      <c r="BJ73" s="425"/>
      <c r="BK73" s="425"/>
      <c r="BL73" s="425"/>
      <c r="BM73" s="425"/>
      <c r="BN73" s="425"/>
      <c r="BO73" s="425"/>
      <c r="BP73" s="425"/>
      <c r="BQ73" s="425"/>
      <c r="BR73" s="425"/>
      <c r="BS73" s="425"/>
      <c r="BT73" s="425"/>
      <c r="BU73" s="425"/>
      <c r="BV73" s="425"/>
      <c r="BW73" s="425"/>
      <c r="BX73" s="425"/>
      <c r="BY73" s="425"/>
      <c r="BZ73" s="425"/>
      <c r="CA73" s="425"/>
      <c r="CB73" s="425"/>
      <c r="CC73" s="425"/>
      <c r="CD73" s="425"/>
      <c r="CE73" s="425"/>
      <c r="CF73" s="425"/>
      <c r="CG73" s="425"/>
      <c r="CH73" s="425"/>
      <c r="CI73" s="425"/>
      <c r="CJ73" s="425"/>
      <c r="CK73" s="425"/>
      <c r="CL73" s="425"/>
      <c r="CM73" s="425"/>
      <c r="CN73" s="425"/>
      <c r="CO73" s="425"/>
      <c r="CP73" s="425"/>
      <c r="CQ73" s="425"/>
      <c r="CR73" s="425"/>
      <c r="CS73" s="425"/>
      <c r="CT73" s="425"/>
      <c r="CU73" s="425"/>
      <c r="CV73" s="425"/>
    </row>
    <row r="74" spans="1:100">
      <c r="A74" s="434"/>
      <c r="B74" s="442"/>
      <c r="C74" s="442"/>
      <c r="D74" s="442"/>
      <c r="E74" s="442"/>
      <c r="F74" s="442"/>
      <c r="G74" s="442"/>
      <c r="H74" s="549"/>
      <c r="I74" s="549"/>
      <c r="J74" s="549"/>
      <c r="K74" s="549"/>
      <c r="L74" s="549"/>
      <c r="M74" s="549"/>
      <c r="N74" s="549"/>
      <c r="O74" s="549"/>
      <c r="P74" s="549"/>
      <c r="Q74" s="549"/>
      <c r="R74" s="549"/>
      <c r="S74" s="549"/>
      <c r="T74" s="549"/>
      <c r="U74" s="424"/>
      <c r="V74" s="425"/>
      <c r="W74" s="425"/>
      <c r="X74" s="425"/>
      <c r="Y74" s="425"/>
      <c r="Z74" s="425"/>
      <c r="AA74" s="425"/>
      <c r="AH74" s="425"/>
      <c r="AI74" s="425"/>
      <c r="AJ74" s="425"/>
      <c r="AK74" s="425"/>
      <c r="AL74" s="425"/>
      <c r="AM74" s="425"/>
      <c r="AN74" s="428"/>
      <c r="AO74" s="425"/>
      <c r="AP74" s="425"/>
      <c r="AQ74" s="425"/>
      <c r="AR74" s="425"/>
      <c r="AS74" s="425"/>
      <c r="AT74" s="425"/>
      <c r="AU74" s="425"/>
      <c r="AV74" s="425"/>
      <c r="AW74" s="425"/>
      <c r="AX74" s="425"/>
      <c r="AY74" s="425"/>
      <c r="AZ74" s="425"/>
      <c r="BA74" s="425"/>
      <c r="BB74" s="425"/>
      <c r="BC74" s="425"/>
      <c r="BD74" s="425"/>
      <c r="BE74" s="425"/>
      <c r="BF74" s="425"/>
      <c r="BG74" s="426"/>
      <c r="BH74" s="428"/>
      <c r="BI74" s="425"/>
      <c r="BJ74" s="425"/>
      <c r="BK74" s="425"/>
      <c r="BL74" s="425"/>
      <c r="BM74" s="425"/>
      <c r="BN74" s="425"/>
      <c r="BO74" s="425"/>
      <c r="BP74" s="425"/>
      <c r="BQ74" s="425"/>
      <c r="BR74" s="425"/>
      <c r="BS74" s="425"/>
      <c r="BT74" s="425"/>
      <c r="BU74" s="425"/>
      <c r="BV74" s="425"/>
      <c r="BW74" s="425"/>
      <c r="BX74" s="425"/>
      <c r="BY74" s="425"/>
      <c r="BZ74" s="425"/>
      <c r="CA74" s="425"/>
      <c r="CB74" s="425"/>
      <c r="CC74" s="425"/>
      <c r="CD74" s="425"/>
      <c r="CE74" s="425"/>
      <c r="CF74" s="425"/>
      <c r="CG74" s="425"/>
      <c r="CH74" s="425"/>
      <c r="CI74" s="425"/>
      <c r="CJ74" s="425"/>
      <c r="CK74" s="425"/>
      <c r="CL74" s="425"/>
      <c r="CM74" s="425"/>
      <c r="CN74" s="425"/>
      <c r="CO74" s="425"/>
      <c r="CP74" s="425"/>
      <c r="CQ74" s="425"/>
      <c r="CR74" s="425"/>
      <c r="CS74" s="425"/>
      <c r="CT74" s="425"/>
      <c r="CU74" s="425"/>
      <c r="CV74" s="425"/>
    </row>
    <row r="75" spans="1:100">
      <c r="A75" s="434"/>
      <c r="B75" s="442"/>
      <c r="C75" s="442"/>
      <c r="D75" s="442"/>
      <c r="E75" s="442"/>
      <c r="F75" s="442"/>
      <c r="G75" s="442"/>
      <c r="H75" s="549"/>
      <c r="I75" s="549"/>
      <c r="J75" s="549"/>
      <c r="K75" s="549"/>
      <c r="L75" s="549"/>
      <c r="M75" s="549"/>
      <c r="N75" s="549"/>
      <c r="O75" s="549"/>
      <c r="P75" s="549"/>
      <c r="Q75" s="549"/>
      <c r="R75" s="549"/>
      <c r="S75" s="549"/>
      <c r="T75" s="549"/>
      <c r="U75" s="424"/>
      <c r="V75" s="425"/>
      <c r="W75" s="425"/>
      <c r="X75" s="425"/>
      <c r="Y75" s="425"/>
      <c r="Z75" s="425"/>
      <c r="AA75" s="425"/>
      <c r="AH75" s="425"/>
      <c r="AI75" s="425"/>
      <c r="AJ75" s="425"/>
      <c r="AK75" s="425"/>
      <c r="AL75" s="425"/>
      <c r="AM75" s="425"/>
      <c r="AN75" s="428"/>
      <c r="AO75" s="425"/>
      <c r="AP75" s="425"/>
      <c r="AQ75" s="425"/>
      <c r="AR75" s="425"/>
      <c r="AS75" s="425"/>
      <c r="AT75" s="425"/>
      <c r="AU75" s="425"/>
      <c r="AV75" s="425"/>
      <c r="AW75" s="425"/>
      <c r="AX75" s="425"/>
      <c r="AY75" s="425"/>
      <c r="AZ75" s="425"/>
      <c r="BA75" s="425"/>
      <c r="BB75" s="425"/>
      <c r="BC75" s="425"/>
      <c r="BD75" s="425"/>
      <c r="BE75" s="425"/>
      <c r="BF75" s="425"/>
      <c r="BG75" s="426"/>
      <c r="BH75" s="428"/>
      <c r="BI75" s="425"/>
      <c r="BJ75" s="425"/>
      <c r="BK75" s="425"/>
      <c r="BL75" s="425"/>
      <c r="BM75" s="425"/>
      <c r="BN75" s="425"/>
      <c r="BO75" s="425"/>
      <c r="BP75" s="425"/>
      <c r="BQ75" s="425"/>
      <c r="BR75" s="425"/>
      <c r="BS75" s="425"/>
      <c r="BT75" s="425"/>
      <c r="BU75" s="425"/>
      <c r="BV75" s="425"/>
      <c r="BW75" s="425"/>
      <c r="BX75" s="425"/>
      <c r="BY75" s="425"/>
      <c r="BZ75" s="425"/>
      <c r="CA75" s="425"/>
      <c r="CB75" s="425"/>
      <c r="CC75" s="425"/>
      <c r="CD75" s="425"/>
      <c r="CE75" s="425"/>
      <c r="CF75" s="425"/>
      <c r="CG75" s="425"/>
      <c r="CH75" s="425"/>
      <c r="CI75" s="425"/>
      <c r="CJ75" s="425"/>
      <c r="CK75" s="425"/>
      <c r="CL75" s="425"/>
      <c r="CM75" s="425"/>
      <c r="CN75" s="425"/>
      <c r="CO75" s="425"/>
      <c r="CP75" s="425"/>
      <c r="CQ75" s="425"/>
      <c r="CR75" s="425"/>
      <c r="CS75" s="425"/>
      <c r="CT75" s="425"/>
      <c r="CU75" s="425"/>
      <c r="CV75" s="425"/>
    </row>
    <row r="76" spans="1:100">
      <c r="A76" s="434"/>
      <c r="B76" s="442"/>
      <c r="C76" s="442"/>
      <c r="D76" s="442"/>
      <c r="E76" s="442"/>
      <c r="F76" s="442"/>
      <c r="G76" s="442"/>
      <c r="H76" s="549"/>
      <c r="I76" s="549"/>
      <c r="J76" s="549"/>
      <c r="K76" s="549"/>
      <c r="L76" s="549"/>
      <c r="M76" s="549"/>
      <c r="N76" s="549"/>
      <c r="O76" s="549"/>
      <c r="P76" s="549"/>
      <c r="Q76" s="549"/>
      <c r="R76" s="549"/>
      <c r="S76" s="549"/>
      <c r="T76" s="549"/>
      <c r="U76" s="424"/>
      <c r="V76" s="425"/>
      <c r="W76" s="425"/>
      <c r="X76" s="425"/>
      <c r="Y76" s="425"/>
      <c r="Z76" s="425"/>
      <c r="AA76" s="425"/>
      <c r="AH76" s="425"/>
      <c r="AI76" s="425"/>
      <c r="AJ76" s="425"/>
      <c r="AK76" s="425"/>
      <c r="AL76" s="425"/>
      <c r="AM76" s="425"/>
      <c r="AN76" s="428"/>
      <c r="AO76" s="425"/>
      <c r="AP76" s="425"/>
      <c r="AQ76" s="425"/>
      <c r="AR76" s="425"/>
      <c r="AS76" s="425"/>
      <c r="AT76" s="425"/>
      <c r="AU76" s="425"/>
      <c r="AV76" s="425"/>
      <c r="AW76" s="425"/>
      <c r="AX76" s="425"/>
      <c r="AY76" s="425"/>
      <c r="AZ76" s="425"/>
      <c r="BA76" s="425"/>
      <c r="BB76" s="425"/>
      <c r="BC76" s="425"/>
      <c r="BD76" s="425"/>
      <c r="BE76" s="425"/>
      <c r="BF76" s="425"/>
      <c r="BG76" s="426"/>
      <c r="BH76" s="428"/>
      <c r="BI76" s="425"/>
      <c r="BJ76" s="425"/>
      <c r="BK76" s="425"/>
      <c r="BL76" s="425"/>
      <c r="BM76" s="425"/>
      <c r="BN76" s="425"/>
      <c r="BO76" s="425"/>
      <c r="BP76" s="425"/>
      <c r="BQ76" s="425"/>
      <c r="BR76" s="425"/>
      <c r="BS76" s="425"/>
      <c r="BT76" s="425"/>
      <c r="BU76" s="425"/>
      <c r="BV76" s="425"/>
      <c r="BW76" s="425"/>
      <c r="BX76" s="425"/>
      <c r="BY76" s="425"/>
      <c r="BZ76" s="425"/>
      <c r="CA76" s="425"/>
      <c r="CB76" s="425"/>
      <c r="CC76" s="425"/>
      <c r="CD76" s="425"/>
      <c r="CE76" s="425"/>
      <c r="CF76" s="425"/>
      <c r="CG76" s="425"/>
      <c r="CH76" s="425"/>
      <c r="CI76" s="425"/>
      <c r="CJ76" s="425"/>
      <c r="CK76" s="425"/>
      <c r="CL76" s="425"/>
      <c r="CM76" s="425"/>
      <c r="CN76" s="425"/>
      <c r="CO76" s="425"/>
      <c r="CP76" s="425"/>
      <c r="CQ76" s="425"/>
      <c r="CR76" s="425"/>
      <c r="CS76" s="425"/>
      <c r="CT76" s="425"/>
      <c r="CU76" s="425"/>
      <c r="CV76" s="425"/>
    </row>
    <row r="77" spans="1:100">
      <c r="A77" s="434"/>
      <c r="B77" s="442"/>
      <c r="C77" s="442"/>
      <c r="D77" s="442"/>
      <c r="E77" s="442"/>
      <c r="F77" s="442"/>
      <c r="G77" s="442"/>
      <c r="H77" s="549"/>
      <c r="I77" s="549"/>
      <c r="J77" s="549"/>
      <c r="K77" s="549"/>
      <c r="L77" s="549"/>
      <c r="M77" s="549"/>
      <c r="N77" s="549"/>
      <c r="O77" s="549"/>
      <c r="P77" s="549"/>
      <c r="Q77" s="549"/>
      <c r="R77" s="549"/>
      <c r="S77" s="549"/>
      <c r="T77" s="549"/>
      <c r="U77" s="424"/>
      <c r="V77" s="425"/>
      <c r="W77" s="425"/>
      <c r="X77" s="425"/>
      <c r="Y77" s="425"/>
      <c r="Z77" s="425"/>
      <c r="AA77" s="425"/>
      <c r="AH77" s="425"/>
      <c r="AI77" s="425"/>
      <c r="AJ77" s="425"/>
      <c r="AK77" s="425"/>
      <c r="AL77" s="425"/>
      <c r="AM77" s="425"/>
      <c r="AN77" s="428"/>
      <c r="AO77" s="425"/>
      <c r="AP77" s="425"/>
      <c r="AQ77" s="425"/>
      <c r="AR77" s="425"/>
      <c r="AS77" s="425"/>
      <c r="AT77" s="425"/>
      <c r="AU77" s="425"/>
      <c r="AV77" s="425"/>
      <c r="AW77" s="425"/>
      <c r="AX77" s="425"/>
      <c r="AY77" s="425"/>
      <c r="AZ77" s="425"/>
      <c r="BA77" s="425"/>
      <c r="BB77" s="425"/>
      <c r="BC77" s="425"/>
      <c r="BD77" s="425"/>
      <c r="BE77" s="425"/>
      <c r="BF77" s="425"/>
      <c r="BG77" s="426"/>
      <c r="BH77" s="428"/>
      <c r="BI77" s="425"/>
      <c r="BJ77" s="425"/>
      <c r="BK77" s="425"/>
      <c r="BL77" s="425"/>
      <c r="BM77" s="425"/>
      <c r="BN77" s="425"/>
      <c r="BO77" s="425"/>
      <c r="BP77" s="425"/>
      <c r="BQ77" s="425"/>
      <c r="BR77" s="425"/>
      <c r="BS77" s="425"/>
      <c r="BT77" s="425"/>
      <c r="BU77" s="425"/>
      <c r="BV77" s="425"/>
      <c r="BW77" s="425"/>
      <c r="BX77" s="425"/>
      <c r="BY77" s="425"/>
      <c r="BZ77" s="425"/>
      <c r="CA77" s="425"/>
      <c r="CB77" s="425"/>
      <c r="CC77" s="425"/>
      <c r="CD77" s="425"/>
      <c r="CE77" s="425"/>
      <c r="CF77" s="425"/>
      <c r="CG77" s="425"/>
      <c r="CH77" s="425"/>
      <c r="CI77" s="425"/>
      <c r="CJ77" s="425"/>
      <c r="CK77" s="425"/>
      <c r="CL77" s="425"/>
      <c r="CM77" s="425"/>
      <c r="CN77" s="425"/>
      <c r="CO77" s="425"/>
      <c r="CP77" s="425"/>
      <c r="CQ77" s="425"/>
      <c r="CR77" s="425"/>
      <c r="CS77" s="425"/>
      <c r="CT77" s="425"/>
      <c r="CU77" s="425"/>
      <c r="CV77" s="425"/>
    </row>
    <row r="78" spans="1:100">
      <c r="A78" s="434"/>
      <c r="B78" s="442"/>
      <c r="C78" s="442"/>
      <c r="D78" s="442"/>
      <c r="E78" s="442"/>
      <c r="F78" s="442"/>
      <c r="G78" s="442"/>
      <c r="H78" s="549"/>
      <c r="I78" s="549"/>
      <c r="J78" s="549"/>
      <c r="K78" s="549"/>
      <c r="L78" s="549"/>
      <c r="M78" s="549"/>
      <c r="N78" s="549"/>
      <c r="O78" s="549"/>
      <c r="P78" s="549"/>
      <c r="Q78" s="549"/>
      <c r="R78" s="549"/>
      <c r="S78" s="549"/>
      <c r="T78" s="549"/>
      <c r="U78" s="424"/>
      <c r="V78" s="425"/>
      <c r="W78" s="425"/>
      <c r="X78" s="425"/>
      <c r="Y78" s="425"/>
      <c r="Z78" s="425"/>
      <c r="AA78" s="425"/>
      <c r="AH78" s="425"/>
      <c r="AI78" s="425"/>
      <c r="AJ78" s="425"/>
      <c r="AK78" s="425"/>
      <c r="AL78" s="425"/>
      <c r="AM78" s="425"/>
      <c r="AN78" s="428"/>
      <c r="AO78" s="425"/>
      <c r="AP78" s="425"/>
      <c r="AQ78" s="425"/>
      <c r="AR78" s="425"/>
      <c r="AS78" s="425"/>
      <c r="AT78" s="425"/>
      <c r="AU78" s="425"/>
      <c r="AV78" s="425"/>
      <c r="AW78" s="425"/>
      <c r="AX78" s="425"/>
      <c r="AY78" s="425"/>
      <c r="AZ78" s="425"/>
      <c r="BA78" s="425"/>
      <c r="BB78" s="425"/>
      <c r="BC78" s="425"/>
      <c r="BD78" s="425"/>
      <c r="BE78" s="425"/>
      <c r="BF78" s="425"/>
      <c r="BG78" s="426"/>
      <c r="BH78" s="428"/>
      <c r="BI78" s="425"/>
      <c r="BJ78" s="425"/>
      <c r="BK78" s="425"/>
      <c r="BL78" s="425"/>
      <c r="BM78" s="425"/>
      <c r="BN78" s="425"/>
      <c r="BO78" s="425"/>
      <c r="BP78" s="425"/>
      <c r="BQ78" s="425"/>
      <c r="BR78" s="425"/>
      <c r="BS78" s="425"/>
      <c r="BT78" s="425"/>
      <c r="BU78" s="425"/>
      <c r="BV78" s="425"/>
      <c r="BW78" s="425"/>
      <c r="BX78" s="425"/>
      <c r="BY78" s="425"/>
      <c r="BZ78" s="425"/>
      <c r="CA78" s="425"/>
      <c r="CB78" s="425"/>
      <c r="CC78" s="425"/>
      <c r="CD78" s="425"/>
      <c r="CE78" s="425"/>
      <c r="CF78" s="425"/>
      <c r="CG78" s="425"/>
      <c r="CH78" s="425"/>
      <c r="CI78" s="425"/>
      <c r="CJ78" s="425"/>
      <c r="CK78" s="425"/>
      <c r="CL78" s="425"/>
      <c r="CM78" s="425"/>
      <c r="CN78" s="425"/>
      <c r="CO78" s="425"/>
      <c r="CP78" s="425"/>
      <c r="CQ78" s="425"/>
      <c r="CR78" s="425"/>
      <c r="CS78" s="425"/>
      <c r="CT78" s="425"/>
      <c r="CU78" s="425"/>
      <c r="CV78" s="425"/>
    </row>
    <row r="79" spans="1:100">
      <c r="A79" s="434"/>
      <c r="B79" s="442"/>
      <c r="C79" s="442"/>
      <c r="D79" s="442"/>
      <c r="E79" s="442"/>
      <c r="F79" s="442"/>
      <c r="G79" s="442"/>
      <c r="H79" s="549"/>
      <c r="I79" s="549"/>
      <c r="J79" s="549"/>
      <c r="K79" s="549"/>
      <c r="L79" s="549"/>
      <c r="M79" s="549"/>
      <c r="N79" s="549"/>
      <c r="O79" s="549"/>
      <c r="P79" s="549"/>
      <c r="Q79" s="549"/>
      <c r="R79" s="549"/>
      <c r="S79" s="549"/>
      <c r="T79" s="549"/>
      <c r="U79" s="424"/>
      <c r="V79" s="425"/>
      <c r="W79" s="425"/>
      <c r="X79" s="425"/>
      <c r="Y79" s="425"/>
      <c r="Z79" s="425"/>
      <c r="AA79" s="425"/>
      <c r="AH79" s="425"/>
      <c r="AI79" s="425"/>
      <c r="AJ79" s="425"/>
      <c r="AK79" s="425"/>
      <c r="AL79" s="425"/>
      <c r="AM79" s="425"/>
      <c r="AN79" s="428"/>
      <c r="AO79" s="425"/>
      <c r="AP79" s="425"/>
      <c r="AQ79" s="425"/>
      <c r="AR79" s="425"/>
      <c r="AS79" s="425"/>
      <c r="AT79" s="425"/>
      <c r="AU79" s="425"/>
      <c r="AV79" s="425"/>
      <c r="AW79" s="425"/>
      <c r="AX79" s="425"/>
      <c r="AY79" s="425"/>
      <c r="AZ79" s="425"/>
      <c r="BA79" s="425"/>
      <c r="BB79" s="425"/>
      <c r="BC79" s="425"/>
      <c r="BD79" s="425"/>
      <c r="BE79" s="425"/>
      <c r="BF79" s="425"/>
      <c r="BG79" s="426"/>
      <c r="BH79" s="428"/>
      <c r="BI79" s="425"/>
      <c r="BJ79" s="425"/>
      <c r="BK79" s="425"/>
      <c r="BL79" s="425"/>
      <c r="BM79" s="425"/>
      <c r="BN79" s="425"/>
      <c r="BO79" s="425"/>
      <c r="BP79" s="425"/>
      <c r="BQ79" s="425"/>
      <c r="BR79" s="425"/>
      <c r="BS79" s="425"/>
      <c r="BT79" s="425"/>
      <c r="BU79" s="425"/>
      <c r="BV79" s="425"/>
      <c r="BW79" s="425"/>
      <c r="BX79" s="425"/>
      <c r="BY79" s="425"/>
      <c r="BZ79" s="425"/>
      <c r="CA79" s="425"/>
      <c r="CB79" s="425"/>
      <c r="CC79" s="425"/>
      <c r="CD79" s="425"/>
      <c r="CE79" s="425"/>
      <c r="CF79" s="425"/>
      <c r="CG79" s="425"/>
      <c r="CH79" s="425"/>
      <c r="CI79" s="425"/>
      <c r="CJ79" s="425"/>
      <c r="CK79" s="425"/>
      <c r="CL79" s="425"/>
      <c r="CM79" s="425"/>
      <c r="CN79" s="425"/>
      <c r="CO79" s="425"/>
      <c r="CP79" s="425"/>
      <c r="CQ79" s="425"/>
      <c r="CR79" s="425"/>
      <c r="CS79" s="425"/>
      <c r="CT79" s="425"/>
      <c r="CU79" s="425"/>
      <c r="CV79" s="425"/>
    </row>
    <row r="80" spans="1:100">
      <c r="A80" s="434"/>
      <c r="B80" s="442"/>
      <c r="C80" s="442"/>
      <c r="D80" s="442"/>
      <c r="E80" s="442"/>
      <c r="F80" s="442"/>
      <c r="G80" s="442"/>
      <c r="H80" s="549"/>
      <c r="I80" s="549"/>
      <c r="J80" s="549"/>
      <c r="K80" s="549"/>
      <c r="L80" s="549"/>
      <c r="M80" s="549"/>
      <c r="N80" s="549"/>
      <c r="O80" s="549"/>
      <c r="P80" s="549"/>
      <c r="Q80" s="549"/>
      <c r="R80" s="549"/>
      <c r="S80" s="549"/>
      <c r="T80" s="549"/>
      <c r="U80" s="424"/>
      <c r="V80" s="425"/>
      <c r="W80" s="425"/>
      <c r="X80" s="425"/>
      <c r="Y80" s="425"/>
      <c r="Z80" s="425"/>
      <c r="AA80" s="425"/>
      <c r="AH80" s="425"/>
      <c r="AI80" s="425"/>
      <c r="AJ80" s="425"/>
      <c r="AK80" s="425"/>
      <c r="AL80" s="425"/>
      <c r="AM80" s="425"/>
      <c r="AN80" s="428"/>
      <c r="AO80" s="425"/>
      <c r="AP80" s="425"/>
      <c r="AQ80" s="425"/>
      <c r="AR80" s="425"/>
      <c r="AS80" s="425"/>
      <c r="AT80" s="425"/>
      <c r="AU80" s="425"/>
      <c r="AV80" s="425"/>
      <c r="AW80" s="425"/>
      <c r="AX80" s="425"/>
      <c r="AY80" s="425"/>
      <c r="AZ80" s="425"/>
      <c r="BA80" s="425"/>
      <c r="BB80" s="425"/>
      <c r="BC80" s="425"/>
      <c r="BD80" s="425"/>
      <c r="BE80" s="425"/>
      <c r="BF80" s="425"/>
      <c r="BG80" s="426"/>
      <c r="BH80" s="428"/>
      <c r="BI80" s="425"/>
      <c r="BJ80" s="425"/>
      <c r="BK80" s="425"/>
      <c r="BL80" s="425"/>
      <c r="BM80" s="425"/>
      <c r="BN80" s="425"/>
      <c r="BO80" s="425"/>
      <c r="BP80" s="425"/>
      <c r="BQ80" s="425"/>
      <c r="BR80" s="425"/>
      <c r="BS80" s="425"/>
      <c r="BT80" s="425"/>
      <c r="BU80" s="425"/>
      <c r="BV80" s="425"/>
      <c r="BW80" s="425"/>
      <c r="BX80" s="425"/>
      <c r="BY80" s="425"/>
      <c r="BZ80" s="425"/>
      <c r="CA80" s="425"/>
      <c r="CB80" s="425"/>
      <c r="CC80" s="425"/>
      <c r="CD80" s="425"/>
      <c r="CE80" s="425"/>
      <c r="CF80" s="425"/>
      <c r="CG80" s="425"/>
      <c r="CH80" s="425"/>
      <c r="CI80" s="425"/>
      <c r="CJ80" s="425"/>
      <c r="CK80" s="425"/>
      <c r="CL80" s="425"/>
      <c r="CM80" s="425"/>
      <c r="CN80" s="425"/>
      <c r="CO80" s="425"/>
      <c r="CP80" s="425"/>
      <c r="CQ80" s="425"/>
      <c r="CR80" s="425"/>
      <c r="CS80" s="425"/>
      <c r="CT80" s="425"/>
      <c r="CU80" s="425"/>
      <c r="CV80" s="425"/>
    </row>
    <row r="81" spans="1:100">
      <c r="A81" s="434"/>
      <c r="B81" s="442"/>
      <c r="C81" s="442"/>
      <c r="D81" s="442"/>
      <c r="E81" s="442"/>
      <c r="F81" s="442"/>
      <c r="G81" s="442"/>
      <c r="H81" s="549"/>
      <c r="I81" s="549"/>
      <c r="J81" s="549"/>
      <c r="K81" s="549"/>
      <c r="L81" s="549"/>
      <c r="M81" s="549"/>
      <c r="N81" s="549"/>
      <c r="O81" s="549"/>
      <c r="P81" s="549"/>
      <c r="Q81" s="549"/>
      <c r="R81" s="549"/>
      <c r="S81" s="549"/>
      <c r="T81" s="549"/>
      <c r="U81" s="424"/>
      <c r="V81" s="425"/>
      <c r="W81" s="425"/>
      <c r="X81" s="425"/>
      <c r="Y81" s="425"/>
      <c r="Z81" s="425"/>
      <c r="AA81" s="425"/>
      <c r="AH81" s="425"/>
      <c r="AI81" s="425"/>
      <c r="AJ81" s="425"/>
      <c r="AK81" s="425"/>
      <c r="AL81" s="425"/>
      <c r="AM81" s="425"/>
      <c r="AN81" s="428"/>
      <c r="AO81" s="425"/>
      <c r="AP81" s="425"/>
      <c r="AQ81" s="425"/>
      <c r="AR81" s="425"/>
      <c r="AS81" s="425"/>
      <c r="AT81" s="425"/>
      <c r="AU81" s="425"/>
      <c r="AV81" s="425"/>
      <c r="AW81" s="425"/>
      <c r="AX81" s="425"/>
      <c r="AY81" s="425"/>
      <c r="AZ81" s="425"/>
      <c r="BA81" s="425"/>
      <c r="BB81" s="425"/>
      <c r="BC81" s="425"/>
      <c r="BD81" s="425"/>
      <c r="BE81" s="425"/>
      <c r="BF81" s="425"/>
      <c r="BG81" s="426"/>
      <c r="BH81" s="428"/>
      <c r="BI81" s="425"/>
      <c r="BJ81" s="425"/>
      <c r="BK81" s="425"/>
      <c r="BL81" s="425"/>
      <c r="BM81" s="425"/>
      <c r="BN81" s="425"/>
      <c r="BO81" s="425"/>
      <c r="BP81" s="425"/>
      <c r="BQ81" s="425"/>
      <c r="BR81" s="425"/>
      <c r="BS81" s="425"/>
      <c r="BT81" s="425"/>
      <c r="BU81" s="425"/>
      <c r="BV81" s="425"/>
      <c r="BW81" s="425"/>
      <c r="BX81" s="425"/>
      <c r="BY81" s="425"/>
      <c r="BZ81" s="425"/>
      <c r="CA81" s="425"/>
      <c r="CB81" s="425"/>
      <c r="CC81" s="425"/>
      <c r="CD81" s="425"/>
      <c r="CE81" s="425"/>
      <c r="CF81" s="425"/>
      <c r="CG81" s="425"/>
      <c r="CH81" s="425"/>
      <c r="CI81" s="425"/>
      <c r="CJ81" s="425"/>
      <c r="CK81" s="425"/>
      <c r="CL81" s="425"/>
      <c r="CM81" s="425"/>
      <c r="CN81" s="425"/>
      <c r="CO81" s="425"/>
      <c r="CP81" s="425"/>
      <c r="CQ81" s="425"/>
      <c r="CR81" s="425"/>
      <c r="CS81" s="425"/>
      <c r="CT81" s="425"/>
      <c r="CU81" s="425"/>
      <c r="CV81" s="425"/>
    </row>
    <row r="82" spans="1:100">
      <c r="A82" s="434"/>
      <c r="B82" s="442"/>
      <c r="C82" s="442"/>
      <c r="D82" s="442"/>
      <c r="E82" s="442"/>
      <c r="F82" s="442"/>
      <c r="G82" s="442"/>
      <c r="H82" s="549"/>
      <c r="I82" s="549"/>
      <c r="J82" s="549"/>
      <c r="K82" s="549"/>
      <c r="L82" s="549"/>
      <c r="M82" s="549"/>
      <c r="N82" s="549"/>
      <c r="O82" s="549"/>
      <c r="P82" s="549"/>
      <c r="Q82" s="549"/>
      <c r="R82" s="549"/>
      <c r="S82" s="549"/>
      <c r="T82" s="549"/>
      <c r="U82" s="424"/>
      <c r="V82" s="425"/>
      <c r="W82" s="425"/>
      <c r="X82" s="425"/>
      <c r="Y82" s="425"/>
      <c r="Z82" s="425"/>
      <c r="AA82" s="425"/>
      <c r="AH82" s="425"/>
      <c r="AI82" s="425"/>
      <c r="AJ82" s="425"/>
      <c r="AK82" s="425"/>
      <c r="AL82" s="425"/>
      <c r="AM82" s="425"/>
      <c r="AN82" s="428"/>
      <c r="AO82" s="425"/>
      <c r="AP82" s="425"/>
      <c r="AQ82" s="425"/>
      <c r="AR82" s="425"/>
      <c r="AS82" s="425"/>
      <c r="AT82" s="425"/>
      <c r="AU82" s="425"/>
      <c r="AV82" s="425"/>
      <c r="AW82" s="425"/>
      <c r="AX82" s="425"/>
      <c r="AY82" s="425"/>
      <c r="AZ82" s="425"/>
      <c r="BA82" s="425"/>
      <c r="BB82" s="425"/>
      <c r="BC82" s="425"/>
      <c r="BD82" s="425"/>
      <c r="BE82" s="425"/>
      <c r="BF82" s="425"/>
      <c r="BG82" s="426"/>
      <c r="BH82" s="428"/>
      <c r="BI82" s="425"/>
      <c r="BJ82" s="425"/>
      <c r="BK82" s="425"/>
      <c r="BL82" s="425"/>
      <c r="BM82" s="425"/>
      <c r="BN82" s="425"/>
      <c r="BO82" s="425"/>
      <c r="BP82" s="425"/>
      <c r="BQ82" s="425"/>
      <c r="BR82" s="425"/>
      <c r="BS82" s="425"/>
      <c r="BT82" s="425"/>
      <c r="BU82" s="425"/>
      <c r="BV82" s="425"/>
      <c r="BW82" s="425"/>
      <c r="BX82" s="425"/>
      <c r="BY82" s="425"/>
      <c r="BZ82" s="425"/>
      <c r="CA82" s="425"/>
      <c r="CB82" s="425"/>
      <c r="CC82" s="425"/>
      <c r="CD82" s="425"/>
      <c r="CE82" s="425"/>
      <c r="CF82" s="425"/>
      <c r="CG82" s="425"/>
      <c r="CH82" s="425"/>
      <c r="CI82" s="425"/>
      <c r="CJ82" s="425"/>
      <c r="CK82" s="425"/>
      <c r="CL82" s="425"/>
      <c r="CM82" s="425"/>
      <c r="CN82" s="425"/>
      <c r="CO82" s="425"/>
      <c r="CP82" s="425"/>
      <c r="CQ82" s="425"/>
      <c r="CR82" s="425"/>
      <c r="CS82" s="425"/>
      <c r="CT82" s="425"/>
      <c r="CU82" s="425"/>
      <c r="CV82" s="425"/>
    </row>
    <row r="83" spans="1:100">
      <c r="A83" s="434"/>
      <c r="B83" s="442"/>
      <c r="C83" s="442"/>
      <c r="D83" s="442"/>
      <c r="E83" s="442"/>
      <c r="F83" s="442"/>
      <c r="G83" s="442"/>
      <c r="H83" s="549"/>
      <c r="I83" s="549"/>
      <c r="J83" s="549"/>
      <c r="K83" s="549"/>
      <c r="L83" s="549"/>
      <c r="M83" s="549"/>
      <c r="N83" s="549"/>
      <c r="O83" s="549"/>
      <c r="P83" s="549"/>
      <c r="Q83" s="549"/>
      <c r="R83" s="549"/>
      <c r="S83" s="549"/>
      <c r="T83" s="549"/>
      <c r="U83" s="424"/>
      <c r="V83" s="425"/>
      <c r="W83" s="425"/>
      <c r="X83" s="425"/>
      <c r="Y83" s="425"/>
      <c r="Z83" s="425"/>
      <c r="AA83" s="425"/>
      <c r="AH83" s="425"/>
      <c r="AI83" s="425"/>
      <c r="AJ83" s="425"/>
      <c r="AK83" s="425"/>
      <c r="AL83" s="425"/>
      <c r="AM83" s="425"/>
      <c r="AN83" s="428"/>
      <c r="AO83" s="425"/>
      <c r="AP83" s="425"/>
      <c r="AQ83" s="425"/>
      <c r="AR83" s="425"/>
      <c r="AS83" s="425"/>
      <c r="AT83" s="425"/>
      <c r="AU83" s="425"/>
      <c r="AV83" s="425"/>
      <c r="AW83" s="425"/>
      <c r="AX83" s="425"/>
      <c r="AY83" s="425"/>
      <c r="AZ83" s="425"/>
      <c r="BA83" s="425"/>
      <c r="BB83" s="425"/>
      <c r="BC83" s="425"/>
      <c r="BD83" s="425"/>
      <c r="BE83" s="425"/>
      <c r="BF83" s="425"/>
      <c r="BG83" s="426"/>
      <c r="BH83" s="428"/>
      <c r="BI83" s="425"/>
      <c r="BJ83" s="425"/>
      <c r="BK83" s="425"/>
      <c r="BL83" s="425"/>
      <c r="BM83" s="425"/>
      <c r="BN83" s="425"/>
      <c r="BO83" s="425"/>
      <c r="BP83" s="425"/>
      <c r="BQ83" s="425"/>
      <c r="BR83" s="425"/>
      <c r="BS83" s="425"/>
      <c r="BT83" s="425"/>
      <c r="BU83" s="425"/>
      <c r="BV83" s="425"/>
      <c r="BW83" s="425"/>
      <c r="BX83" s="425"/>
      <c r="BY83" s="425"/>
      <c r="BZ83" s="425"/>
      <c r="CA83" s="425"/>
      <c r="CB83" s="425"/>
      <c r="CC83" s="425"/>
      <c r="CD83" s="425"/>
      <c r="CE83" s="425"/>
      <c r="CF83" s="425"/>
      <c r="CG83" s="425"/>
      <c r="CH83" s="425"/>
      <c r="CI83" s="425"/>
      <c r="CJ83" s="425"/>
      <c r="CK83" s="425"/>
      <c r="CL83" s="425"/>
      <c r="CM83" s="425"/>
      <c r="CN83" s="425"/>
      <c r="CO83" s="425"/>
      <c r="CP83" s="425"/>
      <c r="CQ83" s="425"/>
      <c r="CR83" s="425"/>
      <c r="CS83" s="425"/>
      <c r="CT83" s="425"/>
      <c r="CU83" s="425"/>
      <c r="CV83" s="425"/>
    </row>
    <row r="84" spans="1:100">
      <c r="A84" s="434"/>
      <c r="B84" s="442"/>
      <c r="C84" s="442"/>
      <c r="D84" s="442"/>
      <c r="E84" s="442"/>
      <c r="F84" s="442"/>
      <c r="G84" s="442"/>
      <c r="H84" s="549"/>
      <c r="I84" s="549"/>
      <c r="J84" s="549"/>
      <c r="K84" s="549"/>
      <c r="L84" s="549"/>
      <c r="M84" s="549"/>
      <c r="N84" s="549"/>
      <c r="O84" s="549"/>
      <c r="P84" s="549"/>
      <c r="Q84" s="549"/>
      <c r="R84" s="549"/>
      <c r="S84" s="549"/>
      <c r="T84" s="549"/>
      <c r="U84" s="424"/>
      <c r="V84" s="425"/>
      <c r="W84" s="425"/>
      <c r="X84" s="425"/>
      <c r="Y84" s="425"/>
      <c r="Z84" s="425"/>
      <c r="AA84" s="425"/>
      <c r="AH84" s="425"/>
      <c r="AI84" s="425"/>
      <c r="AJ84" s="425"/>
      <c r="AK84" s="425"/>
      <c r="AL84" s="425"/>
      <c r="AM84" s="425"/>
      <c r="AN84" s="428"/>
      <c r="AO84" s="425"/>
      <c r="AP84" s="425"/>
      <c r="AQ84" s="425"/>
      <c r="AR84" s="425"/>
      <c r="AS84" s="425"/>
      <c r="AT84" s="425"/>
      <c r="AU84" s="425"/>
      <c r="AV84" s="425"/>
      <c r="AW84" s="425"/>
      <c r="AX84" s="425"/>
      <c r="AY84" s="425"/>
      <c r="AZ84" s="425"/>
      <c r="BA84" s="425"/>
      <c r="BB84" s="425"/>
      <c r="BC84" s="425"/>
      <c r="BD84" s="425"/>
      <c r="BE84" s="425"/>
      <c r="BF84" s="425"/>
      <c r="BG84" s="426"/>
      <c r="BH84" s="428"/>
      <c r="BI84" s="425"/>
      <c r="BJ84" s="425"/>
      <c r="BK84" s="425"/>
      <c r="BL84" s="425"/>
      <c r="BM84" s="425"/>
      <c r="BN84" s="425"/>
      <c r="BO84" s="425"/>
      <c r="BP84" s="425"/>
      <c r="BQ84" s="425"/>
      <c r="BR84" s="425"/>
      <c r="BS84" s="425"/>
      <c r="BT84" s="425"/>
      <c r="BU84" s="425"/>
      <c r="BV84" s="425"/>
      <c r="BW84" s="425"/>
      <c r="BX84" s="425"/>
      <c r="BY84" s="425"/>
      <c r="BZ84" s="425"/>
      <c r="CA84" s="425"/>
      <c r="CB84" s="425"/>
      <c r="CC84" s="425"/>
      <c r="CD84" s="425"/>
      <c r="CE84" s="425"/>
      <c r="CF84" s="425"/>
      <c r="CG84" s="425"/>
      <c r="CH84" s="425"/>
      <c r="CI84" s="425"/>
      <c r="CJ84" s="425"/>
      <c r="CK84" s="425"/>
      <c r="CL84" s="425"/>
      <c r="CM84" s="425"/>
      <c r="CN84" s="425"/>
      <c r="CO84" s="425"/>
      <c r="CP84" s="425"/>
      <c r="CQ84" s="425"/>
      <c r="CR84" s="425"/>
      <c r="CS84" s="425"/>
      <c r="CT84" s="425"/>
      <c r="CU84" s="425"/>
      <c r="CV84" s="425"/>
    </row>
    <row r="85" spans="1:100">
      <c r="A85" s="434"/>
      <c r="B85" s="442"/>
      <c r="C85" s="442"/>
      <c r="D85" s="442"/>
      <c r="E85" s="442"/>
      <c r="F85" s="442"/>
      <c r="G85" s="442"/>
      <c r="H85" s="549"/>
      <c r="I85" s="549"/>
      <c r="J85" s="549"/>
      <c r="K85" s="549"/>
      <c r="L85" s="549"/>
      <c r="M85" s="549"/>
      <c r="N85" s="549"/>
      <c r="O85" s="549"/>
      <c r="P85" s="549"/>
      <c r="Q85" s="549"/>
      <c r="R85" s="549"/>
      <c r="S85" s="549"/>
      <c r="T85" s="549"/>
      <c r="U85" s="424"/>
      <c r="V85" s="424"/>
      <c r="W85" s="425"/>
      <c r="X85" s="425"/>
      <c r="Y85" s="425"/>
      <c r="Z85" s="425"/>
      <c r="AA85" s="425"/>
      <c r="AH85" s="425"/>
      <c r="AI85" s="425"/>
      <c r="AJ85" s="425"/>
      <c r="AK85" s="425"/>
      <c r="AL85" s="425"/>
      <c r="AM85" s="425"/>
      <c r="AN85" s="428"/>
      <c r="AO85" s="425"/>
      <c r="AP85" s="425"/>
      <c r="AQ85" s="425"/>
      <c r="AR85" s="425"/>
      <c r="AS85" s="425"/>
      <c r="AT85" s="425"/>
      <c r="AU85" s="425"/>
      <c r="AV85" s="425"/>
      <c r="AW85" s="425"/>
      <c r="AX85" s="425"/>
      <c r="AY85" s="425"/>
      <c r="AZ85" s="425"/>
      <c r="BA85" s="425"/>
      <c r="BB85" s="425"/>
      <c r="BC85" s="425"/>
      <c r="BD85" s="425"/>
      <c r="BE85" s="425"/>
      <c r="BF85" s="425"/>
      <c r="BG85" s="426"/>
      <c r="BH85" s="428"/>
      <c r="BI85" s="425"/>
      <c r="BJ85" s="425"/>
      <c r="BK85" s="425"/>
      <c r="BL85" s="425"/>
      <c r="BM85" s="425"/>
      <c r="BN85" s="425"/>
      <c r="BO85" s="425"/>
      <c r="BP85" s="425"/>
      <c r="BQ85" s="425"/>
      <c r="BR85" s="425"/>
      <c r="BS85" s="425"/>
      <c r="BT85" s="425"/>
      <c r="BU85" s="425"/>
      <c r="BV85" s="425"/>
      <c r="BW85" s="425"/>
      <c r="BX85" s="425"/>
      <c r="BY85" s="425"/>
      <c r="BZ85" s="425"/>
      <c r="CA85" s="425"/>
      <c r="CB85" s="425"/>
      <c r="CC85" s="425"/>
      <c r="CD85" s="425"/>
      <c r="CE85" s="425"/>
      <c r="CF85" s="425"/>
      <c r="CG85" s="425"/>
      <c r="CH85" s="425"/>
      <c r="CI85" s="425"/>
      <c r="CJ85" s="425"/>
      <c r="CK85" s="425"/>
      <c r="CL85" s="425"/>
      <c r="CM85" s="425"/>
      <c r="CN85" s="425"/>
      <c r="CO85" s="425"/>
      <c r="CP85" s="425"/>
      <c r="CQ85" s="425"/>
      <c r="CR85" s="425"/>
      <c r="CS85" s="425"/>
      <c r="CT85" s="425"/>
      <c r="CU85" s="425"/>
      <c r="CV85" s="425"/>
    </row>
    <row r="86" spans="1:100">
      <c r="A86" s="434"/>
      <c r="B86" s="442"/>
      <c r="C86" s="442"/>
      <c r="D86" s="442"/>
      <c r="E86" s="442"/>
      <c r="F86" s="442"/>
      <c r="G86" s="442"/>
      <c r="H86" s="549"/>
      <c r="I86" s="549"/>
      <c r="J86" s="549"/>
      <c r="K86" s="549"/>
      <c r="L86" s="549"/>
      <c r="M86" s="549"/>
      <c r="N86" s="549"/>
      <c r="O86" s="549"/>
      <c r="P86" s="549"/>
      <c r="Q86" s="549"/>
      <c r="R86" s="549"/>
      <c r="S86" s="549"/>
      <c r="T86" s="549"/>
      <c r="U86" s="424"/>
      <c r="V86" s="424"/>
      <c r="W86" s="425"/>
      <c r="X86" s="425"/>
      <c r="Y86" s="425"/>
      <c r="Z86" s="425"/>
      <c r="AA86" s="425"/>
      <c r="AH86" s="425"/>
      <c r="AI86" s="425"/>
      <c r="AJ86" s="425"/>
      <c r="AK86" s="425"/>
      <c r="AL86" s="425"/>
      <c r="AM86" s="425"/>
      <c r="AN86" s="428"/>
      <c r="AO86" s="425"/>
      <c r="AP86" s="425"/>
      <c r="AQ86" s="425"/>
      <c r="AR86" s="425"/>
      <c r="AS86" s="425"/>
      <c r="AT86" s="425"/>
      <c r="AU86" s="425"/>
      <c r="AV86" s="425"/>
      <c r="AW86" s="425"/>
      <c r="AX86" s="425"/>
      <c r="AY86" s="425"/>
      <c r="AZ86" s="425"/>
      <c r="BA86" s="425"/>
      <c r="BB86" s="425"/>
      <c r="BC86" s="425"/>
      <c r="BD86" s="425"/>
      <c r="BE86" s="425"/>
      <c r="BF86" s="425"/>
      <c r="BG86" s="426"/>
      <c r="BH86" s="428"/>
      <c r="BI86" s="425"/>
      <c r="BJ86" s="425"/>
      <c r="BK86" s="425"/>
      <c r="BL86" s="425"/>
      <c r="BM86" s="425"/>
      <c r="BN86" s="425"/>
      <c r="BO86" s="425"/>
      <c r="BP86" s="425"/>
      <c r="BQ86" s="425"/>
      <c r="BR86" s="425"/>
      <c r="BS86" s="425"/>
      <c r="BT86" s="425"/>
      <c r="BU86" s="425"/>
      <c r="BV86" s="425"/>
      <c r="BW86" s="425"/>
      <c r="BX86" s="425"/>
      <c r="BY86" s="425"/>
      <c r="BZ86" s="425"/>
      <c r="CA86" s="425"/>
      <c r="CB86" s="425"/>
      <c r="CC86" s="425"/>
      <c r="CD86" s="425"/>
      <c r="CE86" s="425"/>
      <c r="CF86" s="425"/>
      <c r="CG86" s="425"/>
      <c r="CH86" s="425"/>
      <c r="CI86" s="425"/>
      <c r="CJ86" s="425"/>
      <c r="CK86" s="425"/>
      <c r="CL86" s="425"/>
      <c r="CM86" s="425"/>
      <c r="CN86" s="425"/>
      <c r="CO86" s="425"/>
      <c r="CP86" s="425"/>
      <c r="CQ86" s="425"/>
      <c r="CR86" s="425"/>
      <c r="CS86" s="425"/>
      <c r="CT86" s="425"/>
      <c r="CU86" s="425"/>
      <c r="CV86" s="425"/>
    </row>
    <row r="87" spans="1:100" outlineLevel="1">
      <c r="A87" s="434"/>
      <c r="B87" s="422"/>
      <c r="C87" s="422" t="s">
        <v>467</v>
      </c>
      <c r="D87" s="439">
        <f>+D6</f>
        <v>2005</v>
      </c>
      <c r="E87" s="439">
        <f t="shared" ref="E87:T87" si="59">+E6</f>
        <v>2006</v>
      </c>
      <c r="F87" s="439">
        <f t="shared" si="59"/>
        <v>2007</v>
      </c>
      <c r="G87" s="439">
        <f t="shared" si="59"/>
        <v>2008</v>
      </c>
      <c r="H87" s="439">
        <f t="shared" si="59"/>
        <v>2009</v>
      </c>
      <c r="I87" s="439">
        <f t="shared" si="59"/>
        <v>2010</v>
      </c>
      <c r="J87" s="439">
        <f t="shared" si="59"/>
        <v>2011</v>
      </c>
      <c r="K87" s="439">
        <f t="shared" si="59"/>
        <v>2012</v>
      </c>
      <c r="L87" s="439">
        <f t="shared" si="59"/>
        <v>2013</v>
      </c>
      <c r="M87" s="439">
        <f t="shared" si="59"/>
        <v>2014</v>
      </c>
      <c r="N87" s="439">
        <f t="shared" si="59"/>
        <v>2015</v>
      </c>
      <c r="O87" s="439">
        <f t="shared" si="59"/>
        <v>2016</v>
      </c>
      <c r="P87" s="439">
        <f t="shared" si="59"/>
        <v>2017</v>
      </c>
      <c r="Q87" s="439">
        <f t="shared" si="59"/>
        <v>2018</v>
      </c>
      <c r="R87" s="439">
        <f t="shared" si="59"/>
        <v>2019</v>
      </c>
      <c r="S87" s="439">
        <f t="shared" si="59"/>
        <v>2020</v>
      </c>
      <c r="T87" s="439">
        <f t="shared" si="59"/>
        <v>2021</v>
      </c>
      <c r="U87" s="424"/>
      <c r="V87" s="424"/>
      <c r="W87" s="425"/>
      <c r="X87" s="425"/>
      <c r="Y87" s="425"/>
      <c r="Z87" s="425"/>
      <c r="AA87" s="425"/>
      <c r="AH87" s="425"/>
      <c r="AI87" s="425"/>
      <c r="AJ87" s="425"/>
      <c r="AK87" s="425"/>
      <c r="AL87" s="425"/>
      <c r="AM87" s="425"/>
      <c r="AN87" s="428"/>
      <c r="AO87" s="425"/>
      <c r="AP87" s="425"/>
      <c r="AQ87" s="425"/>
      <c r="AR87" s="425"/>
      <c r="AS87" s="425"/>
      <c r="AT87" s="425"/>
      <c r="AU87" s="425"/>
      <c r="AV87" s="425"/>
      <c r="AW87" s="425"/>
      <c r="AX87" s="425"/>
      <c r="AY87" s="425"/>
      <c r="AZ87" s="425"/>
      <c r="BA87" s="425"/>
      <c r="BB87" s="425"/>
      <c r="BC87" s="425"/>
      <c r="BD87" s="425"/>
      <c r="BE87" s="425"/>
      <c r="BF87" s="425"/>
      <c r="BG87" s="426"/>
      <c r="BH87" s="428"/>
      <c r="BI87" s="425"/>
      <c r="BJ87" s="425"/>
      <c r="BK87" s="425"/>
      <c r="BL87" s="425"/>
      <c r="BM87" s="425"/>
      <c r="BN87" s="425"/>
      <c r="BO87" s="425"/>
      <c r="BP87" s="425"/>
      <c r="BQ87" s="425"/>
      <c r="BR87" s="425"/>
      <c r="BS87" s="425"/>
      <c r="BT87" s="425"/>
      <c r="BU87" s="425"/>
      <c r="BV87" s="425"/>
      <c r="BW87" s="425"/>
      <c r="BX87" s="425"/>
      <c r="BY87" s="425"/>
      <c r="BZ87" s="425"/>
      <c r="CA87" s="425"/>
      <c r="CB87" s="425"/>
      <c r="CC87" s="425"/>
      <c r="CD87" s="425"/>
      <c r="CE87" s="425"/>
      <c r="CF87" s="425"/>
      <c r="CG87" s="425"/>
      <c r="CH87" s="425"/>
      <c r="CI87" s="425"/>
      <c r="CJ87" s="425"/>
      <c r="CK87" s="425"/>
      <c r="CL87" s="425"/>
      <c r="CM87" s="425"/>
      <c r="CN87" s="425"/>
      <c r="CO87" s="425"/>
      <c r="CP87" s="425"/>
      <c r="CQ87" s="425"/>
      <c r="CR87" s="425"/>
      <c r="CS87" s="425"/>
      <c r="CT87" s="425"/>
      <c r="CU87" s="425"/>
      <c r="CV87" s="425"/>
    </row>
    <row r="88" spans="1:100" outlineLevel="1">
      <c r="A88" s="434"/>
      <c r="B88" s="442"/>
      <c r="C88" s="442"/>
      <c r="D88" s="442"/>
      <c r="E88" s="442"/>
      <c r="F88" s="442"/>
      <c r="G88" s="442"/>
      <c r="H88" s="549"/>
      <c r="I88" s="549"/>
      <c r="J88" s="549"/>
      <c r="K88" s="549"/>
      <c r="L88" s="549"/>
      <c r="M88" s="549"/>
      <c r="N88" s="549"/>
      <c r="O88" s="549"/>
      <c r="P88" s="549"/>
      <c r="Q88" s="549"/>
      <c r="R88" s="549"/>
      <c r="S88" s="549"/>
      <c r="T88" s="549"/>
      <c r="U88" s="424"/>
      <c r="V88" s="424"/>
      <c r="W88" s="425"/>
      <c r="X88" s="425"/>
      <c r="Y88" s="425"/>
      <c r="Z88" s="425"/>
      <c r="AA88" s="425"/>
      <c r="AH88" s="425"/>
      <c r="AI88" s="425"/>
      <c r="AJ88" s="425"/>
      <c r="AK88" s="425"/>
      <c r="AL88" s="425"/>
      <c r="AM88" s="425"/>
      <c r="AN88" s="428"/>
      <c r="AO88" s="425"/>
      <c r="AP88" s="425"/>
      <c r="AQ88" s="425"/>
      <c r="AR88" s="425"/>
      <c r="AS88" s="425"/>
      <c r="AT88" s="425"/>
      <c r="AU88" s="425"/>
      <c r="AV88" s="425"/>
      <c r="AW88" s="425"/>
      <c r="AX88" s="425"/>
      <c r="AY88" s="425"/>
      <c r="AZ88" s="425"/>
      <c r="BA88" s="425"/>
      <c r="BB88" s="425"/>
      <c r="BC88" s="425"/>
      <c r="BD88" s="425"/>
      <c r="BE88" s="425"/>
      <c r="BF88" s="425"/>
      <c r="BG88" s="426"/>
      <c r="BH88" s="428"/>
      <c r="BI88" s="425"/>
      <c r="BJ88" s="425"/>
      <c r="BK88" s="425"/>
      <c r="BL88" s="425"/>
      <c r="BM88" s="425"/>
      <c r="BN88" s="425"/>
      <c r="BO88" s="425"/>
      <c r="BP88" s="425"/>
      <c r="BQ88" s="425"/>
      <c r="BR88" s="425"/>
      <c r="BS88" s="425"/>
      <c r="BT88" s="425"/>
      <c r="BU88" s="425"/>
      <c r="BV88" s="425"/>
      <c r="BW88" s="425"/>
      <c r="BX88" s="425"/>
      <c r="BY88" s="425"/>
      <c r="BZ88" s="425"/>
      <c r="CA88" s="425"/>
      <c r="CB88" s="425"/>
      <c r="CC88" s="425"/>
      <c r="CD88" s="425"/>
      <c r="CE88" s="425"/>
      <c r="CF88" s="425"/>
      <c r="CG88" s="425"/>
      <c r="CH88" s="425"/>
      <c r="CI88" s="425"/>
      <c r="CJ88" s="425"/>
      <c r="CK88" s="425"/>
      <c r="CL88" s="425"/>
      <c r="CM88" s="425"/>
      <c r="CN88" s="425"/>
      <c r="CO88" s="425"/>
      <c r="CP88" s="425"/>
      <c r="CQ88" s="425"/>
      <c r="CR88" s="425"/>
      <c r="CS88" s="425"/>
      <c r="CT88" s="425"/>
      <c r="CU88" s="425"/>
      <c r="CV88" s="425"/>
    </row>
    <row r="89" spans="1:100" outlineLevel="1">
      <c r="A89" s="434"/>
      <c r="B89" s="442"/>
      <c r="C89" s="424" t="s">
        <v>315</v>
      </c>
      <c r="D89" s="444">
        <f>+D19</f>
        <v>95</v>
      </c>
      <c r="E89" s="444">
        <f t="shared" ref="E89:T89" si="60">+E19</f>
        <v>98</v>
      </c>
      <c r="F89" s="444">
        <f t="shared" si="60"/>
        <v>102</v>
      </c>
      <c r="G89" s="444">
        <f t="shared" si="60"/>
        <v>117</v>
      </c>
      <c r="H89" s="444">
        <f t="shared" si="60"/>
        <v>106</v>
      </c>
      <c r="I89" s="444">
        <f t="shared" si="60"/>
        <v>101</v>
      </c>
      <c r="J89" s="444">
        <f t="shared" si="60"/>
        <v>111</v>
      </c>
      <c r="K89" s="444">
        <f t="shared" si="60"/>
        <v>118</v>
      </c>
      <c r="L89" s="444">
        <f t="shared" si="60"/>
        <v>128</v>
      </c>
      <c r="M89" s="444">
        <f t="shared" si="60"/>
        <v>106</v>
      </c>
      <c r="N89" s="444">
        <f t="shared" si="60"/>
        <v>102</v>
      </c>
      <c r="O89" s="444">
        <f t="shared" si="60"/>
        <v>54</v>
      </c>
      <c r="P89" s="444">
        <f t="shared" si="60"/>
        <v>50</v>
      </c>
      <c r="Q89" s="444">
        <f t="shared" si="60"/>
        <v>50</v>
      </c>
      <c r="R89" s="444">
        <f t="shared" si="60"/>
        <v>50</v>
      </c>
      <c r="S89" s="444">
        <f t="shared" si="60"/>
        <v>50</v>
      </c>
      <c r="T89" s="444">
        <f t="shared" si="60"/>
        <v>50</v>
      </c>
      <c r="U89" s="424"/>
      <c r="V89" s="424"/>
      <c r="W89" s="425"/>
      <c r="X89" s="425"/>
      <c r="Y89" s="425"/>
      <c r="Z89" s="425"/>
      <c r="AA89" s="425"/>
      <c r="AH89" s="425"/>
      <c r="AI89" s="425"/>
      <c r="AJ89" s="425"/>
      <c r="AK89" s="425"/>
      <c r="AL89" s="425"/>
      <c r="AM89" s="425"/>
      <c r="AN89" s="428"/>
      <c r="AO89" s="425"/>
      <c r="AP89" s="425"/>
      <c r="AQ89" s="425"/>
      <c r="AR89" s="425"/>
      <c r="AS89" s="425"/>
      <c r="AT89" s="425"/>
      <c r="AU89" s="425"/>
      <c r="AV89" s="425"/>
      <c r="AW89" s="425"/>
      <c r="AX89" s="425"/>
      <c r="AY89" s="425"/>
      <c r="AZ89" s="425"/>
      <c r="BA89" s="425"/>
      <c r="BB89" s="425"/>
      <c r="BC89" s="425"/>
      <c r="BD89" s="425"/>
      <c r="BE89" s="425"/>
      <c r="BF89" s="425"/>
      <c r="BG89" s="426"/>
      <c r="BH89" s="428"/>
      <c r="BI89" s="425"/>
      <c r="BJ89" s="425"/>
      <c r="BK89" s="425"/>
      <c r="BL89" s="425"/>
      <c r="BM89" s="425"/>
      <c r="BN89" s="425"/>
      <c r="BO89" s="425"/>
      <c r="BP89" s="425"/>
      <c r="BQ89" s="425"/>
      <c r="BR89" s="425"/>
      <c r="BS89" s="425"/>
      <c r="BT89" s="425"/>
      <c r="BU89" s="425"/>
      <c r="BV89" s="425"/>
      <c r="BW89" s="425"/>
      <c r="BX89" s="425"/>
      <c r="BY89" s="425"/>
      <c r="BZ89" s="425"/>
      <c r="CA89" s="425"/>
      <c r="CB89" s="425"/>
      <c r="CC89" s="425"/>
      <c r="CD89" s="425"/>
      <c r="CE89" s="425"/>
      <c r="CF89" s="425"/>
      <c r="CG89" s="425"/>
      <c r="CH89" s="425"/>
      <c r="CI89" s="425"/>
      <c r="CJ89" s="425"/>
      <c r="CK89" s="425"/>
      <c r="CL89" s="425"/>
      <c r="CM89" s="425"/>
      <c r="CN89" s="425"/>
      <c r="CO89" s="425"/>
      <c r="CP89" s="425"/>
      <c r="CQ89" s="425"/>
      <c r="CR89" s="425"/>
      <c r="CS89" s="425"/>
      <c r="CT89" s="425"/>
      <c r="CU89" s="425"/>
      <c r="CV89" s="425"/>
    </row>
    <row r="90" spans="1:100" outlineLevel="1">
      <c r="A90" s="434"/>
      <c r="B90" s="442"/>
      <c r="C90" s="424" t="s">
        <v>468</v>
      </c>
      <c r="D90" s="444"/>
      <c r="E90" s="444">
        <f>+D44*D8</f>
        <v>33.33</v>
      </c>
      <c r="F90" s="444">
        <f t="shared" ref="F90:T90" si="61">+E44*E8</f>
        <v>-12.075000000000001</v>
      </c>
      <c r="G90" s="444">
        <f t="shared" si="61"/>
        <v>-12.6441</v>
      </c>
      <c r="H90" s="444">
        <f t="shared" si="61"/>
        <v>124.0625</v>
      </c>
      <c r="I90" s="444">
        <f t="shared" si="61"/>
        <v>98.210000000000008</v>
      </c>
      <c r="J90" s="444">
        <f t="shared" si="61"/>
        <v>98.75</v>
      </c>
      <c r="K90" s="444">
        <f t="shared" si="61"/>
        <v>108.765</v>
      </c>
      <c r="L90" s="444">
        <f t="shared" si="61"/>
        <v>100.8</v>
      </c>
      <c r="M90" s="444">
        <f t="shared" si="61"/>
        <v>51.074999999999996</v>
      </c>
      <c r="N90" s="444">
        <f t="shared" si="61"/>
        <v>36.225000000000001</v>
      </c>
      <c r="O90" s="444">
        <f t="shared" si="61"/>
        <v>31.237500000000001</v>
      </c>
      <c r="P90" s="444">
        <f t="shared" si="61"/>
        <v>29.28</v>
      </c>
      <c r="Q90" s="444">
        <f t="shared" si="61"/>
        <v>15</v>
      </c>
      <c r="R90" s="444">
        <f t="shared" si="61"/>
        <v>11.065519999999998</v>
      </c>
      <c r="S90" s="444">
        <f t="shared" si="61"/>
        <v>7.1222689199999882</v>
      </c>
      <c r="T90" s="444">
        <f t="shared" si="61"/>
        <v>3.1333355730199766</v>
      </c>
      <c r="U90" s="424"/>
      <c r="V90" s="424"/>
      <c r="W90" s="425"/>
      <c r="X90" s="425"/>
      <c r="Y90" s="425"/>
      <c r="Z90" s="425"/>
      <c r="AA90" s="425"/>
      <c r="AH90" s="425"/>
      <c r="AI90" s="425"/>
      <c r="AJ90" s="425"/>
      <c r="AK90" s="425"/>
      <c r="AL90" s="425"/>
      <c r="AM90" s="425"/>
      <c r="AN90" s="428"/>
      <c r="AO90" s="425"/>
      <c r="AP90" s="425"/>
      <c r="AQ90" s="425"/>
      <c r="AR90" s="425"/>
      <c r="AS90" s="425"/>
      <c r="AT90" s="425"/>
      <c r="AU90" s="425"/>
      <c r="AV90" s="425"/>
      <c r="AW90" s="425"/>
      <c r="AX90" s="425"/>
      <c r="AY90" s="425"/>
      <c r="AZ90" s="425"/>
      <c r="BA90" s="425"/>
      <c r="BB90" s="425"/>
      <c r="BC90" s="425"/>
      <c r="BD90" s="425"/>
      <c r="BE90" s="425"/>
      <c r="BF90" s="425"/>
      <c r="BG90" s="426"/>
      <c r="BH90" s="428"/>
      <c r="BI90" s="425"/>
      <c r="BJ90" s="425"/>
      <c r="BK90" s="425"/>
      <c r="BL90" s="425"/>
      <c r="BM90" s="425"/>
      <c r="BN90" s="425"/>
      <c r="BO90" s="425"/>
      <c r="BP90" s="425"/>
      <c r="BQ90" s="425"/>
      <c r="BR90" s="425"/>
      <c r="BS90" s="425"/>
      <c r="BT90" s="425"/>
      <c r="BU90" s="425"/>
      <c r="BV90" s="425"/>
      <c r="BW90" s="425"/>
      <c r="BX90" s="425"/>
      <c r="BY90" s="425"/>
      <c r="BZ90" s="425"/>
      <c r="CA90" s="425"/>
      <c r="CB90" s="425"/>
      <c r="CC90" s="425"/>
      <c r="CD90" s="425"/>
      <c r="CE90" s="425"/>
      <c r="CF90" s="425"/>
      <c r="CG90" s="425"/>
      <c r="CH90" s="425"/>
      <c r="CI90" s="425"/>
      <c r="CJ90" s="425"/>
      <c r="CK90" s="425"/>
      <c r="CL90" s="425"/>
      <c r="CM90" s="425"/>
      <c r="CN90" s="425"/>
      <c r="CO90" s="425"/>
      <c r="CP90" s="425"/>
      <c r="CQ90" s="425"/>
      <c r="CR90" s="425"/>
      <c r="CS90" s="425"/>
      <c r="CT90" s="425"/>
      <c r="CU90" s="425"/>
      <c r="CV90" s="425"/>
    </row>
    <row r="91" spans="1:100" outlineLevel="1">
      <c r="A91" s="434"/>
      <c r="B91" s="442"/>
      <c r="C91" s="535" t="s">
        <v>469</v>
      </c>
      <c r="D91" s="500">
        <f>SUM(D89:D90)</f>
        <v>95</v>
      </c>
      <c r="E91" s="500">
        <f>SUM(E89:E90)</f>
        <v>131.32999999999998</v>
      </c>
      <c r="F91" s="500">
        <f>SUM(F89:F90)</f>
        <v>89.924999999999997</v>
      </c>
      <c r="G91" s="500">
        <f t="shared" ref="G91:T91" si="62">SUM(G89:G90)</f>
        <v>104.35590000000001</v>
      </c>
      <c r="H91" s="500">
        <f t="shared" si="62"/>
        <v>230.0625</v>
      </c>
      <c r="I91" s="500">
        <f t="shared" si="62"/>
        <v>199.21</v>
      </c>
      <c r="J91" s="500">
        <f t="shared" si="62"/>
        <v>209.75</v>
      </c>
      <c r="K91" s="500">
        <f t="shared" si="62"/>
        <v>226.76499999999999</v>
      </c>
      <c r="L91" s="500">
        <f t="shared" si="62"/>
        <v>228.8</v>
      </c>
      <c r="M91" s="500">
        <f t="shared" si="62"/>
        <v>157.07499999999999</v>
      </c>
      <c r="N91" s="500">
        <f t="shared" si="62"/>
        <v>138.22499999999999</v>
      </c>
      <c r="O91" s="500">
        <f t="shared" si="62"/>
        <v>85.237499999999997</v>
      </c>
      <c r="P91" s="500">
        <f t="shared" si="62"/>
        <v>79.28</v>
      </c>
      <c r="Q91" s="500">
        <f t="shared" si="62"/>
        <v>65</v>
      </c>
      <c r="R91" s="500">
        <f t="shared" si="62"/>
        <v>61.065519999999999</v>
      </c>
      <c r="S91" s="500">
        <f t="shared" si="62"/>
        <v>57.122268919999989</v>
      </c>
      <c r="T91" s="500">
        <f t="shared" si="62"/>
        <v>53.133335573019977</v>
      </c>
      <c r="U91" s="424"/>
      <c r="V91" s="424"/>
      <c r="W91" s="425"/>
      <c r="X91" s="425"/>
      <c r="Y91" s="425"/>
      <c r="Z91" s="425"/>
      <c r="AA91" s="425"/>
      <c r="AH91" s="425"/>
      <c r="AI91" s="425"/>
      <c r="AJ91" s="425"/>
      <c r="AK91" s="425"/>
      <c r="AL91" s="425"/>
      <c r="AM91" s="425"/>
      <c r="AN91" s="428"/>
      <c r="AO91" s="425"/>
      <c r="AP91" s="425"/>
      <c r="AQ91" s="425"/>
      <c r="AR91" s="425"/>
      <c r="AS91" s="425"/>
      <c r="AT91" s="425"/>
      <c r="AU91" s="425"/>
      <c r="AV91" s="425"/>
      <c r="AW91" s="425"/>
      <c r="AX91" s="425"/>
      <c r="AY91" s="425"/>
      <c r="AZ91" s="425"/>
      <c r="BA91" s="425"/>
      <c r="BB91" s="425"/>
      <c r="BC91" s="425"/>
      <c r="BD91" s="425"/>
      <c r="BE91" s="425"/>
      <c r="BF91" s="425"/>
      <c r="BG91" s="426"/>
      <c r="BH91" s="428"/>
      <c r="BI91" s="425"/>
      <c r="BJ91" s="425"/>
      <c r="BK91" s="425"/>
      <c r="BL91" s="425"/>
      <c r="BM91" s="425"/>
      <c r="BN91" s="425"/>
      <c r="BO91" s="425"/>
      <c r="BP91" s="425"/>
      <c r="BQ91" s="425"/>
      <c r="BR91" s="425"/>
      <c r="BS91" s="425"/>
      <c r="BT91" s="425"/>
      <c r="BU91" s="425"/>
      <c r="BV91" s="425"/>
      <c r="BW91" s="425"/>
      <c r="BX91" s="425"/>
      <c r="BY91" s="425"/>
      <c r="BZ91" s="425"/>
      <c r="CA91" s="425"/>
      <c r="CB91" s="425"/>
      <c r="CC91" s="425"/>
      <c r="CD91" s="425"/>
      <c r="CE91" s="425"/>
      <c r="CF91" s="425"/>
      <c r="CG91" s="425"/>
      <c r="CH91" s="425"/>
      <c r="CI91" s="425"/>
      <c r="CJ91" s="425"/>
      <c r="CK91" s="425"/>
      <c r="CL91" s="425"/>
      <c r="CM91" s="425"/>
      <c r="CN91" s="425"/>
      <c r="CO91" s="425"/>
      <c r="CP91" s="425"/>
      <c r="CQ91" s="425"/>
      <c r="CR91" s="425"/>
      <c r="CS91" s="425"/>
      <c r="CT91" s="425"/>
      <c r="CU91" s="425"/>
      <c r="CV91" s="425"/>
    </row>
    <row r="92" spans="1:100" outlineLevel="1">
      <c r="A92" s="434"/>
      <c r="B92" s="442"/>
      <c r="C92" s="535"/>
      <c r="D92" s="424"/>
      <c r="E92" s="424"/>
      <c r="F92" s="424"/>
      <c r="G92" s="424"/>
      <c r="H92" s="549"/>
      <c r="I92" s="549"/>
      <c r="J92" s="549"/>
      <c r="K92" s="549"/>
      <c r="L92" s="549"/>
      <c r="M92" s="549"/>
      <c r="N92" s="549"/>
      <c r="O92" s="549"/>
      <c r="P92" s="549"/>
      <c r="Q92" s="549"/>
      <c r="R92" s="549"/>
      <c r="S92" s="549"/>
      <c r="T92" s="549"/>
      <c r="U92" s="424"/>
      <c r="V92" s="424"/>
      <c r="W92" s="425"/>
      <c r="X92" s="425"/>
      <c r="Y92" s="425"/>
      <c r="Z92" s="425"/>
      <c r="AA92" s="425"/>
      <c r="AH92" s="425"/>
      <c r="AI92" s="425"/>
      <c r="AJ92" s="425"/>
      <c r="AK92" s="425"/>
      <c r="AL92" s="425"/>
      <c r="AM92" s="425"/>
      <c r="AN92" s="428"/>
      <c r="AO92" s="425"/>
      <c r="AP92" s="425"/>
      <c r="AQ92" s="425"/>
      <c r="AR92" s="425"/>
      <c r="AS92" s="425"/>
      <c r="AT92" s="425"/>
      <c r="AU92" s="425"/>
      <c r="AV92" s="425"/>
      <c r="AW92" s="425"/>
      <c r="AX92" s="425"/>
      <c r="AY92" s="425"/>
      <c r="AZ92" s="425"/>
      <c r="BA92" s="425"/>
      <c r="BB92" s="425"/>
      <c r="BC92" s="425"/>
      <c r="BD92" s="425"/>
      <c r="BE92" s="425"/>
      <c r="BF92" s="425"/>
      <c r="BG92" s="426"/>
      <c r="BH92" s="428"/>
      <c r="BI92" s="425"/>
      <c r="BJ92" s="425"/>
      <c r="BK92" s="425"/>
      <c r="BL92" s="425"/>
      <c r="BM92" s="425"/>
      <c r="BN92" s="425"/>
      <c r="BO92" s="425"/>
      <c r="BP92" s="425"/>
      <c r="BQ92" s="425"/>
      <c r="BR92" s="425"/>
      <c r="BS92" s="425"/>
      <c r="BT92" s="425"/>
      <c r="BU92" s="425"/>
      <c r="BV92" s="425"/>
      <c r="BW92" s="425"/>
      <c r="BX92" s="425"/>
      <c r="BY92" s="425"/>
      <c r="BZ92" s="425"/>
      <c r="CA92" s="425"/>
      <c r="CB92" s="425"/>
      <c r="CC92" s="425"/>
      <c r="CD92" s="425"/>
      <c r="CE92" s="425"/>
      <c r="CF92" s="425"/>
      <c r="CG92" s="425"/>
      <c r="CH92" s="425"/>
      <c r="CI92" s="425"/>
      <c r="CJ92" s="425"/>
      <c r="CK92" s="425"/>
      <c r="CL92" s="425"/>
      <c r="CM92" s="425"/>
      <c r="CN92" s="425"/>
      <c r="CO92" s="425"/>
      <c r="CP92" s="425"/>
      <c r="CQ92" s="425"/>
      <c r="CR92" s="425"/>
      <c r="CS92" s="425"/>
      <c r="CT92" s="425"/>
      <c r="CU92" s="425"/>
      <c r="CV92" s="425"/>
    </row>
    <row r="93" spans="1:100" outlineLevel="1">
      <c r="A93" s="434"/>
      <c r="B93" s="442"/>
      <c r="C93" s="535" t="str">
        <f>+C25</f>
        <v>GAAP Pension Expense / (Benefit)</v>
      </c>
      <c r="D93" s="552">
        <f>+D25</f>
        <v>280</v>
      </c>
      <c r="E93" s="552">
        <f t="shared" ref="E93:T93" si="63">+E25</f>
        <v>202</v>
      </c>
      <c r="F93" s="552">
        <f t="shared" si="63"/>
        <v>129</v>
      </c>
      <c r="G93" s="552">
        <f t="shared" si="63"/>
        <v>78</v>
      </c>
      <c r="H93" s="552">
        <f t="shared" si="63"/>
        <v>271</v>
      </c>
      <c r="I93" s="552">
        <f t="shared" si="63"/>
        <v>276</v>
      </c>
      <c r="J93" s="552">
        <f t="shared" si="63"/>
        <v>443</v>
      </c>
      <c r="K93" s="552">
        <f t="shared" si="63"/>
        <v>412</v>
      </c>
      <c r="L93" s="552">
        <f t="shared" si="63"/>
        <v>396</v>
      </c>
      <c r="M93" s="552">
        <f t="shared" si="63"/>
        <v>337</v>
      </c>
      <c r="N93" s="552">
        <f t="shared" si="63"/>
        <v>291</v>
      </c>
      <c r="O93" s="552">
        <f t="shared" si="63"/>
        <v>106</v>
      </c>
      <c r="P93" s="552">
        <f t="shared" si="63"/>
        <v>109</v>
      </c>
      <c r="Q93" s="552">
        <f t="shared" si="63"/>
        <v>115.63799999999992</v>
      </c>
      <c r="R93" s="552">
        <f t="shared" si="63"/>
        <v>115.418723</v>
      </c>
      <c r="S93" s="552">
        <f t="shared" si="63"/>
        <v>114.27666632549995</v>
      </c>
      <c r="T93" s="552">
        <f t="shared" si="63"/>
        <v>112.96730920079671</v>
      </c>
      <c r="U93" s="424"/>
      <c r="V93" s="424"/>
      <c r="W93" s="425"/>
      <c r="X93" s="425"/>
      <c r="Y93" s="425"/>
      <c r="Z93" s="425"/>
      <c r="AA93" s="425"/>
      <c r="AH93" s="425"/>
      <c r="AI93" s="425"/>
      <c r="AJ93" s="425"/>
      <c r="AK93" s="425"/>
      <c r="AL93" s="425"/>
      <c r="AM93" s="425"/>
      <c r="AN93" s="428"/>
      <c r="AO93" s="425"/>
      <c r="AP93" s="425"/>
      <c r="AQ93" s="425"/>
      <c r="AR93" s="425"/>
      <c r="AS93" s="425"/>
      <c r="AT93" s="425"/>
      <c r="AU93" s="425"/>
      <c r="AV93" s="425"/>
      <c r="AW93" s="425"/>
      <c r="AX93" s="425"/>
      <c r="AY93" s="425"/>
      <c r="AZ93" s="425"/>
      <c r="BA93" s="425"/>
      <c r="BB93" s="425"/>
      <c r="BC93" s="425"/>
      <c r="BD93" s="425"/>
      <c r="BE93" s="425"/>
      <c r="BF93" s="425"/>
      <c r="BG93" s="426"/>
      <c r="BH93" s="428"/>
      <c r="BI93" s="425"/>
      <c r="BJ93" s="425"/>
      <c r="BK93" s="425"/>
      <c r="BL93" s="425"/>
      <c r="BM93" s="425"/>
      <c r="BN93" s="425"/>
      <c r="BO93" s="425"/>
      <c r="BP93" s="425"/>
      <c r="BQ93" s="425"/>
      <c r="BR93" s="425"/>
      <c r="BS93" s="425"/>
      <c r="BT93" s="425"/>
      <c r="BU93" s="425"/>
      <c r="BV93" s="425"/>
      <c r="BW93" s="425"/>
      <c r="BX93" s="425"/>
      <c r="BY93" s="425"/>
      <c r="BZ93" s="425"/>
      <c r="CA93" s="425"/>
      <c r="CB93" s="425"/>
      <c r="CC93" s="425"/>
      <c r="CD93" s="425"/>
      <c r="CE93" s="425"/>
      <c r="CF93" s="425"/>
      <c r="CG93" s="425"/>
      <c r="CH93" s="425"/>
      <c r="CI93" s="425"/>
      <c r="CJ93" s="425"/>
      <c r="CK93" s="425"/>
      <c r="CL93" s="425"/>
      <c r="CM93" s="425"/>
      <c r="CN93" s="425"/>
      <c r="CO93" s="425"/>
      <c r="CP93" s="425"/>
      <c r="CQ93" s="425"/>
      <c r="CR93" s="425"/>
      <c r="CS93" s="425"/>
      <c r="CT93" s="425"/>
      <c r="CU93" s="425"/>
      <c r="CV93" s="425"/>
    </row>
    <row r="94" spans="1:100" outlineLevel="1">
      <c r="A94" s="434"/>
      <c r="B94" s="442"/>
      <c r="C94" s="535"/>
      <c r="D94" s="424"/>
      <c r="E94" s="424"/>
      <c r="F94" s="424"/>
      <c r="G94" s="424"/>
      <c r="H94" s="549"/>
      <c r="I94" s="549"/>
      <c r="J94" s="549"/>
      <c r="K94" s="549"/>
      <c r="L94" s="549"/>
      <c r="M94" s="549"/>
      <c r="N94" s="549"/>
      <c r="O94" s="549"/>
      <c r="P94" s="549"/>
      <c r="Q94" s="549"/>
      <c r="R94" s="549"/>
      <c r="S94" s="549"/>
      <c r="T94" s="549"/>
      <c r="U94" s="424"/>
      <c r="V94" s="424"/>
      <c r="W94" s="425"/>
      <c r="X94" s="425"/>
      <c r="Y94" s="425"/>
      <c r="Z94" s="425"/>
      <c r="AA94" s="425"/>
      <c r="AH94" s="425"/>
      <c r="AI94" s="425"/>
      <c r="AJ94" s="425"/>
      <c r="AK94" s="425"/>
      <c r="AL94" s="425"/>
      <c r="AM94" s="425"/>
      <c r="AN94" s="428"/>
      <c r="AO94" s="425"/>
      <c r="AP94" s="425"/>
      <c r="AQ94" s="425"/>
      <c r="AR94" s="425"/>
      <c r="AS94" s="425"/>
      <c r="AT94" s="425"/>
      <c r="AU94" s="425"/>
      <c r="AV94" s="425"/>
      <c r="AW94" s="425"/>
      <c r="AX94" s="425"/>
      <c r="AY94" s="425"/>
      <c r="AZ94" s="425"/>
      <c r="BA94" s="425"/>
      <c r="BB94" s="425"/>
      <c r="BC94" s="425"/>
      <c r="BD94" s="425"/>
      <c r="BE94" s="425"/>
      <c r="BF94" s="425"/>
      <c r="BG94" s="426"/>
      <c r="BH94" s="428"/>
      <c r="BI94" s="425"/>
      <c r="BJ94" s="425"/>
      <c r="BK94" s="425"/>
      <c r="BL94" s="425"/>
      <c r="BM94" s="425"/>
      <c r="BN94" s="425"/>
      <c r="BO94" s="425"/>
      <c r="BP94" s="425"/>
      <c r="BQ94" s="425"/>
      <c r="BR94" s="425"/>
      <c r="BS94" s="425"/>
      <c r="BT94" s="425"/>
      <c r="BU94" s="425"/>
      <c r="BV94" s="425"/>
      <c r="BW94" s="425"/>
      <c r="BX94" s="425"/>
      <c r="BY94" s="425"/>
      <c r="BZ94" s="425"/>
      <c r="CA94" s="425"/>
      <c r="CB94" s="425"/>
      <c r="CC94" s="425"/>
      <c r="CD94" s="425"/>
      <c r="CE94" s="425"/>
      <c r="CF94" s="425"/>
      <c r="CG94" s="425"/>
      <c r="CH94" s="425"/>
      <c r="CI94" s="425"/>
      <c r="CJ94" s="425"/>
      <c r="CK94" s="425"/>
      <c r="CL94" s="425"/>
      <c r="CM94" s="425"/>
      <c r="CN94" s="425"/>
      <c r="CO94" s="425"/>
      <c r="CP94" s="425"/>
      <c r="CQ94" s="425"/>
      <c r="CR94" s="425"/>
      <c r="CS94" s="425"/>
      <c r="CT94" s="425"/>
      <c r="CU94" s="425"/>
      <c r="CV94" s="425"/>
    </row>
    <row r="95" spans="1:100" outlineLevel="1">
      <c r="A95" s="434"/>
      <c r="B95" s="442"/>
      <c r="C95" s="535" t="s">
        <v>470</v>
      </c>
      <c r="D95" s="552">
        <f>+D93-D91</f>
        <v>185</v>
      </c>
      <c r="E95" s="552">
        <f t="shared" ref="E95:T95" si="64">+E93-E91</f>
        <v>70.670000000000016</v>
      </c>
      <c r="F95" s="552">
        <f t="shared" si="64"/>
        <v>39.075000000000003</v>
      </c>
      <c r="G95" s="552">
        <f t="shared" si="64"/>
        <v>-26.355900000000005</v>
      </c>
      <c r="H95" s="552">
        <f t="shared" si="64"/>
        <v>40.9375</v>
      </c>
      <c r="I95" s="552">
        <f t="shared" si="64"/>
        <v>76.789999999999992</v>
      </c>
      <c r="J95" s="552">
        <f t="shared" si="64"/>
        <v>233.25</v>
      </c>
      <c r="K95" s="552">
        <f t="shared" si="64"/>
        <v>185.23500000000001</v>
      </c>
      <c r="L95" s="552">
        <f t="shared" si="64"/>
        <v>167.2</v>
      </c>
      <c r="M95" s="552">
        <f t="shared" si="64"/>
        <v>179.92500000000001</v>
      </c>
      <c r="N95" s="552">
        <f t="shared" si="64"/>
        <v>152.77500000000001</v>
      </c>
      <c r="O95" s="552">
        <f t="shared" si="64"/>
        <v>20.762500000000003</v>
      </c>
      <c r="P95" s="552">
        <f t="shared" si="64"/>
        <v>29.72</v>
      </c>
      <c r="Q95" s="552">
        <f t="shared" si="64"/>
        <v>50.63799999999992</v>
      </c>
      <c r="R95" s="552">
        <f t="shared" si="64"/>
        <v>54.353203000000001</v>
      </c>
      <c r="S95" s="552">
        <f t="shared" si="64"/>
        <v>57.154397405499957</v>
      </c>
      <c r="T95" s="552">
        <f t="shared" si="64"/>
        <v>59.833973627776729</v>
      </c>
      <c r="U95" s="424"/>
      <c r="V95" s="424"/>
      <c r="W95" s="425"/>
      <c r="X95" s="425"/>
      <c r="Y95" s="425"/>
      <c r="Z95" s="425"/>
      <c r="AA95" s="425"/>
      <c r="AH95" s="425"/>
      <c r="AI95" s="425"/>
      <c r="AJ95" s="425"/>
      <c r="AK95" s="425"/>
      <c r="AL95" s="425"/>
      <c r="AM95" s="425"/>
      <c r="AN95" s="428"/>
      <c r="AO95" s="425"/>
      <c r="AP95" s="425"/>
      <c r="AQ95" s="425"/>
      <c r="AR95" s="425"/>
      <c r="AS95" s="425"/>
      <c r="AT95" s="425"/>
      <c r="AU95" s="425"/>
      <c r="AV95" s="425"/>
      <c r="AW95" s="425"/>
      <c r="AX95" s="425"/>
      <c r="AY95" s="425"/>
      <c r="AZ95" s="425"/>
      <c r="BA95" s="425"/>
      <c r="BB95" s="425"/>
      <c r="BC95" s="425"/>
      <c r="BD95" s="425"/>
      <c r="BE95" s="425"/>
      <c r="BF95" s="425"/>
      <c r="BG95" s="426"/>
      <c r="BH95" s="428"/>
      <c r="BI95" s="425"/>
      <c r="BJ95" s="425"/>
      <c r="BK95" s="425"/>
      <c r="BL95" s="425"/>
      <c r="BM95" s="425"/>
      <c r="BN95" s="425"/>
      <c r="BO95" s="425"/>
      <c r="BP95" s="425"/>
      <c r="BQ95" s="425"/>
      <c r="BR95" s="425"/>
      <c r="BS95" s="425"/>
      <c r="BT95" s="425"/>
      <c r="BU95" s="425"/>
      <c r="BV95" s="425"/>
      <c r="BW95" s="425"/>
      <c r="BX95" s="425"/>
      <c r="BY95" s="425"/>
      <c r="BZ95" s="425"/>
      <c r="CA95" s="425"/>
      <c r="CB95" s="425"/>
      <c r="CC95" s="425"/>
      <c r="CD95" s="425"/>
      <c r="CE95" s="425"/>
      <c r="CF95" s="425"/>
      <c r="CG95" s="425"/>
      <c r="CH95" s="425"/>
      <c r="CI95" s="425"/>
      <c r="CJ95" s="425"/>
      <c r="CK95" s="425"/>
      <c r="CL95" s="425"/>
      <c r="CM95" s="425"/>
      <c r="CN95" s="425"/>
      <c r="CO95" s="425"/>
      <c r="CP95" s="425"/>
      <c r="CQ95" s="425"/>
      <c r="CR95" s="425"/>
      <c r="CS95" s="425"/>
      <c r="CT95" s="425"/>
      <c r="CU95" s="425"/>
      <c r="CV95" s="425"/>
    </row>
    <row r="96" spans="1:100" outlineLevel="1">
      <c r="A96" s="434"/>
      <c r="B96" s="442"/>
      <c r="C96" s="535"/>
      <c r="D96" s="424"/>
      <c r="E96" s="424"/>
      <c r="F96" s="424"/>
      <c r="G96" s="424"/>
      <c r="H96" s="549"/>
      <c r="I96" s="549"/>
      <c r="J96" s="549"/>
      <c r="K96" s="549"/>
      <c r="L96" s="549"/>
      <c r="M96" s="549"/>
      <c r="N96" s="549"/>
      <c r="O96" s="549"/>
      <c r="P96" s="549"/>
      <c r="Q96" s="549"/>
      <c r="R96" s="549"/>
      <c r="S96" s="549"/>
      <c r="T96" s="549"/>
      <c r="U96" s="424"/>
      <c r="V96" s="424"/>
      <c r="W96" s="425"/>
      <c r="X96" s="425"/>
      <c r="Y96" s="425"/>
      <c r="Z96" s="425"/>
      <c r="AA96" s="425"/>
      <c r="AH96" s="425"/>
      <c r="AI96" s="425"/>
      <c r="AJ96" s="425"/>
      <c r="AK96" s="425"/>
      <c r="AL96" s="425"/>
      <c r="AM96" s="425"/>
      <c r="AN96" s="428"/>
      <c r="AO96" s="425"/>
      <c r="AP96" s="425"/>
      <c r="AQ96" s="425"/>
      <c r="AR96" s="425"/>
      <c r="AS96" s="425"/>
      <c r="AT96" s="425"/>
      <c r="AU96" s="425"/>
      <c r="AV96" s="425"/>
      <c r="AW96" s="425"/>
      <c r="AX96" s="425"/>
      <c r="AY96" s="425"/>
      <c r="AZ96" s="425"/>
      <c r="BA96" s="425"/>
      <c r="BB96" s="425"/>
      <c r="BC96" s="425"/>
      <c r="BD96" s="425"/>
      <c r="BE96" s="425"/>
      <c r="BF96" s="425"/>
      <c r="BG96" s="426"/>
      <c r="BH96" s="428"/>
      <c r="BI96" s="425"/>
      <c r="BJ96" s="425"/>
      <c r="BK96" s="425"/>
      <c r="BL96" s="425"/>
      <c r="BM96" s="425"/>
      <c r="BN96" s="425"/>
      <c r="BO96" s="425"/>
      <c r="BP96" s="425"/>
      <c r="BQ96" s="425"/>
      <c r="BR96" s="425"/>
      <c r="BS96" s="425"/>
      <c r="BT96" s="425"/>
      <c r="BU96" s="425"/>
      <c r="BV96" s="425"/>
      <c r="BW96" s="425"/>
      <c r="BX96" s="425"/>
      <c r="BY96" s="425"/>
      <c r="BZ96" s="425"/>
      <c r="CA96" s="425"/>
      <c r="CB96" s="425"/>
      <c r="CC96" s="425"/>
      <c r="CD96" s="425"/>
      <c r="CE96" s="425"/>
      <c r="CF96" s="425"/>
      <c r="CG96" s="425"/>
      <c r="CH96" s="425"/>
      <c r="CI96" s="425"/>
      <c r="CJ96" s="425"/>
      <c r="CK96" s="425"/>
      <c r="CL96" s="425"/>
      <c r="CM96" s="425"/>
      <c r="CN96" s="425"/>
      <c r="CO96" s="425"/>
      <c r="CP96" s="425"/>
      <c r="CQ96" s="425"/>
      <c r="CR96" s="425"/>
      <c r="CS96" s="425"/>
      <c r="CT96" s="425"/>
      <c r="CU96" s="425"/>
      <c r="CV96" s="425"/>
    </row>
    <row r="97" spans="1:100" outlineLevel="1">
      <c r="A97" s="434"/>
      <c r="B97" s="442"/>
      <c r="C97" s="424" t="s">
        <v>471</v>
      </c>
      <c r="D97" s="516">
        <v>129.97</v>
      </c>
      <c r="E97" s="516">
        <v>122.944</v>
      </c>
      <c r="F97" s="516">
        <v>118.80800000000001</v>
      </c>
      <c r="G97" s="516">
        <v>117.72324999999999</v>
      </c>
      <c r="H97" s="735">
        <v>134.36192800000001</v>
      </c>
      <c r="I97" s="735">
        <v>143.56649999999999</v>
      </c>
      <c r="J97" s="735">
        <v>143.96525</v>
      </c>
      <c r="K97" s="735">
        <v>171.63800000000001</v>
      </c>
      <c r="L97" s="735">
        <v>144.35067900000001</v>
      </c>
      <c r="M97" s="735">
        <v>146.90235799999999</v>
      </c>
      <c r="N97" s="735">
        <v>147.74878657142901</v>
      </c>
      <c r="O97" s="749">
        <f t="shared" ref="O97:T97" si="65">N97</f>
        <v>147.74878657142901</v>
      </c>
      <c r="P97" s="749">
        <f t="shared" si="65"/>
        <v>147.74878657142901</v>
      </c>
      <c r="Q97" s="749">
        <f t="shared" si="65"/>
        <v>147.74878657142901</v>
      </c>
      <c r="R97" s="749">
        <f t="shared" si="65"/>
        <v>147.74878657142901</v>
      </c>
      <c r="S97" s="749">
        <f t="shared" si="65"/>
        <v>147.74878657142901</v>
      </c>
      <c r="T97" s="749">
        <f t="shared" si="65"/>
        <v>147.74878657142901</v>
      </c>
      <c r="U97" s="424"/>
      <c r="V97" s="424"/>
      <c r="W97" s="425"/>
      <c r="X97" s="425"/>
      <c r="Y97" s="425"/>
      <c r="Z97" s="425"/>
      <c r="AA97" s="425"/>
      <c r="AH97" s="425"/>
      <c r="AI97" s="425"/>
      <c r="AJ97" s="425"/>
      <c r="AK97" s="425"/>
      <c r="AL97" s="425"/>
      <c r="AM97" s="425"/>
      <c r="AN97" s="428"/>
      <c r="AO97" s="425"/>
      <c r="AP97" s="425"/>
      <c r="AQ97" s="425"/>
      <c r="AR97" s="425"/>
      <c r="AS97" s="425"/>
      <c r="AT97" s="425"/>
      <c r="AU97" s="425"/>
      <c r="AV97" s="425"/>
      <c r="AW97" s="425"/>
      <c r="AX97" s="425"/>
      <c r="AY97" s="425"/>
      <c r="AZ97" s="425"/>
      <c r="BA97" s="425"/>
      <c r="BB97" s="425"/>
      <c r="BC97" s="425"/>
      <c r="BD97" s="425"/>
      <c r="BE97" s="425"/>
      <c r="BF97" s="425"/>
      <c r="BG97" s="426"/>
      <c r="BH97" s="428"/>
      <c r="BI97" s="425"/>
      <c r="BJ97" s="425"/>
      <c r="BK97" s="425"/>
      <c r="BL97" s="425"/>
      <c r="BM97" s="425"/>
      <c r="BN97" s="425"/>
      <c r="BO97" s="425"/>
      <c r="BP97" s="425"/>
      <c r="BQ97" s="425"/>
      <c r="BR97" s="425"/>
      <c r="BS97" s="425"/>
      <c r="BT97" s="425"/>
      <c r="BU97" s="425"/>
      <c r="BV97" s="425"/>
      <c r="BW97" s="425"/>
      <c r="BX97" s="425"/>
      <c r="BY97" s="425"/>
      <c r="BZ97" s="425"/>
      <c r="CA97" s="425"/>
      <c r="CB97" s="425"/>
      <c r="CC97" s="425"/>
      <c r="CD97" s="425"/>
      <c r="CE97" s="425"/>
      <c r="CF97" s="425"/>
      <c r="CG97" s="425"/>
      <c r="CH97" s="425"/>
      <c r="CI97" s="425"/>
      <c r="CJ97" s="425"/>
      <c r="CK97" s="425"/>
      <c r="CL97" s="425"/>
      <c r="CM97" s="425"/>
      <c r="CN97" s="425"/>
      <c r="CO97" s="425"/>
      <c r="CP97" s="425"/>
      <c r="CQ97" s="425"/>
      <c r="CR97" s="425"/>
      <c r="CS97" s="425"/>
      <c r="CT97" s="425"/>
      <c r="CU97" s="425"/>
      <c r="CV97" s="425"/>
    </row>
    <row r="98" spans="1:100" outlineLevel="1">
      <c r="A98" s="434"/>
      <c r="B98" s="442"/>
      <c r="C98" s="535"/>
      <c r="D98" s="424"/>
      <c r="E98" s="424"/>
      <c r="F98" s="424"/>
      <c r="G98" s="424"/>
      <c r="H98" s="549"/>
      <c r="I98" s="549"/>
      <c r="J98" s="549"/>
      <c r="K98" s="549"/>
      <c r="L98" s="549"/>
      <c r="M98" s="549"/>
      <c r="N98" s="549"/>
      <c r="O98" s="549"/>
      <c r="P98" s="549"/>
      <c r="Q98" s="549"/>
      <c r="R98" s="549"/>
      <c r="S98" s="549"/>
      <c r="T98" s="549"/>
      <c r="U98" s="424"/>
      <c r="V98" s="424"/>
      <c r="W98" s="425"/>
      <c r="X98" s="425"/>
      <c r="Y98" s="425"/>
      <c r="Z98" s="425"/>
      <c r="AA98" s="425"/>
      <c r="AH98" s="425"/>
      <c r="AI98" s="425"/>
      <c r="AJ98" s="425"/>
      <c r="AK98" s="425"/>
      <c r="AL98" s="425"/>
      <c r="AM98" s="425"/>
      <c r="AN98" s="428"/>
      <c r="AO98" s="425"/>
      <c r="AP98" s="425"/>
      <c r="AQ98" s="425"/>
      <c r="AR98" s="425"/>
      <c r="AS98" s="425"/>
      <c r="AT98" s="425"/>
      <c r="AU98" s="425"/>
      <c r="AV98" s="425"/>
      <c r="AW98" s="425"/>
      <c r="AX98" s="425"/>
      <c r="AY98" s="425"/>
      <c r="AZ98" s="425"/>
      <c r="BA98" s="425"/>
      <c r="BB98" s="425"/>
      <c r="BC98" s="425"/>
      <c r="BD98" s="425"/>
      <c r="BE98" s="425"/>
      <c r="BF98" s="425"/>
      <c r="BG98" s="426"/>
      <c r="BH98" s="428"/>
      <c r="BI98" s="425"/>
      <c r="BJ98" s="425"/>
      <c r="BK98" s="425"/>
      <c r="BL98" s="425"/>
      <c r="BM98" s="425"/>
      <c r="BN98" s="425"/>
      <c r="BO98" s="425"/>
      <c r="BP98" s="425"/>
      <c r="BQ98" s="425"/>
      <c r="BR98" s="425"/>
      <c r="BS98" s="425"/>
      <c r="BT98" s="425"/>
      <c r="BU98" s="425"/>
      <c r="BV98" s="425"/>
      <c r="BW98" s="425"/>
      <c r="BX98" s="425"/>
      <c r="BY98" s="425"/>
      <c r="BZ98" s="425"/>
      <c r="CA98" s="425"/>
      <c r="CB98" s="425"/>
      <c r="CC98" s="425"/>
      <c r="CD98" s="425"/>
      <c r="CE98" s="425"/>
      <c r="CF98" s="425"/>
      <c r="CG98" s="425"/>
      <c r="CH98" s="425"/>
      <c r="CI98" s="425"/>
      <c r="CJ98" s="425"/>
      <c r="CK98" s="425"/>
      <c r="CL98" s="425"/>
      <c r="CM98" s="425"/>
      <c r="CN98" s="425"/>
      <c r="CO98" s="425"/>
      <c r="CP98" s="425"/>
      <c r="CQ98" s="425"/>
      <c r="CR98" s="425"/>
      <c r="CS98" s="425"/>
      <c r="CT98" s="425"/>
      <c r="CU98" s="425"/>
      <c r="CV98" s="425"/>
    </row>
    <row r="99" spans="1:100" outlineLevel="1">
      <c r="A99" s="434"/>
      <c r="B99" s="442"/>
      <c r="C99" s="535" t="s">
        <v>472</v>
      </c>
      <c r="D99" s="553">
        <f>IF(ISERROR(D95/D97),"NA",(D95/D97))</f>
        <v>1.4234054012464414</v>
      </c>
      <c r="E99" s="553">
        <f t="shared" ref="E99:T99" si="66">IF(ISERROR(E95/E97),"NA",(E95/E97))</f>
        <v>0.57481454971369095</v>
      </c>
      <c r="F99" s="553">
        <f t="shared" si="66"/>
        <v>0.32889199380513096</v>
      </c>
      <c r="G99" s="553">
        <f t="shared" si="66"/>
        <v>-0.22388015961163157</v>
      </c>
      <c r="H99" s="553">
        <f t="shared" si="66"/>
        <v>0.30468080213912974</v>
      </c>
      <c r="I99" s="553">
        <f t="shared" si="66"/>
        <v>0.53487408274214387</v>
      </c>
      <c r="J99" s="553">
        <f t="shared" si="66"/>
        <v>1.6201826482432393</v>
      </c>
      <c r="K99" s="553">
        <f t="shared" si="66"/>
        <v>1.0792190540556288</v>
      </c>
      <c r="L99" s="553">
        <f t="shared" si="66"/>
        <v>1.1582903603799466</v>
      </c>
      <c r="M99" s="553">
        <f t="shared" si="66"/>
        <v>1.2247931377656989</v>
      </c>
      <c r="N99" s="553">
        <f t="shared" si="66"/>
        <v>1.0340186443842032</v>
      </c>
      <c r="O99" s="553">
        <f t="shared" si="66"/>
        <v>0.14052568878433661</v>
      </c>
      <c r="P99" s="553">
        <f t="shared" si="66"/>
        <v>0.20115224422253983</v>
      </c>
      <c r="Q99" s="553">
        <f t="shared" si="66"/>
        <v>0.34273039511914388</v>
      </c>
      <c r="R99" s="553">
        <f t="shared" si="66"/>
        <v>0.36787579960071615</v>
      </c>
      <c r="S99" s="553">
        <f t="shared" si="66"/>
        <v>0.38683496989580163</v>
      </c>
      <c r="T99" s="553">
        <f t="shared" si="66"/>
        <v>0.40497099851882745</v>
      </c>
      <c r="U99" s="424"/>
      <c r="V99" s="424"/>
      <c r="W99" s="425"/>
      <c r="X99" s="425"/>
      <c r="Y99" s="425"/>
      <c r="Z99" s="425"/>
      <c r="AA99" s="425"/>
      <c r="AH99" s="425"/>
      <c r="AI99" s="425"/>
      <c r="AJ99" s="425"/>
      <c r="AK99" s="425"/>
      <c r="AL99" s="425"/>
      <c r="AM99" s="425"/>
      <c r="AN99" s="428"/>
      <c r="AO99" s="425"/>
      <c r="AP99" s="425"/>
      <c r="AQ99" s="425"/>
      <c r="AR99" s="425"/>
      <c r="AS99" s="425"/>
      <c r="AT99" s="425"/>
      <c r="AU99" s="425"/>
      <c r="AV99" s="425"/>
      <c r="AW99" s="425"/>
      <c r="AX99" s="425"/>
      <c r="AY99" s="425"/>
      <c r="AZ99" s="425"/>
      <c r="BA99" s="425"/>
      <c r="BB99" s="425"/>
      <c r="BC99" s="425"/>
      <c r="BD99" s="425"/>
      <c r="BE99" s="425"/>
      <c r="BF99" s="425"/>
      <c r="BG99" s="426"/>
      <c r="BH99" s="428"/>
      <c r="BI99" s="425"/>
      <c r="BJ99" s="425"/>
      <c r="BK99" s="425"/>
      <c r="BL99" s="425"/>
      <c r="BM99" s="425"/>
      <c r="BN99" s="425"/>
      <c r="BO99" s="425"/>
      <c r="BP99" s="425"/>
      <c r="BQ99" s="425"/>
      <c r="BR99" s="425"/>
      <c r="BS99" s="425"/>
      <c r="BT99" s="425"/>
      <c r="BU99" s="425"/>
      <c r="BV99" s="425"/>
      <c r="BW99" s="425"/>
      <c r="BX99" s="425"/>
      <c r="BY99" s="425"/>
      <c r="BZ99" s="425"/>
      <c r="CA99" s="425"/>
      <c r="CB99" s="425"/>
      <c r="CC99" s="425"/>
      <c r="CD99" s="425"/>
      <c r="CE99" s="425"/>
      <c r="CF99" s="425"/>
      <c r="CG99" s="425"/>
      <c r="CH99" s="425"/>
      <c r="CI99" s="425"/>
      <c r="CJ99" s="425"/>
      <c r="CK99" s="425"/>
      <c r="CL99" s="425"/>
      <c r="CM99" s="425"/>
      <c r="CN99" s="425"/>
      <c r="CO99" s="425"/>
      <c r="CP99" s="425"/>
      <c r="CQ99" s="425"/>
      <c r="CR99" s="425"/>
      <c r="CS99" s="425"/>
      <c r="CT99" s="425"/>
      <c r="CU99" s="425"/>
      <c r="CV99" s="425"/>
    </row>
    <row r="100" spans="1:100" outlineLevel="1">
      <c r="A100" s="434"/>
      <c r="B100" s="442"/>
      <c r="C100" s="442"/>
      <c r="D100" s="424"/>
      <c r="E100" s="424"/>
      <c r="F100" s="424"/>
      <c r="G100" s="424"/>
      <c r="H100" s="549"/>
      <c r="I100" s="549"/>
      <c r="J100" s="549"/>
      <c r="K100" s="549"/>
      <c r="L100" s="549"/>
      <c r="M100" s="549"/>
      <c r="N100" s="549"/>
      <c r="O100" s="549"/>
      <c r="P100" s="549"/>
      <c r="Q100" s="549"/>
      <c r="R100" s="549"/>
      <c r="S100" s="549"/>
      <c r="T100" s="549"/>
      <c r="U100" s="424"/>
      <c r="V100" s="424"/>
      <c r="W100" s="425"/>
      <c r="X100" s="425"/>
      <c r="Y100" s="425"/>
      <c r="Z100" s="425"/>
      <c r="AA100" s="425"/>
      <c r="AH100" s="425"/>
      <c r="AI100" s="425"/>
      <c r="AJ100" s="425"/>
      <c r="AK100" s="425"/>
      <c r="AL100" s="425"/>
      <c r="AM100" s="425"/>
      <c r="AN100" s="428"/>
      <c r="AO100" s="425"/>
      <c r="AP100" s="425"/>
      <c r="AQ100" s="425"/>
      <c r="AR100" s="425"/>
      <c r="AS100" s="425"/>
      <c r="AT100" s="425"/>
      <c r="AU100" s="425"/>
      <c r="AV100" s="425"/>
      <c r="AW100" s="425"/>
      <c r="AX100" s="425"/>
      <c r="AY100" s="425"/>
      <c r="AZ100" s="425"/>
      <c r="BA100" s="425"/>
      <c r="BB100" s="425"/>
      <c r="BC100" s="425"/>
      <c r="BD100" s="425"/>
      <c r="BE100" s="425"/>
      <c r="BF100" s="425"/>
      <c r="BG100" s="426"/>
      <c r="BH100" s="428"/>
      <c r="BI100" s="425"/>
      <c r="BJ100" s="425"/>
      <c r="BK100" s="425"/>
      <c r="BL100" s="425"/>
      <c r="BM100" s="425"/>
      <c r="BN100" s="425"/>
      <c r="BO100" s="425"/>
      <c r="BP100" s="425"/>
      <c r="BQ100" s="425"/>
      <c r="BR100" s="425"/>
      <c r="BS100" s="425"/>
      <c r="BT100" s="425"/>
      <c r="BU100" s="425"/>
      <c r="BV100" s="425"/>
      <c r="BW100" s="425"/>
      <c r="BX100" s="425"/>
      <c r="BY100" s="425"/>
      <c r="BZ100" s="425"/>
      <c r="CA100" s="425"/>
      <c r="CB100" s="425"/>
      <c r="CC100" s="425"/>
      <c r="CD100" s="425"/>
      <c r="CE100" s="425"/>
      <c r="CF100" s="425"/>
      <c r="CG100" s="425"/>
      <c r="CH100" s="425"/>
      <c r="CI100" s="425"/>
      <c r="CJ100" s="425"/>
      <c r="CK100" s="425"/>
      <c r="CL100" s="425"/>
      <c r="CM100" s="425"/>
      <c r="CN100" s="425"/>
      <c r="CO100" s="425"/>
      <c r="CP100" s="425"/>
      <c r="CQ100" s="425"/>
      <c r="CR100" s="425"/>
      <c r="CS100" s="425"/>
      <c r="CT100" s="425"/>
      <c r="CU100" s="425"/>
      <c r="CV100" s="425"/>
    </row>
    <row r="101" spans="1:100">
      <c r="A101" s="554"/>
      <c r="B101" s="442"/>
      <c r="C101" s="442"/>
      <c r="D101" s="442"/>
      <c r="E101" s="442"/>
      <c r="F101" s="442"/>
      <c r="G101" s="442"/>
      <c r="H101" s="549"/>
      <c r="I101" s="549"/>
      <c r="J101" s="549"/>
      <c r="K101" s="549"/>
      <c r="L101" s="549"/>
      <c r="M101" s="549"/>
      <c r="N101" s="549"/>
      <c r="O101" s="549"/>
      <c r="P101" s="549"/>
      <c r="Q101" s="549"/>
      <c r="R101" s="549"/>
      <c r="S101" s="549"/>
      <c r="T101" s="549"/>
      <c r="U101" s="424"/>
      <c r="V101" s="424"/>
      <c r="W101" s="425"/>
      <c r="X101" s="425"/>
      <c r="Y101" s="425"/>
      <c r="Z101" s="425"/>
      <c r="AA101" s="425"/>
      <c r="AH101" s="425"/>
      <c r="AI101" s="425"/>
      <c r="AJ101" s="425"/>
      <c r="AK101" s="425"/>
      <c r="AL101" s="425"/>
      <c r="AM101" s="425"/>
      <c r="AN101" s="428"/>
      <c r="AO101" s="425"/>
      <c r="AP101" s="425"/>
      <c r="AQ101" s="425"/>
      <c r="AR101" s="425"/>
      <c r="AS101" s="425"/>
      <c r="AT101" s="425"/>
      <c r="AU101" s="425"/>
      <c r="AV101" s="425"/>
      <c r="AW101" s="425"/>
      <c r="AX101" s="425"/>
      <c r="AY101" s="425"/>
      <c r="AZ101" s="425"/>
      <c r="BA101" s="425"/>
      <c r="BB101" s="425"/>
      <c r="BC101" s="425"/>
      <c r="BD101" s="425"/>
      <c r="BE101" s="425"/>
      <c r="BF101" s="425"/>
      <c r="BG101" s="426"/>
      <c r="BH101" s="428"/>
      <c r="BI101" s="425"/>
      <c r="BJ101" s="425"/>
      <c r="BK101" s="425"/>
      <c r="BL101" s="425"/>
      <c r="BM101" s="425"/>
      <c r="BN101" s="425"/>
      <c r="BO101" s="425"/>
      <c r="BP101" s="425"/>
      <c r="BQ101" s="425"/>
      <c r="BR101" s="425"/>
      <c r="BS101" s="425"/>
      <c r="BT101" s="425"/>
      <c r="BU101" s="425"/>
      <c r="BV101" s="425"/>
      <c r="BW101" s="425"/>
      <c r="BX101" s="425"/>
      <c r="BY101" s="425"/>
      <c r="BZ101" s="425"/>
      <c r="CA101" s="425"/>
      <c r="CB101" s="425"/>
      <c r="CC101" s="425"/>
      <c r="CD101" s="425"/>
      <c r="CE101" s="425"/>
      <c r="CF101" s="425"/>
      <c r="CG101" s="425"/>
      <c r="CH101" s="425"/>
      <c r="CI101" s="425"/>
      <c r="CJ101" s="425"/>
      <c r="CK101" s="425"/>
      <c r="CL101" s="425"/>
      <c r="CM101" s="425"/>
      <c r="CN101" s="425"/>
      <c r="CO101" s="425"/>
      <c r="CP101" s="425"/>
      <c r="CQ101" s="425"/>
      <c r="CR101" s="425"/>
      <c r="CS101" s="425"/>
      <c r="CT101" s="425"/>
      <c r="CU101" s="425"/>
      <c r="CV101" s="425"/>
    </row>
    <row r="102" spans="1:100">
      <c r="A102" s="554"/>
      <c r="B102" s="442"/>
      <c r="C102" s="442"/>
      <c r="D102" s="442"/>
      <c r="E102" s="442"/>
      <c r="F102" s="442"/>
      <c r="G102" s="442"/>
      <c r="H102" s="549"/>
      <c r="I102" s="549"/>
      <c r="J102" s="549"/>
      <c r="K102" s="549"/>
      <c r="L102" s="549"/>
      <c r="M102" s="549"/>
      <c r="N102" s="549"/>
      <c r="O102" s="549"/>
      <c r="P102" s="549"/>
      <c r="Q102" s="549"/>
      <c r="R102" s="549"/>
      <c r="S102" s="549"/>
      <c r="T102" s="549"/>
      <c r="U102" s="424"/>
      <c r="V102" s="424"/>
      <c r="W102" s="425"/>
      <c r="X102" s="425"/>
      <c r="Y102" s="425"/>
      <c r="Z102" s="425"/>
      <c r="AA102" s="425"/>
      <c r="AH102" s="425"/>
      <c r="AI102" s="425"/>
      <c r="AJ102" s="425"/>
      <c r="AK102" s="425"/>
      <c r="AL102" s="425"/>
      <c r="AM102" s="425"/>
      <c r="AN102" s="428"/>
      <c r="AO102" s="425"/>
      <c r="AP102" s="425"/>
      <c r="AQ102" s="425"/>
      <c r="AR102" s="425"/>
      <c r="AS102" s="425"/>
      <c r="AT102" s="425"/>
      <c r="AU102" s="425"/>
      <c r="AV102" s="425"/>
      <c r="AW102" s="425"/>
      <c r="AX102" s="425"/>
      <c r="AY102" s="425"/>
      <c r="AZ102" s="425"/>
      <c r="BA102" s="425"/>
      <c r="BB102" s="425"/>
      <c r="BC102" s="425"/>
      <c r="BD102" s="425"/>
      <c r="BE102" s="425"/>
      <c r="BF102" s="425"/>
      <c r="BG102" s="426"/>
      <c r="BH102" s="428"/>
      <c r="BI102" s="425"/>
      <c r="BJ102" s="425"/>
      <c r="BK102" s="425"/>
      <c r="BL102" s="425"/>
      <c r="BM102" s="425"/>
      <c r="BN102" s="425"/>
      <c r="BO102" s="425"/>
      <c r="BP102" s="425"/>
      <c r="BQ102" s="425"/>
      <c r="BR102" s="425"/>
      <c r="BS102" s="425"/>
      <c r="BT102" s="425"/>
      <c r="BU102" s="425"/>
      <c r="BV102" s="425"/>
      <c r="BW102" s="425"/>
      <c r="BX102" s="425"/>
      <c r="BY102" s="425"/>
      <c r="BZ102" s="425"/>
      <c r="CA102" s="425"/>
      <c r="CB102" s="425"/>
      <c r="CC102" s="425"/>
      <c r="CD102" s="425"/>
      <c r="CE102" s="425"/>
      <c r="CF102" s="425"/>
      <c r="CG102" s="425"/>
      <c r="CH102" s="425"/>
      <c r="CI102" s="425"/>
      <c r="CJ102" s="425"/>
      <c r="CK102" s="425"/>
      <c r="CL102" s="425"/>
      <c r="CM102" s="425"/>
      <c r="CN102" s="425"/>
      <c r="CO102" s="425"/>
      <c r="CP102" s="425"/>
      <c r="CQ102" s="425"/>
      <c r="CR102" s="425"/>
      <c r="CS102" s="425"/>
      <c r="CT102" s="425"/>
      <c r="CU102" s="425"/>
      <c r="CV102" s="425"/>
    </row>
    <row r="103" spans="1:100">
      <c r="A103" s="554"/>
      <c r="B103" s="442"/>
      <c r="C103" s="442"/>
      <c r="D103" s="442"/>
      <c r="E103" s="442"/>
      <c r="F103" s="442"/>
      <c r="G103" s="442"/>
      <c r="H103" s="549"/>
      <c r="I103" s="549"/>
      <c r="J103" s="549"/>
      <c r="K103" s="549"/>
      <c r="L103" s="549"/>
      <c r="M103" s="549"/>
      <c r="N103" s="549"/>
      <c r="O103" s="549"/>
      <c r="P103" s="549"/>
      <c r="Q103" s="549"/>
      <c r="R103" s="549"/>
      <c r="S103" s="549"/>
      <c r="T103" s="549"/>
      <c r="U103" s="424"/>
      <c r="V103" s="424"/>
      <c r="W103" s="425"/>
      <c r="X103" s="425"/>
      <c r="Y103" s="425"/>
      <c r="Z103" s="425"/>
      <c r="AA103" s="425"/>
      <c r="AH103" s="425"/>
      <c r="AI103" s="425"/>
      <c r="AJ103" s="425"/>
      <c r="AK103" s="425"/>
      <c r="AL103" s="425"/>
      <c r="AM103" s="425"/>
      <c r="AN103" s="428"/>
      <c r="AO103" s="425"/>
      <c r="AP103" s="425"/>
      <c r="AQ103" s="425"/>
      <c r="AR103" s="425"/>
      <c r="AS103" s="425"/>
      <c r="AT103" s="425"/>
      <c r="AU103" s="425"/>
      <c r="AV103" s="425"/>
      <c r="AW103" s="425"/>
      <c r="AX103" s="425"/>
      <c r="AY103" s="425"/>
      <c r="AZ103" s="425"/>
      <c r="BA103" s="425"/>
      <c r="BB103" s="425"/>
      <c r="BC103" s="425"/>
      <c r="BD103" s="425"/>
      <c r="BE103" s="425"/>
      <c r="BF103" s="425"/>
      <c r="BG103" s="426"/>
      <c r="BH103" s="428"/>
      <c r="BI103" s="425"/>
      <c r="BJ103" s="425"/>
      <c r="BK103" s="425"/>
      <c r="BL103" s="425"/>
      <c r="BM103" s="425"/>
      <c r="BN103" s="425"/>
      <c r="BO103" s="425"/>
      <c r="BP103" s="425"/>
      <c r="BQ103" s="425"/>
      <c r="BR103" s="425"/>
      <c r="BS103" s="425"/>
      <c r="BT103" s="425"/>
      <c r="BU103" s="425"/>
      <c r="BV103" s="425"/>
      <c r="BW103" s="425"/>
      <c r="BX103" s="425"/>
      <c r="BY103" s="425"/>
      <c r="BZ103" s="425"/>
      <c r="CA103" s="425"/>
      <c r="CB103" s="425"/>
      <c r="CC103" s="425"/>
      <c r="CD103" s="425"/>
      <c r="CE103" s="425"/>
      <c r="CF103" s="425"/>
      <c r="CG103" s="425"/>
      <c r="CH103" s="425"/>
      <c r="CI103" s="425"/>
      <c r="CJ103" s="425"/>
      <c r="CK103" s="425"/>
      <c r="CL103" s="425"/>
      <c r="CM103" s="425"/>
      <c r="CN103" s="425"/>
      <c r="CO103" s="425"/>
      <c r="CP103" s="425"/>
      <c r="CQ103" s="425"/>
      <c r="CR103" s="425"/>
      <c r="CS103" s="425"/>
      <c r="CT103" s="425"/>
      <c r="CU103" s="425"/>
      <c r="CV103" s="425"/>
    </row>
    <row r="104" spans="1:100">
      <c r="A104" s="554"/>
      <c r="B104" s="442"/>
      <c r="C104" s="442"/>
      <c r="D104" s="442"/>
      <c r="E104" s="442"/>
      <c r="F104" s="442"/>
      <c r="G104" s="442"/>
      <c r="H104" s="549"/>
      <c r="I104" s="549"/>
      <c r="J104" s="549"/>
      <c r="K104" s="549"/>
      <c r="L104" s="549"/>
      <c r="M104" s="549"/>
      <c r="N104" s="549"/>
      <c r="O104" s="549"/>
      <c r="P104" s="549"/>
      <c r="Q104" s="549"/>
      <c r="R104" s="549"/>
      <c r="S104" s="549"/>
      <c r="T104" s="549"/>
      <c r="U104" s="424"/>
      <c r="V104" s="424"/>
      <c r="W104" s="425"/>
      <c r="X104" s="425"/>
      <c r="Y104" s="425"/>
      <c r="Z104" s="425"/>
      <c r="AA104" s="425"/>
      <c r="AH104" s="425"/>
      <c r="AI104" s="425"/>
      <c r="AJ104" s="425"/>
      <c r="AK104" s="425"/>
      <c r="AL104" s="425"/>
      <c r="AM104" s="425"/>
      <c r="AN104" s="428"/>
      <c r="AO104" s="425"/>
      <c r="AP104" s="425"/>
      <c r="AQ104" s="425"/>
      <c r="AR104" s="425"/>
      <c r="AS104" s="425"/>
      <c r="AT104" s="425"/>
      <c r="AU104" s="425"/>
      <c r="AV104" s="425"/>
      <c r="AW104" s="425"/>
      <c r="AX104" s="425"/>
      <c r="AY104" s="425"/>
      <c r="AZ104" s="425"/>
      <c r="BA104" s="425"/>
      <c r="BB104" s="425"/>
      <c r="BC104" s="425"/>
      <c r="BD104" s="425"/>
      <c r="BE104" s="425"/>
      <c r="BF104" s="425"/>
      <c r="BG104" s="426"/>
      <c r="BH104" s="428"/>
      <c r="BI104" s="425"/>
      <c r="BJ104" s="425"/>
      <c r="BK104" s="425"/>
      <c r="BL104" s="425"/>
      <c r="BM104" s="425"/>
      <c r="BN104" s="425"/>
      <c r="BO104" s="425"/>
      <c r="BP104" s="425"/>
      <c r="BQ104" s="425"/>
      <c r="BR104" s="425"/>
      <c r="BS104" s="425"/>
      <c r="BT104" s="425"/>
      <c r="BU104" s="425"/>
      <c r="BV104" s="425"/>
      <c r="BW104" s="425"/>
      <c r="BX104" s="425"/>
      <c r="BY104" s="425"/>
      <c r="BZ104" s="425"/>
      <c r="CA104" s="425"/>
      <c r="CB104" s="425"/>
      <c r="CC104" s="425"/>
      <c r="CD104" s="425"/>
      <c r="CE104" s="425"/>
      <c r="CF104" s="425"/>
      <c r="CG104" s="425"/>
      <c r="CH104" s="425"/>
      <c r="CI104" s="425"/>
      <c r="CJ104" s="425"/>
      <c r="CK104" s="425"/>
      <c r="CL104" s="425"/>
      <c r="CM104" s="425"/>
      <c r="CN104" s="425"/>
      <c r="CO104" s="425"/>
      <c r="CP104" s="425"/>
      <c r="CQ104" s="425"/>
      <c r="CR104" s="425"/>
      <c r="CS104" s="425"/>
      <c r="CT104" s="425"/>
      <c r="CU104" s="425"/>
      <c r="CV104" s="425"/>
    </row>
    <row r="105" spans="1:100">
      <c r="A105" s="554"/>
      <c r="B105" s="442"/>
      <c r="C105" s="442"/>
      <c r="D105" s="442"/>
      <c r="E105" s="442"/>
      <c r="F105" s="442"/>
      <c r="G105" s="442"/>
      <c r="H105" s="549"/>
      <c r="I105" s="549"/>
      <c r="J105" s="549"/>
      <c r="K105" s="549"/>
      <c r="L105" s="549"/>
      <c r="M105" s="549"/>
      <c r="N105" s="549"/>
      <c r="O105" s="549"/>
      <c r="P105" s="549"/>
      <c r="Q105" s="549"/>
      <c r="R105" s="549"/>
      <c r="S105" s="549"/>
      <c r="T105" s="549"/>
      <c r="U105" s="424"/>
      <c r="V105" s="424"/>
      <c r="W105" s="425"/>
      <c r="X105" s="425"/>
      <c r="Y105" s="425"/>
      <c r="Z105" s="425"/>
      <c r="AA105" s="425"/>
      <c r="AH105" s="425"/>
      <c r="AI105" s="425"/>
      <c r="AJ105" s="425"/>
      <c r="AK105" s="425"/>
      <c r="AL105" s="425"/>
      <c r="AM105" s="425"/>
      <c r="AN105" s="428"/>
      <c r="AO105" s="425"/>
      <c r="AP105" s="425"/>
      <c r="AQ105" s="425"/>
      <c r="AR105" s="425"/>
      <c r="AS105" s="425"/>
      <c r="AT105" s="425"/>
      <c r="AU105" s="425"/>
      <c r="AV105" s="425"/>
      <c r="AW105" s="425"/>
      <c r="AX105" s="425"/>
      <c r="AY105" s="425"/>
      <c r="AZ105" s="425"/>
      <c r="BA105" s="425"/>
      <c r="BB105" s="425"/>
      <c r="BC105" s="425"/>
      <c r="BD105" s="425"/>
      <c r="BE105" s="425"/>
      <c r="BF105" s="425"/>
      <c r="BG105" s="426"/>
      <c r="BH105" s="428"/>
      <c r="BI105" s="425"/>
      <c r="BJ105" s="425"/>
      <c r="BK105" s="425"/>
      <c r="BL105" s="425"/>
      <c r="BM105" s="425"/>
      <c r="BN105" s="425"/>
      <c r="BO105" s="425"/>
      <c r="BP105" s="425"/>
      <c r="BQ105" s="425"/>
      <c r="BR105" s="425"/>
      <c r="BS105" s="425"/>
      <c r="BT105" s="425"/>
      <c r="BU105" s="425"/>
      <c r="BV105" s="425"/>
      <c r="BW105" s="425"/>
      <c r="BX105" s="425"/>
      <c r="BY105" s="425"/>
      <c r="BZ105" s="425"/>
      <c r="CA105" s="425"/>
      <c r="CB105" s="425"/>
      <c r="CC105" s="425"/>
      <c r="CD105" s="425"/>
      <c r="CE105" s="425"/>
      <c r="CF105" s="425"/>
      <c r="CG105" s="425"/>
      <c r="CH105" s="425"/>
      <c r="CI105" s="425"/>
      <c r="CJ105" s="425"/>
      <c r="CK105" s="425"/>
      <c r="CL105" s="425"/>
      <c r="CM105" s="425"/>
      <c r="CN105" s="425"/>
      <c r="CO105" s="425"/>
      <c r="CP105" s="425"/>
      <c r="CQ105" s="425"/>
      <c r="CR105" s="425"/>
      <c r="CS105" s="425"/>
      <c r="CT105" s="425"/>
      <c r="CU105" s="425"/>
      <c r="CV105" s="425"/>
    </row>
    <row r="106" spans="1:100">
      <c r="A106" s="554"/>
      <c r="B106" s="442"/>
      <c r="C106" s="442"/>
      <c r="D106" s="442"/>
      <c r="E106" s="442"/>
      <c r="F106" s="442"/>
      <c r="G106" s="442"/>
      <c r="H106" s="549"/>
      <c r="I106" s="549"/>
      <c r="J106" s="549"/>
      <c r="K106" s="549"/>
      <c r="L106" s="549"/>
      <c r="M106" s="549"/>
      <c r="N106" s="549"/>
      <c r="O106" s="549"/>
      <c r="P106" s="549"/>
      <c r="Q106" s="549"/>
      <c r="R106" s="549"/>
      <c r="S106" s="549"/>
      <c r="T106" s="549"/>
      <c r="U106" s="424"/>
      <c r="V106" s="424"/>
      <c r="W106" s="425"/>
      <c r="X106" s="425"/>
      <c r="Y106" s="425"/>
      <c r="Z106" s="425"/>
      <c r="AA106" s="425"/>
      <c r="AH106" s="425"/>
      <c r="AI106" s="425"/>
      <c r="AJ106" s="425"/>
      <c r="AK106" s="425"/>
      <c r="AL106" s="425"/>
      <c r="AM106" s="425"/>
      <c r="AN106" s="428"/>
      <c r="AO106" s="425"/>
      <c r="AP106" s="425"/>
      <c r="AQ106" s="425"/>
      <c r="AR106" s="425"/>
      <c r="AS106" s="425"/>
      <c r="AT106" s="425"/>
      <c r="AU106" s="425"/>
      <c r="AV106" s="425"/>
      <c r="AW106" s="425"/>
      <c r="AX106" s="425"/>
      <c r="AY106" s="425"/>
      <c r="AZ106" s="425"/>
      <c r="BA106" s="425"/>
      <c r="BB106" s="425"/>
      <c r="BC106" s="425"/>
      <c r="BD106" s="425"/>
      <c r="BE106" s="425"/>
      <c r="BF106" s="425"/>
      <c r="BG106" s="426"/>
      <c r="BH106" s="428"/>
      <c r="BI106" s="425"/>
      <c r="BJ106" s="425"/>
      <c r="BK106" s="425"/>
      <c r="BL106" s="425"/>
      <c r="BM106" s="425"/>
      <c r="BN106" s="425"/>
      <c r="BO106" s="425"/>
      <c r="BP106" s="425"/>
      <c r="BQ106" s="425"/>
      <c r="BR106" s="425"/>
      <c r="BS106" s="425"/>
      <c r="BT106" s="425"/>
      <c r="BU106" s="425"/>
      <c r="BV106" s="425"/>
      <c r="BW106" s="425"/>
      <c r="BX106" s="425"/>
      <c r="BY106" s="425"/>
      <c r="BZ106" s="425"/>
      <c r="CA106" s="425"/>
      <c r="CB106" s="425"/>
      <c r="CC106" s="425"/>
      <c r="CD106" s="425"/>
      <c r="CE106" s="425"/>
      <c r="CF106" s="425"/>
      <c r="CG106" s="425"/>
      <c r="CH106" s="425"/>
      <c r="CI106" s="425"/>
      <c r="CJ106" s="425"/>
      <c r="CK106" s="425"/>
      <c r="CL106" s="425"/>
      <c r="CM106" s="425"/>
      <c r="CN106" s="425"/>
      <c r="CO106" s="425"/>
      <c r="CP106" s="425"/>
      <c r="CQ106" s="425"/>
      <c r="CR106" s="425"/>
      <c r="CS106" s="425"/>
      <c r="CT106" s="425"/>
      <c r="CU106" s="425"/>
      <c r="CV106" s="425"/>
    </row>
    <row r="107" spans="1:100">
      <c r="A107" s="554"/>
      <c r="B107" s="442"/>
      <c r="C107" s="442"/>
      <c r="D107" s="442"/>
      <c r="E107" s="442"/>
      <c r="F107" s="442"/>
      <c r="G107" s="442"/>
      <c r="H107" s="549"/>
      <c r="I107" s="549"/>
      <c r="J107" s="549"/>
      <c r="K107" s="549"/>
      <c r="L107" s="549"/>
      <c r="M107" s="549"/>
      <c r="N107" s="549"/>
      <c r="O107" s="549"/>
      <c r="P107" s="549"/>
      <c r="Q107" s="549"/>
      <c r="R107" s="549"/>
      <c r="S107" s="549"/>
      <c r="T107" s="549"/>
      <c r="U107" s="424"/>
      <c r="V107" s="424"/>
      <c r="W107" s="425"/>
      <c r="X107" s="425"/>
      <c r="Y107" s="425"/>
      <c r="Z107" s="425"/>
      <c r="AA107" s="425"/>
      <c r="AH107" s="425"/>
      <c r="AI107" s="425"/>
      <c r="AJ107" s="425"/>
      <c r="AK107" s="425"/>
      <c r="AL107" s="425"/>
      <c r="AM107" s="425"/>
      <c r="AN107" s="428"/>
      <c r="AO107" s="425"/>
      <c r="AP107" s="425"/>
      <c r="AQ107" s="425"/>
      <c r="AR107" s="425"/>
      <c r="AS107" s="425"/>
      <c r="AT107" s="425"/>
      <c r="AU107" s="425"/>
      <c r="AV107" s="425"/>
      <c r="AW107" s="425"/>
      <c r="AX107" s="425"/>
      <c r="AY107" s="425"/>
      <c r="AZ107" s="425"/>
      <c r="BA107" s="425"/>
      <c r="BB107" s="425"/>
      <c r="BC107" s="425"/>
      <c r="BD107" s="425"/>
      <c r="BE107" s="425"/>
      <c r="BF107" s="425"/>
      <c r="BG107" s="426"/>
      <c r="BH107" s="428"/>
      <c r="BI107" s="425"/>
      <c r="BJ107" s="425"/>
      <c r="BK107" s="425"/>
      <c r="BL107" s="425"/>
      <c r="BM107" s="425"/>
      <c r="BN107" s="425"/>
      <c r="BO107" s="425"/>
      <c r="BP107" s="425"/>
      <c r="BQ107" s="425"/>
      <c r="BR107" s="425"/>
      <c r="BS107" s="425"/>
      <c r="BT107" s="425"/>
      <c r="BU107" s="425"/>
      <c r="BV107" s="425"/>
      <c r="BW107" s="425"/>
      <c r="BX107" s="425"/>
      <c r="BY107" s="425"/>
      <c r="BZ107" s="425"/>
      <c r="CA107" s="425"/>
      <c r="CB107" s="425"/>
      <c r="CC107" s="425"/>
      <c r="CD107" s="425"/>
      <c r="CE107" s="425"/>
      <c r="CF107" s="425"/>
      <c r="CG107" s="425"/>
      <c r="CH107" s="425"/>
      <c r="CI107" s="425"/>
      <c r="CJ107" s="425"/>
      <c r="CK107" s="425"/>
      <c r="CL107" s="425"/>
      <c r="CM107" s="425"/>
      <c r="CN107" s="425"/>
      <c r="CO107" s="425"/>
      <c r="CP107" s="425"/>
      <c r="CQ107" s="425"/>
      <c r="CR107" s="425"/>
      <c r="CS107" s="425"/>
      <c r="CT107" s="425"/>
      <c r="CU107" s="425"/>
      <c r="CV107" s="425"/>
    </row>
    <row r="108" spans="1:100">
      <c r="A108" s="554"/>
      <c r="B108" s="442"/>
      <c r="C108" s="442"/>
      <c r="D108" s="442"/>
      <c r="E108" s="442"/>
      <c r="F108" s="442"/>
      <c r="G108" s="442"/>
      <c r="H108" s="549"/>
      <c r="I108" s="549"/>
      <c r="J108" s="549"/>
      <c r="K108" s="549"/>
      <c r="L108" s="549"/>
      <c r="M108" s="549"/>
      <c r="N108" s="549"/>
      <c r="O108" s="549"/>
      <c r="P108" s="549"/>
      <c r="Q108" s="549"/>
      <c r="R108" s="549"/>
      <c r="S108" s="549"/>
      <c r="T108" s="549"/>
      <c r="U108" s="424"/>
      <c r="V108" s="424"/>
      <c r="W108" s="425"/>
      <c r="X108" s="425"/>
      <c r="Y108" s="425"/>
      <c r="Z108" s="425"/>
      <c r="AA108" s="425"/>
      <c r="AH108" s="425"/>
      <c r="AI108" s="425"/>
      <c r="AJ108" s="425"/>
      <c r="AK108" s="425"/>
      <c r="AL108" s="425"/>
      <c r="AM108" s="425"/>
      <c r="AN108" s="428"/>
      <c r="AO108" s="425"/>
      <c r="AP108" s="425"/>
      <c r="AQ108" s="425"/>
      <c r="AR108" s="425"/>
      <c r="AS108" s="425"/>
      <c r="AT108" s="425"/>
      <c r="AU108" s="425"/>
      <c r="AV108" s="425"/>
      <c r="AW108" s="425"/>
      <c r="AX108" s="425"/>
      <c r="AY108" s="425"/>
      <c r="AZ108" s="425"/>
      <c r="BA108" s="425"/>
      <c r="BB108" s="425"/>
      <c r="BC108" s="425"/>
      <c r="BD108" s="425"/>
      <c r="BE108" s="425"/>
      <c r="BF108" s="425"/>
      <c r="BG108" s="426"/>
      <c r="BH108" s="428"/>
      <c r="BI108" s="425"/>
      <c r="BJ108" s="425"/>
      <c r="BK108" s="425"/>
      <c r="BL108" s="425"/>
      <c r="BM108" s="425"/>
      <c r="BN108" s="425"/>
      <c r="BO108" s="425"/>
      <c r="BP108" s="425"/>
      <c r="BQ108" s="425"/>
      <c r="BR108" s="425"/>
      <c r="BS108" s="425"/>
      <c r="BT108" s="425"/>
      <c r="BU108" s="425"/>
      <c r="BV108" s="425"/>
      <c r="BW108" s="425"/>
      <c r="BX108" s="425"/>
      <c r="BY108" s="425"/>
      <c r="BZ108" s="425"/>
      <c r="CA108" s="425"/>
      <c r="CB108" s="425"/>
      <c r="CC108" s="425"/>
      <c r="CD108" s="425"/>
      <c r="CE108" s="425"/>
      <c r="CF108" s="425"/>
      <c r="CG108" s="425"/>
      <c r="CH108" s="425"/>
      <c r="CI108" s="425"/>
      <c r="CJ108" s="425"/>
      <c r="CK108" s="425"/>
      <c r="CL108" s="425"/>
      <c r="CM108" s="425"/>
      <c r="CN108" s="425"/>
      <c r="CO108" s="425"/>
      <c r="CP108" s="425"/>
      <c r="CQ108" s="425"/>
      <c r="CR108" s="425"/>
      <c r="CS108" s="425"/>
      <c r="CT108" s="425"/>
      <c r="CU108" s="425"/>
      <c r="CV108" s="425"/>
    </row>
    <row r="109" spans="1:100">
      <c r="A109" s="554"/>
      <c r="B109" s="442"/>
      <c r="C109" s="442"/>
      <c r="D109" s="442"/>
      <c r="E109" s="442"/>
      <c r="F109" s="442"/>
      <c r="G109" s="442"/>
      <c r="H109" s="549"/>
      <c r="I109" s="549"/>
      <c r="J109" s="549"/>
      <c r="K109" s="549"/>
      <c r="L109" s="549"/>
      <c r="M109" s="549"/>
      <c r="N109" s="549"/>
      <c r="O109" s="549"/>
      <c r="P109" s="549"/>
      <c r="Q109" s="549"/>
      <c r="R109" s="549"/>
      <c r="S109" s="549"/>
      <c r="T109" s="549"/>
      <c r="U109" s="424"/>
      <c r="V109" s="424"/>
      <c r="W109" s="425"/>
      <c r="X109" s="425"/>
      <c r="Y109" s="425"/>
      <c r="Z109" s="425"/>
      <c r="AA109" s="425"/>
      <c r="AH109" s="425"/>
      <c r="AI109" s="425"/>
      <c r="AJ109" s="425"/>
      <c r="AK109" s="425"/>
      <c r="AL109" s="425"/>
      <c r="AM109" s="425"/>
      <c r="AN109" s="428"/>
      <c r="AO109" s="425"/>
      <c r="AP109" s="425"/>
      <c r="AQ109" s="425"/>
      <c r="AR109" s="425"/>
      <c r="AS109" s="425"/>
      <c r="AT109" s="425"/>
      <c r="AU109" s="425"/>
      <c r="AV109" s="425"/>
      <c r="AW109" s="425"/>
      <c r="AX109" s="425"/>
      <c r="AY109" s="425"/>
      <c r="AZ109" s="425"/>
      <c r="BA109" s="425"/>
      <c r="BB109" s="425"/>
      <c r="BC109" s="425"/>
      <c r="BD109" s="425"/>
      <c r="BE109" s="425"/>
      <c r="BF109" s="425"/>
      <c r="BG109" s="426"/>
      <c r="BH109" s="428"/>
      <c r="BI109" s="425"/>
      <c r="BJ109" s="425"/>
      <c r="BK109" s="425"/>
      <c r="BL109" s="425"/>
      <c r="BM109" s="425"/>
      <c r="BN109" s="425"/>
      <c r="BO109" s="425"/>
      <c r="BP109" s="425"/>
      <c r="BQ109" s="425"/>
      <c r="BR109" s="425"/>
      <c r="BS109" s="425"/>
      <c r="BT109" s="425"/>
      <c r="BU109" s="425"/>
      <c r="BV109" s="425"/>
      <c r="BW109" s="425"/>
      <c r="BX109" s="425"/>
      <c r="BY109" s="425"/>
      <c r="BZ109" s="425"/>
      <c r="CA109" s="425"/>
      <c r="CB109" s="425"/>
      <c r="CC109" s="425"/>
      <c r="CD109" s="425"/>
      <c r="CE109" s="425"/>
      <c r="CF109" s="425"/>
      <c r="CG109" s="425"/>
      <c r="CH109" s="425"/>
      <c r="CI109" s="425"/>
      <c r="CJ109" s="425"/>
      <c r="CK109" s="425"/>
      <c r="CL109" s="425"/>
      <c r="CM109" s="425"/>
      <c r="CN109" s="425"/>
      <c r="CO109" s="425"/>
      <c r="CP109" s="425"/>
      <c r="CQ109" s="425"/>
      <c r="CR109" s="425"/>
      <c r="CS109" s="425"/>
      <c r="CT109" s="425"/>
      <c r="CU109" s="425"/>
      <c r="CV109" s="425"/>
    </row>
    <row r="110" spans="1:100">
      <c r="A110" s="554"/>
      <c r="B110" s="442"/>
      <c r="C110" s="442"/>
      <c r="D110" s="442"/>
      <c r="E110" s="442"/>
      <c r="F110" s="442"/>
      <c r="G110" s="442"/>
      <c r="H110" s="549"/>
      <c r="I110" s="549"/>
      <c r="J110" s="549"/>
      <c r="K110" s="549"/>
      <c r="L110" s="549"/>
      <c r="M110" s="549"/>
      <c r="N110" s="549"/>
      <c r="O110" s="549"/>
      <c r="P110" s="549"/>
      <c r="Q110" s="549"/>
      <c r="R110" s="549"/>
      <c r="S110" s="549"/>
      <c r="T110" s="549"/>
      <c r="U110" s="424"/>
      <c r="V110" s="424"/>
      <c r="W110" s="425"/>
      <c r="X110" s="425"/>
      <c r="Y110" s="425"/>
      <c r="Z110" s="425"/>
      <c r="AA110" s="425"/>
      <c r="AH110" s="425"/>
      <c r="AI110" s="425"/>
      <c r="AJ110" s="425"/>
      <c r="AK110" s="425"/>
      <c r="AL110" s="425"/>
      <c r="AM110" s="425"/>
      <c r="AN110" s="428"/>
      <c r="AO110" s="425"/>
      <c r="AP110" s="425"/>
      <c r="AQ110" s="425"/>
      <c r="AR110" s="425"/>
      <c r="AS110" s="425"/>
      <c r="AT110" s="425"/>
      <c r="AU110" s="425"/>
      <c r="AV110" s="425"/>
      <c r="AW110" s="425"/>
      <c r="AX110" s="425"/>
      <c r="AY110" s="425"/>
      <c r="AZ110" s="425"/>
      <c r="BA110" s="425"/>
      <c r="BB110" s="425"/>
      <c r="BC110" s="425"/>
      <c r="BD110" s="425"/>
      <c r="BE110" s="425"/>
      <c r="BF110" s="425"/>
      <c r="BG110" s="426"/>
      <c r="BH110" s="428"/>
      <c r="BI110" s="425"/>
      <c r="BJ110" s="425"/>
      <c r="BK110" s="425"/>
      <c r="BL110" s="425"/>
      <c r="BM110" s="425"/>
      <c r="BN110" s="425"/>
      <c r="BO110" s="425"/>
      <c r="BP110" s="425"/>
      <c r="BQ110" s="425"/>
      <c r="BR110" s="425"/>
      <c r="BS110" s="425"/>
      <c r="BT110" s="425"/>
      <c r="BU110" s="425"/>
      <c r="BV110" s="425"/>
      <c r="BW110" s="425"/>
      <c r="BX110" s="425"/>
      <c r="BY110" s="425"/>
      <c r="BZ110" s="425"/>
      <c r="CA110" s="425"/>
      <c r="CB110" s="425"/>
      <c r="CC110" s="425"/>
      <c r="CD110" s="425"/>
      <c r="CE110" s="425"/>
      <c r="CF110" s="425"/>
      <c r="CG110" s="425"/>
      <c r="CH110" s="425"/>
      <c r="CI110" s="425"/>
      <c r="CJ110" s="425"/>
      <c r="CK110" s="425"/>
      <c r="CL110" s="425"/>
      <c r="CM110" s="425"/>
      <c r="CN110" s="425"/>
      <c r="CO110" s="425"/>
      <c r="CP110" s="425"/>
      <c r="CQ110" s="425"/>
      <c r="CR110" s="425"/>
      <c r="CS110" s="425"/>
      <c r="CT110" s="425"/>
      <c r="CU110" s="425"/>
      <c r="CV110" s="425"/>
    </row>
    <row r="111" spans="1:100">
      <c r="A111" s="554"/>
      <c r="B111" s="442"/>
      <c r="C111" s="442"/>
      <c r="D111" s="442"/>
      <c r="E111" s="442"/>
      <c r="F111" s="442"/>
      <c r="G111" s="442"/>
      <c r="H111" s="549"/>
      <c r="I111" s="549"/>
      <c r="J111" s="549"/>
      <c r="K111" s="549"/>
      <c r="L111" s="549"/>
      <c r="M111" s="549"/>
      <c r="N111" s="549"/>
      <c r="O111" s="549"/>
      <c r="P111" s="549"/>
      <c r="Q111" s="549"/>
      <c r="R111" s="549"/>
      <c r="S111" s="549"/>
      <c r="T111" s="549"/>
      <c r="U111" s="424"/>
      <c r="V111" s="424"/>
      <c r="W111" s="425"/>
      <c r="X111" s="425"/>
      <c r="Y111" s="425"/>
      <c r="Z111" s="425"/>
      <c r="AA111" s="425"/>
      <c r="AH111" s="425"/>
      <c r="AI111" s="425"/>
      <c r="AJ111" s="425"/>
      <c r="AK111" s="425"/>
      <c r="AL111" s="425"/>
      <c r="AM111" s="425"/>
      <c r="AN111" s="428"/>
      <c r="AO111" s="425"/>
      <c r="AP111" s="425"/>
      <c r="AQ111" s="425"/>
      <c r="AR111" s="425"/>
      <c r="AS111" s="425"/>
      <c r="AT111" s="425"/>
      <c r="AU111" s="425"/>
      <c r="AV111" s="425"/>
      <c r="AW111" s="425"/>
      <c r="AX111" s="425"/>
      <c r="AY111" s="425"/>
      <c r="AZ111" s="425"/>
      <c r="BA111" s="425"/>
      <c r="BB111" s="425"/>
      <c r="BC111" s="425"/>
      <c r="BD111" s="425"/>
      <c r="BE111" s="425"/>
      <c r="BF111" s="425"/>
      <c r="BG111" s="426"/>
      <c r="BH111" s="428"/>
      <c r="BI111" s="425"/>
      <c r="BJ111" s="425"/>
      <c r="BK111" s="425"/>
      <c r="BL111" s="425"/>
      <c r="BM111" s="425"/>
      <c r="BN111" s="425"/>
      <c r="BO111" s="425"/>
      <c r="BP111" s="425"/>
      <c r="BQ111" s="425"/>
      <c r="BR111" s="425"/>
      <c r="BS111" s="425"/>
      <c r="BT111" s="425"/>
      <c r="BU111" s="425"/>
      <c r="BV111" s="425"/>
      <c r="BW111" s="425"/>
      <c r="BX111" s="425"/>
      <c r="BY111" s="425"/>
      <c r="BZ111" s="425"/>
      <c r="CA111" s="425"/>
      <c r="CB111" s="425"/>
      <c r="CC111" s="425"/>
      <c r="CD111" s="425"/>
      <c r="CE111" s="425"/>
      <c r="CF111" s="425"/>
      <c r="CG111" s="425"/>
      <c r="CH111" s="425"/>
      <c r="CI111" s="425"/>
      <c r="CJ111" s="425"/>
      <c r="CK111" s="425"/>
      <c r="CL111" s="425"/>
      <c r="CM111" s="425"/>
      <c r="CN111" s="425"/>
      <c r="CO111" s="425"/>
      <c r="CP111" s="425"/>
      <c r="CQ111" s="425"/>
      <c r="CR111" s="425"/>
      <c r="CS111" s="425"/>
      <c r="CT111" s="425"/>
      <c r="CU111" s="425"/>
      <c r="CV111" s="425"/>
    </row>
    <row r="112" spans="1:100">
      <c r="A112" s="554"/>
      <c r="B112" s="442"/>
      <c r="C112" s="442"/>
      <c r="D112" s="442"/>
      <c r="E112" s="442"/>
      <c r="F112" s="442"/>
      <c r="G112" s="442"/>
      <c r="H112" s="549"/>
      <c r="I112" s="549"/>
      <c r="J112" s="549"/>
      <c r="K112" s="549"/>
      <c r="L112" s="549"/>
      <c r="M112" s="549"/>
      <c r="N112" s="549"/>
      <c r="O112" s="549"/>
      <c r="P112" s="549"/>
      <c r="Q112" s="549"/>
      <c r="R112" s="549"/>
      <c r="S112" s="549"/>
      <c r="T112" s="549"/>
      <c r="U112" s="424"/>
      <c r="V112" s="424"/>
      <c r="W112" s="425"/>
      <c r="X112" s="425"/>
      <c r="Y112" s="425"/>
      <c r="Z112" s="425"/>
      <c r="AA112" s="425"/>
      <c r="AH112" s="425"/>
      <c r="AI112" s="425"/>
      <c r="AJ112" s="425"/>
      <c r="AK112" s="425"/>
      <c r="AL112" s="425"/>
      <c r="AM112" s="425"/>
      <c r="AN112" s="428"/>
      <c r="AO112" s="425"/>
      <c r="AP112" s="425"/>
      <c r="AQ112" s="425"/>
      <c r="AR112" s="425"/>
      <c r="AS112" s="425"/>
      <c r="AT112" s="425"/>
      <c r="AU112" s="425"/>
      <c r="AV112" s="425"/>
      <c r="AW112" s="425"/>
      <c r="AX112" s="425"/>
      <c r="AY112" s="425"/>
      <c r="AZ112" s="425"/>
      <c r="BA112" s="425"/>
      <c r="BB112" s="425"/>
      <c r="BC112" s="425"/>
      <c r="BD112" s="425"/>
      <c r="BE112" s="425"/>
      <c r="BF112" s="425"/>
      <c r="BG112" s="426"/>
      <c r="BH112" s="428"/>
      <c r="BI112" s="425"/>
      <c r="BJ112" s="425"/>
      <c r="BK112" s="425"/>
      <c r="BL112" s="425"/>
      <c r="BM112" s="425"/>
      <c r="BN112" s="425"/>
      <c r="BO112" s="425"/>
      <c r="BP112" s="425"/>
      <c r="BQ112" s="425"/>
      <c r="BR112" s="425"/>
      <c r="BS112" s="425"/>
      <c r="BT112" s="425"/>
      <c r="BU112" s="425"/>
      <c r="BV112" s="425"/>
      <c r="BW112" s="425"/>
      <c r="BX112" s="425"/>
      <c r="BY112" s="425"/>
      <c r="BZ112" s="425"/>
      <c r="CA112" s="425"/>
      <c r="CB112" s="425"/>
      <c r="CC112" s="425"/>
      <c r="CD112" s="425"/>
      <c r="CE112" s="425"/>
      <c r="CF112" s="425"/>
      <c r="CG112" s="425"/>
      <c r="CH112" s="425"/>
      <c r="CI112" s="425"/>
      <c r="CJ112" s="425"/>
      <c r="CK112" s="425"/>
      <c r="CL112" s="425"/>
      <c r="CM112" s="425"/>
      <c r="CN112" s="425"/>
      <c r="CO112" s="425"/>
      <c r="CP112" s="425"/>
      <c r="CQ112" s="425"/>
      <c r="CR112" s="425"/>
      <c r="CS112" s="425"/>
      <c r="CT112" s="425"/>
      <c r="CU112" s="425"/>
      <c r="CV112" s="425"/>
    </row>
    <row r="113" spans="1:100">
      <c r="A113" s="554"/>
      <c r="B113" s="442"/>
      <c r="C113" s="442"/>
      <c r="D113" s="442"/>
      <c r="E113" s="442"/>
      <c r="F113" s="442"/>
      <c r="G113" s="442"/>
      <c r="H113" s="549"/>
      <c r="I113" s="549"/>
      <c r="J113" s="549"/>
      <c r="K113" s="549"/>
      <c r="L113" s="549"/>
      <c r="M113" s="549"/>
      <c r="N113" s="549"/>
      <c r="O113" s="549"/>
      <c r="P113" s="549"/>
      <c r="Q113" s="549"/>
      <c r="R113" s="549"/>
      <c r="S113" s="549"/>
      <c r="T113" s="549"/>
      <c r="U113" s="424"/>
      <c r="V113" s="424"/>
      <c r="W113" s="425"/>
      <c r="X113" s="425"/>
      <c r="Y113" s="425"/>
      <c r="Z113" s="425"/>
      <c r="AA113" s="425"/>
      <c r="AH113" s="425"/>
      <c r="AI113" s="425"/>
      <c r="AJ113" s="425"/>
      <c r="AK113" s="425"/>
      <c r="AL113" s="425"/>
      <c r="AM113" s="425"/>
      <c r="AN113" s="428"/>
      <c r="AO113" s="425"/>
      <c r="AP113" s="425"/>
      <c r="AQ113" s="425"/>
      <c r="AR113" s="425"/>
      <c r="AS113" s="425"/>
      <c r="AT113" s="425"/>
      <c r="AU113" s="425"/>
      <c r="AV113" s="425"/>
      <c r="AW113" s="425"/>
      <c r="AX113" s="425"/>
      <c r="AY113" s="425"/>
      <c r="AZ113" s="425"/>
      <c r="BA113" s="425"/>
      <c r="BB113" s="425"/>
      <c r="BC113" s="425"/>
      <c r="BD113" s="425"/>
      <c r="BE113" s="425"/>
      <c r="BF113" s="425"/>
      <c r="BG113" s="426"/>
      <c r="BH113" s="428"/>
      <c r="BI113" s="425"/>
      <c r="BJ113" s="425"/>
      <c r="BK113" s="425"/>
      <c r="BL113" s="425"/>
      <c r="BM113" s="425"/>
      <c r="BN113" s="425"/>
      <c r="BO113" s="425"/>
      <c r="BP113" s="425"/>
      <c r="BQ113" s="425"/>
      <c r="BR113" s="425"/>
      <c r="BS113" s="425"/>
      <c r="BT113" s="425"/>
      <c r="BU113" s="425"/>
      <c r="BV113" s="425"/>
      <c r="BW113" s="425"/>
      <c r="BX113" s="425"/>
      <c r="BY113" s="425"/>
      <c r="BZ113" s="425"/>
      <c r="CA113" s="425"/>
      <c r="CB113" s="425"/>
      <c r="CC113" s="425"/>
      <c r="CD113" s="425"/>
      <c r="CE113" s="425"/>
      <c r="CF113" s="425"/>
      <c r="CG113" s="425"/>
      <c r="CH113" s="425"/>
      <c r="CI113" s="425"/>
      <c r="CJ113" s="425"/>
      <c r="CK113" s="425"/>
      <c r="CL113" s="425"/>
      <c r="CM113" s="425"/>
      <c r="CN113" s="425"/>
      <c r="CO113" s="425"/>
      <c r="CP113" s="425"/>
      <c r="CQ113" s="425"/>
      <c r="CR113" s="425"/>
      <c r="CS113" s="425"/>
      <c r="CT113" s="425"/>
      <c r="CU113" s="425"/>
      <c r="CV113" s="425"/>
    </row>
    <row r="114" spans="1:100">
      <c r="A114" s="554"/>
      <c r="B114" s="442"/>
      <c r="C114" s="442"/>
      <c r="D114" s="442"/>
      <c r="E114" s="442"/>
      <c r="F114" s="442"/>
      <c r="G114" s="442"/>
      <c r="H114" s="549"/>
      <c r="I114" s="549"/>
      <c r="J114" s="549"/>
      <c r="K114" s="549"/>
      <c r="L114" s="549"/>
      <c r="M114" s="549"/>
      <c r="N114" s="549"/>
      <c r="O114" s="549"/>
      <c r="P114" s="549"/>
      <c r="Q114" s="549"/>
      <c r="R114" s="549"/>
      <c r="S114" s="549"/>
      <c r="T114" s="549"/>
      <c r="U114" s="424"/>
      <c r="V114" s="424"/>
      <c r="W114" s="425"/>
      <c r="X114" s="425"/>
      <c r="Y114" s="425"/>
      <c r="Z114" s="425"/>
      <c r="AA114" s="425"/>
      <c r="AH114" s="425"/>
      <c r="AI114" s="425"/>
      <c r="AJ114" s="425"/>
      <c r="AK114" s="425"/>
      <c r="AL114" s="425"/>
      <c r="AM114" s="425"/>
      <c r="AN114" s="428"/>
      <c r="AO114" s="425"/>
      <c r="AP114" s="425"/>
      <c r="AQ114" s="425"/>
      <c r="AR114" s="425"/>
      <c r="AS114" s="425"/>
      <c r="AT114" s="425"/>
      <c r="AU114" s="425"/>
      <c r="AV114" s="425"/>
      <c r="AW114" s="425"/>
      <c r="AX114" s="425"/>
      <c r="AY114" s="425"/>
      <c r="AZ114" s="425"/>
      <c r="BA114" s="425"/>
      <c r="BB114" s="425"/>
      <c r="BC114" s="425"/>
      <c r="BD114" s="425"/>
      <c r="BE114" s="425"/>
      <c r="BF114" s="425"/>
      <c r="BG114" s="426"/>
      <c r="BH114" s="428"/>
      <c r="BI114" s="425"/>
      <c r="BJ114" s="425"/>
      <c r="BK114" s="425"/>
      <c r="BL114" s="425"/>
      <c r="BM114" s="425"/>
      <c r="BN114" s="425"/>
      <c r="BO114" s="425"/>
      <c r="BP114" s="425"/>
      <c r="BQ114" s="425"/>
      <c r="BR114" s="425"/>
      <c r="BS114" s="425"/>
      <c r="BT114" s="425"/>
      <c r="BU114" s="425"/>
      <c r="BV114" s="425"/>
      <c r="BW114" s="425"/>
      <c r="BX114" s="425"/>
      <c r="BY114" s="425"/>
      <c r="BZ114" s="425"/>
      <c r="CA114" s="425"/>
      <c r="CB114" s="425"/>
      <c r="CC114" s="425"/>
      <c r="CD114" s="425"/>
      <c r="CE114" s="425"/>
      <c r="CF114" s="425"/>
      <c r="CG114" s="425"/>
      <c r="CH114" s="425"/>
      <c r="CI114" s="425"/>
      <c r="CJ114" s="425"/>
      <c r="CK114" s="425"/>
      <c r="CL114" s="425"/>
      <c r="CM114" s="425"/>
      <c r="CN114" s="425"/>
      <c r="CO114" s="425"/>
      <c r="CP114" s="425"/>
      <c r="CQ114" s="425"/>
      <c r="CR114" s="425"/>
      <c r="CS114" s="425"/>
      <c r="CT114" s="425"/>
      <c r="CU114" s="425"/>
      <c r="CV114" s="425"/>
    </row>
    <row r="115" spans="1:100">
      <c r="A115" s="554"/>
      <c r="B115" s="442"/>
      <c r="C115" s="442"/>
      <c r="D115" s="442"/>
      <c r="E115" s="442"/>
      <c r="F115" s="442"/>
      <c r="G115" s="442"/>
      <c r="H115" s="549"/>
      <c r="I115" s="549"/>
      <c r="J115" s="549"/>
      <c r="K115" s="549"/>
      <c r="L115" s="549"/>
      <c r="M115" s="549"/>
      <c r="N115" s="549"/>
      <c r="O115" s="549"/>
      <c r="P115" s="549"/>
      <c r="Q115" s="549"/>
      <c r="R115" s="549"/>
      <c r="S115" s="549"/>
      <c r="T115" s="549"/>
      <c r="U115" s="424"/>
      <c r="V115" s="424"/>
      <c r="W115" s="425"/>
      <c r="X115" s="425"/>
      <c r="Y115" s="425"/>
      <c r="Z115" s="425"/>
      <c r="AA115" s="425"/>
      <c r="AH115" s="425"/>
      <c r="AI115" s="425"/>
      <c r="AJ115" s="425"/>
      <c r="AK115" s="425"/>
      <c r="AL115" s="425"/>
      <c r="AM115" s="425"/>
      <c r="AN115" s="428"/>
      <c r="AO115" s="425"/>
      <c r="AP115" s="425"/>
      <c r="AQ115" s="425"/>
      <c r="AR115" s="425"/>
      <c r="AS115" s="425"/>
      <c r="AT115" s="425"/>
      <c r="AU115" s="425"/>
      <c r="AV115" s="425"/>
      <c r="AW115" s="425"/>
      <c r="AX115" s="425"/>
      <c r="AY115" s="425"/>
      <c r="AZ115" s="425"/>
      <c r="BA115" s="425"/>
      <c r="BB115" s="425"/>
      <c r="BC115" s="425"/>
      <c r="BD115" s="425"/>
      <c r="BE115" s="425"/>
      <c r="BF115" s="425"/>
      <c r="BG115" s="426"/>
      <c r="BH115" s="428"/>
      <c r="BI115" s="425"/>
      <c r="BJ115" s="425"/>
      <c r="BK115" s="425"/>
      <c r="BL115" s="425"/>
      <c r="BM115" s="425"/>
      <c r="BN115" s="425"/>
      <c r="BO115" s="425"/>
      <c r="BP115" s="425"/>
      <c r="BQ115" s="425"/>
      <c r="BR115" s="425"/>
      <c r="BS115" s="425"/>
      <c r="BT115" s="425"/>
      <c r="BU115" s="425"/>
      <c r="BV115" s="425"/>
      <c r="BW115" s="425"/>
      <c r="BX115" s="425"/>
      <c r="BY115" s="425"/>
      <c r="BZ115" s="425"/>
      <c r="CA115" s="425"/>
      <c r="CB115" s="425"/>
      <c r="CC115" s="425"/>
      <c r="CD115" s="425"/>
      <c r="CE115" s="425"/>
      <c r="CF115" s="425"/>
      <c r="CG115" s="425"/>
      <c r="CH115" s="425"/>
      <c r="CI115" s="425"/>
      <c r="CJ115" s="425"/>
      <c r="CK115" s="425"/>
      <c r="CL115" s="425"/>
      <c r="CM115" s="425"/>
      <c r="CN115" s="425"/>
      <c r="CO115" s="425"/>
      <c r="CP115" s="425"/>
      <c r="CQ115" s="425"/>
      <c r="CR115" s="425"/>
      <c r="CS115" s="425"/>
      <c r="CT115" s="425"/>
      <c r="CU115" s="425"/>
      <c r="CV115" s="425"/>
    </row>
    <row r="116" spans="1:100">
      <c r="A116" s="554"/>
      <c r="B116" s="442"/>
      <c r="C116" s="442"/>
      <c r="D116" s="442"/>
      <c r="E116" s="442"/>
      <c r="F116" s="442"/>
      <c r="G116" s="442"/>
      <c r="H116" s="549"/>
      <c r="I116" s="549"/>
      <c r="J116" s="549"/>
      <c r="K116" s="549"/>
      <c r="L116" s="549"/>
      <c r="M116" s="549"/>
      <c r="N116" s="549"/>
      <c r="O116" s="549"/>
      <c r="P116" s="549"/>
      <c r="Q116" s="549"/>
      <c r="R116" s="549"/>
      <c r="S116" s="549"/>
      <c r="T116" s="549"/>
      <c r="U116" s="424"/>
      <c r="V116" s="424"/>
      <c r="W116" s="425"/>
      <c r="X116" s="425"/>
      <c r="Y116" s="425"/>
      <c r="Z116" s="425"/>
      <c r="AA116" s="425"/>
      <c r="AH116" s="425"/>
      <c r="AI116" s="425"/>
      <c r="AJ116" s="425"/>
      <c r="AK116" s="425"/>
      <c r="AL116" s="425"/>
      <c r="AM116" s="425"/>
      <c r="AN116" s="428"/>
      <c r="AO116" s="425"/>
      <c r="AP116" s="425"/>
      <c r="AQ116" s="425"/>
      <c r="AR116" s="425"/>
      <c r="AS116" s="425"/>
      <c r="AT116" s="425"/>
      <c r="AU116" s="425"/>
      <c r="AV116" s="425"/>
      <c r="AW116" s="425"/>
      <c r="AX116" s="425"/>
      <c r="AY116" s="425"/>
      <c r="AZ116" s="425"/>
      <c r="BA116" s="425"/>
      <c r="BB116" s="425"/>
      <c r="BC116" s="425"/>
      <c r="BD116" s="425"/>
      <c r="BE116" s="425"/>
      <c r="BF116" s="425"/>
      <c r="BG116" s="426"/>
      <c r="BH116" s="428"/>
      <c r="BI116" s="425"/>
      <c r="BJ116" s="425"/>
      <c r="BK116" s="425"/>
      <c r="BL116" s="425"/>
      <c r="BM116" s="425"/>
      <c r="BN116" s="425"/>
      <c r="BO116" s="425"/>
      <c r="BP116" s="425"/>
      <c r="BQ116" s="425"/>
      <c r="BR116" s="425"/>
      <c r="BS116" s="425"/>
      <c r="BT116" s="425"/>
      <c r="BU116" s="425"/>
      <c r="BV116" s="425"/>
      <c r="BW116" s="425"/>
      <c r="BX116" s="425"/>
      <c r="BY116" s="425"/>
      <c r="BZ116" s="425"/>
      <c r="CA116" s="425"/>
      <c r="CB116" s="425"/>
      <c r="CC116" s="425"/>
      <c r="CD116" s="425"/>
      <c r="CE116" s="425"/>
      <c r="CF116" s="425"/>
      <c r="CG116" s="425"/>
      <c r="CH116" s="425"/>
      <c r="CI116" s="425"/>
      <c r="CJ116" s="425"/>
      <c r="CK116" s="425"/>
      <c r="CL116" s="425"/>
      <c r="CM116" s="425"/>
      <c r="CN116" s="425"/>
      <c r="CO116" s="425"/>
      <c r="CP116" s="425"/>
      <c r="CQ116" s="425"/>
      <c r="CR116" s="425"/>
      <c r="CS116" s="425"/>
      <c r="CT116" s="425"/>
      <c r="CU116" s="425"/>
      <c r="CV116" s="425"/>
    </row>
    <row r="117" spans="1:100">
      <c r="A117" s="554"/>
      <c r="B117" s="442"/>
      <c r="C117" s="442"/>
      <c r="D117" s="442"/>
      <c r="E117" s="442"/>
      <c r="F117" s="442"/>
      <c r="G117" s="442"/>
      <c r="H117" s="549"/>
      <c r="I117" s="549"/>
      <c r="J117" s="549"/>
      <c r="K117" s="549"/>
      <c r="L117" s="549"/>
      <c r="M117" s="549"/>
      <c r="N117" s="549"/>
      <c r="O117" s="549"/>
      <c r="P117" s="549"/>
      <c r="Q117" s="549"/>
      <c r="R117" s="549"/>
      <c r="S117" s="549"/>
      <c r="T117" s="549"/>
      <c r="U117" s="424"/>
      <c r="V117" s="424"/>
      <c r="W117" s="425"/>
      <c r="X117" s="425"/>
      <c r="Y117" s="425"/>
      <c r="Z117" s="425"/>
      <c r="AA117" s="425"/>
      <c r="AH117" s="425"/>
      <c r="AI117" s="425"/>
      <c r="AJ117" s="425"/>
      <c r="AK117" s="425"/>
      <c r="AL117" s="425"/>
      <c r="AM117" s="425"/>
      <c r="AN117" s="428"/>
      <c r="AO117" s="425"/>
      <c r="AP117" s="425"/>
      <c r="AQ117" s="425"/>
      <c r="AR117" s="425"/>
      <c r="AS117" s="425"/>
      <c r="AT117" s="425"/>
      <c r="AU117" s="425"/>
      <c r="AV117" s="425"/>
      <c r="AW117" s="425"/>
      <c r="AX117" s="425"/>
      <c r="AY117" s="425"/>
      <c r="AZ117" s="425"/>
      <c r="BA117" s="425"/>
      <c r="BB117" s="425"/>
      <c r="BC117" s="425"/>
      <c r="BD117" s="425"/>
      <c r="BE117" s="425"/>
      <c r="BF117" s="425"/>
      <c r="BG117" s="426"/>
      <c r="BH117" s="428"/>
      <c r="BI117" s="425"/>
      <c r="BJ117" s="425"/>
      <c r="BK117" s="425"/>
      <c r="BL117" s="425"/>
      <c r="BM117" s="425"/>
      <c r="BN117" s="425"/>
      <c r="BO117" s="425"/>
      <c r="BP117" s="425"/>
      <c r="BQ117" s="425"/>
      <c r="BR117" s="425"/>
      <c r="BS117" s="425"/>
      <c r="BT117" s="425"/>
      <c r="BU117" s="425"/>
      <c r="BV117" s="425"/>
      <c r="BW117" s="425"/>
      <c r="BX117" s="425"/>
      <c r="BY117" s="425"/>
      <c r="BZ117" s="425"/>
      <c r="CA117" s="425"/>
      <c r="CB117" s="425"/>
      <c r="CC117" s="425"/>
      <c r="CD117" s="425"/>
      <c r="CE117" s="425"/>
      <c r="CF117" s="425"/>
      <c r="CG117" s="425"/>
      <c r="CH117" s="425"/>
      <c r="CI117" s="425"/>
      <c r="CJ117" s="425"/>
      <c r="CK117" s="425"/>
      <c r="CL117" s="425"/>
      <c r="CM117" s="425"/>
      <c r="CN117" s="425"/>
      <c r="CO117" s="425"/>
      <c r="CP117" s="425"/>
      <c r="CQ117" s="425"/>
      <c r="CR117" s="425"/>
      <c r="CS117" s="425"/>
      <c r="CT117" s="425"/>
      <c r="CU117" s="425"/>
      <c r="CV117" s="425"/>
    </row>
    <row r="118" spans="1:100">
      <c r="A118" s="554"/>
      <c r="B118" s="442"/>
      <c r="C118" s="442"/>
      <c r="D118" s="442"/>
      <c r="E118" s="442"/>
      <c r="F118" s="442"/>
      <c r="G118" s="442"/>
      <c r="H118" s="549"/>
      <c r="I118" s="549"/>
      <c r="J118" s="549"/>
      <c r="K118" s="549"/>
      <c r="L118" s="549"/>
      <c r="M118" s="549"/>
      <c r="N118" s="549"/>
      <c r="O118" s="549"/>
      <c r="P118" s="549"/>
      <c r="Q118" s="549"/>
      <c r="R118" s="549"/>
      <c r="S118" s="549"/>
      <c r="T118" s="549"/>
      <c r="U118" s="424"/>
      <c r="V118" s="424"/>
      <c r="W118" s="425"/>
      <c r="X118" s="425"/>
      <c r="Y118" s="425"/>
      <c r="Z118" s="425"/>
      <c r="AA118" s="425"/>
      <c r="AH118" s="425"/>
      <c r="AI118" s="425"/>
      <c r="AJ118" s="425"/>
      <c r="AK118" s="425"/>
      <c r="AL118" s="425"/>
      <c r="AM118" s="425"/>
      <c r="AN118" s="428"/>
      <c r="AO118" s="425"/>
      <c r="AP118" s="425"/>
      <c r="AQ118" s="425"/>
      <c r="AR118" s="425"/>
      <c r="AS118" s="425"/>
      <c r="AT118" s="425"/>
      <c r="AU118" s="425"/>
      <c r="AV118" s="425"/>
      <c r="AW118" s="425"/>
      <c r="AX118" s="425"/>
      <c r="AY118" s="425"/>
      <c r="AZ118" s="425"/>
      <c r="BA118" s="425"/>
      <c r="BB118" s="425"/>
      <c r="BC118" s="425"/>
      <c r="BD118" s="425"/>
      <c r="BE118" s="425"/>
      <c r="BF118" s="425"/>
      <c r="BG118" s="426"/>
      <c r="BH118" s="428"/>
      <c r="BI118" s="425"/>
      <c r="BJ118" s="425"/>
      <c r="BK118" s="425"/>
      <c r="BL118" s="425"/>
      <c r="BM118" s="425"/>
      <c r="BN118" s="425"/>
      <c r="BO118" s="425"/>
      <c r="BP118" s="425"/>
      <c r="BQ118" s="425"/>
      <c r="BR118" s="425"/>
      <c r="BS118" s="425"/>
      <c r="BT118" s="425"/>
      <c r="BU118" s="425"/>
      <c r="BV118" s="425"/>
      <c r="BW118" s="425"/>
      <c r="BX118" s="425"/>
      <c r="BY118" s="425"/>
      <c r="BZ118" s="425"/>
      <c r="CA118" s="425"/>
      <c r="CB118" s="425"/>
      <c r="CC118" s="425"/>
      <c r="CD118" s="425"/>
      <c r="CE118" s="425"/>
      <c r="CF118" s="425"/>
      <c r="CG118" s="425"/>
      <c r="CH118" s="425"/>
      <c r="CI118" s="425"/>
      <c r="CJ118" s="425"/>
      <c r="CK118" s="425"/>
      <c r="CL118" s="425"/>
      <c r="CM118" s="425"/>
      <c r="CN118" s="425"/>
      <c r="CO118" s="425"/>
      <c r="CP118" s="425"/>
      <c r="CQ118" s="425"/>
      <c r="CR118" s="425"/>
      <c r="CS118" s="425"/>
      <c r="CT118" s="425"/>
      <c r="CU118" s="425"/>
      <c r="CV118" s="425"/>
    </row>
    <row r="119" spans="1:100">
      <c r="A119" s="554"/>
      <c r="B119" s="442"/>
      <c r="C119" s="442"/>
      <c r="D119" s="442"/>
      <c r="E119" s="442"/>
      <c r="F119" s="442"/>
      <c r="G119" s="442"/>
      <c r="H119" s="549"/>
      <c r="I119" s="549"/>
      <c r="J119" s="549"/>
      <c r="K119" s="549"/>
      <c r="L119" s="549"/>
      <c r="M119" s="549"/>
      <c r="N119" s="549"/>
      <c r="O119" s="549"/>
      <c r="P119" s="549"/>
      <c r="Q119" s="549"/>
      <c r="R119" s="549"/>
      <c r="S119" s="549"/>
      <c r="T119" s="549"/>
      <c r="U119" s="424"/>
      <c r="V119" s="424"/>
      <c r="W119" s="425"/>
      <c r="X119" s="425"/>
      <c r="Y119" s="425"/>
      <c r="Z119" s="425"/>
      <c r="AA119" s="425"/>
      <c r="AH119" s="425"/>
      <c r="AI119" s="425"/>
      <c r="AJ119" s="425"/>
      <c r="AK119" s="425"/>
      <c r="AL119" s="425"/>
      <c r="AM119" s="425"/>
      <c r="AN119" s="428"/>
      <c r="AO119" s="425"/>
      <c r="AP119" s="425"/>
      <c r="AQ119" s="425"/>
      <c r="AR119" s="425"/>
      <c r="AS119" s="425"/>
      <c r="AT119" s="425"/>
      <c r="AU119" s="425"/>
      <c r="AV119" s="425"/>
      <c r="AW119" s="425"/>
      <c r="AX119" s="425"/>
      <c r="AY119" s="425"/>
      <c r="AZ119" s="425"/>
      <c r="BA119" s="425"/>
      <c r="BB119" s="425"/>
      <c r="BC119" s="425"/>
      <c r="BD119" s="425"/>
      <c r="BE119" s="425"/>
      <c r="BF119" s="425"/>
      <c r="BG119" s="426"/>
      <c r="BH119" s="428"/>
      <c r="BI119" s="425"/>
      <c r="BJ119" s="425"/>
      <c r="BK119" s="425"/>
      <c r="BL119" s="425"/>
      <c r="BM119" s="425"/>
      <c r="BN119" s="425"/>
      <c r="BO119" s="425"/>
      <c r="BP119" s="425"/>
      <c r="BQ119" s="425"/>
      <c r="BR119" s="425"/>
      <c r="BS119" s="425"/>
      <c r="BT119" s="425"/>
      <c r="BU119" s="425"/>
      <c r="BV119" s="425"/>
      <c r="BW119" s="425"/>
      <c r="BX119" s="425"/>
      <c r="BY119" s="425"/>
      <c r="BZ119" s="425"/>
      <c r="CA119" s="425"/>
      <c r="CB119" s="425"/>
      <c r="CC119" s="425"/>
      <c r="CD119" s="425"/>
      <c r="CE119" s="425"/>
      <c r="CF119" s="425"/>
      <c r="CG119" s="425"/>
      <c r="CH119" s="425"/>
      <c r="CI119" s="425"/>
      <c r="CJ119" s="425"/>
      <c r="CK119" s="425"/>
      <c r="CL119" s="425"/>
      <c r="CM119" s="425"/>
      <c r="CN119" s="425"/>
      <c r="CO119" s="425"/>
      <c r="CP119" s="425"/>
      <c r="CQ119" s="425"/>
      <c r="CR119" s="425"/>
      <c r="CS119" s="425"/>
      <c r="CT119" s="425"/>
      <c r="CU119" s="425"/>
      <c r="CV119" s="425"/>
    </row>
    <row r="120" spans="1:100">
      <c r="A120" s="554"/>
      <c r="B120" s="442"/>
      <c r="C120" s="442"/>
      <c r="D120" s="442"/>
      <c r="E120" s="442"/>
      <c r="F120" s="442"/>
      <c r="G120" s="442"/>
      <c r="H120" s="549"/>
      <c r="I120" s="549"/>
      <c r="J120" s="549"/>
      <c r="K120" s="549"/>
      <c r="L120" s="549"/>
      <c r="M120" s="549"/>
      <c r="N120" s="549"/>
      <c r="O120" s="549"/>
      <c r="P120" s="549"/>
      <c r="Q120" s="549"/>
      <c r="R120" s="549"/>
      <c r="S120" s="549"/>
      <c r="T120" s="549"/>
      <c r="U120" s="424"/>
      <c r="V120" s="424"/>
      <c r="W120" s="425"/>
      <c r="X120" s="425"/>
      <c r="Y120" s="425"/>
      <c r="Z120" s="425"/>
      <c r="AA120" s="425"/>
      <c r="AH120" s="425"/>
      <c r="AI120" s="425"/>
      <c r="AJ120" s="425"/>
      <c r="AK120" s="425"/>
      <c r="AL120" s="425"/>
      <c r="AM120" s="425"/>
      <c r="AN120" s="428"/>
      <c r="AO120" s="425"/>
      <c r="AP120" s="425"/>
      <c r="AQ120" s="425"/>
      <c r="AR120" s="425"/>
      <c r="AS120" s="425"/>
      <c r="AT120" s="425"/>
      <c r="AU120" s="425"/>
      <c r="AV120" s="425"/>
      <c r="AW120" s="425"/>
      <c r="AX120" s="425"/>
      <c r="AY120" s="425"/>
      <c r="AZ120" s="425"/>
      <c r="BA120" s="425"/>
      <c r="BB120" s="425"/>
      <c r="BC120" s="425"/>
      <c r="BD120" s="425"/>
      <c r="BE120" s="425"/>
      <c r="BF120" s="425"/>
      <c r="BG120" s="426"/>
      <c r="BH120" s="428"/>
      <c r="BI120" s="425"/>
      <c r="BJ120" s="425"/>
      <c r="BK120" s="425"/>
      <c r="BL120" s="425"/>
      <c r="BM120" s="425"/>
      <c r="BN120" s="425"/>
      <c r="BO120" s="425"/>
      <c r="BP120" s="425"/>
      <c r="BQ120" s="425"/>
      <c r="BR120" s="425"/>
      <c r="BS120" s="425"/>
      <c r="BT120" s="425"/>
      <c r="BU120" s="425"/>
      <c r="BV120" s="425"/>
      <c r="BW120" s="425"/>
      <c r="BX120" s="425"/>
      <c r="BY120" s="425"/>
      <c r="BZ120" s="425"/>
      <c r="CA120" s="425"/>
      <c r="CB120" s="425"/>
      <c r="CC120" s="425"/>
      <c r="CD120" s="425"/>
      <c r="CE120" s="425"/>
      <c r="CF120" s="425"/>
      <c r="CG120" s="425"/>
      <c r="CH120" s="425"/>
      <c r="CI120" s="425"/>
      <c r="CJ120" s="425"/>
      <c r="CK120" s="425"/>
      <c r="CL120" s="425"/>
      <c r="CM120" s="425"/>
      <c r="CN120" s="425"/>
      <c r="CO120" s="425"/>
      <c r="CP120" s="425"/>
      <c r="CQ120" s="425"/>
      <c r="CR120" s="425"/>
      <c r="CS120" s="425"/>
      <c r="CT120" s="425"/>
      <c r="CU120" s="425"/>
      <c r="CV120" s="425"/>
    </row>
    <row r="121" spans="1:100">
      <c r="A121" s="554"/>
      <c r="B121" s="442"/>
      <c r="C121" s="442"/>
      <c r="D121" s="442"/>
      <c r="E121" s="442"/>
      <c r="F121" s="442"/>
      <c r="G121" s="442"/>
      <c r="H121" s="549"/>
      <c r="I121" s="549"/>
      <c r="J121" s="549"/>
      <c r="K121" s="549"/>
      <c r="L121" s="549"/>
      <c r="M121" s="549"/>
      <c r="N121" s="549"/>
      <c r="O121" s="549"/>
      <c r="P121" s="549"/>
      <c r="Q121" s="549"/>
      <c r="R121" s="549"/>
      <c r="S121" s="549"/>
      <c r="T121" s="549"/>
      <c r="U121" s="424"/>
      <c r="V121" s="424"/>
      <c r="W121" s="425"/>
      <c r="X121" s="425"/>
      <c r="Y121" s="425"/>
      <c r="Z121" s="425"/>
      <c r="AA121" s="425"/>
      <c r="AH121" s="425"/>
      <c r="AI121" s="425"/>
      <c r="AJ121" s="425"/>
      <c r="AK121" s="425"/>
      <c r="AL121" s="425"/>
      <c r="AM121" s="425"/>
      <c r="AN121" s="428"/>
      <c r="AO121" s="425"/>
      <c r="AP121" s="425"/>
      <c r="AQ121" s="425"/>
      <c r="AR121" s="425"/>
      <c r="AS121" s="425"/>
      <c r="AT121" s="425"/>
      <c r="AU121" s="425"/>
      <c r="AV121" s="425"/>
      <c r="AW121" s="425"/>
      <c r="AX121" s="425"/>
      <c r="AY121" s="425"/>
      <c r="AZ121" s="425"/>
      <c r="BA121" s="425"/>
      <c r="BB121" s="425"/>
      <c r="BC121" s="425"/>
      <c r="BD121" s="425"/>
      <c r="BE121" s="425"/>
      <c r="BF121" s="425"/>
      <c r="BG121" s="426"/>
      <c r="BH121" s="428"/>
      <c r="BI121" s="425"/>
      <c r="BJ121" s="425"/>
      <c r="BK121" s="425"/>
      <c r="BL121" s="425"/>
      <c r="BM121" s="425"/>
      <c r="BN121" s="425"/>
      <c r="BO121" s="425"/>
      <c r="BP121" s="425"/>
      <c r="BQ121" s="425"/>
      <c r="BR121" s="425"/>
      <c r="BS121" s="425"/>
      <c r="BT121" s="425"/>
      <c r="BU121" s="425"/>
      <c r="BV121" s="425"/>
      <c r="BW121" s="425"/>
      <c r="BX121" s="425"/>
      <c r="BY121" s="425"/>
      <c r="BZ121" s="425"/>
      <c r="CA121" s="425"/>
      <c r="CB121" s="425"/>
      <c r="CC121" s="425"/>
      <c r="CD121" s="425"/>
      <c r="CE121" s="425"/>
      <c r="CF121" s="425"/>
      <c r="CG121" s="425"/>
      <c r="CH121" s="425"/>
      <c r="CI121" s="425"/>
      <c r="CJ121" s="425"/>
      <c r="CK121" s="425"/>
      <c r="CL121" s="425"/>
      <c r="CM121" s="425"/>
      <c r="CN121" s="425"/>
      <c r="CO121" s="425"/>
      <c r="CP121" s="425"/>
      <c r="CQ121" s="425"/>
      <c r="CR121" s="425"/>
      <c r="CS121" s="425"/>
      <c r="CT121" s="425"/>
      <c r="CU121" s="425"/>
      <c r="CV121" s="425"/>
    </row>
    <row r="122" spans="1:100">
      <c r="A122" s="554"/>
      <c r="B122" s="442"/>
      <c r="C122" s="442"/>
      <c r="D122" s="442"/>
      <c r="E122" s="442"/>
      <c r="F122" s="442"/>
      <c r="G122" s="442"/>
      <c r="H122" s="549"/>
      <c r="I122" s="549"/>
      <c r="J122" s="549"/>
      <c r="K122" s="549"/>
      <c r="L122" s="549"/>
      <c r="M122" s="549"/>
      <c r="N122" s="549"/>
      <c r="O122" s="549"/>
      <c r="P122" s="549"/>
      <c r="Q122" s="549"/>
      <c r="R122" s="549"/>
      <c r="S122" s="549"/>
      <c r="T122" s="549"/>
      <c r="U122" s="424"/>
      <c r="V122" s="424"/>
      <c r="W122" s="425"/>
      <c r="X122" s="425"/>
      <c r="Y122" s="425"/>
      <c r="Z122" s="425"/>
      <c r="AA122" s="425"/>
      <c r="AH122" s="425"/>
      <c r="AI122" s="425"/>
      <c r="AJ122" s="425"/>
      <c r="AK122" s="425"/>
      <c r="AL122" s="425"/>
      <c r="AM122" s="425"/>
      <c r="AN122" s="428"/>
      <c r="AO122" s="425"/>
      <c r="AP122" s="425"/>
      <c r="AQ122" s="425"/>
      <c r="AR122" s="425"/>
      <c r="AS122" s="425"/>
      <c r="AT122" s="425"/>
      <c r="AU122" s="425"/>
      <c r="AV122" s="425"/>
      <c r="AW122" s="425"/>
      <c r="AX122" s="425"/>
      <c r="AY122" s="425"/>
      <c r="AZ122" s="425"/>
      <c r="BA122" s="425"/>
      <c r="BB122" s="425"/>
      <c r="BC122" s="425"/>
      <c r="BD122" s="425"/>
      <c r="BE122" s="425"/>
      <c r="BF122" s="425"/>
      <c r="BG122" s="426"/>
      <c r="BH122" s="428"/>
      <c r="BI122" s="425"/>
      <c r="BJ122" s="425"/>
      <c r="BK122" s="425"/>
      <c r="BL122" s="425"/>
      <c r="BM122" s="425"/>
      <c r="BN122" s="425"/>
      <c r="BO122" s="425"/>
      <c r="BP122" s="425"/>
      <c r="BQ122" s="425"/>
      <c r="BR122" s="425"/>
      <c r="BS122" s="425"/>
      <c r="BT122" s="425"/>
      <c r="BU122" s="425"/>
      <c r="BV122" s="425"/>
      <c r="BW122" s="425"/>
      <c r="BX122" s="425"/>
      <c r="BY122" s="425"/>
      <c r="BZ122" s="425"/>
      <c r="CA122" s="425"/>
      <c r="CB122" s="425"/>
      <c r="CC122" s="425"/>
      <c r="CD122" s="425"/>
      <c r="CE122" s="425"/>
      <c r="CF122" s="425"/>
      <c r="CG122" s="425"/>
      <c r="CH122" s="425"/>
      <c r="CI122" s="425"/>
      <c r="CJ122" s="425"/>
      <c r="CK122" s="425"/>
      <c r="CL122" s="425"/>
      <c r="CM122" s="425"/>
      <c r="CN122" s="425"/>
      <c r="CO122" s="425"/>
      <c r="CP122" s="425"/>
      <c r="CQ122" s="425"/>
      <c r="CR122" s="425"/>
      <c r="CS122" s="425"/>
      <c r="CT122" s="425"/>
      <c r="CU122" s="425"/>
      <c r="CV122" s="425"/>
    </row>
    <row r="123" spans="1:100">
      <c r="A123" s="554"/>
      <c r="B123" s="442"/>
      <c r="C123" s="442"/>
      <c r="D123" s="442"/>
      <c r="E123" s="442"/>
      <c r="F123" s="442"/>
      <c r="G123" s="442"/>
      <c r="H123" s="549"/>
      <c r="I123" s="549"/>
      <c r="J123" s="549"/>
      <c r="K123" s="549"/>
      <c r="L123" s="549"/>
      <c r="M123" s="549"/>
      <c r="N123" s="549"/>
      <c r="O123" s="549"/>
      <c r="P123" s="549"/>
      <c r="Q123" s="549"/>
      <c r="R123" s="549"/>
      <c r="S123" s="549"/>
      <c r="T123" s="549"/>
      <c r="U123" s="424"/>
      <c r="V123" s="424"/>
      <c r="W123" s="425"/>
      <c r="X123" s="425"/>
      <c r="Y123" s="425"/>
      <c r="Z123" s="425"/>
      <c r="AA123" s="425"/>
      <c r="AH123" s="425"/>
      <c r="AI123" s="425"/>
      <c r="AJ123" s="425"/>
      <c r="AK123" s="425"/>
      <c r="AL123" s="425"/>
      <c r="AM123" s="425"/>
      <c r="AN123" s="428"/>
      <c r="AO123" s="425"/>
      <c r="AP123" s="425"/>
      <c r="AQ123" s="425"/>
      <c r="AR123" s="425"/>
      <c r="AS123" s="425"/>
      <c r="AT123" s="425"/>
      <c r="AU123" s="425"/>
      <c r="AV123" s="425"/>
      <c r="AW123" s="425"/>
      <c r="AX123" s="425"/>
      <c r="AY123" s="425"/>
      <c r="AZ123" s="425"/>
      <c r="BA123" s="425"/>
      <c r="BB123" s="425"/>
      <c r="BC123" s="425"/>
      <c r="BD123" s="425"/>
      <c r="BE123" s="425"/>
      <c r="BF123" s="425"/>
      <c r="BG123" s="426"/>
      <c r="BH123" s="428"/>
      <c r="BI123" s="425"/>
      <c r="BJ123" s="425"/>
      <c r="BK123" s="425"/>
      <c r="BL123" s="425"/>
      <c r="BM123" s="425"/>
      <c r="BN123" s="425"/>
      <c r="BO123" s="425"/>
      <c r="BP123" s="425"/>
      <c r="BQ123" s="425"/>
      <c r="BR123" s="425"/>
      <c r="BS123" s="425"/>
      <c r="BT123" s="425"/>
      <c r="BU123" s="425"/>
      <c r="BV123" s="425"/>
      <c r="BW123" s="425"/>
      <c r="BX123" s="425"/>
      <c r="BY123" s="425"/>
      <c r="BZ123" s="425"/>
      <c r="CA123" s="425"/>
      <c r="CB123" s="425"/>
      <c r="CC123" s="425"/>
      <c r="CD123" s="425"/>
      <c r="CE123" s="425"/>
      <c r="CF123" s="425"/>
      <c r="CG123" s="425"/>
      <c r="CH123" s="425"/>
      <c r="CI123" s="425"/>
      <c r="CJ123" s="425"/>
      <c r="CK123" s="425"/>
      <c r="CL123" s="425"/>
      <c r="CM123" s="425"/>
      <c r="CN123" s="425"/>
      <c r="CO123" s="425"/>
      <c r="CP123" s="425"/>
      <c r="CQ123" s="425"/>
      <c r="CR123" s="425"/>
      <c r="CS123" s="425"/>
      <c r="CT123" s="425"/>
      <c r="CU123" s="425"/>
      <c r="CV123" s="425"/>
    </row>
    <row r="124" spans="1:100">
      <c r="A124" s="554"/>
      <c r="B124" s="442"/>
      <c r="C124" s="442"/>
      <c r="D124" s="442"/>
      <c r="E124" s="442"/>
      <c r="F124" s="442"/>
      <c r="G124" s="442"/>
      <c r="H124" s="549"/>
      <c r="I124" s="549"/>
      <c r="J124" s="549"/>
      <c r="K124" s="549"/>
      <c r="L124" s="549"/>
      <c r="M124" s="549"/>
      <c r="N124" s="549"/>
      <c r="O124" s="549"/>
      <c r="P124" s="549"/>
      <c r="Q124" s="549"/>
      <c r="R124" s="549"/>
      <c r="S124" s="549"/>
      <c r="T124" s="549"/>
      <c r="U124" s="424"/>
      <c r="V124" s="424"/>
      <c r="W124" s="425"/>
      <c r="X124" s="425"/>
      <c r="Y124" s="425"/>
      <c r="Z124" s="425"/>
      <c r="AA124" s="425"/>
      <c r="AH124" s="425"/>
      <c r="AI124" s="425"/>
      <c r="AJ124" s="425"/>
      <c r="AK124" s="425"/>
      <c r="AL124" s="425"/>
      <c r="AM124" s="425"/>
      <c r="AN124" s="428"/>
      <c r="AO124" s="425"/>
      <c r="AP124" s="425"/>
      <c r="AQ124" s="425"/>
      <c r="AR124" s="425"/>
      <c r="AS124" s="425"/>
      <c r="AT124" s="425"/>
      <c r="AU124" s="425"/>
      <c r="AV124" s="425"/>
      <c r="AW124" s="425"/>
      <c r="AX124" s="425"/>
      <c r="AY124" s="425"/>
      <c r="AZ124" s="425"/>
      <c r="BA124" s="425"/>
      <c r="BB124" s="425"/>
      <c r="BC124" s="425"/>
      <c r="BD124" s="425"/>
      <c r="BE124" s="425"/>
      <c r="BF124" s="425"/>
      <c r="BG124" s="426"/>
      <c r="BH124" s="428"/>
      <c r="BI124" s="425"/>
      <c r="BJ124" s="425"/>
      <c r="BK124" s="425"/>
      <c r="BL124" s="425"/>
      <c r="BM124" s="425"/>
      <c r="BN124" s="425"/>
      <c r="BO124" s="425"/>
      <c r="BP124" s="425"/>
      <c r="BQ124" s="425"/>
      <c r="BR124" s="425"/>
      <c r="BS124" s="425"/>
      <c r="BT124" s="425"/>
      <c r="BU124" s="425"/>
      <c r="BV124" s="425"/>
      <c r="BW124" s="425"/>
      <c r="BX124" s="425"/>
      <c r="BY124" s="425"/>
      <c r="BZ124" s="425"/>
      <c r="CA124" s="425"/>
      <c r="CB124" s="425"/>
      <c r="CC124" s="425"/>
      <c r="CD124" s="425"/>
      <c r="CE124" s="425"/>
      <c r="CF124" s="425"/>
      <c r="CG124" s="425"/>
      <c r="CH124" s="425"/>
      <c r="CI124" s="425"/>
      <c r="CJ124" s="425"/>
      <c r="CK124" s="425"/>
      <c r="CL124" s="425"/>
      <c r="CM124" s="425"/>
      <c r="CN124" s="425"/>
      <c r="CO124" s="425"/>
      <c r="CP124" s="425"/>
      <c r="CQ124" s="425"/>
      <c r="CR124" s="425"/>
      <c r="CS124" s="425"/>
      <c r="CT124" s="425"/>
      <c r="CU124" s="425"/>
      <c r="CV124" s="425"/>
    </row>
    <row r="125" spans="1:100">
      <c r="A125" s="554"/>
      <c r="B125" s="442"/>
      <c r="C125" s="442"/>
      <c r="D125" s="442"/>
      <c r="E125" s="442"/>
      <c r="F125" s="442"/>
      <c r="G125" s="442"/>
      <c r="H125" s="549"/>
      <c r="I125" s="549"/>
      <c r="J125" s="549"/>
      <c r="K125" s="549"/>
      <c r="L125" s="549"/>
      <c r="M125" s="549"/>
      <c r="N125" s="549"/>
      <c r="O125" s="549"/>
      <c r="P125" s="549"/>
      <c r="Q125" s="549"/>
      <c r="R125" s="549"/>
      <c r="S125" s="549"/>
      <c r="T125" s="549"/>
      <c r="U125" s="424"/>
      <c r="V125" s="424"/>
      <c r="W125" s="425"/>
      <c r="X125" s="425"/>
      <c r="Y125" s="425"/>
      <c r="Z125" s="425"/>
      <c r="AA125" s="425"/>
      <c r="AH125" s="425"/>
      <c r="AI125" s="425"/>
      <c r="AJ125" s="425"/>
      <c r="AK125" s="425"/>
      <c r="AL125" s="425"/>
      <c r="AM125" s="425"/>
      <c r="AN125" s="428"/>
      <c r="AO125" s="425"/>
      <c r="AP125" s="425"/>
      <c r="AQ125" s="425"/>
      <c r="AR125" s="425"/>
      <c r="AS125" s="425"/>
      <c r="AT125" s="425"/>
      <c r="AU125" s="425"/>
      <c r="AV125" s="425"/>
      <c r="AW125" s="425"/>
      <c r="AX125" s="425"/>
      <c r="AY125" s="425"/>
      <c r="AZ125" s="425"/>
      <c r="BA125" s="425"/>
      <c r="BB125" s="425"/>
      <c r="BC125" s="425"/>
      <c r="BD125" s="425"/>
      <c r="BE125" s="425"/>
      <c r="BF125" s="425"/>
      <c r="BG125" s="426"/>
      <c r="BH125" s="428"/>
      <c r="BI125" s="425"/>
      <c r="BJ125" s="425"/>
      <c r="BK125" s="425"/>
      <c r="BL125" s="425"/>
      <c r="BM125" s="425"/>
      <c r="BN125" s="425"/>
      <c r="BO125" s="425"/>
      <c r="BP125" s="425"/>
      <c r="BQ125" s="425"/>
      <c r="BR125" s="425"/>
      <c r="BS125" s="425"/>
      <c r="BT125" s="425"/>
      <c r="BU125" s="425"/>
      <c r="BV125" s="425"/>
      <c r="BW125" s="425"/>
      <c r="BX125" s="425"/>
      <c r="BY125" s="425"/>
      <c r="BZ125" s="425"/>
      <c r="CA125" s="425"/>
      <c r="CB125" s="425"/>
      <c r="CC125" s="425"/>
      <c r="CD125" s="425"/>
      <c r="CE125" s="425"/>
      <c r="CF125" s="425"/>
      <c r="CG125" s="425"/>
      <c r="CH125" s="425"/>
      <c r="CI125" s="425"/>
      <c r="CJ125" s="425"/>
      <c r="CK125" s="425"/>
      <c r="CL125" s="425"/>
      <c r="CM125" s="425"/>
      <c r="CN125" s="425"/>
      <c r="CO125" s="425"/>
      <c r="CP125" s="425"/>
      <c r="CQ125" s="425"/>
      <c r="CR125" s="425"/>
      <c r="CS125" s="425"/>
      <c r="CT125" s="425"/>
      <c r="CU125" s="425"/>
      <c r="CV125" s="425"/>
    </row>
    <row r="126" spans="1:100">
      <c r="A126" s="554"/>
      <c r="B126" s="442"/>
      <c r="C126" s="442"/>
      <c r="D126" s="442"/>
      <c r="E126" s="442"/>
      <c r="F126" s="442"/>
      <c r="G126" s="442"/>
      <c r="H126" s="549"/>
      <c r="I126" s="549"/>
      <c r="J126" s="549"/>
      <c r="K126" s="549"/>
      <c r="L126" s="549"/>
      <c r="M126" s="549"/>
      <c r="N126" s="549"/>
      <c r="O126" s="549"/>
      <c r="P126" s="549"/>
      <c r="Q126" s="549"/>
      <c r="R126" s="549"/>
      <c r="S126" s="549"/>
      <c r="T126" s="549"/>
      <c r="U126" s="424"/>
      <c r="V126" s="424"/>
      <c r="W126" s="425"/>
      <c r="X126" s="425"/>
      <c r="Y126" s="425"/>
      <c r="Z126" s="425"/>
      <c r="AA126" s="425"/>
      <c r="AH126" s="425"/>
      <c r="AI126" s="425"/>
      <c r="AJ126" s="425"/>
      <c r="AK126" s="425"/>
      <c r="AL126" s="425"/>
      <c r="AM126" s="425"/>
      <c r="AN126" s="428"/>
      <c r="AO126" s="425"/>
      <c r="AP126" s="425"/>
      <c r="AQ126" s="425"/>
      <c r="AR126" s="425"/>
      <c r="AS126" s="425"/>
      <c r="AT126" s="425"/>
      <c r="AU126" s="425"/>
      <c r="AV126" s="425"/>
      <c r="AW126" s="425"/>
      <c r="AX126" s="425"/>
      <c r="AY126" s="425"/>
      <c r="AZ126" s="425"/>
      <c r="BA126" s="425"/>
      <c r="BB126" s="425"/>
      <c r="BC126" s="425"/>
      <c r="BD126" s="425"/>
      <c r="BE126" s="425"/>
      <c r="BF126" s="425"/>
      <c r="BG126" s="426"/>
      <c r="BH126" s="428"/>
      <c r="BI126" s="425"/>
      <c r="BJ126" s="425"/>
      <c r="BK126" s="425"/>
      <c r="BL126" s="425"/>
      <c r="BM126" s="425"/>
      <c r="BN126" s="425"/>
      <c r="BO126" s="425"/>
      <c r="BP126" s="425"/>
      <c r="BQ126" s="425"/>
      <c r="BR126" s="425"/>
      <c r="BS126" s="425"/>
      <c r="BT126" s="425"/>
      <c r="BU126" s="425"/>
      <c r="BV126" s="425"/>
      <c r="BW126" s="425"/>
      <c r="BX126" s="425"/>
      <c r="BY126" s="425"/>
      <c r="BZ126" s="425"/>
      <c r="CA126" s="425"/>
      <c r="CB126" s="425"/>
      <c r="CC126" s="425"/>
      <c r="CD126" s="425"/>
      <c r="CE126" s="425"/>
      <c r="CF126" s="425"/>
      <c r="CG126" s="425"/>
      <c r="CH126" s="425"/>
      <c r="CI126" s="425"/>
      <c r="CJ126" s="425"/>
      <c r="CK126" s="425"/>
      <c r="CL126" s="425"/>
      <c r="CM126" s="425"/>
      <c r="CN126" s="425"/>
      <c r="CO126" s="425"/>
      <c r="CP126" s="425"/>
      <c r="CQ126" s="425"/>
      <c r="CR126" s="425"/>
      <c r="CS126" s="425"/>
      <c r="CT126" s="425"/>
      <c r="CU126" s="425"/>
      <c r="CV126" s="425"/>
    </row>
    <row r="127" spans="1:100">
      <c r="A127" s="554"/>
      <c r="B127" s="442"/>
      <c r="C127" s="442"/>
      <c r="D127" s="442"/>
      <c r="E127" s="442"/>
      <c r="F127" s="442"/>
      <c r="G127" s="442"/>
      <c r="H127" s="549"/>
      <c r="I127" s="549"/>
      <c r="J127" s="549"/>
      <c r="K127" s="549"/>
      <c r="L127" s="549"/>
      <c r="M127" s="549"/>
      <c r="N127" s="549"/>
      <c r="O127" s="549"/>
      <c r="P127" s="549"/>
      <c r="Q127" s="549"/>
      <c r="R127" s="549"/>
      <c r="S127" s="549"/>
      <c r="T127" s="549"/>
      <c r="U127" s="424"/>
      <c r="V127" s="424"/>
      <c r="W127" s="425"/>
      <c r="X127" s="425"/>
      <c r="Y127" s="425"/>
      <c r="Z127" s="425"/>
      <c r="AA127" s="425"/>
      <c r="AH127" s="425"/>
      <c r="AI127" s="425"/>
      <c r="AJ127" s="425"/>
      <c r="AK127" s="425"/>
      <c r="AL127" s="425"/>
      <c r="AM127" s="425"/>
      <c r="AN127" s="428"/>
      <c r="AO127" s="425"/>
      <c r="AP127" s="425"/>
      <c r="AQ127" s="425"/>
      <c r="AR127" s="425"/>
      <c r="AS127" s="425"/>
      <c r="AT127" s="425"/>
      <c r="AU127" s="425"/>
      <c r="AV127" s="425"/>
      <c r="AW127" s="425"/>
      <c r="AX127" s="425"/>
      <c r="AY127" s="425"/>
      <c r="AZ127" s="425"/>
      <c r="BA127" s="425"/>
      <c r="BB127" s="425"/>
      <c r="BC127" s="425"/>
      <c r="BD127" s="425"/>
      <c r="BE127" s="425"/>
      <c r="BF127" s="425"/>
      <c r="BG127" s="426"/>
      <c r="BH127" s="428"/>
      <c r="BI127" s="425"/>
      <c r="BJ127" s="425"/>
      <c r="BK127" s="425"/>
      <c r="BL127" s="425"/>
      <c r="BM127" s="425"/>
      <c r="BN127" s="425"/>
      <c r="BO127" s="425"/>
      <c r="BP127" s="425"/>
      <c r="BQ127" s="425"/>
      <c r="BR127" s="425"/>
      <c r="BS127" s="425"/>
      <c r="BT127" s="425"/>
      <c r="BU127" s="425"/>
      <c r="BV127" s="425"/>
      <c r="BW127" s="425"/>
      <c r="BX127" s="425"/>
      <c r="BY127" s="425"/>
      <c r="BZ127" s="425"/>
      <c r="CA127" s="425"/>
      <c r="CB127" s="425"/>
      <c r="CC127" s="425"/>
      <c r="CD127" s="425"/>
      <c r="CE127" s="425"/>
      <c r="CF127" s="425"/>
      <c r="CG127" s="425"/>
      <c r="CH127" s="425"/>
      <c r="CI127" s="425"/>
      <c r="CJ127" s="425"/>
      <c r="CK127" s="425"/>
      <c r="CL127" s="425"/>
      <c r="CM127" s="425"/>
      <c r="CN127" s="425"/>
      <c r="CO127" s="425"/>
      <c r="CP127" s="425"/>
      <c r="CQ127" s="425"/>
      <c r="CR127" s="425"/>
      <c r="CS127" s="425"/>
      <c r="CT127" s="425"/>
      <c r="CU127" s="425"/>
      <c r="CV127" s="425"/>
    </row>
    <row r="128" spans="1:100">
      <c r="A128" s="554"/>
      <c r="B128" s="442"/>
      <c r="C128" s="442"/>
      <c r="D128" s="442"/>
      <c r="E128" s="442"/>
      <c r="F128" s="442"/>
      <c r="G128" s="442"/>
      <c r="H128" s="549"/>
      <c r="I128" s="549"/>
      <c r="J128" s="549"/>
      <c r="K128" s="549"/>
      <c r="L128" s="549"/>
      <c r="M128" s="549"/>
      <c r="N128" s="549"/>
      <c r="O128" s="549"/>
      <c r="P128" s="549"/>
      <c r="Q128" s="549"/>
      <c r="R128" s="549"/>
      <c r="S128" s="549"/>
      <c r="T128" s="549"/>
      <c r="U128" s="424"/>
      <c r="V128" s="424"/>
      <c r="W128" s="425"/>
      <c r="X128" s="425"/>
      <c r="Y128" s="425"/>
      <c r="Z128" s="425"/>
      <c r="AA128" s="425"/>
      <c r="AH128" s="425"/>
      <c r="AI128" s="425"/>
      <c r="AJ128" s="425"/>
      <c r="AK128" s="425"/>
      <c r="AL128" s="425"/>
      <c r="AM128" s="425"/>
      <c r="AN128" s="428"/>
      <c r="AO128" s="425"/>
      <c r="AP128" s="425"/>
      <c r="AQ128" s="425"/>
      <c r="AR128" s="425"/>
      <c r="AS128" s="425"/>
      <c r="AT128" s="425"/>
      <c r="AU128" s="425"/>
      <c r="AV128" s="425"/>
      <c r="AW128" s="425"/>
      <c r="AX128" s="425"/>
      <c r="AY128" s="425"/>
      <c r="AZ128" s="425"/>
      <c r="BA128" s="425"/>
      <c r="BB128" s="425"/>
      <c r="BC128" s="425"/>
      <c r="BD128" s="425"/>
      <c r="BE128" s="425"/>
      <c r="BF128" s="425"/>
      <c r="BG128" s="426"/>
      <c r="BH128" s="428"/>
      <c r="BI128" s="425"/>
      <c r="BJ128" s="425"/>
      <c r="BK128" s="425"/>
      <c r="BL128" s="425"/>
      <c r="BM128" s="425"/>
      <c r="BN128" s="425"/>
      <c r="BO128" s="425"/>
      <c r="BP128" s="425"/>
      <c r="BQ128" s="425"/>
      <c r="BR128" s="425"/>
      <c r="BS128" s="425"/>
      <c r="BT128" s="425"/>
      <c r="BU128" s="425"/>
      <c r="BV128" s="425"/>
      <c r="BW128" s="425"/>
      <c r="BX128" s="425"/>
      <c r="BY128" s="425"/>
      <c r="BZ128" s="425"/>
      <c r="CA128" s="425"/>
      <c r="CB128" s="425"/>
      <c r="CC128" s="425"/>
      <c r="CD128" s="425"/>
      <c r="CE128" s="425"/>
      <c r="CF128" s="425"/>
      <c r="CG128" s="425"/>
      <c r="CH128" s="425"/>
      <c r="CI128" s="425"/>
      <c r="CJ128" s="425"/>
      <c r="CK128" s="425"/>
      <c r="CL128" s="425"/>
      <c r="CM128" s="425"/>
      <c r="CN128" s="425"/>
      <c r="CO128" s="425"/>
      <c r="CP128" s="425"/>
      <c r="CQ128" s="425"/>
      <c r="CR128" s="425"/>
      <c r="CS128" s="425"/>
      <c r="CT128" s="425"/>
      <c r="CU128" s="425"/>
      <c r="CV128" s="425"/>
    </row>
    <row r="129" spans="1:100">
      <c r="A129" s="554"/>
      <c r="B129" s="442"/>
      <c r="C129" s="442"/>
      <c r="D129" s="442"/>
      <c r="E129" s="442"/>
      <c r="F129" s="442"/>
      <c r="G129" s="442"/>
      <c r="H129" s="549"/>
      <c r="I129" s="549"/>
      <c r="J129" s="549"/>
      <c r="K129" s="549"/>
      <c r="L129" s="549"/>
      <c r="M129" s="549"/>
      <c r="N129" s="549"/>
      <c r="O129" s="549"/>
      <c r="P129" s="549"/>
      <c r="Q129" s="549"/>
      <c r="R129" s="549"/>
      <c r="S129" s="549"/>
      <c r="T129" s="549"/>
      <c r="U129" s="424"/>
      <c r="V129" s="424"/>
      <c r="W129" s="425"/>
      <c r="X129" s="425"/>
      <c r="Y129" s="425"/>
      <c r="Z129" s="425"/>
      <c r="AA129" s="425"/>
      <c r="AH129" s="425"/>
      <c r="AI129" s="425"/>
      <c r="AJ129" s="425"/>
      <c r="AK129" s="425"/>
      <c r="AL129" s="425"/>
      <c r="AM129" s="425"/>
      <c r="AN129" s="428"/>
      <c r="AO129" s="425"/>
      <c r="AP129" s="425"/>
      <c r="AQ129" s="425"/>
      <c r="AR129" s="425"/>
      <c r="AS129" s="425"/>
      <c r="AT129" s="425"/>
      <c r="AU129" s="425"/>
      <c r="AV129" s="425"/>
      <c r="AW129" s="425"/>
      <c r="AX129" s="425"/>
      <c r="AY129" s="425"/>
      <c r="AZ129" s="425"/>
      <c r="BA129" s="425"/>
      <c r="BB129" s="425"/>
      <c r="BC129" s="425"/>
      <c r="BD129" s="425"/>
      <c r="BE129" s="425"/>
      <c r="BF129" s="425"/>
      <c r="BG129" s="426"/>
      <c r="BH129" s="428"/>
      <c r="BI129" s="425"/>
      <c r="BJ129" s="425"/>
      <c r="BK129" s="425"/>
      <c r="BL129" s="425"/>
      <c r="BM129" s="425"/>
      <c r="BN129" s="425"/>
      <c r="BO129" s="425"/>
      <c r="BP129" s="425"/>
      <c r="BQ129" s="425"/>
      <c r="BR129" s="425"/>
      <c r="BS129" s="425"/>
      <c r="BT129" s="425"/>
      <c r="BU129" s="425"/>
      <c r="BV129" s="425"/>
      <c r="BW129" s="425"/>
      <c r="BX129" s="425"/>
      <c r="BY129" s="425"/>
      <c r="BZ129" s="425"/>
      <c r="CA129" s="425"/>
      <c r="CB129" s="425"/>
      <c r="CC129" s="425"/>
      <c r="CD129" s="425"/>
      <c r="CE129" s="425"/>
      <c r="CF129" s="425"/>
      <c r="CG129" s="425"/>
      <c r="CH129" s="425"/>
      <c r="CI129" s="425"/>
      <c r="CJ129" s="425"/>
      <c r="CK129" s="425"/>
      <c r="CL129" s="425"/>
      <c r="CM129" s="425"/>
      <c r="CN129" s="425"/>
      <c r="CO129" s="425"/>
      <c r="CP129" s="425"/>
      <c r="CQ129" s="425"/>
      <c r="CR129" s="425"/>
      <c r="CS129" s="425"/>
      <c r="CT129" s="425"/>
      <c r="CU129" s="425"/>
      <c r="CV129" s="425"/>
    </row>
    <row r="130" spans="1:100">
      <c r="A130" s="554"/>
      <c r="B130" s="442"/>
      <c r="C130" s="442"/>
      <c r="D130" s="442"/>
      <c r="E130" s="442"/>
      <c r="F130" s="442"/>
      <c r="G130" s="442"/>
      <c r="H130" s="549"/>
      <c r="I130" s="549"/>
      <c r="J130" s="549"/>
      <c r="K130" s="549"/>
      <c r="L130" s="549"/>
      <c r="M130" s="549"/>
      <c r="N130" s="549"/>
      <c r="O130" s="549"/>
      <c r="P130" s="549"/>
      <c r="Q130" s="549"/>
      <c r="R130" s="549"/>
      <c r="S130" s="549"/>
      <c r="T130" s="549"/>
      <c r="U130" s="424"/>
      <c r="V130" s="424"/>
      <c r="W130" s="425"/>
      <c r="X130" s="425"/>
      <c r="Y130" s="425"/>
      <c r="Z130" s="425"/>
      <c r="AA130" s="425"/>
      <c r="AH130" s="425"/>
      <c r="AI130" s="425"/>
      <c r="AJ130" s="425"/>
      <c r="AK130" s="425"/>
      <c r="AL130" s="425"/>
      <c r="AM130" s="425"/>
      <c r="AN130" s="428"/>
      <c r="AO130" s="425"/>
      <c r="AP130" s="425"/>
      <c r="AQ130" s="425"/>
      <c r="AR130" s="425"/>
      <c r="AS130" s="425"/>
      <c r="AT130" s="425"/>
      <c r="AU130" s="425"/>
      <c r="AV130" s="425"/>
      <c r="AW130" s="425"/>
      <c r="AX130" s="425"/>
      <c r="AY130" s="425"/>
      <c r="AZ130" s="425"/>
      <c r="BA130" s="425"/>
      <c r="BB130" s="425"/>
      <c r="BC130" s="425"/>
      <c r="BD130" s="425"/>
      <c r="BE130" s="425"/>
      <c r="BF130" s="425"/>
      <c r="BG130" s="426"/>
      <c r="BH130" s="428"/>
      <c r="BI130" s="425"/>
      <c r="BJ130" s="425"/>
      <c r="BK130" s="425"/>
      <c r="BL130" s="425"/>
      <c r="BM130" s="425"/>
      <c r="BN130" s="425"/>
      <c r="BO130" s="425"/>
      <c r="BP130" s="425"/>
      <c r="BQ130" s="425"/>
      <c r="BR130" s="425"/>
      <c r="BS130" s="425"/>
      <c r="BT130" s="425"/>
      <c r="BU130" s="425"/>
      <c r="BV130" s="425"/>
      <c r="BW130" s="425"/>
      <c r="BX130" s="425"/>
      <c r="BY130" s="425"/>
      <c r="BZ130" s="425"/>
      <c r="CA130" s="425"/>
      <c r="CB130" s="425"/>
      <c r="CC130" s="425"/>
      <c r="CD130" s="425"/>
      <c r="CE130" s="425"/>
      <c r="CF130" s="425"/>
      <c r="CG130" s="425"/>
      <c r="CH130" s="425"/>
      <c r="CI130" s="425"/>
      <c r="CJ130" s="425"/>
      <c r="CK130" s="425"/>
      <c r="CL130" s="425"/>
      <c r="CM130" s="425"/>
      <c r="CN130" s="425"/>
      <c r="CO130" s="425"/>
      <c r="CP130" s="425"/>
      <c r="CQ130" s="425"/>
      <c r="CR130" s="425"/>
      <c r="CS130" s="425"/>
      <c r="CT130" s="425"/>
      <c r="CU130" s="425"/>
      <c r="CV130" s="425"/>
    </row>
    <row r="131" spans="1:100">
      <c r="A131" s="554"/>
      <c r="B131" s="442"/>
      <c r="C131" s="442"/>
      <c r="D131" s="442"/>
      <c r="E131" s="442"/>
      <c r="F131" s="442"/>
      <c r="G131" s="442"/>
      <c r="H131" s="549"/>
      <c r="I131" s="549"/>
      <c r="J131" s="549"/>
      <c r="K131" s="549"/>
      <c r="L131" s="549"/>
      <c r="M131" s="549"/>
      <c r="N131" s="549"/>
      <c r="O131" s="549"/>
      <c r="P131" s="549"/>
      <c r="Q131" s="549"/>
      <c r="R131" s="549"/>
      <c r="S131" s="549"/>
      <c r="T131" s="549"/>
      <c r="U131" s="424"/>
      <c r="V131" s="424"/>
      <c r="W131" s="425"/>
      <c r="X131" s="425"/>
      <c r="Y131" s="425"/>
      <c r="Z131" s="425"/>
      <c r="AA131" s="425"/>
      <c r="AH131" s="425"/>
      <c r="AI131" s="425"/>
      <c r="AJ131" s="425"/>
      <c r="AK131" s="425"/>
      <c r="AL131" s="425"/>
      <c r="AM131" s="425"/>
      <c r="AN131" s="428"/>
      <c r="AO131" s="425"/>
      <c r="AP131" s="425"/>
      <c r="AQ131" s="425"/>
      <c r="AR131" s="425"/>
      <c r="AS131" s="425"/>
      <c r="AT131" s="425"/>
      <c r="AU131" s="425"/>
      <c r="AV131" s="425"/>
      <c r="AW131" s="425"/>
      <c r="AX131" s="425"/>
      <c r="AY131" s="425"/>
      <c r="AZ131" s="425"/>
      <c r="BA131" s="425"/>
      <c r="BB131" s="425"/>
      <c r="BC131" s="425"/>
      <c r="BD131" s="425"/>
      <c r="BE131" s="425"/>
      <c r="BF131" s="425"/>
      <c r="BG131" s="426"/>
      <c r="BH131" s="428"/>
      <c r="BI131" s="425"/>
      <c r="BJ131" s="425"/>
      <c r="BK131" s="425"/>
      <c r="BL131" s="425"/>
      <c r="BM131" s="425"/>
      <c r="BN131" s="425"/>
      <c r="BO131" s="425"/>
      <c r="BP131" s="425"/>
      <c r="BQ131" s="425"/>
      <c r="BR131" s="425"/>
      <c r="BS131" s="425"/>
      <c r="BT131" s="425"/>
      <c r="BU131" s="425"/>
      <c r="BV131" s="425"/>
      <c r="BW131" s="425"/>
      <c r="BX131" s="425"/>
      <c r="BY131" s="425"/>
      <c r="BZ131" s="425"/>
      <c r="CA131" s="425"/>
      <c r="CB131" s="425"/>
      <c r="CC131" s="425"/>
      <c r="CD131" s="425"/>
      <c r="CE131" s="425"/>
      <c r="CF131" s="425"/>
      <c r="CG131" s="425"/>
      <c r="CH131" s="425"/>
      <c r="CI131" s="425"/>
      <c r="CJ131" s="425"/>
      <c r="CK131" s="425"/>
      <c r="CL131" s="425"/>
      <c r="CM131" s="425"/>
      <c r="CN131" s="425"/>
      <c r="CO131" s="425"/>
      <c r="CP131" s="425"/>
      <c r="CQ131" s="425"/>
      <c r="CR131" s="425"/>
      <c r="CS131" s="425"/>
      <c r="CT131" s="425"/>
      <c r="CU131" s="425"/>
      <c r="CV131" s="425"/>
    </row>
    <row r="132" spans="1:100">
      <c r="A132" s="554"/>
      <c r="B132" s="442"/>
      <c r="C132" s="442"/>
      <c r="D132" s="442"/>
      <c r="E132" s="442"/>
      <c r="F132" s="442"/>
      <c r="G132" s="442"/>
      <c r="H132" s="549"/>
      <c r="I132" s="549"/>
      <c r="J132" s="549"/>
      <c r="K132" s="549"/>
      <c r="L132" s="549"/>
      <c r="M132" s="549"/>
      <c r="N132" s="549"/>
      <c r="O132" s="549"/>
      <c r="P132" s="549"/>
      <c r="Q132" s="549"/>
      <c r="R132" s="549"/>
      <c r="S132" s="549"/>
      <c r="T132" s="549"/>
      <c r="U132" s="424"/>
      <c r="V132" s="424"/>
      <c r="W132" s="425"/>
      <c r="X132" s="425"/>
      <c r="Y132" s="425"/>
      <c r="Z132" s="425"/>
      <c r="AA132" s="425"/>
      <c r="AH132" s="425"/>
      <c r="AI132" s="425"/>
      <c r="AJ132" s="425"/>
      <c r="AK132" s="425"/>
      <c r="AL132" s="425"/>
      <c r="AM132" s="425"/>
      <c r="AN132" s="428"/>
      <c r="AO132" s="425"/>
      <c r="AP132" s="425"/>
      <c r="AQ132" s="425"/>
      <c r="AR132" s="425"/>
      <c r="AS132" s="425"/>
      <c r="AT132" s="425"/>
      <c r="AU132" s="425"/>
      <c r="AV132" s="425"/>
      <c r="AW132" s="425"/>
      <c r="AX132" s="425"/>
      <c r="AY132" s="425"/>
      <c r="AZ132" s="425"/>
      <c r="BA132" s="425"/>
      <c r="BB132" s="425"/>
      <c r="BC132" s="425"/>
      <c r="BD132" s="425"/>
      <c r="BE132" s="425"/>
      <c r="BF132" s="425"/>
      <c r="BG132" s="426"/>
      <c r="BH132" s="428"/>
      <c r="BI132" s="425"/>
      <c r="BJ132" s="425"/>
      <c r="BK132" s="425"/>
      <c r="BL132" s="425"/>
      <c r="BM132" s="425"/>
      <c r="BN132" s="425"/>
      <c r="BO132" s="425"/>
      <c r="BP132" s="425"/>
      <c r="BQ132" s="425"/>
      <c r="BR132" s="425"/>
      <c r="BS132" s="425"/>
      <c r="BT132" s="425"/>
      <c r="BU132" s="425"/>
      <c r="BV132" s="425"/>
      <c r="BW132" s="425"/>
      <c r="BX132" s="425"/>
      <c r="BY132" s="425"/>
      <c r="BZ132" s="425"/>
      <c r="CA132" s="425"/>
      <c r="CB132" s="425"/>
      <c r="CC132" s="425"/>
      <c r="CD132" s="425"/>
      <c r="CE132" s="425"/>
      <c r="CF132" s="425"/>
      <c r="CG132" s="425"/>
      <c r="CH132" s="425"/>
      <c r="CI132" s="425"/>
      <c r="CJ132" s="425"/>
      <c r="CK132" s="425"/>
      <c r="CL132" s="425"/>
      <c r="CM132" s="425"/>
      <c r="CN132" s="425"/>
      <c r="CO132" s="425"/>
      <c r="CP132" s="425"/>
      <c r="CQ132" s="425"/>
      <c r="CR132" s="425"/>
      <c r="CS132" s="425"/>
      <c r="CT132" s="425"/>
      <c r="CU132" s="425"/>
      <c r="CV132" s="425"/>
    </row>
    <row r="133" spans="1:100">
      <c r="A133" s="554"/>
      <c r="B133" s="442"/>
      <c r="C133" s="442"/>
      <c r="D133" s="442"/>
      <c r="E133" s="442"/>
      <c r="F133" s="442"/>
      <c r="G133" s="442"/>
      <c r="H133" s="549"/>
      <c r="I133" s="549"/>
      <c r="J133" s="549"/>
      <c r="K133" s="549"/>
      <c r="L133" s="549"/>
      <c r="M133" s="549"/>
      <c r="N133" s="549"/>
      <c r="O133" s="549"/>
      <c r="P133" s="549"/>
      <c r="Q133" s="549"/>
      <c r="R133" s="549"/>
      <c r="S133" s="549"/>
      <c r="T133" s="549"/>
      <c r="U133" s="424"/>
      <c r="V133" s="424"/>
      <c r="W133" s="425"/>
      <c r="X133" s="425"/>
      <c r="Y133" s="425"/>
      <c r="Z133" s="425"/>
      <c r="AA133" s="425"/>
      <c r="AH133" s="425"/>
      <c r="AI133" s="425"/>
      <c r="AJ133" s="425"/>
      <c r="AK133" s="425"/>
      <c r="AL133" s="425"/>
      <c r="AM133" s="425"/>
      <c r="AN133" s="428"/>
      <c r="AO133" s="425"/>
      <c r="AP133" s="425"/>
      <c r="AQ133" s="425"/>
      <c r="AR133" s="425"/>
      <c r="AS133" s="425"/>
      <c r="AT133" s="425"/>
      <c r="AU133" s="425"/>
      <c r="AV133" s="425"/>
      <c r="AW133" s="425"/>
      <c r="AX133" s="425"/>
      <c r="AY133" s="425"/>
      <c r="AZ133" s="425"/>
      <c r="BA133" s="425"/>
      <c r="BB133" s="425"/>
      <c r="BC133" s="425"/>
      <c r="BD133" s="425"/>
      <c r="BE133" s="425"/>
      <c r="BF133" s="425"/>
      <c r="BG133" s="426"/>
      <c r="BH133" s="428"/>
      <c r="BI133" s="425"/>
      <c r="BJ133" s="425"/>
      <c r="BK133" s="425"/>
      <c r="BL133" s="425"/>
      <c r="BM133" s="425"/>
      <c r="BN133" s="425"/>
      <c r="BO133" s="425"/>
      <c r="BP133" s="425"/>
      <c r="BQ133" s="425"/>
      <c r="BR133" s="425"/>
      <c r="BS133" s="425"/>
      <c r="BT133" s="425"/>
      <c r="BU133" s="425"/>
      <c r="BV133" s="425"/>
      <c r="BW133" s="425"/>
      <c r="BX133" s="425"/>
      <c r="BY133" s="425"/>
      <c r="BZ133" s="425"/>
      <c r="CA133" s="425"/>
      <c r="CB133" s="425"/>
      <c r="CC133" s="425"/>
      <c r="CD133" s="425"/>
      <c r="CE133" s="425"/>
      <c r="CF133" s="425"/>
      <c r="CG133" s="425"/>
      <c r="CH133" s="425"/>
      <c r="CI133" s="425"/>
      <c r="CJ133" s="425"/>
      <c r="CK133" s="425"/>
      <c r="CL133" s="425"/>
      <c r="CM133" s="425"/>
      <c r="CN133" s="425"/>
      <c r="CO133" s="425"/>
      <c r="CP133" s="425"/>
      <c r="CQ133" s="425"/>
      <c r="CR133" s="425"/>
      <c r="CS133" s="425"/>
      <c r="CT133" s="425"/>
      <c r="CU133" s="425"/>
      <c r="CV133" s="425"/>
    </row>
    <row r="134" spans="1:100">
      <c r="A134" s="554"/>
      <c r="B134" s="442"/>
      <c r="C134" s="442"/>
      <c r="D134" s="442"/>
      <c r="E134" s="442"/>
      <c r="F134" s="442"/>
      <c r="G134" s="442"/>
      <c r="H134" s="549"/>
      <c r="I134" s="549"/>
      <c r="J134" s="549"/>
      <c r="K134" s="549"/>
      <c r="L134" s="549"/>
      <c r="M134" s="549"/>
      <c r="N134" s="549"/>
      <c r="O134" s="549"/>
      <c r="P134" s="549"/>
      <c r="Q134" s="549"/>
      <c r="R134" s="549"/>
      <c r="S134" s="549"/>
      <c r="T134" s="549"/>
      <c r="U134" s="424"/>
      <c r="V134" s="424"/>
      <c r="W134" s="425"/>
      <c r="X134" s="425"/>
      <c r="Y134" s="425"/>
      <c r="Z134" s="425"/>
      <c r="AA134" s="425"/>
      <c r="AH134" s="425"/>
      <c r="AI134" s="425"/>
      <c r="AJ134" s="425"/>
      <c r="AK134" s="425"/>
      <c r="AL134" s="425"/>
      <c r="AM134" s="425"/>
      <c r="AN134" s="428"/>
      <c r="AO134" s="425"/>
      <c r="AP134" s="425"/>
      <c r="AQ134" s="425"/>
      <c r="AR134" s="425"/>
      <c r="AS134" s="425"/>
      <c r="AT134" s="425"/>
      <c r="AU134" s="425"/>
      <c r="AV134" s="425"/>
      <c r="AW134" s="425"/>
      <c r="AX134" s="425"/>
      <c r="AY134" s="425"/>
      <c r="AZ134" s="425"/>
      <c r="BA134" s="425"/>
      <c r="BB134" s="425"/>
      <c r="BC134" s="425"/>
      <c r="BD134" s="425"/>
      <c r="BE134" s="425"/>
      <c r="BF134" s="425"/>
      <c r="BG134" s="426"/>
      <c r="BH134" s="428"/>
      <c r="BI134" s="425"/>
      <c r="BJ134" s="425"/>
      <c r="BK134" s="425"/>
      <c r="BL134" s="425"/>
      <c r="BM134" s="425"/>
      <c r="BN134" s="425"/>
      <c r="BO134" s="425"/>
      <c r="BP134" s="425"/>
      <c r="BQ134" s="425"/>
      <c r="BR134" s="425"/>
      <c r="BS134" s="425"/>
      <c r="BT134" s="425"/>
      <c r="BU134" s="425"/>
      <c r="BV134" s="425"/>
      <c r="BW134" s="425"/>
      <c r="BX134" s="425"/>
      <c r="BY134" s="425"/>
      <c r="BZ134" s="425"/>
      <c r="CA134" s="425"/>
      <c r="CB134" s="425"/>
      <c r="CC134" s="425"/>
      <c r="CD134" s="425"/>
      <c r="CE134" s="425"/>
      <c r="CF134" s="425"/>
      <c r="CG134" s="425"/>
      <c r="CH134" s="425"/>
      <c r="CI134" s="425"/>
      <c r="CJ134" s="425"/>
      <c r="CK134" s="425"/>
      <c r="CL134" s="425"/>
      <c r="CM134" s="425"/>
      <c r="CN134" s="425"/>
      <c r="CO134" s="425"/>
      <c r="CP134" s="425"/>
      <c r="CQ134" s="425"/>
      <c r="CR134" s="425"/>
      <c r="CS134" s="425"/>
      <c r="CT134" s="425"/>
      <c r="CU134" s="425"/>
      <c r="CV134" s="425"/>
    </row>
    <row r="135" spans="1:100">
      <c r="A135" s="554"/>
      <c r="B135" s="442"/>
      <c r="C135" s="442"/>
      <c r="D135" s="442"/>
      <c r="E135" s="442"/>
      <c r="F135" s="442"/>
      <c r="G135" s="442"/>
      <c r="H135" s="549"/>
      <c r="I135" s="549"/>
      <c r="J135" s="549"/>
      <c r="K135" s="549"/>
      <c r="L135" s="549"/>
      <c r="M135" s="549"/>
      <c r="N135" s="549"/>
      <c r="O135" s="549"/>
      <c r="P135" s="549"/>
      <c r="Q135" s="549"/>
      <c r="R135" s="549"/>
      <c r="S135" s="549"/>
      <c r="T135" s="549"/>
      <c r="U135" s="424"/>
      <c r="V135" s="424"/>
      <c r="W135" s="425"/>
      <c r="X135" s="425"/>
      <c r="Y135" s="425"/>
      <c r="Z135" s="425"/>
      <c r="AA135" s="425"/>
      <c r="AH135" s="425"/>
      <c r="AI135" s="425"/>
      <c r="AJ135" s="425"/>
      <c r="AK135" s="425"/>
      <c r="AL135" s="425"/>
      <c r="AM135" s="425"/>
      <c r="AN135" s="428"/>
      <c r="AO135" s="425"/>
      <c r="AP135" s="425"/>
      <c r="AQ135" s="425"/>
      <c r="AR135" s="425"/>
      <c r="AS135" s="425"/>
      <c r="AT135" s="425"/>
      <c r="AU135" s="425"/>
      <c r="AV135" s="425"/>
      <c r="AW135" s="425"/>
      <c r="AX135" s="425"/>
      <c r="AY135" s="425"/>
      <c r="AZ135" s="425"/>
      <c r="BA135" s="425"/>
      <c r="BB135" s="425"/>
      <c r="BC135" s="425"/>
      <c r="BD135" s="425"/>
      <c r="BE135" s="425"/>
      <c r="BF135" s="425"/>
      <c r="BG135" s="426"/>
      <c r="BH135" s="428"/>
      <c r="BI135" s="425"/>
      <c r="BJ135" s="425"/>
      <c r="BK135" s="425"/>
      <c r="BL135" s="425"/>
      <c r="BM135" s="425"/>
      <c r="BN135" s="425"/>
      <c r="BO135" s="425"/>
      <c r="BP135" s="425"/>
      <c r="BQ135" s="425"/>
      <c r="BR135" s="425"/>
      <c r="BS135" s="425"/>
      <c r="BT135" s="425"/>
      <c r="BU135" s="425"/>
      <c r="BV135" s="425"/>
      <c r="BW135" s="425"/>
      <c r="BX135" s="425"/>
      <c r="BY135" s="425"/>
      <c r="BZ135" s="425"/>
      <c r="CA135" s="425"/>
      <c r="CB135" s="425"/>
      <c r="CC135" s="425"/>
      <c r="CD135" s="425"/>
      <c r="CE135" s="425"/>
      <c r="CF135" s="425"/>
      <c r="CG135" s="425"/>
      <c r="CH135" s="425"/>
      <c r="CI135" s="425"/>
      <c r="CJ135" s="425"/>
      <c r="CK135" s="425"/>
      <c r="CL135" s="425"/>
      <c r="CM135" s="425"/>
      <c r="CN135" s="425"/>
      <c r="CO135" s="425"/>
      <c r="CP135" s="425"/>
      <c r="CQ135" s="425"/>
      <c r="CR135" s="425"/>
      <c r="CS135" s="425"/>
      <c r="CT135" s="425"/>
      <c r="CU135" s="425"/>
      <c r="CV135" s="425"/>
    </row>
    <row r="136" spans="1:100">
      <c r="A136" s="554"/>
      <c r="B136" s="442"/>
      <c r="C136" s="442"/>
      <c r="D136" s="442"/>
      <c r="E136" s="442"/>
      <c r="F136" s="442"/>
      <c r="G136" s="442"/>
      <c r="H136" s="549"/>
      <c r="I136" s="549"/>
      <c r="J136" s="549"/>
      <c r="K136" s="549"/>
      <c r="L136" s="549"/>
      <c r="M136" s="549"/>
      <c r="N136" s="549"/>
      <c r="O136" s="549"/>
      <c r="P136" s="549"/>
      <c r="Q136" s="549"/>
      <c r="R136" s="549"/>
      <c r="S136" s="549"/>
      <c r="T136" s="549"/>
      <c r="U136" s="424"/>
      <c r="V136" s="424"/>
      <c r="W136" s="425"/>
      <c r="X136" s="425"/>
      <c r="Y136" s="425"/>
      <c r="Z136" s="425"/>
      <c r="AA136" s="425"/>
      <c r="AH136" s="425"/>
      <c r="AI136" s="425"/>
      <c r="AJ136" s="425"/>
      <c r="AK136" s="425"/>
      <c r="AL136" s="425"/>
      <c r="AM136" s="425"/>
      <c r="AN136" s="428"/>
      <c r="AO136" s="425"/>
      <c r="AP136" s="425"/>
      <c r="AQ136" s="425"/>
      <c r="AR136" s="425"/>
      <c r="AS136" s="425"/>
      <c r="AT136" s="425"/>
      <c r="AU136" s="425"/>
      <c r="AV136" s="425"/>
      <c r="AW136" s="425"/>
      <c r="AX136" s="425"/>
      <c r="AY136" s="425"/>
      <c r="AZ136" s="425"/>
      <c r="BA136" s="425"/>
      <c r="BB136" s="425"/>
      <c r="BC136" s="425"/>
      <c r="BD136" s="425"/>
      <c r="BE136" s="425"/>
      <c r="BF136" s="425"/>
      <c r="BG136" s="426"/>
      <c r="BH136" s="428"/>
      <c r="BI136" s="425"/>
      <c r="BJ136" s="425"/>
      <c r="BK136" s="425"/>
      <c r="BL136" s="425"/>
      <c r="BM136" s="425"/>
      <c r="BN136" s="425"/>
      <c r="BO136" s="425"/>
      <c r="BP136" s="425"/>
      <c r="BQ136" s="425"/>
      <c r="BR136" s="425"/>
      <c r="BS136" s="425"/>
      <c r="BT136" s="425"/>
      <c r="BU136" s="425"/>
      <c r="BV136" s="425"/>
      <c r="BW136" s="425"/>
      <c r="BX136" s="425"/>
      <c r="BY136" s="425"/>
      <c r="BZ136" s="425"/>
      <c r="CA136" s="425"/>
      <c r="CB136" s="425"/>
      <c r="CC136" s="425"/>
      <c r="CD136" s="425"/>
      <c r="CE136" s="425"/>
      <c r="CF136" s="425"/>
      <c r="CG136" s="425"/>
      <c r="CH136" s="425"/>
      <c r="CI136" s="425"/>
      <c r="CJ136" s="425"/>
      <c r="CK136" s="425"/>
      <c r="CL136" s="425"/>
      <c r="CM136" s="425"/>
      <c r="CN136" s="425"/>
      <c r="CO136" s="425"/>
      <c r="CP136" s="425"/>
      <c r="CQ136" s="425"/>
      <c r="CR136" s="425"/>
      <c r="CS136" s="425"/>
      <c r="CT136" s="425"/>
      <c r="CU136" s="425"/>
      <c r="CV136" s="425"/>
    </row>
    <row r="137" spans="1:100">
      <c r="A137" s="554"/>
      <c r="B137" s="442"/>
      <c r="C137" s="442"/>
      <c r="D137" s="442"/>
      <c r="E137" s="442"/>
      <c r="F137" s="442"/>
      <c r="G137" s="442"/>
      <c r="H137" s="549"/>
      <c r="I137" s="549"/>
      <c r="J137" s="549"/>
      <c r="K137" s="549"/>
      <c r="L137" s="549"/>
      <c r="M137" s="549"/>
      <c r="N137" s="549"/>
      <c r="O137" s="549"/>
      <c r="P137" s="549"/>
      <c r="Q137" s="549"/>
      <c r="R137" s="549"/>
      <c r="S137" s="549"/>
      <c r="T137" s="549"/>
      <c r="U137" s="424"/>
      <c r="V137" s="424"/>
      <c r="W137" s="425"/>
      <c r="X137" s="425"/>
      <c r="Y137" s="425"/>
      <c r="Z137" s="425"/>
      <c r="AA137" s="425"/>
      <c r="AH137" s="425"/>
      <c r="AI137" s="425"/>
      <c r="AJ137" s="425"/>
      <c r="AK137" s="425"/>
      <c r="AL137" s="425"/>
      <c r="AM137" s="425"/>
      <c r="AN137" s="428"/>
      <c r="AO137" s="425"/>
      <c r="AP137" s="425"/>
      <c r="AQ137" s="425"/>
      <c r="AR137" s="425"/>
      <c r="AS137" s="425"/>
      <c r="AT137" s="425"/>
      <c r="AU137" s="425"/>
      <c r="AV137" s="425"/>
      <c r="AW137" s="425"/>
      <c r="AX137" s="425"/>
      <c r="AY137" s="425"/>
      <c r="AZ137" s="425"/>
      <c r="BA137" s="425"/>
      <c r="BB137" s="425"/>
      <c r="BC137" s="425"/>
      <c r="BD137" s="425"/>
      <c r="BE137" s="425"/>
      <c r="BF137" s="425"/>
      <c r="BG137" s="426"/>
      <c r="BH137" s="428"/>
      <c r="BI137" s="425"/>
      <c r="BJ137" s="425"/>
      <c r="BK137" s="425"/>
      <c r="BL137" s="425"/>
      <c r="BM137" s="425"/>
      <c r="BN137" s="425"/>
      <c r="BO137" s="425"/>
      <c r="BP137" s="425"/>
      <c r="BQ137" s="425"/>
      <c r="BR137" s="425"/>
      <c r="BS137" s="425"/>
      <c r="BT137" s="425"/>
      <c r="BU137" s="425"/>
      <c r="BV137" s="425"/>
      <c r="BW137" s="425"/>
      <c r="BX137" s="425"/>
      <c r="BY137" s="425"/>
      <c r="BZ137" s="425"/>
      <c r="CA137" s="425"/>
      <c r="CB137" s="425"/>
      <c r="CC137" s="425"/>
      <c r="CD137" s="425"/>
      <c r="CE137" s="425"/>
      <c r="CF137" s="425"/>
      <c r="CG137" s="425"/>
      <c r="CH137" s="425"/>
      <c r="CI137" s="425"/>
      <c r="CJ137" s="425"/>
      <c r="CK137" s="425"/>
      <c r="CL137" s="425"/>
      <c r="CM137" s="425"/>
      <c r="CN137" s="425"/>
      <c r="CO137" s="425"/>
      <c r="CP137" s="425"/>
      <c r="CQ137" s="425"/>
      <c r="CR137" s="425"/>
      <c r="CS137" s="425"/>
      <c r="CT137" s="425"/>
      <c r="CU137" s="425"/>
      <c r="CV137" s="425"/>
    </row>
    <row r="138" spans="1:100">
      <c r="A138" s="554"/>
      <c r="B138" s="442"/>
      <c r="C138" s="442"/>
      <c r="D138" s="442"/>
      <c r="E138" s="442"/>
      <c r="F138" s="442"/>
      <c r="G138" s="442"/>
      <c r="H138" s="549"/>
      <c r="I138" s="549"/>
      <c r="J138" s="549"/>
      <c r="K138" s="549"/>
      <c r="L138" s="549"/>
      <c r="M138" s="549"/>
      <c r="N138" s="549"/>
      <c r="O138" s="549"/>
      <c r="P138" s="549"/>
      <c r="Q138" s="549"/>
      <c r="R138" s="549"/>
      <c r="S138" s="549"/>
      <c r="T138" s="549"/>
      <c r="U138" s="424"/>
      <c r="V138" s="424"/>
      <c r="W138" s="425"/>
      <c r="X138" s="425"/>
      <c r="Y138" s="425"/>
      <c r="Z138" s="425"/>
      <c r="AA138" s="425"/>
      <c r="AH138" s="425"/>
      <c r="AI138" s="425"/>
      <c r="AJ138" s="425"/>
      <c r="AK138" s="425"/>
      <c r="AL138" s="425"/>
      <c r="AM138" s="425"/>
      <c r="AN138" s="428"/>
      <c r="AO138" s="425"/>
      <c r="AP138" s="425"/>
      <c r="AQ138" s="425"/>
      <c r="AR138" s="425"/>
      <c r="AS138" s="425"/>
      <c r="AT138" s="425"/>
      <c r="AU138" s="425"/>
      <c r="AV138" s="425"/>
      <c r="AW138" s="425"/>
      <c r="AX138" s="425"/>
      <c r="AY138" s="425"/>
      <c r="AZ138" s="425"/>
      <c r="BA138" s="425"/>
      <c r="BB138" s="425"/>
      <c r="BC138" s="425"/>
      <c r="BD138" s="425"/>
      <c r="BE138" s="425"/>
      <c r="BF138" s="425"/>
      <c r="BG138" s="426"/>
      <c r="BH138" s="428"/>
      <c r="BI138" s="425"/>
      <c r="BJ138" s="425"/>
      <c r="BK138" s="425"/>
      <c r="BL138" s="425"/>
      <c r="BM138" s="425"/>
      <c r="BN138" s="425"/>
      <c r="BO138" s="425"/>
      <c r="BP138" s="425"/>
      <c r="BQ138" s="425"/>
      <c r="BR138" s="425"/>
      <c r="BS138" s="425"/>
      <c r="BT138" s="425"/>
      <c r="BU138" s="425"/>
      <c r="BV138" s="425"/>
      <c r="BW138" s="425"/>
      <c r="BX138" s="425"/>
      <c r="BY138" s="425"/>
      <c r="BZ138" s="425"/>
      <c r="CA138" s="425"/>
      <c r="CB138" s="425"/>
      <c r="CC138" s="425"/>
      <c r="CD138" s="425"/>
      <c r="CE138" s="425"/>
      <c r="CF138" s="425"/>
      <c r="CG138" s="425"/>
      <c r="CH138" s="425"/>
      <c r="CI138" s="425"/>
      <c r="CJ138" s="425"/>
      <c r="CK138" s="425"/>
      <c r="CL138" s="425"/>
      <c r="CM138" s="425"/>
      <c r="CN138" s="425"/>
      <c r="CO138" s="425"/>
      <c r="CP138" s="425"/>
      <c r="CQ138" s="425"/>
      <c r="CR138" s="425"/>
      <c r="CS138" s="425"/>
      <c r="CT138" s="425"/>
      <c r="CU138" s="425"/>
      <c r="CV138" s="425"/>
    </row>
    <row r="139" spans="1:100">
      <c r="A139" s="554"/>
      <c r="B139" s="442"/>
      <c r="C139" s="442"/>
      <c r="D139" s="442"/>
      <c r="E139" s="442"/>
      <c r="F139" s="442"/>
      <c r="G139" s="442"/>
      <c r="H139" s="549"/>
      <c r="I139" s="549"/>
      <c r="J139" s="549"/>
      <c r="K139" s="549"/>
      <c r="L139" s="549"/>
      <c r="M139" s="549"/>
      <c r="N139" s="549"/>
      <c r="O139" s="549"/>
      <c r="P139" s="549"/>
      <c r="Q139" s="549"/>
      <c r="R139" s="549"/>
      <c r="S139" s="549"/>
      <c r="T139" s="549"/>
      <c r="U139" s="424"/>
      <c r="V139" s="424"/>
      <c r="W139" s="425"/>
      <c r="X139" s="425"/>
      <c r="Y139" s="425"/>
      <c r="Z139" s="425"/>
      <c r="AA139" s="425"/>
      <c r="AH139" s="425"/>
      <c r="AI139" s="425"/>
      <c r="AJ139" s="425"/>
      <c r="AK139" s="425"/>
      <c r="AL139" s="425"/>
      <c r="AM139" s="425"/>
      <c r="AN139" s="428"/>
      <c r="AO139" s="425"/>
      <c r="AP139" s="425"/>
      <c r="AQ139" s="425"/>
      <c r="AR139" s="425"/>
      <c r="AS139" s="425"/>
      <c r="AT139" s="425"/>
      <c r="AU139" s="425"/>
      <c r="AV139" s="425"/>
      <c r="AW139" s="425"/>
      <c r="AX139" s="425"/>
      <c r="AY139" s="425"/>
      <c r="AZ139" s="425"/>
      <c r="BA139" s="425"/>
      <c r="BB139" s="425"/>
      <c r="BC139" s="425"/>
      <c r="BD139" s="425"/>
      <c r="BE139" s="425"/>
      <c r="BF139" s="425"/>
      <c r="BG139" s="426"/>
      <c r="BH139" s="428"/>
      <c r="BI139" s="425"/>
      <c r="BJ139" s="425"/>
      <c r="BK139" s="425"/>
      <c r="BL139" s="425"/>
      <c r="BM139" s="425"/>
      <c r="BN139" s="425"/>
      <c r="BO139" s="425"/>
      <c r="BP139" s="425"/>
      <c r="BQ139" s="425"/>
      <c r="BR139" s="425"/>
      <c r="BS139" s="425"/>
      <c r="BT139" s="425"/>
      <c r="BU139" s="425"/>
      <c r="BV139" s="425"/>
      <c r="BW139" s="425"/>
      <c r="BX139" s="425"/>
      <c r="BY139" s="425"/>
      <c r="BZ139" s="425"/>
      <c r="CA139" s="425"/>
      <c r="CB139" s="425"/>
      <c r="CC139" s="425"/>
      <c r="CD139" s="425"/>
      <c r="CE139" s="425"/>
      <c r="CF139" s="425"/>
      <c r="CG139" s="425"/>
      <c r="CH139" s="425"/>
      <c r="CI139" s="425"/>
      <c r="CJ139" s="425"/>
      <c r="CK139" s="425"/>
      <c r="CL139" s="425"/>
      <c r="CM139" s="425"/>
      <c r="CN139" s="425"/>
      <c r="CO139" s="425"/>
      <c r="CP139" s="425"/>
      <c r="CQ139" s="425"/>
      <c r="CR139" s="425"/>
      <c r="CS139" s="425"/>
      <c r="CT139" s="425"/>
      <c r="CU139" s="425"/>
      <c r="CV139" s="425"/>
    </row>
    <row r="140" spans="1:100">
      <c r="A140" s="554"/>
      <c r="B140" s="442"/>
      <c r="C140" s="442"/>
      <c r="D140" s="442"/>
      <c r="E140" s="442"/>
      <c r="F140" s="442"/>
      <c r="G140" s="442"/>
      <c r="H140" s="549"/>
      <c r="I140" s="549"/>
      <c r="J140" s="549"/>
      <c r="K140" s="549"/>
      <c r="L140" s="549"/>
      <c r="M140" s="549"/>
      <c r="N140" s="549"/>
      <c r="O140" s="549"/>
      <c r="P140" s="549"/>
      <c r="Q140" s="549"/>
      <c r="R140" s="549"/>
      <c r="S140" s="549"/>
      <c r="T140" s="549"/>
      <c r="U140" s="424"/>
      <c r="V140" s="424"/>
      <c r="W140" s="425"/>
      <c r="X140" s="425"/>
      <c r="Y140" s="425"/>
      <c r="Z140" s="425"/>
      <c r="AA140" s="425"/>
      <c r="AH140" s="425"/>
      <c r="AI140" s="425"/>
      <c r="AJ140" s="425"/>
      <c r="AK140" s="425"/>
      <c r="AL140" s="425"/>
      <c r="AM140" s="425"/>
      <c r="AN140" s="428"/>
      <c r="AO140" s="425"/>
      <c r="AP140" s="425"/>
      <c r="AQ140" s="425"/>
      <c r="AR140" s="425"/>
      <c r="AS140" s="425"/>
      <c r="AT140" s="425"/>
      <c r="AU140" s="425"/>
      <c r="AV140" s="425"/>
      <c r="AW140" s="425"/>
      <c r="AX140" s="425"/>
      <c r="AY140" s="425"/>
      <c r="AZ140" s="425"/>
      <c r="BA140" s="425"/>
      <c r="BB140" s="425"/>
      <c r="BC140" s="425"/>
      <c r="BD140" s="425"/>
      <c r="BE140" s="425"/>
      <c r="BF140" s="425"/>
      <c r="BG140" s="426"/>
      <c r="BH140" s="428"/>
      <c r="BI140" s="425"/>
      <c r="BJ140" s="425"/>
      <c r="BK140" s="425"/>
      <c r="BL140" s="425"/>
      <c r="BM140" s="425"/>
      <c r="BN140" s="425"/>
      <c r="BO140" s="425"/>
      <c r="BP140" s="425"/>
      <c r="BQ140" s="425"/>
      <c r="BR140" s="425"/>
      <c r="BS140" s="425"/>
      <c r="BT140" s="425"/>
      <c r="BU140" s="425"/>
      <c r="BV140" s="425"/>
      <c r="BW140" s="425"/>
      <c r="BX140" s="425"/>
      <c r="BY140" s="425"/>
      <c r="BZ140" s="425"/>
      <c r="CA140" s="425"/>
      <c r="CB140" s="425"/>
      <c r="CC140" s="425"/>
      <c r="CD140" s="425"/>
      <c r="CE140" s="425"/>
      <c r="CF140" s="425"/>
      <c r="CG140" s="425"/>
      <c r="CH140" s="425"/>
      <c r="CI140" s="425"/>
      <c r="CJ140" s="425"/>
      <c r="CK140" s="425"/>
      <c r="CL140" s="425"/>
      <c r="CM140" s="425"/>
      <c r="CN140" s="425"/>
      <c r="CO140" s="425"/>
      <c r="CP140" s="425"/>
      <c r="CQ140" s="425"/>
      <c r="CR140" s="425"/>
      <c r="CS140" s="425"/>
      <c r="CT140" s="425"/>
      <c r="CU140" s="425"/>
      <c r="CV140" s="425"/>
    </row>
    <row r="141" spans="1:100">
      <c r="A141" s="554"/>
      <c r="B141" s="442"/>
      <c r="C141" s="442"/>
      <c r="D141" s="442"/>
      <c r="E141" s="442"/>
      <c r="F141" s="442"/>
      <c r="G141" s="442"/>
      <c r="H141" s="549"/>
      <c r="I141" s="549"/>
      <c r="J141" s="549"/>
      <c r="K141" s="549"/>
      <c r="L141" s="549"/>
      <c r="M141" s="549"/>
      <c r="N141" s="549"/>
      <c r="O141" s="549"/>
      <c r="P141" s="549"/>
      <c r="Q141" s="549"/>
      <c r="R141" s="549"/>
      <c r="S141" s="549"/>
      <c r="T141" s="549"/>
      <c r="U141" s="424"/>
      <c r="V141" s="424"/>
      <c r="W141" s="425"/>
      <c r="X141" s="425"/>
      <c r="Y141" s="425"/>
      <c r="Z141" s="425"/>
      <c r="AA141" s="425"/>
      <c r="AH141" s="425"/>
      <c r="AI141" s="425"/>
      <c r="AJ141" s="425"/>
      <c r="AK141" s="425"/>
      <c r="AL141" s="425"/>
      <c r="AM141" s="425"/>
      <c r="AN141" s="428"/>
      <c r="AO141" s="425"/>
      <c r="AP141" s="425"/>
      <c r="AQ141" s="425"/>
      <c r="AR141" s="425"/>
      <c r="AS141" s="425"/>
      <c r="AT141" s="425"/>
      <c r="AU141" s="425"/>
      <c r="AV141" s="425"/>
      <c r="AW141" s="425"/>
      <c r="AX141" s="425"/>
      <c r="AY141" s="425"/>
      <c r="AZ141" s="425"/>
      <c r="BA141" s="425"/>
      <c r="BB141" s="425"/>
      <c r="BC141" s="425"/>
      <c r="BD141" s="425"/>
      <c r="BE141" s="425"/>
      <c r="BF141" s="425"/>
      <c r="BG141" s="426"/>
      <c r="BH141" s="428"/>
      <c r="BI141" s="425"/>
      <c r="BJ141" s="425"/>
      <c r="BK141" s="425"/>
      <c r="BL141" s="425"/>
      <c r="BM141" s="425"/>
      <c r="BN141" s="425"/>
      <c r="BO141" s="425"/>
      <c r="BP141" s="425"/>
      <c r="BQ141" s="425"/>
      <c r="BR141" s="425"/>
      <c r="BS141" s="425"/>
      <c r="BT141" s="425"/>
      <c r="BU141" s="425"/>
      <c r="BV141" s="425"/>
      <c r="BW141" s="425"/>
      <c r="BX141" s="425"/>
      <c r="BY141" s="425"/>
      <c r="BZ141" s="425"/>
      <c r="CA141" s="425"/>
      <c r="CB141" s="425"/>
      <c r="CC141" s="425"/>
      <c r="CD141" s="425"/>
      <c r="CE141" s="425"/>
      <c r="CF141" s="425"/>
      <c r="CG141" s="425"/>
      <c r="CH141" s="425"/>
      <c r="CI141" s="425"/>
      <c r="CJ141" s="425"/>
      <c r="CK141" s="425"/>
      <c r="CL141" s="425"/>
      <c r="CM141" s="425"/>
      <c r="CN141" s="425"/>
      <c r="CO141" s="425"/>
      <c r="CP141" s="425"/>
      <c r="CQ141" s="425"/>
      <c r="CR141" s="425"/>
      <c r="CS141" s="425"/>
      <c r="CT141" s="425"/>
      <c r="CU141" s="425"/>
      <c r="CV141" s="425"/>
    </row>
    <row r="142" spans="1:100">
      <c r="A142" s="554"/>
      <c r="B142" s="442"/>
      <c r="C142" s="442"/>
      <c r="D142" s="442"/>
      <c r="E142" s="442"/>
      <c r="F142" s="442"/>
      <c r="G142" s="442"/>
      <c r="H142" s="549"/>
      <c r="I142" s="549"/>
      <c r="J142" s="549"/>
      <c r="K142" s="549"/>
      <c r="L142" s="549"/>
      <c r="M142" s="549"/>
      <c r="N142" s="549"/>
      <c r="O142" s="549"/>
      <c r="P142" s="549"/>
      <c r="Q142" s="549"/>
      <c r="R142" s="549"/>
      <c r="S142" s="549"/>
      <c r="T142" s="549"/>
      <c r="U142" s="424"/>
      <c r="V142" s="424"/>
      <c r="W142" s="425"/>
      <c r="X142" s="425"/>
      <c r="Y142" s="425"/>
      <c r="Z142" s="425"/>
      <c r="AA142" s="425"/>
      <c r="AH142" s="425"/>
      <c r="AI142" s="425"/>
      <c r="AJ142" s="425"/>
      <c r="AK142" s="425"/>
      <c r="AL142" s="425"/>
      <c r="AM142" s="425"/>
      <c r="AN142" s="428"/>
      <c r="AO142" s="425"/>
      <c r="AP142" s="425"/>
      <c r="AQ142" s="425"/>
      <c r="AR142" s="425"/>
      <c r="AS142" s="425"/>
      <c r="AT142" s="425"/>
      <c r="AU142" s="425"/>
      <c r="AV142" s="425"/>
      <c r="AW142" s="425"/>
      <c r="AX142" s="425"/>
      <c r="AY142" s="425"/>
      <c r="AZ142" s="425"/>
      <c r="BA142" s="425"/>
      <c r="BB142" s="425"/>
      <c r="BC142" s="425"/>
      <c r="BD142" s="425"/>
      <c r="BE142" s="425"/>
      <c r="BF142" s="425"/>
      <c r="BG142" s="426"/>
      <c r="BH142" s="428"/>
      <c r="BI142" s="425"/>
      <c r="BJ142" s="425"/>
      <c r="BK142" s="425"/>
      <c r="BL142" s="425"/>
      <c r="BM142" s="425"/>
      <c r="BN142" s="425"/>
      <c r="BO142" s="425"/>
      <c r="BP142" s="425"/>
      <c r="BQ142" s="425"/>
      <c r="BR142" s="425"/>
      <c r="BS142" s="425"/>
      <c r="BT142" s="425"/>
      <c r="BU142" s="425"/>
      <c r="BV142" s="425"/>
      <c r="BW142" s="425"/>
      <c r="BX142" s="425"/>
      <c r="BY142" s="425"/>
      <c r="BZ142" s="425"/>
      <c r="CA142" s="425"/>
      <c r="CB142" s="425"/>
      <c r="CC142" s="425"/>
      <c r="CD142" s="425"/>
      <c r="CE142" s="425"/>
      <c r="CF142" s="425"/>
      <c r="CG142" s="425"/>
      <c r="CH142" s="425"/>
      <c r="CI142" s="425"/>
      <c r="CJ142" s="425"/>
      <c r="CK142" s="425"/>
      <c r="CL142" s="425"/>
      <c r="CM142" s="425"/>
      <c r="CN142" s="425"/>
      <c r="CO142" s="425"/>
      <c r="CP142" s="425"/>
      <c r="CQ142" s="425"/>
      <c r="CR142" s="425"/>
      <c r="CS142" s="425"/>
      <c r="CT142" s="425"/>
      <c r="CU142" s="425"/>
      <c r="CV142" s="425"/>
    </row>
    <row r="143" spans="1:100">
      <c r="A143" s="554"/>
      <c r="B143" s="442"/>
      <c r="C143" s="442"/>
      <c r="D143" s="442"/>
      <c r="E143" s="442"/>
      <c r="F143" s="442"/>
      <c r="G143" s="442"/>
      <c r="H143" s="549"/>
      <c r="I143" s="549"/>
      <c r="J143" s="549"/>
      <c r="K143" s="549"/>
      <c r="L143" s="549"/>
      <c r="M143" s="549"/>
      <c r="N143" s="549"/>
      <c r="O143" s="549"/>
      <c r="P143" s="549"/>
      <c r="Q143" s="549"/>
      <c r="R143" s="549"/>
      <c r="S143" s="549"/>
      <c r="T143" s="549"/>
      <c r="U143" s="424"/>
      <c r="V143" s="424"/>
      <c r="W143" s="425"/>
      <c r="X143" s="425"/>
      <c r="Y143" s="425"/>
      <c r="Z143" s="425"/>
      <c r="AA143" s="425"/>
      <c r="AH143" s="425"/>
      <c r="AI143" s="425"/>
      <c r="AJ143" s="425"/>
      <c r="AK143" s="425"/>
      <c r="AL143" s="425"/>
      <c r="AM143" s="425"/>
      <c r="AN143" s="428"/>
      <c r="AO143" s="425"/>
      <c r="AP143" s="425"/>
      <c r="AQ143" s="425"/>
      <c r="AR143" s="425"/>
      <c r="AS143" s="425"/>
      <c r="AT143" s="425"/>
      <c r="AU143" s="425"/>
      <c r="AV143" s="425"/>
      <c r="AW143" s="425"/>
      <c r="AX143" s="425"/>
      <c r="AY143" s="425"/>
      <c r="AZ143" s="425"/>
      <c r="BA143" s="425"/>
      <c r="BB143" s="425"/>
      <c r="BC143" s="425"/>
      <c r="BD143" s="425"/>
      <c r="BE143" s="425"/>
      <c r="BF143" s="425"/>
      <c r="BG143" s="426"/>
      <c r="BH143" s="428"/>
      <c r="BI143" s="425"/>
      <c r="BJ143" s="425"/>
      <c r="BK143" s="425"/>
      <c r="BL143" s="425"/>
      <c r="BM143" s="425"/>
      <c r="BN143" s="425"/>
      <c r="BO143" s="425"/>
      <c r="BP143" s="425"/>
      <c r="BQ143" s="425"/>
      <c r="BR143" s="425"/>
      <c r="BS143" s="425"/>
      <c r="BT143" s="425"/>
      <c r="BU143" s="425"/>
      <c r="BV143" s="425"/>
      <c r="BW143" s="425"/>
      <c r="BX143" s="425"/>
      <c r="BY143" s="425"/>
      <c r="BZ143" s="425"/>
      <c r="CA143" s="425"/>
      <c r="CB143" s="425"/>
      <c r="CC143" s="425"/>
      <c r="CD143" s="425"/>
      <c r="CE143" s="425"/>
      <c r="CF143" s="425"/>
      <c r="CG143" s="425"/>
      <c r="CH143" s="425"/>
      <c r="CI143" s="425"/>
      <c r="CJ143" s="425"/>
      <c r="CK143" s="425"/>
      <c r="CL143" s="425"/>
      <c r="CM143" s="425"/>
      <c r="CN143" s="425"/>
      <c r="CO143" s="425"/>
      <c r="CP143" s="425"/>
      <c r="CQ143" s="425"/>
      <c r="CR143" s="425"/>
      <c r="CS143" s="425"/>
      <c r="CT143" s="425"/>
      <c r="CU143" s="425"/>
      <c r="CV143" s="425"/>
    </row>
    <row r="144" spans="1:100">
      <c r="A144" s="554"/>
      <c r="B144" s="442"/>
      <c r="C144" s="442"/>
      <c r="D144" s="442"/>
      <c r="E144" s="442"/>
      <c r="F144" s="442"/>
      <c r="G144" s="442"/>
      <c r="H144" s="549"/>
      <c r="I144" s="549"/>
      <c r="J144" s="549"/>
      <c r="K144" s="549"/>
      <c r="L144" s="549"/>
      <c r="M144" s="549"/>
      <c r="N144" s="549"/>
      <c r="O144" s="549"/>
      <c r="P144" s="549"/>
      <c r="Q144" s="549"/>
      <c r="R144" s="549"/>
      <c r="S144" s="549"/>
      <c r="T144" s="549"/>
      <c r="U144" s="424"/>
      <c r="V144" s="424"/>
      <c r="W144" s="425"/>
      <c r="X144" s="425"/>
      <c r="Y144" s="425"/>
      <c r="Z144" s="425"/>
      <c r="AA144" s="425"/>
      <c r="AH144" s="425"/>
      <c r="AI144" s="425"/>
      <c r="AJ144" s="425"/>
      <c r="AK144" s="425"/>
      <c r="AL144" s="425"/>
      <c r="AM144" s="425"/>
      <c r="AN144" s="428"/>
      <c r="AO144" s="425"/>
      <c r="AP144" s="425"/>
      <c r="AQ144" s="425"/>
      <c r="AR144" s="425"/>
      <c r="AS144" s="425"/>
      <c r="AT144" s="425"/>
      <c r="AU144" s="425"/>
      <c r="AV144" s="425"/>
      <c r="AW144" s="425"/>
      <c r="AX144" s="425"/>
      <c r="AY144" s="425"/>
      <c r="AZ144" s="425"/>
      <c r="BA144" s="425"/>
      <c r="BB144" s="425"/>
      <c r="BC144" s="425"/>
      <c r="BD144" s="425"/>
      <c r="BE144" s="425"/>
      <c r="BF144" s="425"/>
      <c r="BG144" s="426"/>
      <c r="BH144" s="428"/>
      <c r="BI144" s="425"/>
      <c r="BJ144" s="425"/>
      <c r="BK144" s="425"/>
      <c r="BL144" s="425"/>
      <c r="BM144" s="425"/>
      <c r="BN144" s="425"/>
      <c r="BO144" s="425"/>
      <c r="BP144" s="425"/>
      <c r="BQ144" s="425"/>
      <c r="BR144" s="425"/>
      <c r="BS144" s="425"/>
      <c r="BT144" s="425"/>
      <c r="BU144" s="425"/>
      <c r="BV144" s="425"/>
      <c r="BW144" s="425"/>
      <c r="BX144" s="425"/>
      <c r="BY144" s="425"/>
      <c r="BZ144" s="425"/>
      <c r="CA144" s="425"/>
      <c r="CB144" s="425"/>
      <c r="CC144" s="425"/>
      <c r="CD144" s="425"/>
      <c r="CE144" s="425"/>
      <c r="CF144" s="425"/>
      <c r="CG144" s="425"/>
      <c r="CH144" s="425"/>
      <c r="CI144" s="425"/>
      <c r="CJ144" s="425"/>
      <c r="CK144" s="425"/>
      <c r="CL144" s="425"/>
      <c r="CM144" s="425"/>
      <c r="CN144" s="425"/>
      <c r="CO144" s="425"/>
      <c r="CP144" s="425"/>
      <c r="CQ144" s="425"/>
      <c r="CR144" s="425"/>
      <c r="CS144" s="425"/>
      <c r="CT144" s="425"/>
      <c r="CU144" s="425"/>
      <c r="CV144" s="425"/>
    </row>
    <row r="145" spans="1:100">
      <c r="A145" s="554"/>
      <c r="B145" s="442"/>
      <c r="C145" s="442"/>
      <c r="D145" s="442"/>
      <c r="E145" s="442"/>
      <c r="F145" s="442"/>
      <c r="G145" s="442"/>
      <c r="H145" s="549"/>
      <c r="I145" s="549"/>
      <c r="J145" s="549"/>
      <c r="K145" s="549"/>
      <c r="L145" s="549"/>
      <c r="M145" s="549"/>
      <c r="N145" s="549"/>
      <c r="O145" s="549"/>
      <c r="P145" s="549"/>
      <c r="Q145" s="549"/>
      <c r="R145" s="549"/>
      <c r="S145" s="549"/>
      <c r="T145" s="549"/>
      <c r="U145" s="424"/>
      <c r="V145" s="424"/>
      <c r="W145" s="425"/>
      <c r="X145" s="425"/>
      <c r="Y145" s="425"/>
      <c r="Z145" s="425"/>
      <c r="AA145" s="425"/>
      <c r="AH145" s="425"/>
      <c r="AI145" s="425"/>
      <c r="AJ145" s="425"/>
      <c r="AK145" s="425"/>
      <c r="AL145" s="425"/>
      <c r="AM145" s="425"/>
      <c r="AN145" s="428"/>
      <c r="AO145" s="425"/>
      <c r="AP145" s="425"/>
      <c r="AQ145" s="425"/>
      <c r="AR145" s="425"/>
      <c r="AS145" s="425"/>
      <c r="AT145" s="425"/>
      <c r="AU145" s="425"/>
      <c r="AV145" s="425"/>
      <c r="AW145" s="425"/>
      <c r="AX145" s="425"/>
      <c r="AY145" s="425"/>
      <c r="AZ145" s="425"/>
      <c r="BA145" s="425"/>
      <c r="BB145" s="425"/>
      <c r="BC145" s="425"/>
      <c r="BD145" s="425"/>
      <c r="BE145" s="425"/>
      <c r="BF145" s="425"/>
      <c r="BG145" s="426"/>
      <c r="BH145" s="428"/>
      <c r="BI145" s="425"/>
      <c r="BJ145" s="425"/>
      <c r="BK145" s="425"/>
      <c r="BL145" s="425"/>
      <c r="BM145" s="425"/>
      <c r="BN145" s="425"/>
      <c r="BO145" s="425"/>
      <c r="BP145" s="425"/>
      <c r="BQ145" s="425"/>
      <c r="BR145" s="425"/>
      <c r="BS145" s="425"/>
      <c r="BT145" s="425"/>
      <c r="BU145" s="425"/>
      <c r="BV145" s="425"/>
      <c r="BW145" s="425"/>
      <c r="BX145" s="425"/>
      <c r="BY145" s="425"/>
      <c r="BZ145" s="425"/>
      <c r="CA145" s="425"/>
      <c r="CB145" s="425"/>
      <c r="CC145" s="425"/>
      <c r="CD145" s="425"/>
      <c r="CE145" s="425"/>
      <c r="CF145" s="425"/>
      <c r="CG145" s="425"/>
      <c r="CH145" s="425"/>
      <c r="CI145" s="425"/>
      <c r="CJ145" s="425"/>
      <c r="CK145" s="425"/>
      <c r="CL145" s="425"/>
      <c r="CM145" s="425"/>
      <c r="CN145" s="425"/>
      <c r="CO145" s="425"/>
      <c r="CP145" s="425"/>
      <c r="CQ145" s="425"/>
      <c r="CR145" s="425"/>
      <c r="CS145" s="425"/>
      <c r="CT145" s="425"/>
      <c r="CU145" s="425"/>
      <c r="CV145" s="425"/>
    </row>
    <row r="146" spans="1:100">
      <c r="A146" s="554"/>
      <c r="B146" s="442"/>
      <c r="C146" s="442"/>
      <c r="D146" s="442"/>
      <c r="E146" s="442"/>
      <c r="F146" s="442"/>
      <c r="G146" s="442"/>
      <c r="H146" s="549"/>
      <c r="I146" s="549"/>
      <c r="J146" s="549"/>
      <c r="K146" s="549"/>
      <c r="L146" s="549"/>
      <c r="M146" s="549"/>
      <c r="N146" s="549"/>
      <c r="O146" s="549"/>
      <c r="P146" s="549"/>
      <c r="Q146" s="549"/>
      <c r="R146" s="549"/>
      <c r="S146" s="549"/>
      <c r="T146" s="549"/>
      <c r="U146" s="424"/>
      <c r="V146" s="424"/>
      <c r="W146" s="425"/>
      <c r="X146" s="425"/>
      <c r="Y146" s="425"/>
      <c r="Z146" s="425"/>
      <c r="AA146" s="425"/>
      <c r="AH146" s="425"/>
      <c r="AI146" s="425"/>
      <c r="AJ146" s="425"/>
      <c r="AK146" s="425"/>
      <c r="AL146" s="425"/>
      <c r="AM146" s="425"/>
      <c r="AN146" s="428"/>
      <c r="AO146" s="425"/>
      <c r="AP146" s="425"/>
      <c r="AQ146" s="425"/>
      <c r="AR146" s="425"/>
      <c r="AS146" s="425"/>
      <c r="AT146" s="425"/>
      <c r="AU146" s="425"/>
      <c r="AV146" s="425"/>
      <c r="AW146" s="425"/>
      <c r="AX146" s="425"/>
      <c r="AY146" s="425"/>
      <c r="AZ146" s="425"/>
      <c r="BA146" s="425"/>
      <c r="BB146" s="425"/>
      <c r="BC146" s="425"/>
      <c r="BD146" s="425"/>
      <c r="BE146" s="425"/>
      <c r="BF146" s="425"/>
      <c r="BG146" s="426"/>
      <c r="BH146" s="428"/>
      <c r="BI146" s="425"/>
      <c r="BJ146" s="425"/>
      <c r="BK146" s="425"/>
      <c r="BL146" s="425"/>
      <c r="BM146" s="425"/>
      <c r="BN146" s="425"/>
      <c r="BO146" s="425"/>
      <c r="BP146" s="425"/>
      <c r="BQ146" s="425"/>
      <c r="BR146" s="425"/>
      <c r="BS146" s="425"/>
      <c r="BT146" s="425"/>
      <c r="BU146" s="425"/>
      <c r="BV146" s="425"/>
      <c r="BW146" s="425"/>
      <c r="BX146" s="425"/>
      <c r="BY146" s="425"/>
      <c r="BZ146" s="425"/>
      <c r="CA146" s="425"/>
      <c r="CB146" s="425"/>
      <c r="CC146" s="425"/>
      <c r="CD146" s="425"/>
      <c r="CE146" s="425"/>
      <c r="CF146" s="425"/>
      <c r="CG146" s="425"/>
      <c r="CH146" s="425"/>
      <c r="CI146" s="425"/>
      <c r="CJ146" s="425"/>
      <c r="CK146" s="425"/>
      <c r="CL146" s="425"/>
      <c r="CM146" s="425"/>
      <c r="CN146" s="425"/>
      <c r="CO146" s="425"/>
      <c r="CP146" s="425"/>
      <c r="CQ146" s="425"/>
      <c r="CR146" s="425"/>
      <c r="CS146" s="425"/>
      <c r="CT146" s="425"/>
      <c r="CU146" s="425"/>
      <c r="CV146" s="425"/>
    </row>
    <row r="147" spans="1:100">
      <c r="A147" s="554"/>
      <c r="B147" s="442"/>
      <c r="C147" s="442"/>
      <c r="D147" s="442"/>
      <c r="E147" s="442"/>
      <c r="F147" s="442"/>
      <c r="G147" s="442"/>
      <c r="H147" s="549"/>
      <c r="I147" s="549"/>
      <c r="J147" s="549"/>
      <c r="K147" s="549"/>
      <c r="L147" s="549"/>
      <c r="M147" s="549"/>
      <c r="N147" s="549"/>
      <c r="O147" s="549"/>
      <c r="P147" s="549"/>
      <c r="Q147" s="549"/>
      <c r="R147" s="549"/>
      <c r="S147" s="549"/>
      <c r="T147" s="549"/>
      <c r="U147" s="424"/>
      <c r="V147" s="424"/>
      <c r="W147" s="425"/>
      <c r="X147" s="425"/>
      <c r="Y147" s="425"/>
      <c r="Z147" s="425"/>
      <c r="AA147" s="425"/>
      <c r="AH147" s="425"/>
      <c r="AI147" s="425"/>
      <c r="AJ147" s="425"/>
      <c r="AK147" s="425"/>
      <c r="AL147" s="425"/>
      <c r="AM147" s="425"/>
      <c r="AN147" s="428"/>
      <c r="AO147" s="425"/>
      <c r="AP147" s="425"/>
      <c r="AQ147" s="425"/>
      <c r="AR147" s="425"/>
      <c r="AS147" s="425"/>
      <c r="AT147" s="425"/>
      <c r="AU147" s="425"/>
      <c r="AV147" s="425"/>
      <c r="AW147" s="425"/>
      <c r="AX147" s="425"/>
      <c r="AY147" s="425"/>
      <c r="AZ147" s="425"/>
      <c r="BA147" s="425"/>
      <c r="BB147" s="425"/>
      <c r="BC147" s="425"/>
      <c r="BD147" s="425"/>
      <c r="BE147" s="425"/>
      <c r="BF147" s="425"/>
      <c r="BG147" s="426"/>
      <c r="BH147" s="428"/>
      <c r="BI147" s="425"/>
      <c r="BJ147" s="425"/>
      <c r="BK147" s="425"/>
      <c r="BL147" s="425"/>
      <c r="BM147" s="425"/>
      <c r="BN147" s="425"/>
      <c r="BO147" s="425"/>
      <c r="BP147" s="425"/>
      <c r="BQ147" s="425"/>
      <c r="BR147" s="425"/>
      <c r="BS147" s="425"/>
      <c r="BT147" s="425"/>
      <c r="BU147" s="425"/>
      <c r="BV147" s="425"/>
      <c r="BW147" s="425"/>
      <c r="BX147" s="425"/>
      <c r="BY147" s="425"/>
      <c r="BZ147" s="425"/>
      <c r="CA147" s="425"/>
      <c r="CB147" s="425"/>
      <c r="CC147" s="425"/>
      <c r="CD147" s="425"/>
      <c r="CE147" s="425"/>
      <c r="CF147" s="425"/>
      <c r="CG147" s="425"/>
      <c r="CH147" s="425"/>
      <c r="CI147" s="425"/>
      <c r="CJ147" s="425"/>
      <c r="CK147" s="425"/>
      <c r="CL147" s="425"/>
      <c r="CM147" s="425"/>
      <c r="CN147" s="425"/>
      <c r="CO147" s="425"/>
      <c r="CP147" s="425"/>
      <c r="CQ147" s="425"/>
      <c r="CR147" s="425"/>
      <c r="CS147" s="425"/>
      <c r="CT147" s="425"/>
      <c r="CU147" s="425"/>
      <c r="CV147" s="425"/>
    </row>
    <row r="148" spans="1:100">
      <c r="A148" s="554"/>
      <c r="B148" s="442"/>
      <c r="C148" s="442"/>
      <c r="D148" s="442"/>
      <c r="E148" s="442"/>
      <c r="F148" s="442"/>
      <c r="G148" s="442"/>
      <c r="H148" s="549"/>
      <c r="I148" s="549"/>
      <c r="J148" s="549"/>
      <c r="K148" s="549"/>
      <c r="L148" s="549"/>
      <c r="M148" s="549"/>
      <c r="N148" s="549"/>
      <c r="O148" s="549"/>
      <c r="P148" s="549"/>
      <c r="Q148" s="549"/>
      <c r="R148" s="549"/>
      <c r="S148" s="549"/>
      <c r="T148" s="549"/>
      <c r="U148" s="424"/>
      <c r="V148" s="424"/>
      <c r="W148" s="425"/>
      <c r="X148" s="425"/>
      <c r="Y148" s="425"/>
      <c r="Z148" s="425"/>
      <c r="AA148" s="425"/>
      <c r="AH148" s="425"/>
      <c r="AI148" s="425"/>
      <c r="AJ148" s="425"/>
      <c r="AK148" s="425"/>
      <c r="AL148" s="425"/>
      <c r="AM148" s="425"/>
      <c r="AN148" s="428"/>
      <c r="AO148" s="425"/>
      <c r="AP148" s="425"/>
      <c r="AQ148" s="425"/>
      <c r="AR148" s="425"/>
      <c r="AS148" s="425"/>
      <c r="AT148" s="425"/>
      <c r="AU148" s="425"/>
      <c r="AV148" s="425"/>
      <c r="AW148" s="425"/>
      <c r="AX148" s="425"/>
      <c r="AY148" s="425"/>
      <c r="AZ148" s="425"/>
      <c r="BA148" s="425"/>
      <c r="BB148" s="425"/>
      <c r="BC148" s="425"/>
      <c r="BD148" s="425"/>
      <c r="BE148" s="425"/>
      <c r="BF148" s="425"/>
      <c r="BG148" s="426"/>
      <c r="BH148" s="428"/>
      <c r="BI148" s="425"/>
      <c r="BJ148" s="425"/>
      <c r="BK148" s="425"/>
      <c r="BL148" s="425"/>
      <c r="BM148" s="425"/>
      <c r="BN148" s="425"/>
      <c r="BO148" s="425"/>
      <c r="BP148" s="425"/>
      <c r="BQ148" s="425"/>
      <c r="BR148" s="425"/>
      <c r="BS148" s="425"/>
      <c r="BT148" s="425"/>
      <c r="BU148" s="425"/>
      <c r="BV148" s="425"/>
      <c r="BW148" s="425"/>
      <c r="BX148" s="425"/>
      <c r="BY148" s="425"/>
      <c r="BZ148" s="425"/>
      <c r="CA148" s="425"/>
      <c r="CB148" s="425"/>
      <c r="CC148" s="425"/>
      <c r="CD148" s="425"/>
      <c r="CE148" s="425"/>
      <c r="CF148" s="425"/>
      <c r="CG148" s="425"/>
      <c r="CH148" s="425"/>
      <c r="CI148" s="425"/>
      <c r="CJ148" s="425"/>
      <c r="CK148" s="425"/>
      <c r="CL148" s="425"/>
      <c r="CM148" s="425"/>
      <c r="CN148" s="425"/>
      <c r="CO148" s="425"/>
      <c r="CP148" s="425"/>
      <c r="CQ148" s="425"/>
      <c r="CR148" s="425"/>
      <c r="CS148" s="425"/>
      <c r="CT148" s="425"/>
      <c r="CU148" s="425"/>
      <c r="CV148" s="425"/>
    </row>
    <row r="149" spans="1:100">
      <c r="A149" s="554"/>
      <c r="B149" s="442"/>
      <c r="C149" s="442"/>
      <c r="D149" s="442"/>
      <c r="E149" s="442"/>
      <c r="F149" s="442"/>
      <c r="G149" s="442"/>
      <c r="H149" s="549"/>
      <c r="I149" s="549"/>
      <c r="J149" s="549"/>
      <c r="K149" s="549"/>
      <c r="L149" s="549"/>
      <c r="M149" s="549"/>
      <c r="N149" s="549"/>
      <c r="O149" s="549"/>
      <c r="P149" s="549"/>
      <c r="Q149" s="549"/>
      <c r="R149" s="549"/>
      <c r="S149" s="549"/>
      <c r="T149" s="549"/>
      <c r="U149" s="424"/>
      <c r="V149" s="424"/>
      <c r="W149" s="425"/>
      <c r="X149" s="425"/>
      <c r="Y149" s="425"/>
      <c r="Z149" s="425"/>
      <c r="AA149" s="425"/>
      <c r="AH149" s="425"/>
      <c r="AI149" s="425"/>
      <c r="AJ149" s="425"/>
      <c r="AK149" s="425"/>
      <c r="AL149" s="425"/>
      <c r="AM149" s="425"/>
      <c r="AN149" s="428"/>
      <c r="AO149" s="425"/>
      <c r="AP149" s="425"/>
      <c r="AQ149" s="425"/>
      <c r="AR149" s="425"/>
      <c r="AS149" s="425"/>
      <c r="AT149" s="425"/>
      <c r="AU149" s="425"/>
      <c r="AV149" s="425"/>
      <c r="AW149" s="425"/>
      <c r="AX149" s="425"/>
      <c r="AY149" s="425"/>
      <c r="AZ149" s="425"/>
      <c r="BA149" s="425"/>
      <c r="BB149" s="425"/>
      <c r="BC149" s="425"/>
      <c r="BD149" s="425"/>
      <c r="BE149" s="425"/>
      <c r="BF149" s="425"/>
      <c r="BG149" s="426"/>
      <c r="BH149" s="428"/>
      <c r="BI149" s="425"/>
      <c r="BJ149" s="425"/>
      <c r="BK149" s="425"/>
      <c r="BL149" s="425"/>
      <c r="BM149" s="425"/>
      <c r="BN149" s="425"/>
      <c r="BO149" s="425"/>
      <c r="BP149" s="425"/>
      <c r="BQ149" s="425"/>
      <c r="BR149" s="425"/>
      <c r="BS149" s="425"/>
      <c r="BT149" s="425"/>
      <c r="BU149" s="425"/>
      <c r="BV149" s="425"/>
      <c r="BW149" s="425"/>
      <c r="BX149" s="425"/>
      <c r="BY149" s="425"/>
      <c r="BZ149" s="425"/>
      <c r="CA149" s="425"/>
      <c r="CB149" s="425"/>
      <c r="CC149" s="425"/>
      <c r="CD149" s="425"/>
      <c r="CE149" s="425"/>
      <c r="CF149" s="425"/>
      <c r="CG149" s="425"/>
      <c r="CH149" s="425"/>
      <c r="CI149" s="425"/>
      <c r="CJ149" s="425"/>
      <c r="CK149" s="425"/>
      <c r="CL149" s="425"/>
      <c r="CM149" s="425"/>
      <c r="CN149" s="425"/>
      <c r="CO149" s="425"/>
      <c r="CP149" s="425"/>
      <c r="CQ149" s="425"/>
      <c r="CR149" s="425"/>
      <c r="CS149" s="425"/>
      <c r="CT149" s="425"/>
      <c r="CU149" s="425"/>
      <c r="CV149" s="425"/>
    </row>
    <row r="150" spans="1:100">
      <c r="A150" s="554"/>
      <c r="B150" s="442"/>
      <c r="C150" s="442"/>
      <c r="D150" s="442"/>
      <c r="E150" s="442"/>
      <c r="F150" s="442"/>
      <c r="G150" s="442"/>
      <c r="H150" s="549"/>
      <c r="I150" s="549"/>
      <c r="J150" s="549"/>
      <c r="K150" s="549"/>
      <c r="L150" s="549"/>
      <c r="M150" s="549"/>
      <c r="N150" s="549"/>
      <c r="O150" s="549"/>
      <c r="P150" s="549"/>
      <c r="Q150" s="549"/>
      <c r="R150" s="549"/>
      <c r="S150" s="549"/>
      <c r="T150" s="549"/>
      <c r="U150" s="424"/>
      <c r="V150" s="424"/>
      <c r="W150" s="425"/>
      <c r="X150" s="425"/>
      <c r="Y150" s="425"/>
      <c r="Z150" s="425"/>
      <c r="AA150" s="425"/>
      <c r="AH150" s="425"/>
      <c r="AI150" s="425"/>
      <c r="AJ150" s="425"/>
      <c r="AK150" s="425"/>
      <c r="AL150" s="425"/>
      <c r="AM150" s="425"/>
      <c r="AN150" s="428"/>
      <c r="AO150" s="425"/>
      <c r="AP150" s="425"/>
      <c r="AQ150" s="425"/>
      <c r="AR150" s="425"/>
      <c r="AS150" s="425"/>
      <c r="AT150" s="425"/>
      <c r="AU150" s="425"/>
      <c r="AV150" s="425"/>
      <c r="AW150" s="425"/>
      <c r="AX150" s="425"/>
      <c r="AY150" s="425"/>
      <c r="AZ150" s="425"/>
      <c r="BA150" s="425"/>
      <c r="BB150" s="425"/>
      <c r="BC150" s="425"/>
      <c r="BD150" s="425"/>
      <c r="BE150" s="425"/>
      <c r="BF150" s="425"/>
      <c r="BG150" s="426"/>
      <c r="BH150" s="428"/>
      <c r="BI150" s="425"/>
      <c r="BJ150" s="425"/>
      <c r="BK150" s="425"/>
      <c r="BL150" s="425"/>
      <c r="BM150" s="425"/>
      <c r="BN150" s="425"/>
      <c r="BO150" s="425"/>
      <c r="BP150" s="425"/>
      <c r="BQ150" s="425"/>
      <c r="BR150" s="425"/>
      <c r="BS150" s="425"/>
      <c r="BT150" s="425"/>
      <c r="BU150" s="425"/>
      <c r="BV150" s="425"/>
      <c r="BW150" s="425"/>
      <c r="BX150" s="425"/>
      <c r="BY150" s="425"/>
      <c r="BZ150" s="425"/>
      <c r="CA150" s="425"/>
      <c r="CB150" s="425"/>
      <c r="CC150" s="425"/>
      <c r="CD150" s="425"/>
      <c r="CE150" s="425"/>
      <c r="CF150" s="425"/>
      <c r="CG150" s="425"/>
      <c r="CH150" s="425"/>
      <c r="CI150" s="425"/>
      <c r="CJ150" s="425"/>
      <c r="CK150" s="425"/>
      <c r="CL150" s="425"/>
      <c r="CM150" s="425"/>
      <c r="CN150" s="425"/>
      <c r="CO150" s="425"/>
      <c r="CP150" s="425"/>
      <c r="CQ150" s="425"/>
      <c r="CR150" s="425"/>
      <c r="CS150" s="425"/>
      <c r="CT150" s="425"/>
      <c r="CU150" s="425"/>
      <c r="CV150" s="425"/>
    </row>
    <row r="151" spans="1:100">
      <c r="A151" s="554"/>
      <c r="B151" s="442"/>
      <c r="C151" s="442"/>
      <c r="D151" s="442"/>
      <c r="E151" s="442"/>
      <c r="F151" s="442"/>
      <c r="G151" s="442"/>
      <c r="H151" s="549"/>
      <c r="I151" s="549"/>
      <c r="J151" s="549"/>
      <c r="K151" s="549"/>
      <c r="L151" s="549"/>
      <c r="M151" s="549"/>
      <c r="N151" s="549"/>
      <c r="O151" s="549"/>
      <c r="P151" s="549"/>
      <c r="Q151" s="549"/>
      <c r="R151" s="549"/>
      <c r="S151" s="549"/>
      <c r="T151" s="549"/>
      <c r="U151" s="424"/>
      <c r="V151" s="424"/>
      <c r="W151" s="425"/>
      <c r="X151" s="425"/>
      <c r="Y151" s="425"/>
      <c r="Z151" s="425"/>
      <c r="AA151" s="425"/>
      <c r="AH151" s="425"/>
      <c r="AI151" s="425"/>
      <c r="AJ151" s="425"/>
      <c r="AK151" s="425"/>
      <c r="AL151" s="425"/>
      <c r="AM151" s="425"/>
      <c r="AN151" s="428"/>
      <c r="AO151" s="425"/>
      <c r="AP151" s="425"/>
      <c r="AQ151" s="425"/>
      <c r="AR151" s="425"/>
      <c r="AS151" s="425"/>
      <c r="AT151" s="425"/>
      <c r="AU151" s="425"/>
      <c r="AV151" s="425"/>
      <c r="AW151" s="425"/>
      <c r="AX151" s="425"/>
      <c r="AY151" s="425"/>
      <c r="AZ151" s="425"/>
      <c r="BA151" s="425"/>
      <c r="BB151" s="425"/>
      <c r="BC151" s="425"/>
      <c r="BD151" s="425"/>
      <c r="BE151" s="425"/>
      <c r="BF151" s="425"/>
      <c r="BG151" s="426"/>
      <c r="BH151" s="428"/>
      <c r="BI151" s="425"/>
      <c r="BJ151" s="425"/>
      <c r="BK151" s="425"/>
      <c r="BL151" s="425"/>
      <c r="BM151" s="425"/>
      <c r="BN151" s="425"/>
      <c r="BO151" s="425"/>
      <c r="BP151" s="425"/>
      <c r="BQ151" s="425"/>
      <c r="BR151" s="425"/>
      <c r="BS151" s="425"/>
      <c r="BT151" s="425"/>
      <c r="BU151" s="425"/>
      <c r="BV151" s="425"/>
      <c r="BW151" s="425"/>
      <c r="BX151" s="425"/>
      <c r="BY151" s="425"/>
      <c r="BZ151" s="425"/>
      <c r="CA151" s="425"/>
      <c r="CB151" s="425"/>
      <c r="CC151" s="425"/>
      <c r="CD151" s="425"/>
      <c r="CE151" s="425"/>
      <c r="CF151" s="425"/>
      <c r="CG151" s="425"/>
      <c r="CH151" s="425"/>
      <c r="CI151" s="425"/>
      <c r="CJ151" s="425"/>
      <c r="CK151" s="425"/>
      <c r="CL151" s="425"/>
      <c r="CM151" s="425"/>
      <c r="CN151" s="425"/>
      <c r="CO151" s="425"/>
      <c r="CP151" s="425"/>
      <c r="CQ151" s="425"/>
      <c r="CR151" s="425"/>
      <c r="CS151" s="425"/>
      <c r="CT151" s="425"/>
      <c r="CU151" s="425"/>
      <c r="CV151" s="425"/>
    </row>
    <row r="152" spans="1:100">
      <c r="A152" s="554"/>
      <c r="B152" s="442"/>
      <c r="C152" s="442"/>
      <c r="D152" s="442"/>
      <c r="E152" s="442"/>
      <c r="F152" s="442"/>
      <c r="G152" s="442"/>
      <c r="H152" s="549"/>
      <c r="I152" s="549"/>
      <c r="J152" s="549"/>
      <c r="K152" s="549"/>
      <c r="L152" s="549"/>
      <c r="M152" s="549"/>
      <c r="N152" s="549"/>
      <c r="O152" s="549"/>
      <c r="P152" s="549"/>
      <c r="Q152" s="549"/>
      <c r="R152" s="549"/>
      <c r="S152" s="549"/>
      <c r="T152" s="549"/>
      <c r="U152" s="424"/>
      <c r="V152" s="424"/>
      <c r="W152" s="425"/>
      <c r="X152" s="425"/>
      <c r="Y152" s="425"/>
      <c r="Z152" s="425"/>
      <c r="AA152" s="425"/>
      <c r="AH152" s="425"/>
      <c r="AI152" s="425"/>
      <c r="AJ152" s="425"/>
      <c r="AK152" s="425"/>
      <c r="AL152" s="425"/>
      <c r="AM152" s="425"/>
      <c r="AN152" s="428"/>
      <c r="AO152" s="425"/>
      <c r="AP152" s="425"/>
      <c r="AQ152" s="425"/>
      <c r="AR152" s="425"/>
      <c r="AS152" s="425"/>
      <c r="AT152" s="425"/>
      <c r="AU152" s="425"/>
      <c r="AV152" s="425"/>
      <c r="AW152" s="425"/>
      <c r="AX152" s="425"/>
      <c r="AY152" s="425"/>
      <c r="AZ152" s="425"/>
      <c r="BA152" s="425"/>
      <c r="BB152" s="425"/>
      <c r="BC152" s="425"/>
      <c r="BD152" s="425"/>
      <c r="BE152" s="425"/>
      <c r="BF152" s="425"/>
      <c r="BG152" s="426"/>
      <c r="BH152" s="428"/>
      <c r="BI152" s="425"/>
      <c r="BJ152" s="425"/>
      <c r="BK152" s="425"/>
      <c r="BL152" s="425"/>
      <c r="BM152" s="425"/>
      <c r="BN152" s="425"/>
      <c r="BO152" s="425"/>
      <c r="BP152" s="425"/>
      <c r="BQ152" s="425"/>
      <c r="BR152" s="425"/>
      <c r="BS152" s="425"/>
      <c r="BT152" s="425"/>
      <c r="BU152" s="425"/>
      <c r="BV152" s="425"/>
      <c r="BW152" s="425"/>
      <c r="BX152" s="425"/>
      <c r="BY152" s="425"/>
      <c r="BZ152" s="425"/>
      <c r="CA152" s="425"/>
      <c r="CB152" s="425"/>
      <c r="CC152" s="425"/>
      <c r="CD152" s="425"/>
      <c r="CE152" s="425"/>
      <c r="CF152" s="425"/>
      <c r="CG152" s="425"/>
      <c r="CH152" s="425"/>
      <c r="CI152" s="425"/>
      <c r="CJ152" s="425"/>
      <c r="CK152" s="425"/>
      <c r="CL152" s="425"/>
      <c r="CM152" s="425"/>
      <c r="CN152" s="425"/>
      <c r="CO152" s="425"/>
      <c r="CP152" s="425"/>
      <c r="CQ152" s="425"/>
      <c r="CR152" s="425"/>
      <c r="CS152" s="425"/>
      <c r="CT152" s="425"/>
      <c r="CU152" s="425"/>
      <c r="CV152" s="425"/>
    </row>
    <row r="153" spans="1:100">
      <c r="A153" s="554"/>
      <c r="B153" s="442"/>
      <c r="C153" s="442"/>
      <c r="D153" s="442"/>
      <c r="E153" s="442"/>
      <c r="F153" s="442"/>
      <c r="G153" s="442"/>
      <c r="H153" s="549"/>
      <c r="I153" s="549"/>
      <c r="J153" s="549"/>
      <c r="K153" s="549"/>
      <c r="L153" s="549"/>
      <c r="M153" s="549"/>
      <c r="N153" s="549"/>
      <c r="O153" s="549"/>
      <c r="P153" s="549"/>
      <c r="Q153" s="549"/>
      <c r="R153" s="549"/>
      <c r="S153" s="549"/>
      <c r="T153" s="549"/>
      <c r="U153" s="424"/>
      <c r="V153" s="424"/>
      <c r="W153" s="425"/>
      <c r="X153" s="425"/>
      <c r="Y153" s="425"/>
      <c r="Z153" s="425"/>
      <c r="AA153" s="425"/>
      <c r="AH153" s="425"/>
      <c r="AI153" s="425"/>
      <c r="AJ153" s="425"/>
      <c r="AK153" s="425"/>
      <c r="AL153" s="425"/>
      <c r="AM153" s="425"/>
      <c r="AN153" s="428"/>
      <c r="AO153" s="425"/>
      <c r="AP153" s="425"/>
      <c r="AQ153" s="425"/>
      <c r="AR153" s="425"/>
      <c r="AS153" s="425"/>
      <c r="AT153" s="425"/>
      <c r="AU153" s="425"/>
      <c r="AV153" s="425"/>
      <c r="AW153" s="425"/>
      <c r="AX153" s="425"/>
      <c r="AY153" s="425"/>
      <c r="AZ153" s="425"/>
      <c r="BA153" s="425"/>
      <c r="BB153" s="425"/>
      <c r="BC153" s="425"/>
      <c r="BD153" s="425"/>
      <c r="BE153" s="425"/>
      <c r="BF153" s="425"/>
      <c r="BG153" s="426"/>
      <c r="BH153" s="428"/>
      <c r="BI153" s="425"/>
      <c r="BJ153" s="425"/>
      <c r="BK153" s="425"/>
      <c r="BL153" s="425"/>
      <c r="BM153" s="425"/>
      <c r="BN153" s="425"/>
      <c r="BO153" s="425"/>
      <c r="BP153" s="425"/>
      <c r="BQ153" s="425"/>
      <c r="BR153" s="425"/>
      <c r="BS153" s="425"/>
      <c r="BT153" s="425"/>
      <c r="BU153" s="425"/>
      <c r="BV153" s="425"/>
      <c r="BW153" s="425"/>
      <c r="BX153" s="425"/>
      <c r="BY153" s="425"/>
      <c r="BZ153" s="425"/>
      <c r="CA153" s="425"/>
      <c r="CB153" s="425"/>
      <c r="CC153" s="425"/>
      <c r="CD153" s="425"/>
      <c r="CE153" s="425"/>
      <c r="CF153" s="425"/>
      <c r="CG153" s="425"/>
      <c r="CH153" s="425"/>
      <c r="CI153" s="425"/>
      <c r="CJ153" s="425"/>
      <c r="CK153" s="425"/>
      <c r="CL153" s="425"/>
      <c r="CM153" s="425"/>
      <c r="CN153" s="425"/>
      <c r="CO153" s="425"/>
      <c r="CP153" s="425"/>
      <c r="CQ153" s="425"/>
      <c r="CR153" s="425"/>
      <c r="CS153" s="425"/>
      <c r="CT153" s="425"/>
      <c r="CU153" s="425"/>
      <c r="CV153" s="425"/>
    </row>
    <row r="154" spans="1:100">
      <c r="A154" s="554"/>
      <c r="B154" s="442"/>
      <c r="C154" s="442"/>
      <c r="D154" s="442"/>
      <c r="E154" s="442"/>
      <c r="F154" s="442"/>
      <c r="G154" s="442"/>
      <c r="H154" s="549"/>
      <c r="I154" s="549"/>
      <c r="J154" s="549"/>
      <c r="K154" s="549"/>
      <c r="L154" s="549"/>
      <c r="M154" s="549"/>
      <c r="N154" s="549"/>
      <c r="O154" s="549"/>
      <c r="P154" s="549"/>
      <c r="Q154" s="549"/>
      <c r="R154" s="549"/>
      <c r="S154" s="549"/>
      <c r="T154" s="549"/>
      <c r="U154" s="424"/>
      <c r="V154" s="424"/>
      <c r="W154" s="425"/>
      <c r="X154" s="425"/>
      <c r="Y154" s="425"/>
      <c r="Z154" s="425"/>
      <c r="AA154" s="425"/>
      <c r="AH154" s="425"/>
      <c r="AI154" s="425"/>
      <c r="AJ154" s="425"/>
      <c r="AK154" s="425"/>
      <c r="AL154" s="425"/>
      <c r="AM154" s="425"/>
      <c r="AN154" s="428"/>
      <c r="AO154" s="425"/>
      <c r="AP154" s="425"/>
      <c r="AQ154" s="425"/>
      <c r="AR154" s="425"/>
      <c r="AS154" s="425"/>
      <c r="AT154" s="425"/>
      <c r="AU154" s="425"/>
      <c r="AV154" s="425"/>
      <c r="AW154" s="425"/>
      <c r="AX154" s="425"/>
      <c r="AY154" s="425"/>
      <c r="AZ154" s="425"/>
      <c r="BA154" s="425"/>
      <c r="BB154" s="425"/>
      <c r="BC154" s="425"/>
      <c r="BD154" s="425"/>
      <c r="BE154" s="425"/>
      <c r="BF154" s="425"/>
      <c r="BG154" s="426"/>
      <c r="BH154" s="428"/>
      <c r="BI154" s="425"/>
      <c r="BJ154" s="425"/>
      <c r="BK154" s="425"/>
      <c r="BL154" s="425"/>
      <c r="BM154" s="425"/>
      <c r="BN154" s="425"/>
      <c r="BO154" s="425"/>
      <c r="BP154" s="425"/>
      <c r="BQ154" s="425"/>
      <c r="BR154" s="425"/>
      <c r="BS154" s="425"/>
      <c r="BT154" s="425"/>
      <c r="BU154" s="425"/>
      <c r="BV154" s="425"/>
      <c r="BW154" s="425"/>
      <c r="BX154" s="425"/>
      <c r="BY154" s="425"/>
      <c r="BZ154" s="425"/>
      <c r="CA154" s="425"/>
      <c r="CB154" s="425"/>
      <c r="CC154" s="425"/>
      <c r="CD154" s="425"/>
      <c r="CE154" s="425"/>
      <c r="CF154" s="425"/>
      <c r="CG154" s="425"/>
      <c r="CH154" s="425"/>
      <c r="CI154" s="425"/>
      <c r="CJ154" s="425"/>
      <c r="CK154" s="425"/>
      <c r="CL154" s="425"/>
      <c r="CM154" s="425"/>
      <c r="CN154" s="425"/>
      <c r="CO154" s="425"/>
      <c r="CP154" s="425"/>
      <c r="CQ154" s="425"/>
      <c r="CR154" s="425"/>
      <c r="CS154" s="425"/>
      <c r="CT154" s="425"/>
      <c r="CU154" s="425"/>
      <c r="CV154" s="425"/>
    </row>
    <row r="155" spans="1:100">
      <c r="A155" s="554"/>
      <c r="B155" s="442"/>
      <c r="C155" s="442"/>
      <c r="D155" s="442"/>
      <c r="E155" s="442"/>
      <c r="F155" s="442"/>
      <c r="G155" s="442"/>
      <c r="H155" s="549"/>
      <c r="I155" s="549"/>
      <c r="J155" s="549"/>
      <c r="K155" s="549"/>
      <c r="L155" s="549"/>
      <c r="M155" s="549"/>
      <c r="N155" s="549"/>
      <c r="O155" s="549"/>
      <c r="P155" s="549"/>
      <c r="Q155" s="549"/>
      <c r="R155" s="549"/>
      <c r="S155" s="549"/>
      <c r="T155" s="549"/>
      <c r="U155" s="424"/>
      <c r="V155" s="424"/>
      <c r="W155" s="425"/>
      <c r="X155" s="425"/>
      <c r="Y155" s="425"/>
      <c r="Z155" s="425"/>
      <c r="AA155" s="425"/>
      <c r="AH155" s="425"/>
      <c r="AI155" s="425"/>
      <c r="AJ155" s="425"/>
      <c r="AK155" s="425"/>
      <c r="AL155" s="425"/>
      <c r="AM155" s="425"/>
      <c r="AN155" s="428"/>
      <c r="AO155" s="425"/>
      <c r="AP155" s="425"/>
      <c r="AQ155" s="425"/>
      <c r="AR155" s="425"/>
      <c r="AS155" s="425"/>
      <c r="AT155" s="425"/>
      <c r="AU155" s="425"/>
      <c r="AV155" s="425"/>
      <c r="AW155" s="425"/>
      <c r="AX155" s="425"/>
      <c r="AY155" s="425"/>
      <c r="AZ155" s="425"/>
      <c r="BA155" s="425"/>
      <c r="BB155" s="425"/>
      <c r="BC155" s="425"/>
      <c r="BD155" s="425"/>
      <c r="BE155" s="425"/>
      <c r="BF155" s="425"/>
      <c r="BG155" s="426"/>
      <c r="BH155" s="428"/>
      <c r="BI155" s="425"/>
      <c r="BJ155" s="425"/>
      <c r="BK155" s="425"/>
      <c r="BL155" s="425"/>
      <c r="BM155" s="425"/>
      <c r="BN155" s="425"/>
      <c r="BO155" s="425"/>
      <c r="BP155" s="425"/>
      <c r="BQ155" s="425"/>
      <c r="BR155" s="425"/>
      <c r="BS155" s="425"/>
      <c r="BT155" s="425"/>
      <c r="BU155" s="425"/>
      <c r="BV155" s="425"/>
      <c r="BW155" s="425"/>
      <c r="BX155" s="425"/>
      <c r="BY155" s="425"/>
      <c r="BZ155" s="425"/>
      <c r="CA155" s="425"/>
      <c r="CB155" s="425"/>
      <c r="CC155" s="425"/>
      <c r="CD155" s="425"/>
      <c r="CE155" s="425"/>
      <c r="CF155" s="425"/>
      <c r="CG155" s="425"/>
      <c r="CH155" s="425"/>
      <c r="CI155" s="425"/>
      <c r="CJ155" s="425"/>
      <c r="CK155" s="425"/>
      <c r="CL155" s="425"/>
      <c r="CM155" s="425"/>
      <c r="CN155" s="425"/>
      <c r="CO155" s="425"/>
      <c r="CP155" s="425"/>
      <c r="CQ155" s="425"/>
      <c r="CR155" s="425"/>
      <c r="CS155" s="425"/>
      <c r="CT155" s="425"/>
      <c r="CU155" s="425"/>
      <c r="CV155" s="425"/>
    </row>
    <row r="156" spans="1:100">
      <c r="A156" s="554"/>
      <c r="B156" s="442"/>
      <c r="C156" s="442"/>
      <c r="D156" s="442"/>
      <c r="E156" s="442"/>
      <c r="F156" s="442"/>
      <c r="G156" s="442"/>
      <c r="H156" s="549"/>
      <c r="I156" s="549"/>
      <c r="J156" s="549"/>
      <c r="K156" s="549"/>
      <c r="L156" s="549"/>
      <c r="M156" s="549"/>
      <c r="N156" s="549"/>
      <c r="O156" s="549"/>
      <c r="P156" s="549"/>
      <c r="Q156" s="549"/>
      <c r="R156" s="549"/>
      <c r="S156" s="549"/>
      <c r="T156" s="549"/>
      <c r="U156" s="424"/>
      <c r="V156" s="424"/>
      <c r="W156" s="425"/>
      <c r="X156" s="425"/>
      <c r="Y156" s="425"/>
      <c r="Z156" s="425"/>
      <c r="AA156" s="425"/>
      <c r="AH156" s="425"/>
      <c r="AI156" s="425"/>
      <c r="AJ156" s="425"/>
      <c r="AK156" s="425"/>
      <c r="AL156" s="425"/>
      <c r="AM156" s="425"/>
      <c r="AN156" s="428"/>
      <c r="AO156" s="425"/>
      <c r="AP156" s="425"/>
      <c r="AQ156" s="425"/>
      <c r="AR156" s="425"/>
      <c r="AS156" s="425"/>
      <c r="AT156" s="425"/>
      <c r="AU156" s="425"/>
      <c r="AV156" s="425"/>
      <c r="AW156" s="425"/>
      <c r="AX156" s="425"/>
      <c r="AY156" s="425"/>
      <c r="AZ156" s="425"/>
      <c r="BA156" s="425"/>
      <c r="BB156" s="425"/>
      <c r="BC156" s="425"/>
      <c r="BD156" s="425"/>
      <c r="BE156" s="425"/>
      <c r="BF156" s="425"/>
      <c r="BG156" s="426"/>
      <c r="BH156" s="428"/>
      <c r="BI156" s="425"/>
      <c r="BJ156" s="425"/>
      <c r="BK156" s="425"/>
      <c r="BL156" s="425"/>
      <c r="BM156" s="425"/>
      <c r="BN156" s="425"/>
      <c r="BO156" s="425"/>
      <c r="BP156" s="425"/>
      <c r="BQ156" s="425"/>
      <c r="BR156" s="425"/>
      <c r="BS156" s="425"/>
      <c r="BT156" s="425"/>
      <c r="BU156" s="425"/>
      <c r="BV156" s="425"/>
      <c r="BW156" s="425"/>
      <c r="BX156" s="425"/>
      <c r="BY156" s="425"/>
      <c r="BZ156" s="425"/>
      <c r="CA156" s="425"/>
      <c r="CB156" s="425"/>
      <c r="CC156" s="425"/>
      <c r="CD156" s="425"/>
      <c r="CE156" s="425"/>
      <c r="CF156" s="425"/>
      <c r="CG156" s="425"/>
      <c r="CH156" s="425"/>
      <c r="CI156" s="425"/>
      <c r="CJ156" s="425"/>
      <c r="CK156" s="425"/>
      <c r="CL156" s="425"/>
      <c r="CM156" s="425"/>
      <c r="CN156" s="425"/>
      <c r="CO156" s="425"/>
      <c r="CP156" s="425"/>
      <c r="CQ156" s="425"/>
      <c r="CR156" s="425"/>
      <c r="CS156" s="425"/>
      <c r="CT156" s="425"/>
      <c r="CU156" s="425"/>
      <c r="CV156" s="425"/>
    </row>
    <row r="157" spans="1:100">
      <c r="A157" s="554"/>
      <c r="B157" s="442"/>
      <c r="C157" s="442"/>
      <c r="D157" s="442"/>
      <c r="E157" s="442"/>
      <c r="F157" s="442"/>
      <c r="G157" s="442"/>
      <c r="H157" s="549"/>
      <c r="I157" s="549"/>
      <c r="J157" s="549"/>
      <c r="K157" s="549"/>
      <c r="L157" s="549"/>
      <c r="M157" s="549"/>
      <c r="N157" s="549"/>
      <c r="O157" s="549"/>
      <c r="P157" s="549"/>
      <c r="Q157" s="549"/>
      <c r="R157" s="549"/>
      <c r="S157" s="549"/>
      <c r="T157" s="549"/>
      <c r="U157" s="424"/>
      <c r="V157" s="424"/>
      <c r="W157" s="425"/>
      <c r="X157" s="425"/>
      <c r="Y157" s="425"/>
      <c r="Z157" s="425"/>
      <c r="AA157" s="425"/>
      <c r="AH157" s="425"/>
      <c r="AI157" s="425"/>
      <c r="AJ157" s="425"/>
      <c r="AK157" s="425"/>
      <c r="AL157" s="425"/>
      <c r="AM157" s="425"/>
      <c r="AN157" s="428"/>
      <c r="AO157" s="425"/>
      <c r="AP157" s="425"/>
      <c r="AQ157" s="425"/>
      <c r="AR157" s="425"/>
      <c r="AS157" s="425"/>
      <c r="AT157" s="425"/>
      <c r="AU157" s="425"/>
      <c r="AV157" s="425"/>
      <c r="AW157" s="425"/>
      <c r="AX157" s="425"/>
      <c r="AY157" s="425"/>
      <c r="AZ157" s="425"/>
      <c r="BA157" s="425"/>
      <c r="BB157" s="425"/>
      <c r="BC157" s="425"/>
      <c r="BD157" s="425"/>
      <c r="BE157" s="425"/>
      <c r="BF157" s="425"/>
      <c r="BG157" s="426"/>
      <c r="BH157" s="428"/>
      <c r="BI157" s="425"/>
      <c r="BJ157" s="425"/>
      <c r="BK157" s="425"/>
      <c r="BL157" s="425"/>
      <c r="BM157" s="425"/>
      <c r="BN157" s="425"/>
      <c r="BO157" s="425"/>
      <c r="BP157" s="425"/>
      <c r="BQ157" s="425"/>
      <c r="BR157" s="425"/>
      <c r="BS157" s="425"/>
      <c r="BT157" s="425"/>
      <c r="BU157" s="425"/>
      <c r="BV157" s="425"/>
      <c r="BW157" s="425"/>
      <c r="BX157" s="425"/>
      <c r="BY157" s="425"/>
      <c r="BZ157" s="425"/>
      <c r="CA157" s="425"/>
      <c r="CB157" s="425"/>
      <c r="CC157" s="425"/>
      <c r="CD157" s="425"/>
      <c r="CE157" s="425"/>
      <c r="CF157" s="425"/>
      <c r="CG157" s="425"/>
      <c r="CH157" s="425"/>
      <c r="CI157" s="425"/>
      <c r="CJ157" s="425"/>
      <c r="CK157" s="425"/>
      <c r="CL157" s="425"/>
      <c r="CM157" s="425"/>
      <c r="CN157" s="425"/>
      <c r="CO157" s="425"/>
      <c r="CP157" s="425"/>
      <c r="CQ157" s="425"/>
      <c r="CR157" s="425"/>
      <c r="CS157" s="425"/>
      <c r="CT157" s="425"/>
      <c r="CU157" s="425"/>
      <c r="CV157" s="425"/>
    </row>
    <row r="158" spans="1:100">
      <c r="A158" s="554"/>
      <c r="B158" s="442"/>
      <c r="C158" s="442"/>
      <c r="D158" s="442"/>
      <c r="E158" s="442"/>
      <c r="F158" s="442"/>
      <c r="G158" s="442"/>
      <c r="H158" s="549"/>
      <c r="I158" s="549"/>
      <c r="J158" s="549"/>
      <c r="K158" s="549"/>
      <c r="L158" s="549"/>
      <c r="M158" s="549"/>
      <c r="N158" s="549"/>
      <c r="O158" s="549"/>
      <c r="P158" s="549"/>
      <c r="Q158" s="549"/>
      <c r="R158" s="549"/>
      <c r="S158" s="549"/>
      <c r="T158" s="549"/>
      <c r="U158" s="424"/>
      <c r="V158" s="424"/>
      <c r="W158" s="425"/>
      <c r="X158" s="425"/>
      <c r="Y158" s="425"/>
      <c r="Z158" s="425"/>
      <c r="AA158" s="425"/>
      <c r="AH158" s="425"/>
      <c r="AI158" s="425"/>
      <c r="AJ158" s="425"/>
      <c r="AK158" s="425"/>
      <c r="AL158" s="425"/>
      <c r="AM158" s="425"/>
      <c r="AN158" s="428"/>
      <c r="AO158" s="425"/>
      <c r="AP158" s="425"/>
      <c r="AQ158" s="425"/>
      <c r="AR158" s="425"/>
      <c r="AS158" s="425"/>
      <c r="AT158" s="425"/>
      <c r="AU158" s="425"/>
      <c r="AV158" s="425"/>
      <c r="AW158" s="425"/>
      <c r="AX158" s="425"/>
      <c r="AY158" s="425"/>
      <c r="AZ158" s="425"/>
      <c r="BA158" s="425"/>
      <c r="BB158" s="425"/>
      <c r="BC158" s="425"/>
      <c r="BD158" s="425"/>
      <c r="BE158" s="425"/>
      <c r="BF158" s="425"/>
      <c r="BG158" s="426"/>
      <c r="BH158" s="428"/>
      <c r="BI158" s="425"/>
      <c r="BJ158" s="425"/>
      <c r="BK158" s="425"/>
      <c r="BL158" s="425"/>
      <c r="BM158" s="425"/>
      <c r="BN158" s="425"/>
      <c r="BO158" s="425"/>
      <c r="BP158" s="425"/>
      <c r="BQ158" s="425"/>
      <c r="BR158" s="425"/>
      <c r="BS158" s="425"/>
      <c r="BT158" s="425"/>
      <c r="BU158" s="425"/>
      <c r="BV158" s="425"/>
      <c r="BW158" s="425"/>
      <c r="BX158" s="425"/>
      <c r="BY158" s="425"/>
      <c r="BZ158" s="425"/>
      <c r="CA158" s="425"/>
      <c r="CB158" s="425"/>
      <c r="CC158" s="425"/>
      <c r="CD158" s="425"/>
      <c r="CE158" s="425"/>
      <c r="CF158" s="425"/>
      <c r="CG158" s="425"/>
      <c r="CH158" s="425"/>
      <c r="CI158" s="425"/>
      <c r="CJ158" s="425"/>
      <c r="CK158" s="425"/>
      <c r="CL158" s="425"/>
      <c r="CM158" s="425"/>
      <c r="CN158" s="425"/>
      <c r="CO158" s="425"/>
      <c r="CP158" s="425"/>
      <c r="CQ158" s="425"/>
      <c r="CR158" s="425"/>
      <c r="CS158" s="425"/>
      <c r="CT158" s="425"/>
      <c r="CU158" s="425"/>
      <c r="CV158" s="425"/>
    </row>
    <row r="159" spans="1:100">
      <c r="A159" s="554"/>
      <c r="B159" s="442"/>
      <c r="C159" s="442"/>
      <c r="D159" s="442"/>
      <c r="E159" s="442"/>
      <c r="F159" s="442"/>
      <c r="G159" s="442"/>
      <c r="H159" s="549"/>
      <c r="I159" s="549"/>
      <c r="J159" s="549"/>
      <c r="K159" s="549"/>
      <c r="L159" s="549"/>
      <c r="M159" s="549"/>
      <c r="N159" s="549"/>
      <c r="O159" s="549"/>
      <c r="P159" s="549"/>
      <c r="Q159" s="549"/>
      <c r="R159" s="549"/>
      <c r="S159" s="549"/>
      <c r="T159" s="549"/>
      <c r="U159" s="424"/>
      <c r="V159" s="424"/>
      <c r="W159" s="425"/>
      <c r="X159" s="425"/>
      <c r="Y159" s="425"/>
      <c r="Z159" s="425"/>
      <c r="AA159" s="425"/>
      <c r="AH159" s="425"/>
      <c r="AI159" s="425"/>
      <c r="AJ159" s="425"/>
      <c r="AK159" s="425"/>
      <c r="AL159" s="425"/>
      <c r="AM159" s="425"/>
      <c r="AN159" s="428"/>
      <c r="AO159" s="425"/>
      <c r="AP159" s="425"/>
      <c r="AQ159" s="425"/>
      <c r="AR159" s="425"/>
      <c r="AS159" s="425"/>
      <c r="AT159" s="425"/>
      <c r="AU159" s="425"/>
      <c r="AV159" s="425"/>
      <c r="AW159" s="425"/>
      <c r="AX159" s="425"/>
      <c r="AY159" s="425"/>
      <c r="AZ159" s="425"/>
      <c r="BA159" s="425"/>
      <c r="BB159" s="425"/>
      <c r="BC159" s="425"/>
      <c r="BD159" s="425"/>
      <c r="BE159" s="425"/>
      <c r="BF159" s="425"/>
      <c r="BG159" s="426"/>
      <c r="BH159" s="428"/>
      <c r="BI159" s="425"/>
      <c r="BJ159" s="425"/>
      <c r="BK159" s="425"/>
      <c r="BL159" s="425"/>
      <c r="BM159" s="425"/>
      <c r="BN159" s="425"/>
      <c r="BO159" s="425"/>
      <c r="BP159" s="425"/>
      <c r="BQ159" s="425"/>
      <c r="BR159" s="425"/>
      <c r="BS159" s="425"/>
      <c r="BT159" s="425"/>
      <c r="BU159" s="425"/>
      <c r="BV159" s="425"/>
      <c r="BW159" s="425"/>
      <c r="BX159" s="425"/>
      <c r="BY159" s="425"/>
      <c r="BZ159" s="425"/>
      <c r="CA159" s="425"/>
      <c r="CB159" s="425"/>
      <c r="CC159" s="425"/>
      <c r="CD159" s="425"/>
      <c r="CE159" s="425"/>
      <c r="CF159" s="425"/>
      <c r="CG159" s="425"/>
      <c r="CH159" s="425"/>
      <c r="CI159" s="425"/>
      <c r="CJ159" s="425"/>
      <c r="CK159" s="425"/>
      <c r="CL159" s="425"/>
      <c r="CM159" s="425"/>
      <c r="CN159" s="425"/>
      <c r="CO159" s="425"/>
      <c r="CP159" s="425"/>
      <c r="CQ159" s="425"/>
      <c r="CR159" s="425"/>
      <c r="CS159" s="425"/>
      <c r="CT159" s="425"/>
      <c r="CU159" s="425"/>
      <c r="CV159" s="425"/>
    </row>
    <row r="160" spans="1:100">
      <c r="A160" s="554"/>
      <c r="B160" s="442"/>
      <c r="C160" s="442"/>
      <c r="D160" s="442"/>
      <c r="E160" s="442"/>
      <c r="F160" s="442"/>
      <c r="G160" s="442"/>
      <c r="H160" s="549"/>
      <c r="I160" s="549"/>
      <c r="J160" s="549"/>
      <c r="K160" s="549"/>
      <c r="L160" s="549"/>
      <c r="M160" s="549"/>
      <c r="N160" s="549"/>
      <c r="O160" s="549"/>
      <c r="P160" s="549"/>
      <c r="Q160" s="549"/>
      <c r="R160" s="549"/>
      <c r="S160" s="549"/>
      <c r="T160" s="549"/>
      <c r="U160" s="424"/>
      <c r="V160" s="424"/>
      <c r="W160" s="425"/>
      <c r="X160" s="425"/>
      <c r="Y160" s="425"/>
      <c r="Z160" s="425"/>
      <c r="AA160" s="425"/>
      <c r="AH160" s="425"/>
      <c r="AI160" s="425"/>
      <c r="AJ160" s="425"/>
      <c r="AK160" s="425"/>
      <c r="AL160" s="425"/>
      <c r="AM160" s="425"/>
      <c r="AN160" s="428"/>
      <c r="AO160" s="425"/>
      <c r="AP160" s="425"/>
      <c r="AQ160" s="425"/>
      <c r="AR160" s="425"/>
      <c r="AS160" s="425"/>
      <c r="AT160" s="425"/>
      <c r="AU160" s="425"/>
      <c r="AV160" s="425"/>
      <c r="AW160" s="425"/>
      <c r="AX160" s="425"/>
      <c r="AY160" s="425"/>
      <c r="AZ160" s="425"/>
      <c r="BA160" s="425"/>
      <c r="BB160" s="425"/>
      <c r="BC160" s="425"/>
      <c r="BD160" s="425"/>
      <c r="BE160" s="425"/>
      <c r="BF160" s="425"/>
      <c r="BG160" s="426"/>
      <c r="BH160" s="428"/>
      <c r="BI160" s="425"/>
      <c r="BJ160" s="425"/>
      <c r="BK160" s="425"/>
      <c r="BL160" s="425"/>
      <c r="BM160" s="425"/>
      <c r="BN160" s="425"/>
      <c r="BO160" s="425"/>
      <c r="BP160" s="425"/>
      <c r="BQ160" s="425"/>
      <c r="BR160" s="425"/>
      <c r="BS160" s="425"/>
      <c r="BT160" s="425"/>
      <c r="BU160" s="425"/>
      <c r="BV160" s="425"/>
      <c r="BW160" s="425"/>
      <c r="BX160" s="425"/>
      <c r="BY160" s="425"/>
      <c r="BZ160" s="425"/>
      <c r="CA160" s="425"/>
      <c r="CB160" s="425"/>
      <c r="CC160" s="425"/>
      <c r="CD160" s="425"/>
      <c r="CE160" s="425"/>
      <c r="CF160" s="425"/>
      <c r="CG160" s="425"/>
      <c r="CH160" s="425"/>
      <c r="CI160" s="425"/>
      <c r="CJ160" s="425"/>
      <c r="CK160" s="425"/>
      <c r="CL160" s="425"/>
      <c r="CM160" s="425"/>
      <c r="CN160" s="425"/>
      <c r="CO160" s="425"/>
      <c r="CP160" s="425"/>
      <c r="CQ160" s="425"/>
      <c r="CR160" s="425"/>
      <c r="CS160" s="425"/>
      <c r="CT160" s="425"/>
      <c r="CU160" s="425"/>
      <c r="CV160" s="425"/>
    </row>
    <row r="161" spans="1:100">
      <c r="A161" s="554"/>
      <c r="B161" s="442"/>
      <c r="C161" s="442"/>
      <c r="D161" s="442"/>
      <c r="E161" s="442"/>
      <c r="F161" s="442"/>
      <c r="G161" s="442"/>
      <c r="H161" s="549"/>
      <c r="I161" s="549"/>
      <c r="J161" s="549"/>
      <c r="K161" s="549"/>
      <c r="L161" s="549"/>
      <c r="M161" s="549"/>
      <c r="N161" s="549"/>
      <c r="O161" s="549"/>
      <c r="P161" s="549"/>
      <c r="Q161" s="549"/>
      <c r="R161" s="549"/>
      <c r="S161" s="549"/>
      <c r="T161" s="549"/>
      <c r="U161" s="424"/>
      <c r="V161" s="424"/>
      <c r="W161" s="425"/>
      <c r="X161" s="425"/>
      <c r="Y161" s="425"/>
      <c r="Z161" s="425"/>
      <c r="AA161" s="425"/>
      <c r="AH161" s="425"/>
      <c r="AI161" s="425"/>
      <c r="AJ161" s="425"/>
      <c r="AK161" s="425"/>
      <c r="AL161" s="425"/>
      <c r="AM161" s="425"/>
      <c r="AN161" s="428"/>
      <c r="AO161" s="425"/>
      <c r="AP161" s="425"/>
      <c r="AQ161" s="425"/>
      <c r="AR161" s="425"/>
      <c r="AS161" s="425"/>
      <c r="AT161" s="425"/>
      <c r="AU161" s="425"/>
      <c r="AV161" s="425"/>
      <c r="AW161" s="425"/>
      <c r="AX161" s="425"/>
      <c r="AY161" s="425"/>
      <c r="AZ161" s="425"/>
      <c r="BA161" s="425"/>
      <c r="BB161" s="425"/>
      <c r="BC161" s="425"/>
      <c r="BD161" s="425"/>
      <c r="BE161" s="425"/>
      <c r="BF161" s="425"/>
      <c r="BG161" s="426"/>
      <c r="BH161" s="428"/>
      <c r="BI161" s="425"/>
      <c r="BJ161" s="425"/>
      <c r="BK161" s="425"/>
      <c r="BL161" s="425"/>
      <c r="BM161" s="425"/>
      <c r="BN161" s="425"/>
      <c r="BO161" s="425"/>
      <c r="BP161" s="425"/>
      <c r="BQ161" s="425"/>
      <c r="BR161" s="425"/>
      <c r="BS161" s="425"/>
      <c r="BT161" s="425"/>
      <c r="BU161" s="425"/>
      <c r="BV161" s="425"/>
      <c r="BW161" s="425"/>
      <c r="BX161" s="425"/>
      <c r="BY161" s="425"/>
      <c r="BZ161" s="425"/>
      <c r="CA161" s="425"/>
      <c r="CB161" s="425"/>
      <c r="CC161" s="425"/>
      <c r="CD161" s="425"/>
      <c r="CE161" s="425"/>
      <c r="CF161" s="425"/>
      <c r="CG161" s="425"/>
      <c r="CH161" s="425"/>
      <c r="CI161" s="425"/>
      <c r="CJ161" s="425"/>
      <c r="CK161" s="425"/>
      <c r="CL161" s="425"/>
      <c r="CM161" s="425"/>
      <c r="CN161" s="425"/>
      <c r="CO161" s="425"/>
      <c r="CP161" s="425"/>
      <c r="CQ161" s="425"/>
      <c r="CR161" s="425"/>
      <c r="CS161" s="425"/>
      <c r="CT161" s="425"/>
      <c r="CU161" s="425"/>
      <c r="CV161" s="425"/>
    </row>
    <row r="162" spans="1:100">
      <c r="A162" s="554"/>
      <c r="B162" s="442"/>
      <c r="C162" s="442"/>
      <c r="D162" s="442"/>
      <c r="E162" s="442"/>
      <c r="F162" s="442"/>
      <c r="G162" s="442"/>
      <c r="H162" s="549"/>
      <c r="I162" s="549"/>
      <c r="J162" s="549"/>
      <c r="K162" s="549"/>
      <c r="L162" s="549"/>
      <c r="M162" s="549"/>
      <c r="N162" s="549"/>
      <c r="O162" s="549"/>
      <c r="P162" s="549"/>
      <c r="Q162" s="549"/>
      <c r="R162" s="549"/>
      <c r="S162" s="549"/>
      <c r="T162" s="549"/>
      <c r="U162" s="424"/>
      <c r="V162" s="424"/>
      <c r="W162" s="425"/>
      <c r="X162" s="425"/>
      <c r="Y162" s="425"/>
      <c r="Z162" s="425"/>
      <c r="AA162" s="425"/>
      <c r="AH162" s="425"/>
      <c r="AI162" s="425"/>
      <c r="AJ162" s="425"/>
      <c r="AK162" s="425"/>
      <c r="AL162" s="425"/>
      <c r="AM162" s="425"/>
      <c r="AN162" s="428"/>
      <c r="AO162" s="425"/>
      <c r="AP162" s="425"/>
      <c r="AQ162" s="425"/>
      <c r="AR162" s="425"/>
      <c r="AS162" s="425"/>
      <c r="AT162" s="425"/>
      <c r="AU162" s="425"/>
      <c r="AV162" s="425"/>
      <c r="AW162" s="425"/>
      <c r="AX162" s="425"/>
      <c r="AY162" s="425"/>
      <c r="AZ162" s="425"/>
      <c r="BA162" s="425"/>
      <c r="BB162" s="425"/>
      <c r="BC162" s="425"/>
      <c r="BD162" s="425"/>
      <c r="BE162" s="425"/>
      <c r="BF162" s="425"/>
      <c r="BG162" s="426"/>
      <c r="BH162" s="428"/>
      <c r="BI162" s="425"/>
      <c r="BJ162" s="425"/>
      <c r="BK162" s="425"/>
      <c r="BL162" s="425"/>
      <c r="BM162" s="425"/>
      <c r="BN162" s="425"/>
      <c r="BO162" s="425"/>
      <c r="BP162" s="425"/>
      <c r="BQ162" s="425"/>
      <c r="BR162" s="425"/>
      <c r="BS162" s="425"/>
      <c r="BT162" s="425"/>
      <c r="BU162" s="425"/>
      <c r="BV162" s="425"/>
      <c r="BW162" s="425"/>
      <c r="BX162" s="425"/>
      <c r="BY162" s="425"/>
      <c r="BZ162" s="425"/>
      <c r="CA162" s="425"/>
      <c r="CB162" s="425"/>
      <c r="CC162" s="425"/>
      <c r="CD162" s="425"/>
      <c r="CE162" s="425"/>
      <c r="CF162" s="425"/>
      <c r="CG162" s="425"/>
      <c r="CH162" s="425"/>
      <c r="CI162" s="425"/>
      <c r="CJ162" s="425"/>
      <c r="CK162" s="425"/>
      <c r="CL162" s="425"/>
      <c r="CM162" s="425"/>
      <c r="CN162" s="425"/>
      <c r="CO162" s="425"/>
      <c r="CP162" s="425"/>
      <c r="CQ162" s="425"/>
      <c r="CR162" s="425"/>
      <c r="CS162" s="425"/>
      <c r="CT162" s="425"/>
      <c r="CU162" s="425"/>
      <c r="CV162" s="425"/>
    </row>
    <row r="163" spans="1:100">
      <c r="A163" s="554"/>
      <c r="B163" s="442"/>
      <c r="C163" s="442"/>
      <c r="D163" s="442"/>
      <c r="E163" s="442"/>
      <c r="F163" s="442"/>
      <c r="G163" s="442"/>
      <c r="H163" s="549"/>
      <c r="I163" s="549"/>
      <c r="J163" s="549"/>
      <c r="K163" s="549"/>
      <c r="L163" s="549"/>
      <c r="M163" s="549"/>
      <c r="N163" s="549"/>
      <c r="O163" s="549"/>
      <c r="P163" s="549"/>
      <c r="Q163" s="549"/>
      <c r="R163" s="549"/>
      <c r="S163" s="549"/>
      <c r="T163" s="549"/>
      <c r="U163" s="424"/>
      <c r="V163" s="424"/>
      <c r="W163" s="425"/>
      <c r="X163" s="425"/>
      <c r="Y163" s="425"/>
      <c r="Z163" s="425"/>
      <c r="AA163" s="425"/>
      <c r="AH163" s="425"/>
      <c r="AI163" s="425"/>
      <c r="AJ163" s="425"/>
      <c r="AK163" s="425"/>
      <c r="AL163" s="425"/>
      <c r="AM163" s="425"/>
      <c r="AN163" s="428"/>
      <c r="AO163" s="425"/>
      <c r="AP163" s="425"/>
      <c r="AQ163" s="425"/>
      <c r="AR163" s="425"/>
      <c r="AS163" s="425"/>
      <c r="AT163" s="425"/>
      <c r="AU163" s="425"/>
      <c r="AV163" s="425"/>
      <c r="AW163" s="425"/>
      <c r="AX163" s="425"/>
      <c r="AY163" s="425"/>
      <c r="AZ163" s="425"/>
      <c r="BA163" s="425"/>
      <c r="BB163" s="425"/>
      <c r="BC163" s="425"/>
      <c r="BD163" s="425"/>
      <c r="BE163" s="425"/>
      <c r="BF163" s="425"/>
      <c r="BG163" s="426"/>
      <c r="BH163" s="428"/>
      <c r="BI163" s="425"/>
      <c r="BJ163" s="425"/>
      <c r="BK163" s="425"/>
      <c r="BL163" s="425"/>
      <c r="BM163" s="425"/>
      <c r="BN163" s="425"/>
      <c r="BO163" s="425"/>
      <c r="BP163" s="425"/>
      <c r="BQ163" s="425"/>
      <c r="BR163" s="425"/>
      <c r="BS163" s="425"/>
      <c r="BT163" s="425"/>
      <c r="BU163" s="425"/>
      <c r="BV163" s="425"/>
      <c r="BW163" s="425"/>
      <c r="BX163" s="425"/>
      <c r="BY163" s="425"/>
      <c r="BZ163" s="425"/>
      <c r="CA163" s="425"/>
      <c r="CB163" s="425"/>
      <c r="CC163" s="425"/>
      <c r="CD163" s="425"/>
      <c r="CE163" s="425"/>
      <c r="CF163" s="425"/>
      <c r="CG163" s="425"/>
      <c r="CH163" s="425"/>
      <c r="CI163" s="425"/>
      <c r="CJ163" s="425"/>
      <c r="CK163" s="425"/>
      <c r="CL163" s="425"/>
      <c r="CM163" s="425"/>
      <c r="CN163" s="425"/>
      <c r="CO163" s="425"/>
      <c r="CP163" s="425"/>
      <c r="CQ163" s="425"/>
      <c r="CR163" s="425"/>
      <c r="CS163" s="425"/>
      <c r="CT163" s="425"/>
      <c r="CU163" s="425"/>
      <c r="CV163" s="425"/>
    </row>
    <row r="164" spans="1:100">
      <c r="A164" s="554"/>
      <c r="B164" s="442"/>
      <c r="C164" s="442"/>
      <c r="D164" s="442"/>
      <c r="E164" s="442"/>
      <c r="F164" s="442"/>
      <c r="G164" s="442"/>
      <c r="H164" s="549"/>
      <c r="I164" s="549"/>
      <c r="J164" s="549"/>
      <c r="K164" s="549"/>
      <c r="L164" s="549"/>
      <c r="M164" s="549"/>
      <c r="N164" s="549"/>
      <c r="O164" s="549"/>
      <c r="P164" s="549"/>
      <c r="Q164" s="549"/>
      <c r="R164" s="549"/>
      <c r="S164" s="549"/>
      <c r="T164" s="549"/>
      <c r="U164" s="424"/>
      <c r="V164" s="424"/>
      <c r="W164" s="425"/>
      <c r="X164" s="425"/>
      <c r="Y164" s="425"/>
      <c r="Z164" s="425"/>
      <c r="AA164" s="425"/>
      <c r="AH164" s="425"/>
      <c r="AI164" s="425"/>
      <c r="AJ164" s="425"/>
      <c r="AK164" s="425"/>
      <c r="AL164" s="425"/>
      <c r="AM164" s="425"/>
      <c r="AN164" s="428"/>
      <c r="AO164" s="425"/>
      <c r="AP164" s="425"/>
      <c r="AQ164" s="425"/>
      <c r="AR164" s="425"/>
      <c r="AS164" s="425"/>
      <c r="AT164" s="425"/>
      <c r="AU164" s="425"/>
      <c r="AV164" s="425"/>
      <c r="AW164" s="425"/>
      <c r="AX164" s="425"/>
      <c r="AY164" s="425"/>
      <c r="AZ164" s="425"/>
      <c r="BA164" s="425"/>
      <c r="BB164" s="425"/>
      <c r="BC164" s="425"/>
      <c r="BD164" s="425"/>
      <c r="BE164" s="425"/>
      <c r="BF164" s="425"/>
      <c r="BG164" s="426"/>
      <c r="BH164" s="428"/>
      <c r="BI164" s="425"/>
      <c r="BJ164" s="425"/>
      <c r="BK164" s="425"/>
      <c r="BL164" s="425"/>
      <c r="BM164" s="425"/>
      <c r="BN164" s="425"/>
      <c r="BO164" s="425"/>
      <c r="BP164" s="425"/>
      <c r="BQ164" s="425"/>
      <c r="BR164" s="425"/>
      <c r="BS164" s="425"/>
      <c r="BT164" s="425"/>
      <c r="BU164" s="425"/>
      <c r="BV164" s="425"/>
      <c r="BW164" s="425"/>
      <c r="BX164" s="425"/>
      <c r="BY164" s="425"/>
      <c r="BZ164" s="425"/>
      <c r="CA164" s="425"/>
      <c r="CB164" s="425"/>
      <c r="CC164" s="425"/>
      <c r="CD164" s="425"/>
      <c r="CE164" s="425"/>
      <c r="CF164" s="425"/>
      <c r="CG164" s="425"/>
      <c r="CH164" s="425"/>
      <c r="CI164" s="425"/>
      <c r="CJ164" s="425"/>
      <c r="CK164" s="425"/>
      <c r="CL164" s="425"/>
      <c r="CM164" s="425"/>
      <c r="CN164" s="425"/>
      <c r="CO164" s="425"/>
      <c r="CP164" s="425"/>
      <c r="CQ164" s="425"/>
      <c r="CR164" s="425"/>
      <c r="CS164" s="425"/>
      <c r="CT164" s="425"/>
      <c r="CU164" s="425"/>
      <c r="CV164" s="425"/>
    </row>
    <row r="165" spans="1:100">
      <c r="A165" s="554"/>
      <c r="B165" s="442"/>
      <c r="C165" s="442"/>
      <c r="D165" s="442"/>
      <c r="E165" s="442"/>
      <c r="F165" s="442"/>
      <c r="G165" s="442"/>
      <c r="H165" s="549"/>
      <c r="I165" s="549"/>
      <c r="J165" s="549"/>
      <c r="K165" s="549"/>
      <c r="L165" s="549"/>
      <c r="M165" s="549"/>
      <c r="N165" s="549"/>
      <c r="O165" s="549"/>
      <c r="P165" s="549"/>
      <c r="Q165" s="549"/>
      <c r="R165" s="549"/>
      <c r="S165" s="549"/>
      <c r="T165" s="549"/>
      <c r="U165" s="424"/>
      <c r="V165" s="424"/>
      <c r="W165" s="425"/>
      <c r="X165" s="425"/>
      <c r="Y165" s="425"/>
      <c r="Z165" s="425"/>
      <c r="AA165" s="425"/>
      <c r="AH165" s="425"/>
      <c r="AI165" s="425"/>
      <c r="AJ165" s="425"/>
      <c r="AK165" s="425"/>
      <c r="AL165" s="425"/>
      <c r="AM165" s="425"/>
      <c r="AN165" s="428"/>
      <c r="AO165" s="425"/>
      <c r="AP165" s="425"/>
      <c r="AQ165" s="425"/>
      <c r="AR165" s="425"/>
      <c r="AS165" s="425"/>
      <c r="AT165" s="425"/>
      <c r="AU165" s="425"/>
      <c r="AV165" s="425"/>
      <c r="AW165" s="425"/>
      <c r="AX165" s="425"/>
      <c r="AY165" s="425"/>
      <c r="AZ165" s="425"/>
      <c r="BA165" s="425"/>
      <c r="BB165" s="425"/>
      <c r="BC165" s="425"/>
      <c r="BD165" s="425"/>
      <c r="BE165" s="425"/>
      <c r="BF165" s="425"/>
      <c r="BG165" s="426"/>
      <c r="BH165" s="428"/>
      <c r="BI165" s="425"/>
      <c r="BJ165" s="425"/>
      <c r="BK165" s="425"/>
      <c r="BL165" s="425"/>
      <c r="BM165" s="425"/>
      <c r="BN165" s="425"/>
      <c r="BO165" s="425"/>
      <c r="BP165" s="425"/>
      <c r="BQ165" s="425"/>
      <c r="BR165" s="425"/>
      <c r="BS165" s="425"/>
      <c r="BT165" s="425"/>
      <c r="BU165" s="425"/>
      <c r="BV165" s="425"/>
      <c r="BW165" s="425"/>
      <c r="BX165" s="425"/>
      <c r="BY165" s="425"/>
      <c r="BZ165" s="425"/>
      <c r="CA165" s="425"/>
      <c r="CB165" s="425"/>
      <c r="CC165" s="425"/>
      <c r="CD165" s="425"/>
      <c r="CE165" s="425"/>
      <c r="CF165" s="425"/>
      <c r="CG165" s="425"/>
      <c r="CH165" s="425"/>
      <c r="CI165" s="425"/>
      <c r="CJ165" s="425"/>
      <c r="CK165" s="425"/>
      <c r="CL165" s="425"/>
      <c r="CM165" s="425"/>
      <c r="CN165" s="425"/>
      <c r="CO165" s="425"/>
      <c r="CP165" s="425"/>
      <c r="CQ165" s="425"/>
      <c r="CR165" s="425"/>
      <c r="CS165" s="425"/>
      <c r="CT165" s="425"/>
      <c r="CU165" s="425"/>
      <c r="CV165" s="425"/>
    </row>
    <row r="166" spans="1:100">
      <c r="A166" s="554"/>
      <c r="B166" s="442"/>
      <c r="C166" s="442"/>
      <c r="D166" s="442"/>
      <c r="E166" s="442"/>
      <c r="F166" s="442"/>
      <c r="G166" s="442"/>
      <c r="H166" s="549"/>
      <c r="I166" s="549"/>
      <c r="J166" s="549"/>
      <c r="K166" s="549"/>
      <c r="L166" s="549"/>
      <c r="M166" s="549"/>
      <c r="N166" s="549"/>
      <c r="O166" s="549"/>
      <c r="P166" s="549"/>
      <c r="Q166" s="549"/>
      <c r="R166" s="549"/>
      <c r="S166" s="549"/>
      <c r="T166" s="549"/>
      <c r="U166" s="424"/>
      <c r="V166" s="424"/>
      <c r="W166" s="425"/>
      <c r="X166" s="425"/>
      <c r="Y166" s="425"/>
      <c r="Z166" s="425"/>
      <c r="AA166" s="425"/>
      <c r="AH166" s="425"/>
      <c r="AI166" s="425"/>
      <c r="AJ166" s="425"/>
      <c r="AK166" s="425"/>
      <c r="AL166" s="425"/>
      <c r="AM166" s="425"/>
      <c r="AN166" s="428"/>
      <c r="AO166" s="425"/>
      <c r="AP166" s="425"/>
      <c r="AQ166" s="425"/>
      <c r="AR166" s="425"/>
      <c r="AS166" s="425"/>
      <c r="AT166" s="425"/>
      <c r="AU166" s="425"/>
      <c r="AV166" s="425"/>
      <c r="AW166" s="425"/>
      <c r="AX166" s="425"/>
      <c r="AY166" s="425"/>
      <c r="AZ166" s="425"/>
      <c r="BA166" s="425"/>
      <c r="BB166" s="425"/>
      <c r="BC166" s="425"/>
      <c r="BD166" s="425"/>
      <c r="BE166" s="425"/>
      <c r="BF166" s="425"/>
      <c r="BG166" s="426"/>
      <c r="BH166" s="428"/>
      <c r="BI166" s="425"/>
      <c r="BJ166" s="425"/>
      <c r="BK166" s="425"/>
      <c r="BL166" s="425"/>
      <c r="BM166" s="425"/>
      <c r="BN166" s="425"/>
      <c r="BO166" s="425"/>
      <c r="BP166" s="425"/>
      <c r="BQ166" s="425"/>
      <c r="BR166" s="425"/>
      <c r="BS166" s="425"/>
      <c r="BT166" s="425"/>
      <c r="BU166" s="425"/>
      <c r="BV166" s="425"/>
      <c r="BW166" s="425"/>
      <c r="BX166" s="425"/>
      <c r="BY166" s="425"/>
      <c r="BZ166" s="425"/>
      <c r="CA166" s="425"/>
      <c r="CB166" s="425"/>
      <c r="CC166" s="425"/>
      <c r="CD166" s="425"/>
      <c r="CE166" s="425"/>
      <c r="CF166" s="425"/>
      <c r="CG166" s="425"/>
      <c r="CH166" s="425"/>
      <c r="CI166" s="425"/>
      <c r="CJ166" s="425"/>
      <c r="CK166" s="425"/>
      <c r="CL166" s="425"/>
      <c r="CM166" s="425"/>
      <c r="CN166" s="425"/>
      <c r="CO166" s="425"/>
      <c r="CP166" s="425"/>
      <c r="CQ166" s="425"/>
      <c r="CR166" s="425"/>
      <c r="CS166" s="425"/>
      <c r="CT166" s="425"/>
      <c r="CU166" s="425"/>
      <c r="CV166" s="425"/>
    </row>
    <row r="167" spans="1:100">
      <c r="A167" s="554"/>
      <c r="B167" s="442"/>
      <c r="C167" s="442"/>
      <c r="D167" s="442"/>
      <c r="E167" s="442"/>
      <c r="F167" s="442"/>
      <c r="G167" s="442"/>
      <c r="H167" s="549"/>
      <c r="I167" s="549"/>
      <c r="J167" s="549"/>
      <c r="K167" s="549"/>
      <c r="L167" s="549"/>
      <c r="M167" s="549"/>
      <c r="N167" s="549"/>
      <c r="O167" s="549"/>
      <c r="P167" s="549"/>
      <c r="Q167" s="549"/>
      <c r="R167" s="549"/>
      <c r="S167" s="549"/>
      <c r="T167" s="549"/>
      <c r="U167" s="424"/>
      <c r="V167" s="424"/>
      <c r="W167" s="425"/>
      <c r="X167" s="425"/>
      <c r="Y167" s="425"/>
      <c r="Z167" s="425"/>
      <c r="AA167" s="425"/>
      <c r="AH167" s="425"/>
      <c r="AI167" s="425"/>
      <c r="AJ167" s="425"/>
      <c r="AK167" s="425"/>
      <c r="AL167" s="425"/>
      <c r="AM167" s="425"/>
      <c r="AN167" s="428"/>
      <c r="AO167" s="425"/>
      <c r="AP167" s="425"/>
      <c r="AQ167" s="425"/>
      <c r="AR167" s="425"/>
      <c r="AS167" s="425"/>
      <c r="AT167" s="425"/>
      <c r="AU167" s="425"/>
      <c r="AV167" s="425"/>
      <c r="AW167" s="425"/>
      <c r="AX167" s="425"/>
      <c r="AY167" s="425"/>
      <c r="AZ167" s="425"/>
      <c r="BA167" s="425"/>
      <c r="BB167" s="425"/>
      <c r="BC167" s="425"/>
      <c r="BD167" s="425"/>
      <c r="BE167" s="425"/>
      <c r="BF167" s="425"/>
      <c r="BG167" s="426"/>
      <c r="BH167" s="428"/>
      <c r="BI167" s="425"/>
      <c r="BJ167" s="425"/>
      <c r="BK167" s="425"/>
      <c r="BL167" s="425"/>
      <c r="BM167" s="425"/>
      <c r="BN167" s="425"/>
      <c r="BO167" s="425"/>
      <c r="BP167" s="425"/>
      <c r="BQ167" s="425"/>
      <c r="BR167" s="425"/>
      <c r="BS167" s="425"/>
      <c r="BT167" s="425"/>
      <c r="BU167" s="425"/>
      <c r="BV167" s="425"/>
      <c r="BW167" s="425"/>
      <c r="BX167" s="425"/>
      <c r="BY167" s="425"/>
      <c r="BZ167" s="425"/>
      <c r="CA167" s="425"/>
      <c r="CB167" s="425"/>
      <c r="CC167" s="425"/>
      <c r="CD167" s="425"/>
      <c r="CE167" s="425"/>
      <c r="CF167" s="425"/>
      <c r="CG167" s="425"/>
      <c r="CH167" s="425"/>
      <c r="CI167" s="425"/>
      <c r="CJ167" s="425"/>
      <c r="CK167" s="425"/>
      <c r="CL167" s="425"/>
      <c r="CM167" s="425"/>
      <c r="CN167" s="425"/>
      <c r="CO167" s="425"/>
      <c r="CP167" s="425"/>
      <c r="CQ167" s="425"/>
      <c r="CR167" s="425"/>
      <c r="CS167" s="425"/>
      <c r="CT167" s="425"/>
      <c r="CU167" s="425"/>
      <c r="CV167" s="425"/>
    </row>
    <row r="168" spans="1:100">
      <c r="A168" s="554"/>
      <c r="B168" s="442"/>
      <c r="C168" s="442"/>
      <c r="D168" s="442"/>
      <c r="E168" s="442"/>
      <c r="F168" s="442"/>
      <c r="G168" s="442"/>
      <c r="H168" s="549"/>
      <c r="I168" s="549"/>
      <c r="J168" s="549"/>
      <c r="K168" s="549"/>
      <c r="L168" s="549"/>
      <c r="M168" s="549"/>
      <c r="N168" s="549"/>
      <c r="O168" s="549"/>
      <c r="P168" s="549"/>
      <c r="Q168" s="549"/>
      <c r="R168" s="549"/>
      <c r="S168" s="549"/>
      <c r="T168" s="549"/>
      <c r="U168" s="424"/>
      <c r="V168" s="424"/>
      <c r="W168" s="425"/>
      <c r="X168" s="425"/>
      <c r="Y168" s="425"/>
      <c r="Z168" s="425"/>
      <c r="AA168" s="425"/>
      <c r="AH168" s="425"/>
      <c r="AI168" s="425"/>
      <c r="AJ168" s="425"/>
      <c r="AK168" s="425"/>
      <c r="AL168" s="425"/>
      <c r="AM168" s="425"/>
      <c r="AN168" s="428"/>
      <c r="AO168" s="425"/>
      <c r="AP168" s="425"/>
      <c r="AQ168" s="425"/>
      <c r="AR168" s="425"/>
      <c r="AS168" s="425"/>
      <c r="AT168" s="425"/>
      <c r="AU168" s="425"/>
      <c r="AV168" s="425"/>
      <c r="AW168" s="425"/>
      <c r="AX168" s="425"/>
      <c r="AY168" s="425"/>
      <c r="AZ168" s="425"/>
      <c r="BA168" s="425"/>
      <c r="BB168" s="425"/>
      <c r="BC168" s="425"/>
      <c r="BD168" s="425"/>
      <c r="BE168" s="425"/>
      <c r="BF168" s="425"/>
      <c r="BG168" s="426"/>
      <c r="BH168" s="428"/>
      <c r="BI168" s="425"/>
      <c r="BJ168" s="425"/>
      <c r="BK168" s="425"/>
      <c r="BL168" s="425"/>
      <c r="BM168" s="425"/>
      <c r="BN168" s="425"/>
      <c r="BO168" s="425"/>
      <c r="BP168" s="425"/>
      <c r="BQ168" s="425"/>
      <c r="BR168" s="425"/>
      <c r="BS168" s="425"/>
      <c r="BT168" s="425"/>
      <c r="BU168" s="425"/>
      <c r="BV168" s="425"/>
      <c r="BW168" s="425"/>
      <c r="BX168" s="425"/>
      <c r="BY168" s="425"/>
      <c r="BZ168" s="425"/>
      <c r="CA168" s="425"/>
      <c r="CB168" s="425"/>
      <c r="CC168" s="425"/>
      <c r="CD168" s="425"/>
      <c r="CE168" s="425"/>
      <c r="CF168" s="425"/>
      <c r="CG168" s="425"/>
      <c r="CH168" s="425"/>
      <c r="CI168" s="425"/>
      <c r="CJ168" s="425"/>
      <c r="CK168" s="425"/>
      <c r="CL168" s="425"/>
      <c r="CM168" s="425"/>
      <c r="CN168" s="425"/>
      <c r="CO168" s="425"/>
      <c r="CP168" s="425"/>
      <c r="CQ168" s="425"/>
      <c r="CR168" s="425"/>
      <c r="CS168" s="425"/>
      <c r="CT168" s="425"/>
      <c r="CU168" s="425"/>
      <c r="CV168" s="425"/>
    </row>
    <row r="169" spans="1:100">
      <c r="A169" s="554"/>
      <c r="B169" s="442"/>
      <c r="C169" s="442"/>
      <c r="D169" s="442"/>
      <c r="E169" s="442"/>
      <c r="F169" s="442"/>
      <c r="G169" s="442"/>
      <c r="H169" s="549"/>
      <c r="I169" s="549"/>
      <c r="J169" s="549"/>
      <c r="K169" s="549"/>
      <c r="L169" s="549"/>
      <c r="M169" s="549"/>
      <c r="N169" s="549"/>
      <c r="O169" s="549"/>
      <c r="P169" s="549"/>
      <c r="Q169" s="549"/>
      <c r="R169" s="549"/>
      <c r="S169" s="549"/>
      <c r="T169" s="549"/>
      <c r="U169" s="424"/>
      <c r="V169" s="424"/>
      <c r="W169" s="425"/>
      <c r="X169" s="425"/>
      <c r="Y169" s="425"/>
      <c r="Z169" s="425"/>
      <c r="AA169" s="425"/>
      <c r="AH169" s="425"/>
      <c r="AI169" s="425"/>
      <c r="AJ169" s="425"/>
      <c r="AK169" s="425"/>
      <c r="AL169" s="425"/>
      <c r="AM169" s="425"/>
      <c r="AN169" s="428"/>
      <c r="AO169" s="425"/>
      <c r="AP169" s="425"/>
      <c r="AQ169" s="425"/>
      <c r="AR169" s="425"/>
      <c r="AS169" s="425"/>
      <c r="AT169" s="425"/>
      <c r="AU169" s="425"/>
      <c r="AV169" s="425"/>
      <c r="AW169" s="425"/>
      <c r="AX169" s="425"/>
      <c r="AY169" s="425"/>
      <c r="AZ169" s="425"/>
      <c r="BA169" s="425"/>
      <c r="BB169" s="425"/>
      <c r="BC169" s="425"/>
      <c r="BD169" s="425"/>
      <c r="BE169" s="425"/>
      <c r="BF169" s="425"/>
      <c r="BG169" s="426"/>
      <c r="BH169" s="428"/>
      <c r="BI169" s="425"/>
      <c r="BJ169" s="425"/>
      <c r="BK169" s="425"/>
      <c r="BL169" s="425"/>
      <c r="BM169" s="425"/>
      <c r="BN169" s="425"/>
      <c r="BO169" s="425"/>
      <c r="BP169" s="425"/>
      <c r="BQ169" s="425"/>
      <c r="BR169" s="425"/>
      <c r="BS169" s="425"/>
      <c r="BT169" s="425"/>
      <c r="BU169" s="425"/>
      <c r="BV169" s="425"/>
      <c r="BW169" s="425"/>
      <c r="BX169" s="425"/>
      <c r="BY169" s="425"/>
      <c r="BZ169" s="425"/>
      <c r="CA169" s="425"/>
      <c r="CB169" s="425"/>
      <c r="CC169" s="425"/>
      <c r="CD169" s="425"/>
      <c r="CE169" s="425"/>
      <c r="CF169" s="425"/>
      <c r="CG169" s="425"/>
      <c r="CH169" s="425"/>
      <c r="CI169" s="425"/>
      <c r="CJ169" s="425"/>
      <c r="CK169" s="425"/>
      <c r="CL169" s="425"/>
      <c r="CM169" s="425"/>
      <c r="CN169" s="425"/>
      <c r="CO169" s="425"/>
      <c r="CP169" s="425"/>
      <c r="CQ169" s="425"/>
      <c r="CR169" s="425"/>
      <c r="CS169" s="425"/>
      <c r="CT169" s="425"/>
      <c r="CU169" s="425"/>
      <c r="CV169" s="425"/>
    </row>
    <row r="170" spans="1:100">
      <c r="A170" s="554"/>
      <c r="B170" s="442"/>
      <c r="C170" s="442"/>
      <c r="D170" s="442"/>
      <c r="E170" s="442"/>
      <c r="F170" s="442"/>
      <c r="G170" s="442"/>
      <c r="H170" s="549"/>
      <c r="I170" s="549"/>
      <c r="J170" s="549"/>
      <c r="K170" s="549"/>
      <c r="L170" s="549"/>
      <c r="M170" s="549"/>
      <c r="N170" s="549"/>
      <c r="O170" s="549"/>
      <c r="P170" s="549"/>
      <c r="Q170" s="549"/>
      <c r="R170" s="549"/>
      <c r="S170" s="549"/>
      <c r="T170" s="549"/>
      <c r="U170" s="424"/>
      <c r="V170" s="424"/>
      <c r="W170" s="425"/>
      <c r="X170" s="425"/>
      <c r="Y170" s="425"/>
      <c r="Z170" s="425"/>
      <c r="AA170" s="425"/>
      <c r="AH170" s="425"/>
      <c r="AI170" s="425"/>
      <c r="AJ170" s="425"/>
      <c r="AK170" s="425"/>
      <c r="AL170" s="425"/>
      <c r="AM170" s="425"/>
      <c r="AN170" s="428"/>
      <c r="AO170" s="425"/>
      <c r="AP170" s="425"/>
      <c r="AQ170" s="425"/>
      <c r="AR170" s="425"/>
      <c r="AS170" s="425"/>
      <c r="AT170" s="425"/>
      <c r="AU170" s="425"/>
      <c r="AV170" s="425"/>
      <c r="AW170" s="425"/>
      <c r="AX170" s="425"/>
      <c r="AY170" s="425"/>
      <c r="AZ170" s="425"/>
      <c r="BA170" s="425"/>
      <c r="BB170" s="425"/>
      <c r="BC170" s="425"/>
      <c r="BD170" s="425"/>
      <c r="BE170" s="425"/>
      <c r="BF170" s="425"/>
      <c r="BG170" s="426"/>
      <c r="BH170" s="428"/>
      <c r="BI170" s="425"/>
      <c r="BJ170" s="425"/>
      <c r="BK170" s="425"/>
      <c r="BL170" s="425"/>
      <c r="BM170" s="425"/>
      <c r="BN170" s="425"/>
      <c r="BO170" s="425"/>
      <c r="BP170" s="425"/>
      <c r="BQ170" s="425"/>
      <c r="BR170" s="425"/>
      <c r="BS170" s="425"/>
      <c r="BT170" s="425"/>
      <c r="BU170" s="425"/>
      <c r="BV170" s="425"/>
      <c r="BW170" s="425"/>
      <c r="BX170" s="425"/>
      <c r="BY170" s="425"/>
      <c r="BZ170" s="425"/>
      <c r="CA170" s="425"/>
      <c r="CB170" s="425"/>
      <c r="CC170" s="425"/>
      <c r="CD170" s="425"/>
      <c r="CE170" s="425"/>
      <c r="CF170" s="425"/>
      <c r="CG170" s="425"/>
      <c r="CH170" s="425"/>
      <c r="CI170" s="425"/>
      <c r="CJ170" s="425"/>
      <c r="CK170" s="425"/>
      <c r="CL170" s="425"/>
      <c r="CM170" s="425"/>
      <c r="CN170" s="425"/>
      <c r="CO170" s="425"/>
      <c r="CP170" s="425"/>
      <c r="CQ170" s="425"/>
      <c r="CR170" s="425"/>
      <c r="CS170" s="425"/>
      <c r="CT170" s="425"/>
      <c r="CU170" s="425"/>
      <c r="CV170" s="425"/>
    </row>
    <row r="171" spans="1:100">
      <c r="A171" s="554"/>
      <c r="B171" s="442"/>
      <c r="C171" s="442"/>
      <c r="D171" s="442"/>
      <c r="E171" s="442"/>
      <c r="F171" s="442"/>
      <c r="G171" s="442"/>
      <c r="H171" s="549"/>
      <c r="I171" s="549"/>
      <c r="J171" s="549"/>
      <c r="K171" s="549"/>
      <c r="L171" s="549"/>
      <c r="M171" s="549"/>
      <c r="N171" s="549"/>
      <c r="O171" s="549"/>
      <c r="P171" s="549"/>
      <c r="Q171" s="549"/>
      <c r="R171" s="549"/>
      <c r="S171" s="549"/>
      <c r="T171" s="549"/>
      <c r="U171" s="424"/>
      <c r="V171" s="424"/>
      <c r="W171" s="425"/>
      <c r="X171" s="425"/>
      <c r="Y171" s="425"/>
      <c r="Z171" s="425"/>
      <c r="AA171" s="425"/>
      <c r="AH171" s="425"/>
      <c r="AI171" s="425"/>
      <c r="AJ171" s="425"/>
      <c r="AK171" s="425"/>
      <c r="AL171" s="425"/>
      <c r="AM171" s="425"/>
      <c r="AN171" s="428"/>
      <c r="AO171" s="425"/>
      <c r="AP171" s="425"/>
      <c r="AQ171" s="425"/>
      <c r="AR171" s="425"/>
      <c r="AS171" s="425"/>
      <c r="AT171" s="425"/>
      <c r="AU171" s="425"/>
      <c r="AV171" s="425"/>
      <c r="AW171" s="425"/>
      <c r="AX171" s="425"/>
      <c r="AY171" s="425"/>
      <c r="AZ171" s="425"/>
      <c r="BA171" s="425"/>
      <c r="BB171" s="425"/>
      <c r="BC171" s="425"/>
      <c r="BD171" s="425"/>
      <c r="BE171" s="425"/>
      <c r="BF171" s="425"/>
      <c r="BG171" s="426"/>
      <c r="BH171" s="428"/>
      <c r="BI171" s="425"/>
      <c r="BJ171" s="425"/>
      <c r="BK171" s="425"/>
      <c r="BL171" s="425"/>
      <c r="BM171" s="425"/>
      <c r="BN171" s="425"/>
      <c r="BO171" s="425"/>
      <c r="BP171" s="425"/>
      <c r="BQ171" s="425"/>
      <c r="BR171" s="425"/>
      <c r="BS171" s="425"/>
      <c r="BT171" s="425"/>
      <c r="BU171" s="425"/>
      <c r="BV171" s="425"/>
      <c r="BW171" s="425"/>
      <c r="BX171" s="425"/>
      <c r="BY171" s="425"/>
      <c r="BZ171" s="425"/>
      <c r="CA171" s="425"/>
      <c r="CB171" s="425"/>
      <c r="CC171" s="425"/>
      <c r="CD171" s="425"/>
      <c r="CE171" s="425"/>
      <c r="CF171" s="425"/>
      <c r="CG171" s="425"/>
      <c r="CH171" s="425"/>
      <c r="CI171" s="425"/>
      <c r="CJ171" s="425"/>
      <c r="CK171" s="425"/>
      <c r="CL171" s="425"/>
      <c r="CM171" s="425"/>
      <c r="CN171" s="425"/>
      <c r="CO171" s="425"/>
      <c r="CP171" s="425"/>
      <c r="CQ171" s="425"/>
      <c r="CR171" s="425"/>
      <c r="CS171" s="425"/>
      <c r="CT171" s="425"/>
      <c r="CU171" s="425"/>
      <c r="CV171" s="425"/>
    </row>
    <row r="172" spans="1:100">
      <c r="A172" s="554"/>
      <c r="B172" s="442"/>
      <c r="C172" s="442"/>
      <c r="D172" s="442"/>
      <c r="E172" s="442"/>
      <c r="F172" s="442"/>
      <c r="G172" s="442"/>
      <c r="H172" s="549"/>
      <c r="I172" s="549"/>
      <c r="J172" s="549"/>
      <c r="K172" s="549"/>
      <c r="L172" s="549"/>
      <c r="M172" s="549"/>
      <c r="N172" s="549"/>
      <c r="O172" s="549"/>
      <c r="P172" s="549"/>
      <c r="Q172" s="549"/>
      <c r="R172" s="549"/>
      <c r="S172" s="549"/>
      <c r="T172" s="549"/>
      <c r="U172" s="424"/>
      <c r="V172" s="424"/>
      <c r="W172" s="425"/>
      <c r="X172" s="425"/>
      <c r="Y172" s="425"/>
      <c r="Z172" s="425"/>
      <c r="AA172" s="425"/>
      <c r="AH172" s="425"/>
      <c r="AI172" s="425"/>
      <c r="AJ172" s="425"/>
      <c r="AK172" s="425"/>
      <c r="AL172" s="425"/>
      <c r="AM172" s="425"/>
      <c r="AN172" s="428"/>
      <c r="AO172" s="425"/>
      <c r="AP172" s="425"/>
      <c r="AQ172" s="425"/>
      <c r="AR172" s="425"/>
      <c r="AS172" s="425"/>
      <c r="AT172" s="425"/>
      <c r="AU172" s="425"/>
      <c r="AV172" s="425"/>
      <c r="AW172" s="425"/>
      <c r="AX172" s="425"/>
      <c r="AY172" s="425"/>
      <c r="AZ172" s="425"/>
      <c r="BA172" s="425"/>
      <c r="BB172" s="425"/>
      <c r="BC172" s="425"/>
      <c r="BD172" s="425"/>
      <c r="BE172" s="425"/>
      <c r="BF172" s="425"/>
      <c r="BG172" s="426"/>
      <c r="BH172" s="428"/>
      <c r="BI172" s="425"/>
      <c r="BJ172" s="425"/>
      <c r="BK172" s="425"/>
      <c r="BL172" s="425"/>
      <c r="BM172" s="425"/>
      <c r="BN172" s="425"/>
      <c r="BO172" s="425"/>
      <c r="BP172" s="425"/>
      <c r="BQ172" s="425"/>
      <c r="BR172" s="425"/>
      <c r="BS172" s="425"/>
      <c r="BT172" s="425"/>
      <c r="BU172" s="425"/>
      <c r="BV172" s="425"/>
      <c r="BW172" s="425"/>
      <c r="BX172" s="425"/>
      <c r="BY172" s="425"/>
      <c r="BZ172" s="425"/>
      <c r="CA172" s="425"/>
      <c r="CB172" s="425"/>
      <c r="CC172" s="425"/>
      <c r="CD172" s="425"/>
      <c r="CE172" s="425"/>
      <c r="CF172" s="425"/>
      <c r="CG172" s="425"/>
      <c r="CH172" s="425"/>
      <c r="CI172" s="425"/>
      <c r="CJ172" s="425"/>
      <c r="CK172" s="425"/>
      <c r="CL172" s="425"/>
      <c r="CM172" s="425"/>
      <c r="CN172" s="425"/>
      <c r="CO172" s="425"/>
      <c r="CP172" s="425"/>
      <c r="CQ172" s="425"/>
      <c r="CR172" s="425"/>
      <c r="CS172" s="425"/>
      <c r="CT172" s="425"/>
      <c r="CU172" s="425"/>
      <c r="CV172" s="425"/>
    </row>
    <row r="173" spans="1:100">
      <c r="A173" s="554"/>
      <c r="B173" s="442"/>
      <c r="C173" s="442"/>
      <c r="D173" s="442"/>
      <c r="E173" s="442"/>
      <c r="F173" s="442"/>
      <c r="G173" s="442"/>
      <c r="H173" s="549"/>
      <c r="I173" s="549"/>
      <c r="J173" s="549"/>
      <c r="K173" s="549"/>
      <c r="L173" s="549"/>
      <c r="M173" s="549"/>
      <c r="N173" s="549"/>
      <c r="O173" s="549"/>
      <c r="P173" s="549"/>
      <c r="Q173" s="549"/>
      <c r="R173" s="549"/>
      <c r="S173" s="549"/>
      <c r="T173" s="549"/>
      <c r="U173" s="424"/>
      <c r="V173" s="424"/>
      <c r="W173" s="425"/>
      <c r="X173" s="425"/>
      <c r="Y173" s="425"/>
      <c r="Z173" s="425"/>
      <c r="AA173" s="425"/>
      <c r="AH173" s="425"/>
      <c r="AI173" s="425"/>
      <c r="AJ173" s="425"/>
      <c r="AK173" s="425"/>
      <c r="AL173" s="425"/>
      <c r="AM173" s="425"/>
      <c r="AN173" s="428"/>
      <c r="AO173" s="425"/>
      <c r="AP173" s="425"/>
      <c r="AQ173" s="425"/>
      <c r="AR173" s="425"/>
      <c r="AS173" s="425"/>
      <c r="AT173" s="425"/>
      <c r="AU173" s="425"/>
      <c r="AV173" s="425"/>
      <c r="AW173" s="425"/>
      <c r="AX173" s="425"/>
      <c r="AY173" s="425"/>
      <c r="AZ173" s="425"/>
      <c r="BA173" s="425"/>
      <c r="BB173" s="425"/>
      <c r="BC173" s="425"/>
      <c r="BD173" s="425"/>
      <c r="BE173" s="425"/>
      <c r="BF173" s="425"/>
      <c r="BG173" s="426"/>
      <c r="BH173" s="428"/>
      <c r="BI173" s="425"/>
      <c r="BJ173" s="425"/>
      <c r="BK173" s="425"/>
      <c r="BL173" s="425"/>
      <c r="BM173" s="425"/>
      <c r="BN173" s="425"/>
      <c r="BO173" s="425"/>
      <c r="BP173" s="425"/>
      <c r="BQ173" s="425"/>
      <c r="BR173" s="425"/>
      <c r="BS173" s="425"/>
      <c r="BT173" s="425"/>
      <c r="BU173" s="425"/>
      <c r="BV173" s="425"/>
      <c r="BW173" s="425"/>
      <c r="BX173" s="425"/>
      <c r="BY173" s="425"/>
      <c r="BZ173" s="425"/>
      <c r="CA173" s="425"/>
      <c r="CB173" s="425"/>
      <c r="CC173" s="425"/>
      <c r="CD173" s="425"/>
      <c r="CE173" s="425"/>
      <c r="CF173" s="425"/>
      <c r="CG173" s="425"/>
      <c r="CH173" s="425"/>
      <c r="CI173" s="425"/>
      <c r="CJ173" s="425"/>
      <c r="CK173" s="425"/>
      <c r="CL173" s="425"/>
      <c r="CM173" s="425"/>
      <c r="CN173" s="425"/>
      <c r="CO173" s="425"/>
      <c r="CP173" s="425"/>
      <c r="CQ173" s="425"/>
      <c r="CR173" s="425"/>
      <c r="CS173" s="425"/>
      <c r="CT173" s="425"/>
      <c r="CU173" s="425"/>
      <c r="CV173" s="425"/>
    </row>
    <row r="174" spans="1:100">
      <c r="A174" s="554"/>
      <c r="B174" s="442"/>
      <c r="C174" s="442"/>
      <c r="D174" s="442"/>
      <c r="E174" s="442"/>
      <c r="F174" s="442"/>
      <c r="G174" s="442"/>
      <c r="H174" s="549"/>
      <c r="I174" s="549"/>
      <c r="J174" s="549"/>
      <c r="K174" s="549"/>
      <c r="L174" s="549"/>
      <c r="M174" s="549"/>
      <c r="N174" s="549"/>
      <c r="O174" s="549"/>
      <c r="P174" s="549"/>
      <c r="Q174" s="549"/>
      <c r="R174" s="549"/>
      <c r="S174" s="549"/>
      <c r="T174" s="549"/>
      <c r="U174" s="424"/>
      <c r="V174" s="424"/>
      <c r="W174" s="425"/>
      <c r="X174" s="425"/>
      <c r="Y174" s="425"/>
      <c r="Z174" s="425"/>
      <c r="AA174" s="425"/>
      <c r="AH174" s="425"/>
      <c r="AI174" s="425"/>
      <c r="AJ174" s="425"/>
      <c r="AK174" s="425"/>
      <c r="AL174" s="425"/>
      <c r="AM174" s="425"/>
      <c r="AN174" s="428"/>
      <c r="AO174" s="425"/>
      <c r="AP174" s="425"/>
      <c r="AQ174" s="425"/>
      <c r="AR174" s="425"/>
      <c r="AS174" s="425"/>
      <c r="AT174" s="425"/>
      <c r="AU174" s="425"/>
      <c r="AV174" s="425"/>
      <c r="AW174" s="425"/>
      <c r="AX174" s="425"/>
      <c r="AY174" s="425"/>
      <c r="AZ174" s="425"/>
      <c r="BA174" s="425"/>
      <c r="BB174" s="425"/>
      <c r="BC174" s="425"/>
      <c r="BD174" s="425"/>
      <c r="BE174" s="425"/>
      <c r="BF174" s="425"/>
      <c r="BG174" s="426"/>
      <c r="BH174" s="428"/>
      <c r="BI174" s="425"/>
      <c r="BJ174" s="425"/>
      <c r="BK174" s="425"/>
      <c r="BL174" s="425"/>
      <c r="BM174" s="425"/>
      <c r="BN174" s="425"/>
      <c r="BO174" s="425"/>
      <c r="BP174" s="425"/>
      <c r="BQ174" s="425"/>
      <c r="BR174" s="425"/>
      <c r="BS174" s="425"/>
      <c r="BT174" s="425"/>
      <c r="BU174" s="425"/>
      <c r="BV174" s="425"/>
      <c r="BW174" s="425"/>
      <c r="BX174" s="425"/>
      <c r="BY174" s="425"/>
      <c r="BZ174" s="425"/>
      <c r="CA174" s="425"/>
      <c r="CB174" s="425"/>
      <c r="CC174" s="425"/>
      <c r="CD174" s="425"/>
      <c r="CE174" s="425"/>
      <c r="CF174" s="425"/>
      <c r="CG174" s="425"/>
      <c r="CH174" s="425"/>
      <c r="CI174" s="425"/>
      <c r="CJ174" s="425"/>
      <c r="CK174" s="425"/>
      <c r="CL174" s="425"/>
      <c r="CM174" s="425"/>
      <c r="CN174" s="425"/>
      <c r="CO174" s="425"/>
      <c r="CP174" s="425"/>
      <c r="CQ174" s="425"/>
      <c r="CR174" s="425"/>
      <c r="CS174" s="425"/>
      <c r="CT174" s="425"/>
      <c r="CU174" s="425"/>
      <c r="CV174" s="425"/>
    </row>
    <row r="175" spans="1:100">
      <c r="A175" s="554"/>
      <c r="B175" s="442"/>
      <c r="C175" s="442"/>
      <c r="D175" s="442"/>
      <c r="E175" s="442"/>
      <c r="F175" s="442"/>
      <c r="G175" s="442"/>
      <c r="H175" s="549"/>
      <c r="I175" s="549"/>
      <c r="J175" s="549"/>
      <c r="K175" s="549"/>
      <c r="L175" s="549"/>
      <c r="M175" s="549"/>
      <c r="N175" s="549"/>
      <c r="O175" s="549"/>
      <c r="P175" s="549"/>
      <c r="Q175" s="549"/>
      <c r="R175" s="549"/>
      <c r="S175" s="549"/>
      <c r="T175" s="549"/>
      <c r="U175" s="424"/>
      <c r="V175" s="424"/>
      <c r="W175" s="425"/>
      <c r="X175" s="425"/>
      <c r="Y175" s="425"/>
      <c r="Z175" s="425"/>
      <c r="AA175" s="425"/>
      <c r="AH175" s="425"/>
      <c r="AI175" s="425"/>
      <c r="AJ175" s="425"/>
      <c r="AK175" s="425"/>
      <c r="AL175" s="425"/>
      <c r="AM175" s="425"/>
      <c r="AN175" s="428"/>
      <c r="AO175" s="425"/>
      <c r="AP175" s="425"/>
      <c r="AQ175" s="425"/>
      <c r="AR175" s="425"/>
      <c r="AS175" s="425"/>
      <c r="AT175" s="425"/>
      <c r="AU175" s="425"/>
      <c r="AV175" s="425"/>
      <c r="AW175" s="425"/>
      <c r="AX175" s="425"/>
      <c r="AY175" s="425"/>
      <c r="AZ175" s="425"/>
      <c r="BA175" s="425"/>
      <c r="BB175" s="425"/>
      <c r="BC175" s="425"/>
      <c r="BD175" s="425"/>
      <c r="BE175" s="425"/>
      <c r="BF175" s="425"/>
      <c r="BG175" s="426"/>
      <c r="BH175" s="428"/>
      <c r="BI175" s="425"/>
      <c r="BJ175" s="425"/>
      <c r="BK175" s="425"/>
      <c r="BL175" s="425"/>
      <c r="BM175" s="425"/>
      <c r="BN175" s="425"/>
      <c r="BO175" s="425"/>
      <c r="BP175" s="425"/>
      <c r="BQ175" s="425"/>
      <c r="BR175" s="425"/>
      <c r="BS175" s="425"/>
      <c r="BT175" s="425"/>
      <c r="BU175" s="425"/>
      <c r="BV175" s="425"/>
      <c r="BW175" s="425"/>
      <c r="BX175" s="425"/>
      <c r="BY175" s="425"/>
      <c r="BZ175" s="425"/>
      <c r="CA175" s="425"/>
      <c r="CB175" s="425"/>
      <c r="CC175" s="425"/>
      <c r="CD175" s="425"/>
      <c r="CE175" s="425"/>
      <c r="CF175" s="425"/>
      <c r="CG175" s="425"/>
      <c r="CH175" s="425"/>
      <c r="CI175" s="425"/>
      <c r="CJ175" s="425"/>
      <c r="CK175" s="425"/>
      <c r="CL175" s="425"/>
      <c r="CM175" s="425"/>
      <c r="CN175" s="425"/>
      <c r="CO175" s="425"/>
      <c r="CP175" s="425"/>
      <c r="CQ175" s="425"/>
      <c r="CR175" s="425"/>
      <c r="CS175" s="425"/>
      <c r="CT175" s="425"/>
      <c r="CU175" s="425"/>
      <c r="CV175" s="425"/>
    </row>
    <row r="176" spans="1:100">
      <c r="A176" s="554"/>
      <c r="B176" s="442"/>
      <c r="C176" s="442"/>
      <c r="D176" s="442"/>
      <c r="E176" s="442"/>
      <c r="F176" s="442"/>
      <c r="G176" s="442"/>
      <c r="H176" s="549"/>
      <c r="I176" s="549"/>
      <c r="J176" s="549"/>
      <c r="K176" s="549"/>
      <c r="L176" s="549"/>
      <c r="M176" s="549"/>
      <c r="N176" s="549"/>
      <c r="O176" s="549"/>
      <c r="P176" s="549"/>
      <c r="Q176" s="549"/>
      <c r="R176" s="549"/>
      <c r="S176" s="549"/>
      <c r="T176" s="549"/>
      <c r="U176" s="424"/>
      <c r="V176" s="424"/>
      <c r="W176" s="425"/>
      <c r="X176" s="425"/>
      <c r="Y176" s="425"/>
      <c r="Z176" s="425"/>
      <c r="AA176" s="425"/>
      <c r="AH176" s="425"/>
      <c r="AI176" s="425"/>
      <c r="AJ176" s="425"/>
      <c r="AK176" s="425"/>
      <c r="AL176" s="425"/>
      <c r="AM176" s="425"/>
      <c r="AN176" s="428"/>
      <c r="AO176" s="425"/>
      <c r="AP176" s="425"/>
      <c r="AQ176" s="425"/>
      <c r="AR176" s="425"/>
      <c r="AS176" s="425"/>
      <c r="AT176" s="425"/>
      <c r="AU176" s="425"/>
      <c r="AV176" s="425"/>
      <c r="AW176" s="425"/>
      <c r="AX176" s="425"/>
      <c r="AY176" s="425"/>
      <c r="AZ176" s="425"/>
      <c r="BA176" s="425"/>
      <c r="BB176" s="425"/>
      <c r="BC176" s="425"/>
      <c r="BD176" s="425"/>
      <c r="BE176" s="425"/>
      <c r="BF176" s="425"/>
      <c r="BG176" s="426"/>
      <c r="BH176" s="428"/>
      <c r="BI176" s="425"/>
      <c r="BJ176" s="425"/>
      <c r="BK176" s="425"/>
      <c r="BL176" s="425"/>
      <c r="BM176" s="425"/>
      <c r="BN176" s="425"/>
      <c r="BO176" s="425"/>
      <c r="BP176" s="425"/>
      <c r="BQ176" s="425"/>
      <c r="BR176" s="425"/>
      <c r="BS176" s="425"/>
      <c r="BT176" s="425"/>
      <c r="BU176" s="425"/>
      <c r="BV176" s="425"/>
      <c r="BW176" s="425"/>
      <c r="BX176" s="425"/>
      <c r="BY176" s="425"/>
      <c r="BZ176" s="425"/>
      <c r="CA176" s="425"/>
      <c r="CB176" s="425"/>
      <c r="CC176" s="425"/>
      <c r="CD176" s="425"/>
      <c r="CE176" s="425"/>
      <c r="CF176" s="425"/>
      <c r="CG176" s="425"/>
      <c r="CH176" s="425"/>
      <c r="CI176" s="425"/>
      <c r="CJ176" s="425"/>
      <c r="CK176" s="425"/>
      <c r="CL176" s="425"/>
      <c r="CM176" s="425"/>
      <c r="CN176" s="425"/>
      <c r="CO176" s="425"/>
      <c r="CP176" s="425"/>
      <c r="CQ176" s="425"/>
      <c r="CR176" s="425"/>
      <c r="CS176" s="425"/>
      <c r="CT176" s="425"/>
      <c r="CU176" s="425"/>
      <c r="CV176" s="425"/>
    </row>
    <row r="177" spans="1:100">
      <c r="A177" s="554"/>
      <c r="B177" s="442"/>
      <c r="C177" s="442"/>
      <c r="D177" s="442"/>
      <c r="E177" s="442"/>
      <c r="F177" s="442"/>
      <c r="G177" s="442"/>
      <c r="H177" s="549"/>
      <c r="I177" s="549"/>
      <c r="J177" s="549"/>
      <c r="K177" s="549"/>
      <c r="L177" s="549"/>
      <c r="M177" s="549"/>
      <c r="N177" s="549"/>
      <c r="O177" s="549"/>
      <c r="P177" s="549"/>
      <c r="Q177" s="549"/>
      <c r="R177" s="549"/>
      <c r="S177" s="549"/>
      <c r="T177" s="549"/>
      <c r="U177" s="424"/>
      <c r="V177" s="424"/>
      <c r="W177" s="425"/>
      <c r="X177" s="425"/>
      <c r="Y177" s="425"/>
      <c r="Z177" s="425"/>
      <c r="AA177" s="425"/>
      <c r="AH177" s="425"/>
      <c r="AI177" s="425"/>
      <c r="AJ177" s="425"/>
      <c r="AK177" s="425"/>
      <c r="AL177" s="425"/>
      <c r="AM177" s="425"/>
      <c r="AN177" s="428"/>
      <c r="AO177" s="425"/>
      <c r="AP177" s="425"/>
      <c r="AQ177" s="425"/>
      <c r="AR177" s="425"/>
      <c r="AS177" s="425"/>
      <c r="AT177" s="425"/>
      <c r="AU177" s="425"/>
      <c r="AV177" s="425"/>
      <c r="AW177" s="425"/>
      <c r="AX177" s="425"/>
      <c r="AY177" s="425"/>
      <c r="AZ177" s="425"/>
      <c r="BA177" s="425"/>
      <c r="BB177" s="425"/>
      <c r="BC177" s="425"/>
      <c r="BD177" s="425"/>
      <c r="BE177" s="425"/>
      <c r="BF177" s="425"/>
      <c r="BG177" s="426"/>
      <c r="BH177" s="428"/>
      <c r="BI177" s="425"/>
      <c r="BJ177" s="425"/>
      <c r="BK177" s="425"/>
      <c r="BL177" s="425"/>
      <c r="BM177" s="425"/>
      <c r="BN177" s="425"/>
      <c r="BO177" s="425"/>
      <c r="BP177" s="425"/>
      <c r="BQ177" s="425"/>
      <c r="BR177" s="425"/>
      <c r="BS177" s="425"/>
      <c r="BT177" s="425"/>
      <c r="BU177" s="425"/>
      <c r="BV177" s="425"/>
      <c r="BW177" s="425"/>
      <c r="BX177" s="425"/>
      <c r="BY177" s="425"/>
      <c r="BZ177" s="425"/>
      <c r="CA177" s="425"/>
      <c r="CB177" s="425"/>
      <c r="CC177" s="425"/>
      <c r="CD177" s="425"/>
      <c r="CE177" s="425"/>
      <c r="CF177" s="425"/>
      <c r="CG177" s="425"/>
      <c r="CH177" s="425"/>
      <c r="CI177" s="425"/>
      <c r="CJ177" s="425"/>
      <c r="CK177" s="425"/>
      <c r="CL177" s="425"/>
      <c r="CM177" s="425"/>
      <c r="CN177" s="425"/>
      <c r="CO177" s="425"/>
      <c r="CP177" s="425"/>
      <c r="CQ177" s="425"/>
      <c r="CR177" s="425"/>
      <c r="CS177" s="425"/>
      <c r="CT177" s="425"/>
      <c r="CU177" s="425"/>
      <c r="CV177" s="425"/>
    </row>
    <row r="178" spans="1:100">
      <c r="A178" s="554"/>
      <c r="B178" s="442"/>
      <c r="C178" s="442"/>
      <c r="D178" s="442"/>
      <c r="E178" s="442"/>
      <c r="F178" s="442"/>
      <c r="G178" s="442"/>
      <c r="H178" s="549"/>
      <c r="I178" s="549"/>
      <c r="J178" s="549"/>
      <c r="K178" s="549"/>
      <c r="L178" s="549"/>
      <c r="M178" s="549"/>
      <c r="N178" s="549"/>
      <c r="O178" s="549"/>
      <c r="P178" s="549"/>
      <c r="Q178" s="549"/>
      <c r="R178" s="549"/>
      <c r="S178" s="549"/>
      <c r="T178" s="549"/>
      <c r="U178" s="424"/>
      <c r="V178" s="424"/>
      <c r="W178" s="425"/>
      <c r="X178" s="425"/>
      <c r="Y178" s="425"/>
      <c r="Z178" s="425"/>
      <c r="AA178" s="425"/>
      <c r="AH178" s="425"/>
      <c r="AI178" s="425"/>
      <c r="AJ178" s="425"/>
      <c r="AK178" s="425"/>
      <c r="AL178" s="425"/>
      <c r="AM178" s="425"/>
      <c r="AN178" s="428"/>
      <c r="AO178" s="425"/>
      <c r="AP178" s="425"/>
      <c r="AQ178" s="425"/>
      <c r="AR178" s="425"/>
      <c r="AS178" s="425"/>
      <c r="AT178" s="425"/>
      <c r="AU178" s="425"/>
      <c r="AV178" s="425"/>
      <c r="AW178" s="425"/>
      <c r="AX178" s="425"/>
      <c r="AY178" s="425"/>
      <c r="AZ178" s="425"/>
      <c r="BA178" s="425"/>
      <c r="BB178" s="425"/>
      <c r="BC178" s="425"/>
      <c r="BD178" s="425"/>
      <c r="BE178" s="425"/>
      <c r="BF178" s="425"/>
      <c r="BG178" s="426"/>
      <c r="BH178" s="428"/>
      <c r="BI178" s="425"/>
      <c r="BJ178" s="425"/>
      <c r="BK178" s="425"/>
      <c r="BL178" s="425"/>
      <c r="BM178" s="425"/>
      <c r="BN178" s="425"/>
      <c r="BO178" s="425"/>
      <c r="BP178" s="425"/>
      <c r="BQ178" s="425"/>
      <c r="BR178" s="425"/>
      <c r="BS178" s="425"/>
      <c r="BT178" s="425"/>
      <c r="BU178" s="425"/>
      <c r="BV178" s="425"/>
      <c r="BW178" s="425"/>
      <c r="BX178" s="425"/>
      <c r="BY178" s="425"/>
      <c r="BZ178" s="425"/>
      <c r="CA178" s="425"/>
      <c r="CB178" s="425"/>
      <c r="CC178" s="425"/>
      <c r="CD178" s="425"/>
      <c r="CE178" s="425"/>
      <c r="CF178" s="425"/>
      <c r="CG178" s="425"/>
      <c r="CH178" s="425"/>
      <c r="CI178" s="425"/>
      <c r="CJ178" s="425"/>
      <c r="CK178" s="425"/>
      <c r="CL178" s="425"/>
      <c r="CM178" s="425"/>
      <c r="CN178" s="425"/>
      <c r="CO178" s="425"/>
      <c r="CP178" s="425"/>
      <c r="CQ178" s="425"/>
      <c r="CR178" s="425"/>
      <c r="CS178" s="425"/>
      <c r="CT178" s="425"/>
      <c r="CU178" s="425"/>
      <c r="CV178" s="425"/>
    </row>
    <row r="179" spans="1:100">
      <c r="A179" s="554"/>
      <c r="B179" s="442"/>
      <c r="C179" s="442"/>
      <c r="D179" s="442"/>
      <c r="E179" s="442"/>
      <c r="F179" s="442"/>
      <c r="G179" s="442"/>
      <c r="H179" s="549"/>
      <c r="I179" s="549"/>
      <c r="J179" s="549"/>
      <c r="K179" s="549"/>
      <c r="L179" s="549"/>
      <c r="M179" s="549"/>
      <c r="N179" s="549"/>
      <c r="O179" s="549"/>
      <c r="P179" s="549"/>
      <c r="Q179" s="549"/>
      <c r="R179" s="549"/>
      <c r="S179" s="549"/>
      <c r="T179" s="549"/>
      <c r="U179" s="424"/>
      <c r="V179" s="424"/>
      <c r="W179" s="425"/>
      <c r="X179" s="425"/>
      <c r="Y179" s="425"/>
      <c r="Z179" s="425"/>
      <c r="AA179" s="425"/>
      <c r="AH179" s="425"/>
      <c r="AI179" s="425"/>
      <c r="AJ179" s="425"/>
      <c r="AK179" s="425"/>
      <c r="AL179" s="425"/>
      <c r="AM179" s="425"/>
      <c r="AN179" s="428"/>
      <c r="AO179" s="425"/>
      <c r="AP179" s="425"/>
      <c r="AQ179" s="425"/>
      <c r="AR179" s="425"/>
      <c r="AS179" s="425"/>
      <c r="AT179" s="425"/>
      <c r="AU179" s="425"/>
      <c r="AV179" s="425"/>
      <c r="AW179" s="425"/>
      <c r="AX179" s="425"/>
      <c r="AY179" s="425"/>
      <c r="AZ179" s="425"/>
      <c r="BA179" s="425"/>
      <c r="BB179" s="425"/>
      <c r="BC179" s="425"/>
      <c r="BD179" s="425"/>
      <c r="BE179" s="425"/>
      <c r="BF179" s="425"/>
      <c r="BG179" s="426"/>
      <c r="BH179" s="428"/>
      <c r="BI179" s="425"/>
      <c r="BJ179" s="425"/>
      <c r="BK179" s="425"/>
      <c r="BL179" s="425"/>
      <c r="BM179" s="425"/>
      <c r="BN179" s="425"/>
      <c r="BO179" s="425"/>
      <c r="BP179" s="425"/>
      <c r="BQ179" s="425"/>
      <c r="BR179" s="425"/>
      <c r="BS179" s="425"/>
      <c r="BT179" s="425"/>
      <c r="BU179" s="425"/>
      <c r="BV179" s="425"/>
      <c r="BW179" s="425"/>
      <c r="BX179" s="425"/>
      <c r="BY179" s="425"/>
      <c r="BZ179" s="425"/>
      <c r="CA179" s="425"/>
      <c r="CB179" s="425"/>
      <c r="CC179" s="425"/>
      <c r="CD179" s="425"/>
      <c r="CE179" s="425"/>
      <c r="CF179" s="425"/>
      <c r="CG179" s="425"/>
      <c r="CH179" s="425"/>
      <c r="CI179" s="425"/>
      <c r="CJ179" s="425"/>
      <c r="CK179" s="425"/>
      <c r="CL179" s="425"/>
      <c r="CM179" s="425"/>
      <c r="CN179" s="425"/>
      <c r="CO179" s="425"/>
      <c r="CP179" s="425"/>
      <c r="CQ179" s="425"/>
      <c r="CR179" s="425"/>
      <c r="CS179" s="425"/>
      <c r="CT179" s="425"/>
      <c r="CU179" s="425"/>
      <c r="CV179" s="425"/>
    </row>
    <row r="180" spans="1:100">
      <c r="A180" s="554"/>
      <c r="B180" s="442"/>
      <c r="C180" s="442"/>
      <c r="D180" s="442"/>
      <c r="E180" s="442"/>
      <c r="F180" s="442"/>
      <c r="G180" s="442"/>
      <c r="H180" s="549"/>
      <c r="I180" s="549"/>
      <c r="J180" s="549"/>
      <c r="K180" s="549"/>
      <c r="L180" s="549"/>
      <c r="M180" s="549"/>
      <c r="N180" s="549"/>
      <c r="O180" s="549"/>
      <c r="P180" s="549"/>
      <c r="Q180" s="549"/>
      <c r="R180" s="549"/>
      <c r="S180" s="549"/>
      <c r="T180" s="549"/>
      <c r="U180" s="424"/>
      <c r="V180" s="424"/>
      <c r="W180" s="425"/>
      <c r="X180" s="425"/>
      <c r="Y180" s="425"/>
      <c r="Z180" s="425"/>
      <c r="AA180" s="425"/>
      <c r="AH180" s="425"/>
      <c r="AI180" s="425"/>
      <c r="AJ180" s="425"/>
      <c r="AK180" s="425"/>
      <c r="AL180" s="425"/>
      <c r="AM180" s="425"/>
      <c r="AN180" s="428"/>
      <c r="AO180" s="425"/>
      <c r="AP180" s="425"/>
      <c r="AQ180" s="425"/>
      <c r="AR180" s="425"/>
      <c r="AS180" s="425"/>
      <c r="AT180" s="425"/>
      <c r="AU180" s="425"/>
      <c r="AV180" s="425"/>
      <c r="AW180" s="425"/>
      <c r="AX180" s="425"/>
      <c r="AY180" s="425"/>
      <c r="AZ180" s="425"/>
      <c r="BA180" s="425"/>
      <c r="BB180" s="425"/>
      <c r="BC180" s="425"/>
      <c r="BD180" s="425"/>
      <c r="BE180" s="425"/>
      <c r="BF180" s="425"/>
      <c r="BG180" s="426"/>
      <c r="BH180" s="428"/>
      <c r="BI180" s="425"/>
      <c r="BJ180" s="425"/>
      <c r="BK180" s="425"/>
      <c r="BL180" s="425"/>
      <c r="BM180" s="425"/>
      <c r="BN180" s="425"/>
      <c r="BO180" s="425"/>
      <c r="BP180" s="425"/>
      <c r="BQ180" s="425"/>
      <c r="BR180" s="425"/>
      <c r="BS180" s="425"/>
      <c r="BT180" s="425"/>
      <c r="BU180" s="425"/>
      <c r="BV180" s="425"/>
      <c r="BW180" s="425"/>
      <c r="BX180" s="425"/>
      <c r="BY180" s="425"/>
      <c r="BZ180" s="425"/>
      <c r="CA180" s="425"/>
      <c r="CB180" s="425"/>
      <c r="CC180" s="425"/>
      <c r="CD180" s="425"/>
      <c r="CE180" s="425"/>
      <c r="CF180" s="425"/>
      <c r="CG180" s="425"/>
      <c r="CH180" s="425"/>
      <c r="CI180" s="425"/>
      <c r="CJ180" s="425"/>
      <c r="CK180" s="425"/>
      <c r="CL180" s="425"/>
      <c r="CM180" s="425"/>
      <c r="CN180" s="425"/>
      <c r="CO180" s="425"/>
      <c r="CP180" s="425"/>
      <c r="CQ180" s="425"/>
      <c r="CR180" s="425"/>
      <c r="CS180" s="425"/>
      <c r="CT180" s="425"/>
      <c r="CU180" s="425"/>
      <c r="CV180" s="425"/>
    </row>
    <row r="181" spans="1:100">
      <c r="A181" s="554"/>
      <c r="B181" s="442"/>
      <c r="C181" s="442"/>
      <c r="D181" s="442"/>
      <c r="E181" s="442"/>
      <c r="F181" s="442"/>
      <c r="G181" s="442"/>
      <c r="H181" s="549"/>
      <c r="I181" s="549"/>
      <c r="J181" s="549"/>
      <c r="K181" s="549"/>
      <c r="L181" s="549"/>
      <c r="M181" s="549"/>
      <c r="N181" s="549"/>
      <c r="O181" s="549"/>
      <c r="P181" s="549"/>
      <c r="Q181" s="549"/>
      <c r="R181" s="549"/>
      <c r="S181" s="549"/>
      <c r="T181" s="549"/>
      <c r="U181" s="424"/>
      <c r="V181" s="424"/>
      <c r="W181" s="425"/>
      <c r="X181" s="425"/>
      <c r="Y181" s="425"/>
      <c r="Z181" s="425"/>
      <c r="AA181" s="425"/>
      <c r="AH181" s="425"/>
      <c r="AI181" s="425"/>
      <c r="AJ181" s="425"/>
      <c r="AK181" s="425"/>
      <c r="AL181" s="425"/>
      <c r="AM181" s="425"/>
      <c r="AN181" s="428"/>
      <c r="AO181" s="425"/>
      <c r="AP181" s="425"/>
      <c r="AQ181" s="425"/>
      <c r="AR181" s="425"/>
      <c r="AS181" s="425"/>
      <c r="AT181" s="425"/>
      <c r="AU181" s="425"/>
      <c r="AV181" s="425"/>
      <c r="AW181" s="425"/>
      <c r="AX181" s="425"/>
      <c r="AY181" s="425"/>
      <c r="AZ181" s="425"/>
      <c r="BA181" s="425"/>
      <c r="BB181" s="425"/>
      <c r="BC181" s="425"/>
      <c r="BD181" s="425"/>
      <c r="BE181" s="425"/>
      <c r="BF181" s="425"/>
      <c r="BG181" s="426"/>
      <c r="BH181" s="428"/>
      <c r="BI181" s="425"/>
      <c r="BJ181" s="425"/>
      <c r="BK181" s="425"/>
      <c r="BL181" s="425"/>
      <c r="BM181" s="425"/>
      <c r="BN181" s="425"/>
      <c r="BO181" s="425"/>
      <c r="BP181" s="425"/>
      <c r="BQ181" s="425"/>
      <c r="BR181" s="425"/>
      <c r="BS181" s="425"/>
      <c r="BT181" s="425"/>
      <c r="BU181" s="425"/>
      <c r="BV181" s="425"/>
      <c r="BW181" s="425"/>
      <c r="BX181" s="425"/>
      <c r="BY181" s="425"/>
      <c r="BZ181" s="425"/>
      <c r="CA181" s="425"/>
      <c r="CB181" s="425"/>
      <c r="CC181" s="425"/>
      <c r="CD181" s="425"/>
      <c r="CE181" s="425"/>
      <c r="CF181" s="425"/>
      <c r="CG181" s="425"/>
      <c r="CH181" s="425"/>
      <c r="CI181" s="425"/>
      <c r="CJ181" s="425"/>
      <c r="CK181" s="425"/>
      <c r="CL181" s="425"/>
      <c r="CM181" s="425"/>
      <c r="CN181" s="425"/>
      <c r="CO181" s="425"/>
      <c r="CP181" s="425"/>
      <c r="CQ181" s="425"/>
      <c r="CR181" s="425"/>
      <c r="CS181" s="425"/>
      <c r="CT181" s="425"/>
      <c r="CU181" s="425"/>
      <c r="CV181" s="425"/>
    </row>
    <row r="182" spans="1:100">
      <c r="A182" s="554"/>
      <c r="B182" s="442"/>
      <c r="C182" s="442"/>
      <c r="D182" s="442"/>
      <c r="E182" s="442"/>
      <c r="F182" s="442"/>
      <c r="G182" s="442"/>
      <c r="H182" s="549"/>
      <c r="I182" s="549"/>
      <c r="J182" s="549"/>
      <c r="K182" s="549"/>
      <c r="L182" s="549"/>
      <c r="M182" s="549"/>
      <c r="N182" s="549"/>
      <c r="O182" s="549"/>
      <c r="P182" s="549"/>
      <c r="Q182" s="549"/>
      <c r="R182" s="549"/>
      <c r="S182" s="549"/>
      <c r="T182" s="549"/>
      <c r="U182" s="424"/>
      <c r="V182" s="424"/>
      <c r="W182" s="425"/>
      <c r="X182" s="425"/>
      <c r="Y182" s="425"/>
      <c r="Z182" s="425"/>
      <c r="AA182" s="425"/>
      <c r="AH182" s="425"/>
      <c r="AI182" s="425"/>
      <c r="AJ182" s="425"/>
      <c r="AK182" s="425"/>
      <c r="AL182" s="425"/>
      <c r="AM182" s="425"/>
      <c r="AN182" s="428"/>
      <c r="AO182" s="425"/>
      <c r="AP182" s="425"/>
      <c r="AQ182" s="555" t="str">
        <f>IF(AND(AQ183="GBP",CODE(RIGHT(AQ183,1))=112),"BPN",AQ183)</f>
        <v>USD</v>
      </c>
      <c r="AR182" s="425"/>
      <c r="AS182" s="425"/>
      <c r="AT182" s="425"/>
      <c r="AU182" s="425"/>
      <c r="AV182" s="425"/>
      <c r="AW182" s="425"/>
      <c r="AX182" s="425"/>
      <c r="AY182" s="425"/>
      <c r="AZ182" s="425"/>
      <c r="BA182" s="425"/>
      <c r="BB182" s="425"/>
      <c r="BC182" s="425"/>
      <c r="BD182" s="425"/>
      <c r="BE182" s="425"/>
      <c r="BF182" s="425"/>
      <c r="BG182" s="426"/>
      <c r="BH182" s="428"/>
      <c r="BI182" s="425"/>
      <c r="BJ182" s="425"/>
      <c r="BK182" s="425"/>
      <c r="BL182" s="425"/>
      <c r="BM182" s="425"/>
      <c r="BN182" s="425"/>
      <c r="BO182" s="425"/>
      <c r="BP182" s="425"/>
      <c r="BQ182" s="425"/>
      <c r="BR182" s="425"/>
      <c r="BS182" s="425"/>
      <c r="BT182" s="425"/>
      <c r="BU182" s="425"/>
      <c r="BV182" s="425"/>
      <c r="BW182" s="425"/>
      <c r="BX182" s="425"/>
      <c r="BY182" s="425"/>
      <c r="BZ182" s="425"/>
      <c r="CA182" s="425"/>
      <c r="CB182" s="425"/>
      <c r="CC182" s="425"/>
      <c r="CD182" s="425"/>
      <c r="CE182" s="425"/>
      <c r="CF182" s="425"/>
      <c r="CG182" s="425"/>
      <c r="CH182" s="425"/>
      <c r="CI182" s="425"/>
      <c r="CJ182" s="425"/>
      <c r="CK182" s="425"/>
      <c r="CL182" s="425"/>
      <c r="CM182" s="425"/>
      <c r="CN182" s="425"/>
      <c r="CO182" s="425"/>
      <c r="CP182" s="425"/>
      <c r="CQ182" s="425"/>
      <c r="CR182" s="425"/>
      <c r="CS182" s="425"/>
      <c r="CT182" s="425"/>
      <c r="CU182" s="425"/>
      <c r="CV182" s="425"/>
    </row>
    <row r="183" spans="1:100">
      <c r="A183" s="554"/>
      <c r="B183" s="442"/>
      <c r="C183" s="442"/>
      <c r="D183" s="442"/>
      <c r="E183" s="442"/>
      <c r="F183" s="442"/>
      <c r="G183" s="442"/>
      <c r="H183" s="549"/>
      <c r="I183" s="549"/>
      <c r="J183" s="549"/>
      <c r="K183" s="549"/>
      <c r="L183" s="549"/>
      <c r="M183" s="549"/>
      <c r="N183" s="549"/>
      <c r="O183" s="549"/>
      <c r="P183" s="549"/>
      <c r="Q183" s="549"/>
      <c r="R183" s="549"/>
      <c r="S183" s="549"/>
      <c r="T183" s="549"/>
      <c r="U183" s="424"/>
      <c r="V183" s="424"/>
      <c r="W183" s="425"/>
      <c r="X183" s="425"/>
      <c r="Y183" s="425"/>
      <c r="Z183" s="425"/>
      <c r="AA183" s="425"/>
      <c r="AH183" s="425"/>
      <c r="AI183" s="425"/>
      <c r="AJ183" s="425"/>
      <c r="AK183" s="425"/>
      <c r="AL183" s="425"/>
      <c r="AM183" s="425"/>
      <c r="AN183" s="428"/>
      <c r="AO183" s="425"/>
      <c r="AP183" s="556" t="s">
        <v>473</v>
      </c>
      <c r="AQ183" s="555" t="s">
        <v>158</v>
      </c>
      <c r="AR183" s="425"/>
      <c r="AS183" s="425"/>
      <c r="AT183" s="425"/>
      <c r="AU183" s="425"/>
      <c r="AV183" s="425"/>
      <c r="AW183" s="425"/>
      <c r="AX183" s="425"/>
      <c r="AY183" s="425"/>
      <c r="AZ183" s="425"/>
      <c r="BA183" s="425"/>
      <c r="BB183" s="425"/>
      <c r="BC183" s="425"/>
      <c r="BD183" s="425"/>
      <c r="BE183" s="425"/>
      <c r="BF183" s="425"/>
      <c r="BG183" s="426"/>
      <c r="BH183" s="428"/>
      <c r="BI183" s="425"/>
      <c r="BJ183" s="425"/>
      <c r="BK183" s="425"/>
      <c r="BL183" s="425"/>
      <c r="BM183" s="425"/>
      <c r="BN183" s="425"/>
      <c r="BO183" s="425"/>
      <c r="BP183" s="425"/>
      <c r="BQ183" s="425"/>
      <c r="BR183" s="425"/>
      <c r="BS183" s="425"/>
      <c r="BT183" s="425"/>
      <c r="BU183" s="425"/>
      <c r="BV183" s="425"/>
      <c r="BW183" s="425"/>
      <c r="BX183" s="425"/>
      <c r="BY183" s="425"/>
      <c r="BZ183" s="425"/>
      <c r="CA183" s="425"/>
      <c r="CB183" s="425"/>
      <c r="CC183" s="425"/>
      <c r="CD183" s="425"/>
      <c r="CE183" s="425"/>
      <c r="CF183" s="425"/>
      <c r="CG183" s="425"/>
      <c r="CH183" s="425"/>
      <c r="CI183" s="425"/>
      <c r="CJ183" s="425"/>
      <c r="CK183" s="425"/>
      <c r="CL183" s="425"/>
      <c r="CM183" s="425"/>
      <c r="CN183" s="425"/>
      <c r="CO183" s="425"/>
      <c r="CP183" s="425"/>
      <c r="CQ183" s="425"/>
      <c r="CR183" s="425"/>
      <c r="CS183" s="425"/>
      <c r="CT183" s="425"/>
      <c r="CU183" s="425"/>
      <c r="CV183" s="425"/>
    </row>
    <row r="184" spans="1:100">
      <c r="A184" s="554"/>
      <c r="B184" s="442"/>
      <c r="C184" s="442"/>
      <c r="D184" s="442"/>
      <c r="E184" s="442"/>
      <c r="F184" s="442"/>
      <c r="G184" s="442"/>
      <c r="H184" s="549"/>
      <c r="I184" s="549"/>
      <c r="J184" s="549"/>
      <c r="K184" s="549"/>
      <c r="L184" s="549"/>
      <c r="M184" s="549"/>
      <c r="N184" s="549"/>
      <c r="O184" s="549"/>
      <c r="P184" s="549"/>
      <c r="Q184" s="549"/>
      <c r="R184" s="549"/>
      <c r="S184" s="549"/>
      <c r="T184" s="549"/>
      <c r="U184" s="424"/>
      <c r="V184" s="424"/>
      <c r="W184" s="425"/>
      <c r="X184" s="425"/>
      <c r="Y184" s="425"/>
      <c r="Z184" s="425"/>
      <c r="AA184" s="425"/>
      <c r="AH184" s="425"/>
      <c r="AI184" s="425"/>
      <c r="AJ184" s="425"/>
      <c r="AK184" s="425"/>
      <c r="AL184" s="425"/>
      <c r="AM184" s="425"/>
      <c r="AN184" s="428"/>
      <c r="AO184" s="425"/>
      <c r="AP184" s="556" t="s">
        <v>474</v>
      </c>
      <c r="AQ184" s="557" t="s">
        <v>158</v>
      </c>
      <c r="AR184" s="425"/>
      <c r="AS184" s="425"/>
      <c r="AT184" s="425"/>
      <c r="AU184" s="425"/>
      <c r="AV184" s="425"/>
      <c r="AW184" s="425"/>
      <c r="AX184" s="425"/>
      <c r="AY184" s="425"/>
      <c r="AZ184" s="425"/>
      <c r="BA184" s="425"/>
      <c r="BB184" s="425"/>
      <c r="BC184" s="425"/>
      <c r="BD184" s="425"/>
      <c r="BE184" s="425"/>
      <c r="BF184" s="425"/>
      <c r="BG184" s="426"/>
      <c r="BH184" s="428"/>
      <c r="BI184" s="425"/>
      <c r="BJ184" s="425"/>
      <c r="BK184" s="425"/>
      <c r="BL184" s="425"/>
      <c r="BM184" s="425"/>
      <c r="BN184" s="425"/>
      <c r="BO184" s="425"/>
      <c r="BP184" s="425"/>
      <c r="BQ184" s="425"/>
      <c r="BR184" s="425"/>
      <c r="BS184" s="425"/>
      <c r="BT184" s="425"/>
      <c r="BU184" s="425"/>
      <c r="BV184" s="425"/>
      <c r="BW184" s="425"/>
      <c r="BX184" s="425"/>
      <c r="BY184" s="425"/>
      <c r="BZ184" s="425"/>
      <c r="CA184" s="425"/>
      <c r="CB184" s="425"/>
      <c r="CC184" s="425"/>
      <c r="CD184" s="425"/>
      <c r="CE184" s="425"/>
      <c r="CF184" s="425"/>
      <c r="CG184" s="425"/>
      <c r="CH184" s="425"/>
      <c r="CI184" s="425"/>
      <c r="CJ184" s="425"/>
      <c r="CK184" s="425"/>
      <c r="CL184" s="425"/>
      <c r="CM184" s="425"/>
      <c r="CN184" s="425"/>
      <c r="CO184" s="425"/>
      <c r="CP184" s="425"/>
      <c r="CQ184" s="425"/>
      <c r="CR184" s="425"/>
      <c r="CS184" s="425"/>
      <c r="CT184" s="425"/>
      <c r="CU184" s="425"/>
      <c r="CV184" s="425"/>
    </row>
    <row r="185" spans="1:100">
      <c r="A185" s="554"/>
      <c r="B185" s="442"/>
      <c r="C185" s="442"/>
      <c r="D185" s="442"/>
      <c r="E185" s="442"/>
      <c r="F185" s="442"/>
      <c r="G185" s="442"/>
      <c r="H185" s="549"/>
      <c r="I185" s="549"/>
      <c r="J185" s="549"/>
      <c r="K185" s="549"/>
      <c r="L185" s="549"/>
      <c r="M185" s="549"/>
      <c r="N185" s="549"/>
      <c r="O185" s="549"/>
      <c r="P185" s="549"/>
      <c r="Q185" s="549"/>
      <c r="R185" s="549"/>
      <c r="S185" s="549"/>
      <c r="T185" s="549"/>
      <c r="U185" s="424"/>
      <c r="V185" s="424"/>
      <c r="W185" s="425"/>
      <c r="X185" s="425"/>
      <c r="Y185" s="425"/>
      <c r="Z185" s="425"/>
      <c r="AA185" s="425"/>
      <c r="AH185" s="425"/>
      <c r="AI185" s="425"/>
      <c r="AJ185" s="425"/>
      <c r="AK185" s="425"/>
      <c r="AL185" s="425"/>
      <c r="AM185" s="425"/>
      <c r="AN185" s="428"/>
      <c r="AO185" s="425"/>
      <c r="AP185" s="425"/>
      <c r="AQ185" s="558"/>
      <c r="AR185" s="425"/>
      <c r="AS185" s="425"/>
      <c r="AT185" s="425"/>
      <c r="AU185" s="425"/>
      <c r="AV185" s="425"/>
      <c r="AW185" s="425"/>
      <c r="AX185" s="425"/>
      <c r="AY185" s="425"/>
      <c r="AZ185" s="425"/>
      <c r="BA185" s="425"/>
      <c r="BB185" s="425"/>
      <c r="BC185" s="425"/>
      <c r="BD185" s="425"/>
      <c r="BE185" s="425"/>
      <c r="BF185" s="425"/>
      <c r="BG185" s="426"/>
      <c r="BH185" s="428"/>
      <c r="BI185" s="425"/>
      <c r="BJ185" s="425"/>
      <c r="BK185" s="425"/>
      <c r="BL185" s="425"/>
      <c r="BM185" s="425"/>
      <c r="BN185" s="425"/>
      <c r="BO185" s="425"/>
      <c r="BP185" s="425"/>
      <c r="BQ185" s="425"/>
      <c r="BR185" s="425"/>
      <c r="BS185" s="425"/>
      <c r="BT185" s="425"/>
      <c r="BU185" s="425"/>
      <c r="BV185" s="425"/>
      <c r="BW185" s="425"/>
      <c r="BX185" s="425"/>
      <c r="BY185" s="425"/>
      <c r="BZ185" s="425"/>
      <c r="CA185" s="425"/>
      <c r="CB185" s="425"/>
      <c r="CC185" s="425"/>
      <c r="CD185" s="425"/>
      <c r="CE185" s="425"/>
      <c r="CF185" s="425"/>
      <c r="CG185" s="425"/>
      <c r="CH185" s="425"/>
      <c r="CI185" s="425"/>
      <c r="CJ185" s="425"/>
      <c r="CK185" s="425"/>
      <c r="CL185" s="425"/>
      <c r="CM185" s="425"/>
      <c r="CN185" s="425"/>
      <c r="CO185" s="425"/>
      <c r="CP185" s="425"/>
      <c r="CQ185" s="425"/>
      <c r="CR185" s="425"/>
      <c r="CS185" s="425"/>
      <c r="CT185" s="425"/>
      <c r="CU185" s="425"/>
      <c r="CV185" s="425"/>
    </row>
    <row r="186" spans="1:100">
      <c r="A186" s="554"/>
      <c r="B186" s="442"/>
      <c r="C186" s="442"/>
      <c r="D186" s="442"/>
      <c r="E186" s="442"/>
      <c r="F186" s="442"/>
      <c r="G186" s="442"/>
      <c r="H186" s="549"/>
      <c r="I186" s="549"/>
      <c r="J186" s="549"/>
      <c r="K186" s="549"/>
      <c r="L186" s="549"/>
      <c r="M186" s="549"/>
      <c r="N186" s="549"/>
      <c r="O186" s="549"/>
      <c r="P186" s="549"/>
      <c r="Q186" s="549"/>
      <c r="R186" s="549"/>
      <c r="S186" s="549"/>
      <c r="T186" s="549"/>
      <c r="U186" s="424"/>
      <c r="V186" s="424"/>
      <c r="W186" s="425"/>
      <c r="X186" s="425"/>
      <c r="Y186" s="425"/>
      <c r="Z186" s="425"/>
      <c r="AA186" s="425"/>
      <c r="AH186" s="425"/>
      <c r="AI186" s="425"/>
      <c r="AJ186" s="425"/>
      <c r="AK186" s="425"/>
      <c r="AL186" s="425"/>
      <c r="AM186" s="425"/>
      <c r="AN186" s="428"/>
      <c r="AO186" s="425"/>
      <c r="AP186" s="425"/>
      <c r="AQ186" s="557" t="str">
        <f>AQ184</f>
        <v>USD</v>
      </c>
      <c r="AR186" s="425" t="str">
        <f>VLOOKUP(Currency_ISOcode,$AQ$190:$AR$246,2,0)</f>
        <v>$</v>
      </c>
      <c r="AS186" s="425" t="str">
        <f>"OPEB in "&amp;$AR$186&amp;" mn"</f>
        <v>OPEB in $ mn</v>
      </c>
      <c r="AT186" s="425"/>
      <c r="AU186" s="425"/>
      <c r="AV186" s="425"/>
      <c r="AW186" s="425"/>
      <c r="AX186" s="425"/>
      <c r="AY186" s="425"/>
      <c r="AZ186" s="425"/>
      <c r="BA186" s="425"/>
      <c r="BB186" s="425"/>
      <c r="BC186" s="425"/>
      <c r="BD186" s="425"/>
      <c r="BE186" s="425"/>
      <c r="BF186" s="425"/>
      <c r="BG186" s="426"/>
      <c r="BH186" s="428"/>
      <c r="BI186" s="425"/>
      <c r="BJ186" s="425"/>
      <c r="BK186" s="425"/>
      <c r="BL186" s="425"/>
      <c r="BM186" s="425"/>
      <c r="BN186" s="425"/>
      <c r="BO186" s="425"/>
      <c r="BP186" s="425"/>
      <c r="BQ186" s="425"/>
      <c r="BR186" s="425"/>
      <c r="BS186" s="425"/>
      <c r="BT186" s="425"/>
      <c r="BU186" s="425"/>
      <c r="BV186" s="425"/>
      <c r="BW186" s="425"/>
      <c r="BX186" s="425"/>
      <c r="BY186" s="425"/>
      <c r="BZ186" s="425"/>
      <c r="CA186" s="425"/>
      <c r="CB186" s="425"/>
      <c r="CC186" s="425"/>
      <c r="CD186" s="425"/>
      <c r="CE186" s="425"/>
      <c r="CF186" s="425"/>
      <c r="CG186" s="425"/>
      <c r="CH186" s="425"/>
      <c r="CI186" s="425"/>
      <c r="CJ186" s="425"/>
      <c r="CK186" s="425"/>
      <c r="CL186" s="425"/>
      <c r="CM186" s="425"/>
      <c r="CN186" s="425"/>
      <c r="CO186" s="425"/>
      <c r="CP186" s="425"/>
      <c r="CQ186" s="425"/>
      <c r="CR186" s="425"/>
      <c r="CS186" s="425"/>
      <c r="CT186" s="425"/>
      <c r="CU186" s="425"/>
      <c r="CV186" s="425"/>
    </row>
    <row r="187" spans="1:100">
      <c r="A187" s="554"/>
      <c r="B187" s="442"/>
      <c r="C187" s="442"/>
      <c r="D187" s="442"/>
      <c r="E187" s="442"/>
      <c r="F187" s="442"/>
      <c r="G187" s="442"/>
      <c r="H187" s="549"/>
      <c r="I187" s="549"/>
      <c r="J187" s="549"/>
      <c r="K187" s="549"/>
      <c r="L187" s="549"/>
      <c r="M187" s="549"/>
      <c r="N187" s="549"/>
      <c r="O187" s="549"/>
      <c r="P187" s="549"/>
      <c r="Q187" s="549"/>
      <c r="R187" s="549"/>
      <c r="S187" s="549"/>
      <c r="T187" s="549"/>
      <c r="U187" s="424"/>
      <c r="V187" s="424"/>
      <c r="W187" s="425"/>
      <c r="X187" s="425"/>
      <c r="Y187" s="425"/>
      <c r="Z187" s="425"/>
      <c r="AA187" s="425"/>
      <c r="AH187" s="425"/>
      <c r="AI187" s="425"/>
      <c r="AJ187" s="425"/>
      <c r="AK187" s="425"/>
      <c r="AL187" s="425"/>
      <c r="AM187" s="425"/>
      <c r="AN187" s="428"/>
      <c r="AO187" s="425"/>
      <c r="AP187" s="425"/>
      <c r="AQ187" s="558"/>
      <c r="AR187" s="425"/>
      <c r="AS187" s="425"/>
      <c r="AT187" s="425"/>
      <c r="AU187" s="425"/>
      <c r="AV187" s="425"/>
      <c r="AW187" s="425"/>
      <c r="AX187" s="425"/>
      <c r="AY187" s="425"/>
      <c r="AZ187" s="425"/>
      <c r="BA187" s="425"/>
      <c r="BB187" s="425"/>
      <c r="BC187" s="425"/>
      <c r="BD187" s="425"/>
      <c r="BE187" s="425"/>
      <c r="BF187" s="425"/>
      <c r="BG187" s="426"/>
      <c r="BH187" s="428"/>
      <c r="BI187" s="425"/>
      <c r="BJ187" s="425"/>
      <c r="BK187" s="425"/>
      <c r="BL187" s="425"/>
      <c r="BM187" s="425"/>
      <c r="BN187" s="425"/>
      <c r="BO187" s="425"/>
      <c r="BP187" s="425"/>
      <c r="BQ187" s="425"/>
      <c r="BR187" s="425"/>
      <c r="BS187" s="425"/>
      <c r="BT187" s="425"/>
      <c r="BU187" s="425"/>
      <c r="BV187" s="425"/>
      <c r="BW187" s="425"/>
      <c r="BX187" s="425"/>
      <c r="BY187" s="425"/>
      <c r="BZ187" s="425"/>
      <c r="CA187" s="425"/>
      <c r="CB187" s="425"/>
      <c r="CC187" s="425"/>
      <c r="CD187" s="425"/>
      <c r="CE187" s="425"/>
      <c r="CF187" s="425"/>
      <c r="CG187" s="425"/>
      <c r="CH187" s="425"/>
      <c r="CI187" s="425"/>
      <c r="CJ187" s="425"/>
      <c r="CK187" s="425"/>
      <c r="CL187" s="425"/>
      <c r="CM187" s="425"/>
      <c r="CN187" s="425"/>
      <c r="CO187" s="425"/>
      <c r="CP187" s="425"/>
      <c r="CQ187" s="425"/>
      <c r="CR187" s="425"/>
      <c r="CS187" s="425"/>
      <c r="CT187" s="425"/>
      <c r="CU187" s="425"/>
      <c r="CV187" s="425"/>
    </row>
    <row r="188" spans="1:100">
      <c r="A188" s="554"/>
      <c r="B188" s="442"/>
      <c r="C188" s="442"/>
      <c r="D188" s="442"/>
      <c r="E188" s="442"/>
      <c r="F188" s="442"/>
      <c r="G188" s="442"/>
      <c r="H188" s="549"/>
      <c r="I188" s="549"/>
      <c r="J188" s="549"/>
      <c r="K188" s="549"/>
      <c r="L188" s="549"/>
      <c r="M188" s="549"/>
      <c r="N188" s="549"/>
      <c r="O188" s="549"/>
      <c r="P188" s="549"/>
      <c r="Q188" s="549"/>
      <c r="R188" s="549"/>
      <c r="S188" s="549"/>
      <c r="T188" s="549"/>
      <c r="U188" s="424"/>
      <c r="V188" s="424"/>
      <c r="W188" s="425"/>
      <c r="X188" s="425"/>
      <c r="Y188" s="425"/>
      <c r="Z188" s="425"/>
      <c r="AA188" s="425"/>
      <c r="AH188" s="425"/>
      <c r="AI188" s="425"/>
      <c r="AJ188" s="425"/>
      <c r="AK188" s="425"/>
      <c r="AL188" s="425"/>
      <c r="AM188" s="425"/>
      <c r="AN188" s="428"/>
      <c r="AO188" s="425"/>
      <c r="AP188" s="425"/>
      <c r="AQ188" s="558"/>
      <c r="AR188" s="425"/>
      <c r="AS188" s="425"/>
      <c r="AT188" s="425"/>
      <c r="AU188" s="425"/>
      <c r="AV188" s="425"/>
      <c r="AW188" s="425"/>
      <c r="AX188" s="425"/>
      <c r="AY188" s="425"/>
      <c r="AZ188" s="425"/>
      <c r="BA188" s="425"/>
      <c r="BB188" s="425"/>
      <c r="BC188" s="425"/>
      <c r="BD188" s="425"/>
      <c r="BE188" s="425"/>
      <c r="BF188" s="425"/>
      <c r="BG188" s="426"/>
      <c r="BH188" s="428"/>
      <c r="BI188" s="425"/>
      <c r="BJ188" s="425"/>
      <c r="BK188" s="425"/>
      <c r="BL188" s="425"/>
      <c r="BM188" s="425"/>
      <c r="BN188" s="425"/>
      <c r="BO188" s="425"/>
      <c r="BP188" s="425"/>
      <c r="BQ188" s="425"/>
      <c r="BR188" s="425"/>
      <c r="BS188" s="425"/>
      <c r="BT188" s="425"/>
      <c r="BU188" s="425"/>
      <c r="BV188" s="425"/>
      <c r="BW188" s="425"/>
      <c r="BX188" s="425"/>
      <c r="BY188" s="425"/>
      <c r="BZ188" s="425"/>
      <c r="CA188" s="425"/>
      <c r="CB188" s="425"/>
      <c r="CC188" s="425"/>
      <c r="CD188" s="425"/>
      <c r="CE188" s="425"/>
      <c r="CF188" s="425"/>
      <c r="CG188" s="425"/>
      <c r="CH188" s="425"/>
      <c r="CI188" s="425"/>
      <c r="CJ188" s="425"/>
      <c r="CK188" s="425"/>
      <c r="CL188" s="425"/>
      <c r="CM188" s="425"/>
      <c r="CN188" s="425"/>
      <c r="CO188" s="425"/>
      <c r="CP188" s="425"/>
      <c r="CQ188" s="425"/>
      <c r="CR188" s="425"/>
      <c r="CS188" s="425"/>
      <c r="CT188" s="425"/>
      <c r="CU188" s="425"/>
      <c r="CV188" s="425"/>
    </row>
    <row r="189" spans="1:100">
      <c r="A189" s="554"/>
      <c r="B189" s="442"/>
      <c r="C189" s="442"/>
      <c r="D189" s="442"/>
      <c r="E189" s="442"/>
      <c r="F189" s="442"/>
      <c r="G189" s="442"/>
      <c r="H189" s="549"/>
      <c r="I189" s="549"/>
      <c r="J189" s="549"/>
      <c r="K189" s="549"/>
      <c r="L189" s="549"/>
      <c r="M189" s="549"/>
      <c r="N189" s="549"/>
      <c r="O189" s="549"/>
      <c r="P189" s="549"/>
      <c r="Q189" s="549"/>
      <c r="R189" s="549"/>
      <c r="S189" s="549"/>
      <c r="T189" s="549"/>
      <c r="U189" s="424"/>
      <c r="V189" s="424"/>
      <c r="W189" s="425"/>
      <c r="X189" s="425"/>
      <c r="Y189" s="425"/>
      <c r="Z189" s="425"/>
      <c r="AA189" s="425"/>
      <c r="AH189" s="425"/>
      <c r="AI189" s="425"/>
      <c r="AJ189" s="425"/>
      <c r="AK189" s="425"/>
      <c r="AL189" s="425"/>
      <c r="AM189" s="425"/>
      <c r="AN189" s="428"/>
      <c r="AO189" s="425"/>
      <c r="AP189" s="545">
        <f>IF(ISERROR(MATCH($AQ$182,$AQ$190:$AQ$246,FALSE)),57,MATCH($AQ$182,$AQ$190:$AQ$246,FALSE))</f>
        <v>54</v>
      </c>
      <c r="AQ189" s="557" t="str">
        <f>VLOOKUP($AR$189,$AN$190:$AQ$246,4,FALSE)</f>
        <v>USD</v>
      </c>
      <c r="AR189" s="425">
        <v>54</v>
      </c>
      <c r="AS189" s="425"/>
      <c r="AT189" s="425"/>
      <c r="AU189" s="425"/>
      <c r="AV189" s="425"/>
      <c r="AW189" s="425"/>
      <c r="AX189" s="425"/>
      <c r="AY189" s="425"/>
      <c r="AZ189" s="425"/>
      <c r="BA189" s="425"/>
      <c r="BB189" s="425"/>
      <c r="BC189" s="425"/>
      <c r="BD189" s="425"/>
      <c r="BE189" s="425"/>
      <c r="BF189" s="425"/>
      <c r="BG189" s="426"/>
      <c r="BH189" s="428"/>
      <c r="BI189" s="425"/>
      <c r="BJ189" s="425"/>
      <c r="BK189" s="425"/>
      <c r="BL189" s="425"/>
      <c r="BM189" s="425"/>
      <c r="BN189" s="425"/>
      <c r="BO189" s="425"/>
      <c r="BP189" s="425"/>
      <c r="BQ189" s="425"/>
      <c r="BR189" s="425"/>
      <c r="BS189" s="425"/>
      <c r="BT189" s="425"/>
      <c r="BU189" s="425"/>
      <c r="BV189" s="425"/>
      <c r="BW189" s="425"/>
      <c r="BX189" s="425"/>
      <c r="BY189" s="425"/>
      <c r="BZ189" s="425"/>
      <c r="CA189" s="425"/>
      <c r="CB189" s="425"/>
      <c r="CC189" s="425"/>
      <c r="CD189" s="425"/>
      <c r="CE189" s="425"/>
      <c r="CF189" s="425"/>
      <c r="CG189" s="425"/>
      <c r="CH189" s="425"/>
      <c r="CI189" s="425"/>
      <c r="CJ189" s="425"/>
      <c r="CK189" s="425"/>
      <c r="CL189" s="425"/>
      <c r="CM189" s="425"/>
      <c r="CN189" s="425"/>
      <c r="CO189" s="425"/>
      <c r="CP189" s="425"/>
      <c r="CQ189" s="425"/>
      <c r="CR189" s="425"/>
      <c r="CS189" s="425"/>
      <c r="CT189" s="425"/>
      <c r="CU189" s="425"/>
      <c r="CV189" s="425"/>
    </row>
    <row r="190" spans="1:100">
      <c r="A190" s="554"/>
      <c r="B190" s="442"/>
      <c r="C190" s="442"/>
      <c r="D190" s="442"/>
      <c r="E190" s="442"/>
      <c r="F190" s="442"/>
      <c r="G190" s="442"/>
      <c r="H190" s="549"/>
      <c r="I190" s="549"/>
      <c r="J190" s="549"/>
      <c r="K190" s="549"/>
      <c r="L190" s="549"/>
      <c r="M190" s="549"/>
      <c r="N190" s="549"/>
      <c r="O190" s="549"/>
      <c r="P190" s="549"/>
      <c r="Q190" s="549"/>
      <c r="R190" s="549"/>
      <c r="S190" s="549"/>
      <c r="T190" s="549"/>
      <c r="U190" s="424"/>
      <c r="V190" s="424"/>
      <c r="W190" s="425"/>
      <c r="X190" s="425"/>
      <c r="Y190" s="425"/>
      <c r="Z190" s="425"/>
      <c r="AA190" s="425"/>
      <c r="AH190" s="425"/>
      <c r="AI190" s="425"/>
      <c r="AJ190" s="425"/>
      <c r="AK190" s="425"/>
      <c r="AL190" s="425"/>
      <c r="AM190" s="425"/>
      <c r="AN190" s="437">
        <v>1</v>
      </c>
      <c r="AO190" s="559" t="s">
        <v>159</v>
      </c>
      <c r="AP190" s="559" t="s">
        <v>160</v>
      </c>
      <c r="AQ190" s="559" t="s">
        <v>160</v>
      </c>
      <c r="AR190" s="425" t="str">
        <f>AP190</f>
        <v>AED</v>
      </c>
      <c r="AS190" s="425"/>
      <c r="AT190" s="425"/>
      <c r="AU190" s="425"/>
      <c r="AV190" s="425"/>
      <c r="AW190" s="425"/>
      <c r="AX190" s="425"/>
      <c r="AY190" s="425"/>
      <c r="AZ190" s="425"/>
      <c r="BA190" s="425"/>
      <c r="BB190" s="425"/>
      <c r="BC190" s="425"/>
      <c r="BD190" s="425"/>
      <c r="BE190" s="425"/>
      <c r="BF190" s="425"/>
      <c r="BG190" s="426"/>
      <c r="BH190" s="437"/>
      <c r="BI190" s="425"/>
      <c r="BJ190" s="425"/>
      <c r="BK190" s="425"/>
      <c r="BL190" s="425"/>
      <c r="BM190" s="425"/>
      <c r="BN190" s="425"/>
      <c r="BO190" s="425"/>
      <c r="BP190" s="425"/>
      <c r="BQ190" s="425"/>
      <c r="BR190" s="425"/>
      <c r="BS190" s="425"/>
      <c r="BT190" s="425"/>
      <c r="BU190" s="425"/>
      <c r="BV190" s="425"/>
      <c r="BW190" s="425"/>
      <c r="BX190" s="425"/>
      <c r="BY190" s="425"/>
      <c r="BZ190" s="425"/>
      <c r="CA190" s="425"/>
      <c r="CB190" s="425"/>
      <c r="CC190" s="425"/>
      <c r="CD190" s="425"/>
      <c r="CE190" s="425"/>
      <c r="CF190" s="425"/>
      <c r="CG190" s="425"/>
      <c r="CH190" s="425"/>
      <c r="CI190" s="425"/>
      <c r="CJ190" s="425"/>
      <c r="CK190" s="425"/>
      <c r="CL190" s="425"/>
      <c r="CM190" s="425"/>
      <c r="CN190" s="425"/>
      <c r="CO190" s="425"/>
      <c r="CP190" s="425"/>
      <c r="CQ190" s="425"/>
      <c r="CR190" s="425"/>
      <c r="CS190" s="425"/>
      <c r="CT190" s="425"/>
      <c r="CU190" s="425"/>
      <c r="CV190" s="425"/>
    </row>
    <row r="191" spans="1:100">
      <c r="A191" s="554"/>
      <c r="B191" s="442"/>
      <c r="C191" s="442"/>
      <c r="D191" s="442"/>
      <c r="E191" s="442"/>
      <c r="F191" s="442"/>
      <c r="G191" s="442"/>
      <c r="H191" s="549"/>
      <c r="I191" s="549"/>
      <c r="J191" s="549"/>
      <c r="K191" s="549"/>
      <c r="L191" s="549"/>
      <c r="M191" s="549"/>
      <c r="N191" s="549"/>
      <c r="O191" s="549"/>
      <c r="P191" s="549"/>
      <c r="Q191" s="549"/>
      <c r="R191" s="549"/>
      <c r="S191" s="549"/>
      <c r="T191" s="549"/>
      <c r="U191" s="424"/>
      <c r="V191" s="424"/>
      <c r="W191" s="425"/>
      <c r="X191" s="425"/>
      <c r="Y191" s="425"/>
      <c r="Z191" s="425"/>
      <c r="AA191" s="425"/>
      <c r="AH191" s="425"/>
      <c r="AI191" s="425"/>
      <c r="AJ191" s="425"/>
      <c r="AK191" s="425"/>
      <c r="AL191" s="425"/>
      <c r="AM191" s="425"/>
      <c r="AN191" s="437">
        <v>2</v>
      </c>
      <c r="AO191" s="559" t="s">
        <v>161</v>
      </c>
      <c r="AP191" s="559" t="s">
        <v>162</v>
      </c>
      <c r="AQ191" s="559" t="s">
        <v>163</v>
      </c>
      <c r="AR191" s="425" t="str">
        <f t="shared" ref="AR191:AR245" si="67">AP191</f>
        <v>Ar$</v>
      </c>
      <c r="AS191" s="425"/>
      <c r="AT191" s="425"/>
      <c r="AU191" s="425"/>
      <c r="AV191" s="425"/>
      <c r="AW191" s="425"/>
      <c r="AX191" s="425"/>
      <c r="AY191" s="425"/>
      <c r="AZ191" s="425"/>
      <c r="BA191" s="425"/>
      <c r="BB191" s="425"/>
      <c r="BC191" s="425"/>
      <c r="BD191" s="425"/>
      <c r="BE191" s="425"/>
      <c r="BF191" s="425"/>
      <c r="BG191" s="426"/>
      <c r="BH191" s="425"/>
      <c r="BI191" s="425"/>
      <c r="BJ191" s="425"/>
      <c r="BK191" s="425"/>
      <c r="BL191" s="425"/>
      <c r="BM191" s="425"/>
      <c r="BN191" s="425"/>
      <c r="BO191" s="425"/>
      <c r="BP191" s="425"/>
      <c r="BQ191" s="425"/>
      <c r="BR191" s="425"/>
      <c r="BS191" s="425"/>
      <c r="BT191" s="425"/>
      <c r="BU191" s="425"/>
      <c r="BV191" s="425"/>
      <c r="BW191" s="425"/>
      <c r="BX191" s="425"/>
      <c r="BY191" s="425"/>
      <c r="BZ191" s="425"/>
      <c r="CA191" s="425"/>
      <c r="CB191" s="425"/>
      <c r="CC191" s="425"/>
      <c r="CD191" s="425"/>
      <c r="CE191" s="425"/>
      <c r="CF191" s="425"/>
      <c r="CG191" s="425"/>
      <c r="CH191" s="425"/>
      <c r="CI191" s="425"/>
      <c r="CJ191" s="425"/>
      <c r="CK191" s="425"/>
      <c r="CL191" s="425"/>
      <c r="CM191" s="425"/>
      <c r="CN191" s="425"/>
      <c r="CO191" s="425"/>
      <c r="CP191" s="425"/>
      <c r="CQ191" s="425"/>
      <c r="CR191" s="425"/>
      <c r="CS191" s="425"/>
      <c r="CT191" s="425"/>
      <c r="CU191" s="425"/>
      <c r="CV191" s="425"/>
    </row>
    <row r="192" spans="1:100">
      <c r="A192" s="554"/>
      <c r="B192" s="442"/>
      <c r="C192" s="442"/>
      <c r="D192" s="442"/>
      <c r="E192" s="442"/>
      <c r="F192" s="442"/>
      <c r="G192" s="442"/>
      <c r="H192" s="549"/>
      <c r="I192" s="549"/>
      <c r="J192" s="549"/>
      <c r="K192" s="549"/>
      <c r="L192" s="549"/>
      <c r="M192" s="549"/>
      <c r="N192" s="549"/>
      <c r="O192" s="549"/>
      <c r="P192" s="549"/>
      <c r="Q192" s="549"/>
      <c r="R192" s="549"/>
      <c r="S192" s="549"/>
      <c r="T192" s="549"/>
      <c r="U192" s="424"/>
      <c r="V192" s="424"/>
      <c r="W192" s="425"/>
      <c r="X192" s="425"/>
      <c r="Y192" s="425"/>
      <c r="Z192" s="425"/>
      <c r="AA192" s="425"/>
      <c r="AH192" s="425"/>
      <c r="AI192" s="425"/>
      <c r="AJ192" s="425"/>
      <c r="AK192" s="425"/>
      <c r="AL192" s="425"/>
      <c r="AM192" s="425"/>
      <c r="AN192" s="437">
        <v>3</v>
      </c>
      <c r="AO192" s="559" t="s">
        <v>179</v>
      </c>
      <c r="AP192" s="559" t="s">
        <v>180</v>
      </c>
      <c r="AQ192" s="559" t="s">
        <v>181</v>
      </c>
      <c r="AR192" s="425" t="str">
        <f t="shared" si="67"/>
        <v>A$</v>
      </c>
      <c r="AS192" s="425"/>
      <c r="AT192" s="425"/>
      <c r="AU192" s="425"/>
      <c r="AV192" s="425"/>
      <c r="AW192" s="425"/>
      <c r="AX192" s="425"/>
      <c r="AY192" s="425"/>
      <c r="AZ192" s="425"/>
      <c r="BA192" s="425"/>
      <c r="BB192" s="425"/>
      <c r="BC192" s="425"/>
      <c r="BD192" s="425"/>
      <c r="BE192" s="425"/>
      <c r="BF192" s="425"/>
      <c r="BG192" s="426"/>
      <c r="BH192" s="425"/>
      <c r="BI192" s="425"/>
      <c r="BJ192" s="425"/>
      <c r="BK192" s="425"/>
      <c r="BL192" s="425"/>
      <c r="BM192" s="425"/>
      <c r="BN192" s="425"/>
      <c r="BO192" s="425"/>
      <c r="BP192" s="425"/>
      <c r="BQ192" s="425"/>
      <c r="BR192" s="425"/>
      <c r="BS192" s="425"/>
      <c r="BT192" s="425"/>
      <c r="BU192" s="425"/>
      <c r="BV192" s="425"/>
      <c r="BW192" s="425"/>
      <c r="BX192" s="425"/>
      <c r="BY192" s="425"/>
      <c r="BZ192" s="425"/>
      <c r="CA192" s="425"/>
      <c r="CB192" s="425"/>
      <c r="CC192" s="425"/>
      <c r="CD192" s="425"/>
      <c r="CE192" s="425"/>
      <c r="CF192" s="425"/>
      <c r="CG192" s="425"/>
      <c r="CH192" s="425"/>
      <c r="CI192" s="425"/>
      <c r="CJ192" s="425"/>
      <c r="CK192" s="425"/>
      <c r="CL192" s="425"/>
      <c r="CM192" s="425"/>
      <c r="CN192" s="425"/>
      <c r="CO192" s="425"/>
      <c r="CP192" s="425"/>
      <c r="CQ192" s="425"/>
      <c r="CR192" s="425"/>
      <c r="CS192" s="425"/>
      <c r="CT192" s="425"/>
      <c r="CU192" s="425"/>
      <c r="CV192" s="425"/>
    </row>
    <row r="193" spans="1:100">
      <c r="A193" s="554"/>
      <c r="B193" s="442"/>
      <c r="C193" s="442"/>
      <c r="D193" s="442"/>
      <c r="E193" s="442"/>
      <c r="F193" s="442"/>
      <c r="G193" s="442"/>
      <c r="H193" s="549"/>
      <c r="I193" s="549"/>
      <c r="J193" s="549"/>
      <c r="K193" s="549"/>
      <c r="L193" s="549"/>
      <c r="M193" s="549"/>
      <c r="N193" s="549"/>
      <c r="O193" s="549"/>
      <c r="P193" s="549"/>
      <c r="Q193" s="549"/>
      <c r="R193" s="549"/>
      <c r="S193" s="549"/>
      <c r="T193" s="549"/>
      <c r="U193" s="424"/>
      <c r="V193" s="424"/>
      <c r="W193" s="425"/>
      <c r="X193" s="425"/>
      <c r="Y193" s="425"/>
      <c r="Z193" s="425"/>
      <c r="AA193" s="425"/>
      <c r="AH193" s="425"/>
      <c r="AI193" s="425"/>
      <c r="AJ193" s="425"/>
      <c r="AK193" s="425"/>
      <c r="AL193" s="425"/>
      <c r="AM193" s="425"/>
      <c r="AN193" s="437">
        <v>4</v>
      </c>
      <c r="AO193" s="559" t="s">
        <v>182</v>
      </c>
      <c r="AP193" s="559" t="s">
        <v>183</v>
      </c>
      <c r="AQ193" s="559" t="s">
        <v>183</v>
      </c>
      <c r="AR193" s="425" t="str">
        <f t="shared" si="67"/>
        <v>BGL</v>
      </c>
      <c r="AS193" s="425"/>
      <c r="AT193" s="425"/>
      <c r="AU193" s="425"/>
      <c r="AV193" s="425"/>
      <c r="AW193" s="425"/>
      <c r="AX193" s="425"/>
      <c r="AY193" s="425"/>
      <c r="AZ193" s="425"/>
      <c r="BA193" s="425"/>
      <c r="BB193" s="425"/>
      <c r="BC193" s="425"/>
      <c r="BD193" s="425"/>
      <c r="BE193" s="425"/>
      <c r="BF193" s="425"/>
      <c r="BG193" s="426"/>
      <c r="BH193" s="425"/>
      <c r="BI193" s="425"/>
      <c r="BJ193" s="425"/>
      <c r="BK193" s="425"/>
      <c r="BL193" s="425"/>
      <c r="BM193" s="425"/>
      <c r="BN193" s="425"/>
      <c r="BO193" s="425"/>
      <c r="BP193" s="425"/>
      <c r="BQ193" s="425"/>
      <c r="BR193" s="425"/>
      <c r="BS193" s="425"/>
      <c r="BT193" s="425"/>
      <c r="BU193" s="425"/>
      <c r="BV193" s="425"/>
      <c r="BW193" s="425"/>
      <c r="BX193" s="425"/>
      <c r="BY193" s="425"/>
      <c r="BZ193" s="425"/>
      <c r="CA193" s="425"/>
      <c r="CB193" s="425"/>
      <c r="CC193" s="425"/>
      <c r="CD193" s="425"/>
      <c r="CE193" s="425"/>
      <c r="CF193" s="425"/>
      <c r="CG193" s="425"/>
      <c r="CH193" s="425"/>
      <c r="CI193" s="425"/>
      <c r="CJ193" s="425"/>
      <c r="CK193" s="425"/>
      <c r="CL193" s="425"/>
      <c r="CM193" s="425"/>
      <c r="CN193" s="425"/>
      <c r="CO193" s="425"/>
      <c r="CP193" s="425"/>
      <c r="CQ193" s="425"/>
      <c r="CR193" s="425"/>
      <c r="CS193" s="425"/>
      <c r="CT193" s="425"/>
      <c r="CU193" s="425"/>
      <c r="CV193" s="425"/>
    </row>
    <row r="194" spans="1:100">
      <c r="A194" s="554"/>
      <c r="B194" s="442"/>
      <c r="C194" s="442"/>
      <c r="D194" s="442"/>
      <c r="E194" s="442"/>
      <c r="F194" s="442"/>
      <c r="G194" s="442"/>
      <c r="H194" s="549"/>
      <c r="I194" s="549"/>
      <c r="J194" s="549"/>
      <c r="K194" s="549"/>
      <c r="L194" s="549"/>
      <c r="M194" s="549"/>
      <c r="N194" s="549"/>
      <c r="O194" s="549"/>
      <c r="P194" s="549"/>
      <c r="Q194" s="549"/>
      <c r="R194" s="549"/>
      <c r="S194" s="549"/>
      <c r="T194" s="549"/>
      <c r="U194" s="424"/>
      <c r="V194" s="424"/>
      <c r="W194" s="425"/>
      <c r="X194" s="425"/>
      <c r="Y194" s="425"/>
      <c r="Z194" s="425"/>
      <c r="AA194" s="425"/>
      <c r="AH194" s="425"/>
      <c r="AI194" s="425"/>
      <c r="AJ194" s="425"/>
      <c r="AK194" s="425"/>
      <c r="AL194" s="425"/>
      <c r="AM194" s="425"/>
      <c r="AN194" s="437">
        <v>5</v>
      </c>
      <c r="AO194" s="559" t="s">
        <v>184</v>
      </c>
      <c r="AP194" s="559" t="s">
        <v>185</v>
      </c>
      <c r="AQ194" s="559" t="s">
        <v>185</v>
      </c>
      <c r="AR194" s="425" t="str">
        <f t="shared" si="67"/>
        <v>BMD</v>
      </c>
      <c r="AS194" s="425"/>
      <c r="AT194" s="425"/>
      <c r="AU194" s="425"/>
      <c r="AV194" s="425"/>
      <c r="AW194" s="425"/>
      <c r="AX194" s="425"/>
      <c r="AY194" s="425"/>
      <c r="AZ194" s="425"/>
      <c r="BA194" s="425"/>
      <c r="BB194" s="425"/>
      <c r="BC194" s="425"/>
      <c r="BD194" s="425"/>
      <c r="BE194" s="425"/>
      <c r="BF194" s="425"/>
      <c r="BG194" s="426"/>
      <c r="BH194" s="425"/>
      <c r="BI194" s="425"/>
      <c r="BJ194" s="425"/>
      <c r="BK194" s="425"/>
      <c r="BL194" s="425"/>
      <c r="BM194" s="425"/>
      <c r="BN194" s="425"/>
      <c r="BO194" s="425"/>
      <c r="BP194" s="425"/>
      <c r="BQ194" s="425"/>
      <c r="BR194" s="425"/>
      <c r="BS194" s="425"/>
      <c r="BT194" s="425"/>
      <c r="BU194" s="425"/>
      <c r="BV194" s="425"/>
      <c r="BW194" s="425"/>
      <c r="BX194" s="425"/>
      <c r="BY194" s="425"/>
      <c r="BZ194" s="425"/>
      <c r="CA194" s="425"/>
      <c r="CB194" s="425"/>
      <c r="CC194" s="425"/>
      <c r="CD194" s="425"/>
      <c r="CE194" s="425"/>
      <c r="CF194" s="425"/>
      <c r="CG194" s="425"/>
      <c r="CH194" s="425"/>
      <c r="CI194" s="425"/>
      <c r="CJ194" s="425"/>
      <c r="CK194" s="425"/>
      <c r="CL194" s="425"/>
      <c r="CM194" s="425"/>
      <c r="CN194" s="425"/>
      <c r="CO194" s="425"/>
      <c r="CP194" s="425"/>
      <c r="CQ194" s="425"/>
      <c r="CR194" s="425"/>
      <c r="CS194" s="425"/>
      <c r="CT194" s="425"/>
      <c r="CU194" s="425"/>
      <c r="CV194" s="425"/>
    </row>
    <row r="195" spans="1:100">
      <c r="A195" s="554"/>
      <c r="B195" s="442"/>
      <c r="C195" s="442"/>
      <c r="D195" s="442"/>
      <c r="E195" s="442"/>
      <c r="F195" s="442"/>
      <c r="G195" s="442"/>
      <c r="H195" s="549"/>
      <c r="I195" s="549"/>
      <c r="J195" s="549"/>
      <c r="K195" s="549"/>
      <c r="L195" s="549"/>
      <c r="M195" s="549"/>
      <c r="N195" s="549"/>
      <c r="O195" s="549"/>
      <c r="P195" s="549"/>
      <c r="Q195" s="549"/>
      <c r="R195" s="549"/>
      <c r="S195" s="549"/>
      <c r="T195" s="549"/>
      <c r="U195" s="424"/>
      <c r="V195" s="424"/>
      <c r="W195" s="425"/>
      <c r="X195" s="425"/>
      <c r="Y195" s="425"/>
      <c r="Z195" s="425"/>
      <c r="AA195" s="425"/>
      <c r="AH195" s="425"/>
      <c r="AI195" s="425"/>
      <c r="AJ195" s="425"/>
      <c r="AK195" s="425"/>
      <c r="AL195" s="425"/>
      <c r="AM195" s="425"/>
      <c r="AN195" s="437">
        <v>6</v>
      </c>
      <c r="AO195" s="559" t="s">
        <v>186</v>
      </c>
      <c r="AP195" s="559" t="s">
        <v>187</v>
      </c>
      <c r="AQ195" s="559" t="s">
        <v>188</v>
      </c>
      <c r="AR195" s="425" t="str">
        <f t="shared" si="67"/>
        <v>R$</v>
      </c>
      <c r="AS195" s="425"/>
      <c r="AT195" s="425"/>
      <c r="AU195" s="425"/>
      <c r="AV195" s="425"/>
      <c r="AW195" s="425"/>
      <c r="AX195" s="425"/>
      <c r="AY195" s="425"/>
      <c r="AZ195" s="425"/>
      <c r="BA195" s="425"/>
      <c r="BB195" s="425"/>
      <c r="BC195" s="425"/>
      <c r="BD195" s="425"/>
      <c r="BE195" s="425"/>
      <c r="BF195" s="425"/>
      <c r="BG195" s="426"/>
      <c r="BH195" s="425"/>
      <c r="BI195" s="425"/>
      <c r="BJ195" s="425"/>
      <c r="BK195" s="425"/>
      <c r="BL195" s="425"/>
      <c r="BM195" s="425"/>
      <c r="BN195" s="425"/>
      <c r="BO195" s="425"/>
      <c r="BP195" s="425"/>
      <c r="BQ195" s="425"/>
      <c r="BR195" s="425"/>
      <c r="BS195" s="425"/>
      <c r="BT195" s="425"/>
      <c r="BU195" s="425"/>
      <c r="BV195" s="425"/>
      <c r="BW195" s="425"/>
      <c r="BX195" s="425"/>
      <c r="BY195" s="425"/>
      <c r="BZ195" s="425"/>
      <c r="CA195" s="425"/>
      <c r="CB195" s="425"/>
      <c r="CC195" s="425"/>
      <c r="CD195" s="425"/>
      <c r="CE195" s="425"/>
      <c r="CF195" s="425"/>
      <c r="CG195" s="425"/>
      <c r="CH195" s="425"/>
      <c r="CI195" s="425"/>
      <c r="CJ195" s="425"/>
      <c r="CK195" s="425"/>
      <c r="CL195" s="425"/>
      <c r="CM195" s="425"/>
      <c r="CN195" s="425"/>
      <c r="CO195" s="425"/>
      <c r="CP195" s="425"/>
      <c r="CQ195" s="425"/>
      <c r="CR195" s="425"/>
      <c r="CS195" s="425"/>
      <c r="CT195" s="425"/>
      <c r="CU195" s="425"/>
      <c r="CV195" s="425"/>
    </row>
    <row r="196" spans="1:100">
      <c r="A196" s="554"/>
      <c r="B196" s="442"/>
      <c r="C196" s="442"/>
      <c r="D196" s="442"/>
      <c r="E196" s="442"/>
      <c r="F196" s="442"/>
      <c r="G196" s="442"/>
      <c r="H196" s="549"/>
      <c r="I196" s="549"/>
      <c r="J196" s="549"/>
      <c r="K196" s="549"/>
      <c r="L196" s="549"/>
      <c r="M196" s="549"/>
      <c r="N196" s="549"/>
      <c r="O196" s="549"/>
      <c r="P196" s="549"/>
      <c r="Q196" s="549"/>
      <c r="R196" s="549"/>
      <c r="S196" s="549"/>
      <c r="T196" s="549"/>
      <c r="U196" s="424"/>
      <c r="V196" s="424"/>
      <c r="W196" s="425"/>
      <c r="X196" s="425"/>
      <c r="Y196" s="425"/>
      <c r="Z196" s="425"/>
      <c r="AA196" s="425"/>
      <c r="AH196" s="425"/>
      <c r="AI196" s="425"/>
      <c r="AJ196" s="425"/>
      <c r="AK196" s="425"/>
      <c r="AL196" s="425"/>
      <c r="AM196" s="425"/>
      <c r="AN196" s="437">
        <v>7</v>
      </c>
      <c r="AO196" s="559" t="s">
        <v>189</v>
      </c>
      <c r="AP196" s="559" t="s">
        <v>190</v>
      </c>
      <c r="AQ196" s="559" t="s">
        <v>191</v>
      </c>
      <c r="AR196" s="425" t="str">
        <f t="shared" si="67"/>
        <v>C$</v>
      </c>
      <c r="AS196" s="425"/>
      <c r="AT196" s="425"/>
      <c r="AU196" s="425"/>
      <c r="AV196" s="425"/>
      <c r="AW196" s="425"/>
      <c r="AX196" s="425"/>
      <c r="AY196" s="425"/>
      <c r="AZ196" s="425"/>
      <c r="BA196" s="425"/>
      <c r="BB196" s="425"/>
      <c r="BC196" s="425"/>
      <c r="BD196" s="425"/>
      <c r="BE196" s="425"/>
      <c r="BF196" s="425"/>
      <c r="BG196" s="426"/>
      <c r="BH196" s="425"/>
      <c r="BI196" s="425"/>
      <c r="BJ196" s="425"/>
      <c r="BK196" s="425"/>
      <c r="BL196" s="425"/>
      <c r="BM196" s="425"/>
      <c r="BN196" s="425"/>
      <c r="BO196" s="425"/>
      <c r="BP196" s="425"/>
      <c r="BQ196" s="425"/>
      <c r="BR196" s="425"/>
      <c r="BS196" s="425"/>
      <c r="BT196" s="425"/>
      <c r="BU196" s="425"/>
      <c r="BV196" s="425"/>
      <c r="BW196" s="425"/>
      <c r="BX196" s="425"/>
      <c r="BY196" s="425"/>
      <c r="BZ196" s="425"/>
      <c r="CA196" s="425"/>
      <c r="CB196" s="425"/>
      <c r="CC196" s="425"/>
      <c r="CD196" s="425"/>
      <c r="CE196" s="425"/>
      <c r="CF196" s="425"/>
      <c r="CG196" s="425"/>
      <c r="CH196" s="425"/>
      <c r="CI196" s="425"/>
      <c r="CJ196" s="425"/>
      <c r="CK196" s="425"/>
      <c r="CL196" s="425"/>
      <c r="CM196" s="425"/>
      <c r="CN196" s="425"/>
      <c r="CO196" s="425"/>
      <c r="CP196" s="425"/>
      <c r="CQ196" s="425"/>
      <c r="CR196" s="425"/>
      <c r="CS196" s="425"/>
      <c r="CT196" s="425"/>
      <c r="CU196" s="425"/>
      <c r="CV196" s="425"/>
    </row>
    <row r="197" spans="1:100">
      <c r="A197" s="554"/>
      <c r="B197" s="442"/>
      <c r="C197" s="442"/>
      <c r="D197" s="442"/>
      <c r="E197" s="442"/>
      <c r="F197" s="442"/>
      <c r="G197" s="442"/>
      <c r="H197" s="549"/>
      <c r="I197" s="549"/>
      <c r="J197" s="549"/>
      <c r="K197" s="549"/>
      <c r="L197" s="549"/>
      <c r="M197" s="549"/>
      <c r="N197" s="549"/>
      <c r="O197" s="549"/>
      <c r="P197" s="549"/>
      <c r="Q197" s="549"/>
      <c r="R197" s="549"/>
      <c r="S197" s="549"/>
      <c r="T197" s="549"/>
      <c r="U197" s="424"/>
      <c r="V197" s="424"/>
      <c r="W197" s="425"/>
      <c r="X197" s="425"/>
      <c r="Y197" s="425"/>
      <c r="Z197" s="425"/>
      <c r="AA197" s="425"/>
      <c r="AH197" s="425"/>
      <c r="AI197" s="425"/>
      <c r="AJ197" s="425"/>
      <c r="AK197" s="425"/>
      <c r="AL197" s="425"/>
      <c r="AM197" s="425"/>
      <c r="AN197" s="437">
        <v>8</v>
      </c>
      <c r="AO197" s="559" t="s">
        <v>192</v>
      </c>
      <c r="AP197" s="559" t="s">
        <v>193</v>
      </c>
      <c r="AQ197" s="559" t="s">
        <v>194</v>
      </c>
      <c r="AR197" s="425" t="str">
        <f t="shared" si="67"/>
        <v>SFr</v>
      </c>
      <c r="AS197" s="425"/>
      <c r="AT197" s="425"/>
      <c r="AU197" s="425"/>
      <c r="AV197" s="425"/>
      <c r="AW197" s="425"/>
      <c r="AX197" s="425"/>
      <c r="AY197" s="425"/>
      <c r="AZ197" s="425"/>
      <c r="BA197" s="425"/>
      <c r="BB197" s="425"/>
      <c r="BC197" s="425"/>
      <c r="BD197" s="425"/>
      <c r="BE197" s="425"/>
      <c r="BF197" s="425"/>
      <c r="BG197" s="426"/>
      <c r="BH197" s="425"/>
      <c r="BI197" s="425"/>
      <c r="BJ197" s="425"/>
      <c r="BK197" s="425"/>
      <c r="BL197" s="425"/>
      <c r="BM197" s="425"/>
      <c r="BN197" s="425"/>
      <c r="BO197" s="425"/>
      <c r="BP197" s="425"/>
      <c r="BQ197" s="425"/>
      <c r="BR197" s="425"/>
      <c r="BS197" s="425"/>
      <c r="BT197" s="425"/>
      <c r="BU197" s="425"/>
      <c r="BV197" s="425"/>
      <c r="BW197" s="425"/>
      <c r="BX197" s="425"/>
      <c r="BY197" s="425"/>
      <c r="BZ197" s="425"/>
      <c r="CA197" s="425"/>
      <c r="CB197" s="425"/>
      <c r="CC197" s="425"/>
      <c r="CD197" s="425"/>
      <c r="CE197" s="425"/>
      <c r="CF197" s="425"/>
      <c r="CG197" s="425"/>
      <c r="CH197" s="425"/>
      <c r="CI197" s="425"/>
      <c r="CJ197" s="425"/>
      <c r="CK197" s="425"/>
      <c r="CL197" s="425"/>
      <c r="CM197" s="425"/>
      <c r="CN197" s="425"/>
      <c r="CO197" s="425"/>
      <c r="CP197" s="425"/>
      <c r="CQ197" s="425"/>
      <c r="CR197" s="425"/>
      <c r="CS197" s="425"/>
      <c r="CT197" s="425"/>
      <c r="CU197" s="425"/>
      <c r="CV197" s="425"/>
    </row>
    <row r="198" spans="1:100">
      <c r="A198" s="554"/>
      <c r="B198" s="442"/>
      <c r="C198" s="442"/>
      <c r="D198" s="442"/>
      <c r="E198" s="442"/>
      <c r="F198" s="442"/>
      <c r="G198" s="442"/>
      <c r="H198" s="549"/>
      <c r="I198" s="549"/>
      <c r="J198" s="549"/>
      <c r="K198" s="549"/>
      <c r="L198" s="549"/>
      <c r="M198" s="549"/>
      <c r="N198" s="549"/>
      <c r="O198" s="549"/>
      <c r="P198" s="549"/>
      <c r="Q198" s="549"/>
      <c r="R198" s="549"/>
      <c r="S198" s="549"/>
      <c r="T198" s="549"/>
      <c r="U198" s="424"/>
      <c r="V198" s="424"/>
      <c r="W198" s="425"/>
      <c r="X198" s="425"/>
      <c r="Y198" s="425"/>
      <c r="Z198" s="425"/>
      <c r="AA198" s="425"/>
      <c r="AH198" s="425"/>
      <c r="AI198" s="425"/>
      <c r="AJ198" s="425"/>
      <c r="AK198" s="425"/>
      <c r="AL198" s="425"/>
      <c r="AM198" s="425"/>
      <c r="AN198" s="437">
        <v>9</v>
      </c>
      <c r="AO198" s="559" t="s">
        <v>195</v>
      </c>
      <c r="AP198" s="559" t="s">
        <v>196</v>
      </c>
      <c r="AQ198" s="559" t="s">
        <v>196</v>
      </c>
      <c r="AR198" s="425" t="str">
        <f t="shared" si="67"/>
        <v>CLP</v>
      </c>
      <c r="AS198" s="425"/>
      <c r="AT198" s="425"/>
      <c r="AU198" s="425"/>
      <c r="AV198" s="425"/>
      <c r="AW198" s="425"/>
      <c r="AX198" s="425"/>
      <c r="AY198" s="425"/>
      <c r="AZ198" s="425"/>
      <c r="BA198" s="425"/>
      <c r="BB198" s="425"/>
      <c r="BC198" s="425"/>
      <c r="BD198" s="425"/>
      <c r="BE198" s="425"/>
      <c r="BF198" s="425"/>
      <c r="BG198" s="426"/>
      <c r="BH198" s="425"/>
      <c r="BI198" s="425"/>
      <c r="BJ198" s="425"/>
      <c r="BK198" s="425"/>
      <c r="BL198" s="425"/>
      <c r="BM198" s="425"/>
      <c r="BN198" s="425"/>
      <c r="BO198" s="425"/>
      <c r="BP198" s="425"/>
      <c r="BQ198" s="425"/>
      <c r="BR198" s="425"/>
      <c r="BS198" s="425"/>
      <c r="BT198" s="425"/>
      <c r="BU198" s="425"/>
      <c r="BV198" s="425"/>
      <c r="BW198" s="425"/>
      <c r="BX198" s="425"/>
      <c r="BY198" s="425"/>
      <c r="BZ198" s="425"/>
      <c r="CA198" s="425"/>
      <c r="CB198" s="425"/>
      <c r="CC198" s="425"/>
      <c r="CD198" s="425"/>
      <c r="CE198" s="425"/>
      <c r="CF198" s="425"/>
      <c r="CG198" s="425"/>
      <c r="CH198" s="425"/>
      <c r="CI198" s="425"/>
      <c r="CJ198" s="425"/>
      <c r="CK198" s="425"/>
      <c r="CL198" s="425"/>
      <c r="CM198" s="425"/>
      <c r="CN198" s="425"/>
      <c r="CO198" s="425"/>
      <c r="CP198" s="425"/>
      <c r="CQ198" s="425"/>
      <c r="CR198" s="425"/>
      <c r="CS198" s="425"/>
      <c r="CT198" s="425"/>
      <c r="CU198" s="425"/>
      <c r="CV198" s="425"/>
    </row>
    <row r="199" spans="1:100">
      <c r="A199" s="554"/>
      <c r="B199" s="442"/>
      <c r="C199" s="442"/>
      <c r="D199" s="442"/>
      <c r="E199" s="442"/>
      <c r="F199" s="442"/>
      <c r="G199" s="442"/>
      <c r="H199" s="549"/>
      <c r="I199" s="549"/>
      <c r="J199" s="549"/>
      <c r="K199" s="549"/>
      <c r="L199" s="549"/>
      <c r="M199" s="549"/>
      <c r="N199" s="549"/>
      <c r="O199" s="549"/>
      <c r="P199" s="549"/>
      <c r="Q199" s="549"/>
      <c r="R199" s="549"/>
      <c r="S199" s="549"/>
      <c r="T199" s="549"/>
      <c r="U199" s="424"/>
      <c r="V199" s="424"/>
      <c r="W199" s="425"/>
      <c r="X199" s="425"/>
      <c r="Y199" s="425"/>
      <c r="Z199" s="425"/>
      <c r="AA199" s="425"/>
      <c r="AH199" s="425"/>
      <c r="AI199" s="425"/>
      <c r="AJ199" s="425"/>
      <c r="AK199" s="425"/>
      <c r="AL199" s="425"/>
      <c r="AM199" s="425"/>
      <c r="AN199" s="437">
        <v>10</v>
      </c>
      <c r="AO199" s="559" t="s">
        <v>197</v>
      </c>
      <c r="AP199" s="559" t="s">
        <v>198</v>
      </c>
      <c r="AQ199" s="559" t="s">
        <v>199</v>
      </c>
      <c r="AR199" s="425" t="str">
        <f t="shared" si="67"/>
        <v>Rmb</v>
      </c>
      <c r="AS199" s="425"/>
      <c r="AT199" s="425"/>
      <c r="AU199" s="425"/>
      <c r="AV199" s="425"/>
      <c r="AW199" s="425"/>
      <c r="AX199" s="425"/>
      <c r="AY199" s="425"/>
      <c r="AZ199" s="425"/>
      <c r="BA199" s="425"/>
      <c r="BB199" s="425"/>
      <c r="BC199" s="425"/>
      <c r="BD199" s="425"/>
      <c r="BE199" s="425"/>
      <c r="BF199" s="425"/>
      <c r="BG199" s="426"/>
      <c r="BH199" s="425"/>
      <c r="BI199" s="425"/>
      <c r="BJ199" s="425"/>
      <c r="BK199" s="425"/>
      <c r="BL199" s="425"/>
      <c r="BM199" s="425"/>
      <c r="BN199" s="425"/>
      <c r="BO199" s="425"/>
      <c r="BP199" s="425"/>
      <c r="BQ199" s="425"/>
      <c r="BR199" s="425"/>
      <c r="BS199" s="425"/>
      <c r="BT199" s="425"/>
      <c r="BU199" s="425"/>
      <c r="BV199" s="425"/>
      <c r="BW199" s="425"/>
      <c r="BX199" s="425"/>
      <c r="BY199" s="425"/>
      <c r="BZ199" s="425"/>
      <c r="CA199" s="425"/>
      <c r="CB199" s="425"/>
      <c r="CC199" s="425"/>
      <c r="CD199" s="425"/>
      <c r="CE199" s="425"/>
      <c r="CF199" s="425"/>
      <c r="CG199" s="425"/>
      <c r="CH199" s="425"/>
      <c r="CI199" s="425"/>
      <c r="CJ199" s="425"/>
      <c r="CK199" s="425"/>
      <c r="CL199" s="425"/>
      <c r="CM199" s="425"/>
      <c r="CN199" s="425"/>
      <c r="CO199" s="425"/>
      <c r="CP199" s="425"/>
      <c r="CQ199" s="425"/>
      <c r="CR199" s="425"/>
      <c r="CS199" s="425"/>
      <c r="CT199" s="425"/>
      <c r="CU199" s="425"/>
      <c r="CV199" s="425"/>
    </row>
    <row r="200" spans="1:100">
      <c r="A200" s="554"/>
      <c r="B200" s="442"/>
      <c r="C200" s="442"/>
      <c r="D200" s="442"/>
      <c r="E200" s="442"/>
      <c r="F200" s="442"/>
      <c r="G200" s="442"/>
      <c r="H200" s="549"/>
      <c r="I200" s="549"/>
      <c r="J200" s="549"/>
      <c r="K200" s="549"/>
      <c r="L200" s="549"/>
      <c r="M200" s="549"/>
      <c r="N200" s="549"/>
      <c r="O200" s="549"/>
      <c r="P200" s="549"/>
      <c r="Q200" s="549"/>
      <c r="R200" s="549"/>
      <c r="S200" s="549"/>
      <c r="T200" s="549"/>
      <c r="U200" s="424"/>
      <c r="V200" s="424"/>
      <c r="W200" s="425"/>
      <c r="X200" s="425"/>
      <c r="Y200" s="425"/>
      <c r="Z200" s="425"/>
      <c r="AA200" s="425"/>
      <c r="AH200" s="425"/>
      <c r="AI200" s="425"/>
      <c r="AJ200" s="425"/>
      <c r="AK200" s="425"/>
      <c r="AL200" s="425"/>
      <c r="AM200" s="425"/>
      <c r="AN200" s="437">
        <v>11</v>
      </c>
      <c r="AO200" s="559" t="s">
        <v>200</v>
      </c>
      <c r="AP200" s="559" t="s">
        <v>201</v>
      </c>
      <c r="AQ200" s="559" t="s">
        <v>201</v>
      </c>
      <c r="AR200" s="425" t="str">
        <f t="shared" si="67"/>
        <v>COP</v>
      </c>
      <c r="AS200" s="425"/>
      <c r="AT200" s="425"/>
      <c r="AU200" s="425"/>
      <c r="AV200" s="425"/>
      <c r="AW200" s="425"/>
      <c r="AX200" s="425"/>
      <c r="AY200" s="425"/>
      <c r="AZ200" s="425"/>
      <c r="BA200" s="425"/>
      <c r="BB200" s="425"/>
      <c r="BC200" s="425"/>
      <c r="BD200" s="425"/>
      <c r="BE200" s="425"/>
      <c r="BF200" s="425"/>
      <c r="BG200" s="426"/>
      <c r="BH200" s="425"/>
      <c r="BI200" s="425"/>
      <c r="BJ200" s="425"/>
      <c r="BK200" s="425"/>
      <c r="BL200" s="425"/>
      <c r="BM200" s="425"/>
      <c r="BN200" s="425"/>
      <c r="BO200" s="425"/>
      <c r="BP200" s="425"/>
      <c r="BQ200" s="425"/>
      <c r="BR200" s="425"/>
      <c r="BS200" s="425"/>
      <c r="BT200" s="425"/>
      <c r="BU200" s="425"/>
      <c r="BV200" s="425"/>
      <c r="BW200" s="425"/>
      <c r="BX200" s="425"/>
      <c r="BY200" s="425"/>
      <c r="BZ200" s="425"/>
      <c r="CA200" s="425"/>
      <c r="CB200" s="425"/>
      <c r="CC200" s="425"/>
      <c r="CD200" s="425"/>
      <c r="CE200" s="425"/>
      <c r="CF200" s="425"/>
      <c r="CG200" s="425"/>
      <c r="CH200" s="425"/>
      <c r="CI200" s="425"/>
      <c r="CJ200" s="425"/>
      <c r="CK200" s="425"/>
      <c r="CL200" s="425"/>
      <c r="CM200" s="425"/>
      <c r="CN200" s="425"/>
      <c r="CO200" s="425"/>
      <c r="CP200" s="425"/>
      <c r="CQ200" s="425"/>
      <c r="CR200" s="425"/>
      <c r="CS200" s="425"/>
      <c r="CT200" s="425"/>
      <c r="CU200" s="425"/>
      <c r="CV200" s="425"/>
    </row>
    <row r="201" spans="1:100">
      <c r="A201" s="554"/>
      <c r="B201" s="442"/>
      <c r="C201" s="442"/>
      <c r="D201" s="442"/>
      <c r="E201" s="442"/>
      <c r="F201" s="442"/>
      <c r="G201" s="442"/>
      <c r="H201" s="549"/>
      <c r="I201" s="549"/>
      <c r="J201" s="549"/>
      <c r="K201" s="549"/>
      <c r="L201" s="549"/>
      <c r="M201" s="549"/>
      <c r="N201" s="549"/>
      <c r="O201" s="549"/>
      <c r="P201" s="549"/>
      <c r="Q201" s="549"/>
      <c r="R201" s="549"/>
      <c r="S201" s="549"/>
      <c r="T201" s="549"/>
      <c r="U201" s="424"/>
      <c r="V201" s="424"/>
      <c r="W201" s="425"/>
      <c r="X201" s="425"/>
      <c r="Y201" s="425"/>
      <c r="Z201" s="425"/>
      <c r="AA201" s="425"/>
      <c r="AH201" s="425"/>
      <c r="AI201" s="425"/>
      <c r="AJ201" s="425"/>
      <c r="AK201" s="425"/>
      <c r="AL201" s="425"/>
      <c r="AM201" s="425"/>
      <c r="AN201" s="437">
        <v>12</v>
      </c>
      <c r="AO201" s="559" t="s">
        <v>202</v>
      </c>
      <c r="AP201" s="559" t="s">
        <v>203</v>
      </c>
      <c r="AQ201" s="559" t="s">
        <v>204</v>
      </c>
      <c r="AR201" s="425" t="str">
        <f t="shared" si="67"/>
        <v>Kcs</v>
      </c>
      <c r="AS201" s="425"/>
      <c r="AT201" s="425"/>
      <c r="AU201" s="425"/>
      <c r="AV201" s="425"/>
      <c r="AW201" s="425"/>
      <c r="AX201" s="425"/>
      <c r="AY201" s="425"/>
      <c r="AZ201" s="425"/>
      <c r="BA201" s="425"/>
      <c r="BB201" s="425"/>
      <c r="BC201" s="425"/>
      <c r="BD201" s="425"/>
      <c r="BE201" s="425"/>
      <c r="BF201" s="425"/>
      <c r="BG201" s="426"/>
      <c r="BH201" s="425"/>
      <c r="BI201" s="425"/>
      <c r="BJ201" s="425"/>
      <c r="BK201" s="425"/>
      <c r="BL201" s="425"/>
      <c r="BM201" s="425"/>
      <c r="BN201" s="425"/>
      <c r="BO201" s="425"/>
      <c r="BP201" s="425"/>
      <c r="BQ201" s="425"/>
      <c r="BR201" s="425"/>
      <c r="BS201" s="425"/>
      <c r="BT201" s="425"/>
      <c r="BU201" s="425"/>
      <c r="BV201" s="425"/>
      <c r="BW201" s="425"/>
      <c r="BX201" s="425"/>
      <c r="BY201" s="425"/>
      <c r="BZ201" s="425"/>
      <c r="CA201" s="425"/>
      <c r="CB201" s="425"/>
      <c r="CC201" s="425"/>
      <c r="CD201" s="425"/>
      <c r="CE201" s="425"/>
      <c r="CF201" s="425"/>
      <c r="CG201" s="425"/>
      <c r="CH201" s="425"/>
      <c r="CI201" s="425"/>
      <c r="CJ201" s="425"/>
      <c r="CK201" s="425"/>
      <c r="CL201" s="425"/>
      <c r="CM201" s="425"/>
      <c r="CN201" s="425"/>
      <c r="CO201" s="425"/>
      <c r="CP201" s="425"/>
      <c r="CQ201" s="425"/>
      <c r="CR201" s="425"/>
      <c r="CS201" s="425"/>
      <c r="CT201" s="425"/>
      <c r="CU201" s="425"/>
      <c r="CV201" s="425"/>
    </row>
    <row r="202" spans="1:100">
      <c r="A202" s="554"/>
      <c r="B202" s="442"/>
      <c r="C202" s="442"/>
      <c r="D202" s="442"/>
      <c r="E202" s="442"/>
      <c r="F202" s="442"/>
      <c r="G202" s="442"/>
      <c r="H202" s="549"/>
      <c r="I202" s="549"/>
      <c r="J202" s="549"/>
      <c r="K202" s="549"/>
      <c r="L202" s="549"/>
      <c r="M202" s="549"/>
      <c r="N202" s="549"/>
      <c r="O202" s="549"/>
      <c r="P202" s="549"/>
      <c r="Q202" s="549"/>
      <c r="R202" s="549"/>
      <c r="S202" s="549"/>
      <c r="T202" s="549"/>
      <c r="U202" s="424"/>
      <c r="V202" s="424"/>
      <c r="W202" s="425"/>
      <c r="X202" s="425"/>
      <c r="Y202" s="425"/>
      <c r="Z202" s="425"/>
      <c r="AA202" s="425"/>
      <c r="AH202" s="425"/>
      <c r="AI202" s="425"/>
      <c r="AJ202" s="425"/>
      <c r="AK202" s="425"/>
      <c r="AL202" s="425"/>
      <c r="AM202" s="425"/>
      <c r="AN202" s="437">
        <v>13</v>
      </c>
      <c r="AO202" s="559" t="s">
        <v>205</v>
      </c>
      <c r="AP202" s="559" t="s">
        <v>206</v>
      </c>
      <c r="AQ202" s="559" t="s">
        <v>207</v>
      </c>
      <c r="AR202" s="425" t="str">
        <f t="shared" si="67"/>
        <v>DKr</v>
      </c>
      <c r="AS202" s="425"/>
      <c r="AT202" s="425"/>
      <c r="AU202" s="425"/>
      <c r="AV202" s="425"/>
      <c r="AW202" s="425"/>
      <c r="AX202" s="425"/>
      <c r="AY202" s="425"/>
      <c r="AZ202" s="425"/>
      <c r="BA202" s="425"/>
      <c r="BB202" s="425"/>
      <c r="BC202" s="425"/>
      <c r="BD202" s="425"/>
      <c r="BE202" s="425"/>
      <c r="BF202" s="425"/>
      <c r="BG202" s="426"/>
      <c r="BH202" s="425"/>
      <c r="BI202" s="425"/>
      <c r="BJ202" s="425"/>
      <c r="BK202" s="425"/>
      <c r="BL202" s="425"/>
      <c r="BM202" s="425"/>
      <c r="BN202" s="425"/>
      <c r="BO202" s="425"/>
      <c r="BP202" s="425"/>
      <c r="BQ202" s="425"/>
      <c r="BR202" s="425"/>
      <c r="BS202" s="425"/>
      <c r="BT202" s="425"/>
      <c r="BU202" s="425"/>
      <c r="BV202" s="425"/>
      <c r="BW202" s="425"/>
      <c r="BX202" s="425"/>
      <c r="BY202" s="425"/>
      <c r="BZ202" s="425"/>
      <c r="CA202" s="425"/>
      <c r="CB202" s="425"/>
      <c r="CC202" s="425"/>
      <c r="CD202" s="425"/>
      <c r="CE202" s="425"/>
      <c r="CF202" s="425"/>
      <c r="CG202" s="425"/>
      <c r="CH202" s="425"/>
      <c r="CI202" s="425"/>
      <c r="CJ202" s="425"/>
      <c r="CK202" s="425"/>
      <c r="CL202" s="425"/>
      <c r="CM202" s="425"/>
      <c r="CN202" s="425"/>
      <c r="CO202" s="425"/>
      <c r="CP202" s="425"/>
      <c r="CQ202" s="425"/>
      <c r="CR202" s="425"/>
      <c r="CS202" s="425"/>
      <c r="CT202" s="425"/>
      <c r="CU202" s="425"/>
      <c r="CV202" s="425"/>
    </row>
    <row r="203" spans="1:100">
      <c r="A203" s="554"/>
      <c r="B203" s="442"/>
      <c r="C203" s="442"/>
      <c r="D203" s="442"/>
      <c r="E203" s="442"/>
      <c r="F203" s="442"/>
      <c r="G203" s="442"/>
      <c r="H203" s="549"/>
      <c r="I203" s="549"/>
      <c r="J203" s="549"/>
      <c r="K203" s="549"/>
      <c r="L203" s="549"/>
      <c r="M203" s="549"/>
      <c r="N203" s="549"/>
      <c r="O203" s="549"/>
      <c r="P203" s="549"/>
      <c r="Q203" s="549"/>
      <c r="R203" s="549"/>
      <c r="S203" s="549"/>
      <c r="T203" s="549"/>
      <c r="U203" s="424"/>
      <c r="V203" s="424"/>
      <c r="W203" s="425"/>
      <c r="X203" s="425"/>
      <c r="Y203" s="425"/>
      <c r="Z203" s="425"/>
      <c r="AA203" s="425"/>
      <c r="AH203" s="425"/>
      <c r="AI203" s="425"/>
      <c r="AJ203" s="425"/>
      <c r="AK203" s="425"/>
      <c r="AL203" s="425"/>
      <c r="AM203" s="425"/>
      <c r="AN203" s="437">
        <v>14</v>
      </c>
      <c r="AO203" s="559" t="s">
        <v>208</v>
      </c>
      <c r="AP203" s="559" t="s">
        <v>209</v>
      </c>
      <c r="AQ203" s="559" t="s">
        <v>209</v>
      </c>
      <c r="AR203" s="425" t="str">
        <f t="shared" si="67"/>
        <v>DZD</v>
      </c>
      <c r="AS203" s="425"/>
      <c r="AT203" s="425"/>
      <c r="AU203" s="425"/>
      <c r="AV203" s="425"/>
      <c r="AW203" s="425"/>
      <c r="AX203" s="425"/>
      <c r="AY203" s="425"/>
      <c r="AZ203" s="425"/>
      <c r="BA203" s="425"/>
      <c r="BB203" s="425"/>
      <c r="BC203" s="425"/>
      <c r="BD203" s="425"/>
      <c r="BE203" s="425"/>
      <c r="BF203" s="425"/>
      <c r="BG203" s="426"/>
      <c r="BH203" s="425"/>
      <c r="BI203" s="425"/>
      <c r="BJ203" s="425"/>
      <c r="BK203" s="425"/>
      <c r="BL203" s="425"/>
      <c r="BM203" s="425"/>
      <c r="BN203" s="425"/>
      <c r="BO203" s="425"/>
      <c r="BP203" s="425"/>
      <c r="BQ203" s="425"/>
      <c r="BR203" s="425"/>
      <c r="BS203" s="425"/>
      <c r="BT203" s="425"/>
      <c r="BU203" s="425"/>
      <c r="BV203" s="425"/>
      <c r="BW203" s="425"/>
      <c r="BX203" s="425"/>
      <c r="BY203" s="425"/>
      <c r="BZ203" s="425"/>
      <c r="CA203" s="425"/>
      <c r="CB203" s="425"/>
      <c r="CC203" s="425"/>
      <c r="CD203" s="425"/>
      <c r="CE203" s="425"/>
      <c r="CF203" s="425"/>
      <c r="CG203" s="425"/>
      <c r="CH203" s="425"/>
      <c r="CI203" s="425"/>
      <c r="CJ203" s="425"/>
      <c r="CK203" s="425"/>
      <c r="CL203" s="425"/>
      <c r="CM203" s="425"/>
      <c r="CN203" s="425"/>
      <c r="CO203" s="425"/>
      <c r="CP203" s="425"/>
      <c r="CQ203" s="425"/>
      <c r="CR203" s="425"/>
      <c r="CS203" s="425"/>
      <c r="CT203" s="425"/>
      <c r="CU203" s="425"/>
      <c r="CV203" s="425"/>
    </row>
    <row r="204" spans="1:100">
      <c r="A204" s="554"/>
      <c r="B204" s="442"/>
      <c r="C204" s="442"/>
      <c r="D204" s="442"/>
      <c r="E204" s="442"/>
      <c r="F204" s="442"/>
      <c r="G204" s="442"/>
      <c r="H204" s="549"/>
      <c r="I204" s="549"/>
      <c r="J204" s="549"/>
      <c r="K204" s="549"/>
      <c r="L204" s="549"/>
      <c r="M204" s="549"/>
      <c r="N204" s="549"/>
      <c r="O204" s="549"/>
      <c r="P204" s="549"/>
      <c r="Q204" s="549"/>
      <c r="R204" s="549"/>
      <c r="S204" s="549"/>
      <c r="T204" s="549"/>
      <c r="U204" s="424"/>
      <c r="V204" s="424"/>
      <c r="W204" s="425"/>
      <c r="X204" s="425"/>
      <c r="Y204" s="425"/>
      <c r="Z204" s="425"/>
      <c r="AA204" s="425"/>
      <c r="AH204" s="425"/>
      <c r="AI204" s="425"/>
      <c r="AJ204" s="425"/>
      <c r="AK204" s="425"/>
      <c r="AL204" s="425"/>
      <c r="AM204" s="425"/>
      <c r="AN204" s="437">
        <v>15</v>
      </c>
      <c r="AO204" s="559" t="s">
        <v>210</v>
      </c>
      <c r="AP204" s="559" t="s">
        <v>211</v>
      </c>
      <c r="AQ204" s="559" t="s">
        <v>211</v>
      </c>
      <c r="AR204" s="425" t="str">
        <f t="shared" si="67"/>
        <v>EGP</v>
      </c>
      <c r="AS204" s="425"/>
      <c r="AT204" s="425"/>
      <c r="AU204" s="425"/>
      <c r="AV204" s="425"/>
      <c r="AW204" s="425"/>
      <c r="AX204" s="425"/>
      <c r="AY204" s="425"/>
      <c r="AZ204" s="425"/>
      <c r="BA204" s="425"/>
      <c r="BB204" s="425"/>
      <c r="BC204" s="425"/>
      <c r="BD204" s="425"/>
      <c r="BE204" s="425"/>
      <c r="BF204" s="425"/>
      <c r="BG204" s="426"/>
      <c r="BH204" s="425"/>
      <c r="BI204" s="425"/>
      <c r="BJ204" s="425"/>
      <c r="BK204" s="425"/>
      <c r="BL204" s="425"/>
      <c r="BM204" s="425"/>
      <c r="BN204" s="425"/>
      <c r="BO204" s="425"/>
      <c r="BP204" s="425"/>
      <c r="BQ204" s="425"/>
      <c r="BR204" s="425"/>
      <c r="BS204" s="425"/>
      <c r="BT204" s="425"/>
      <c r="BU204" s="425"/>
      <c r="BV204" s="425"/>
      <c r="BW204" s="425"/>
      <c r="BX204" s="425"/>
      <c r="BY204" s="425"/>
      <c r="BZ204" s="425"/>
      <c r="CA204" s="425"/>
      <c r="CB204" s="425"/>
      <c r="CC204" s="425"/>
      <c r="CD204" s="425"/>
      <c r="CE204" s="425"/>
      <c r="CF204" s="425"/>
      <c r="CG204" s="425"/>
      <c r="CH204" s="425"/>
      <c r="CI204" s="425"/>
      <c r="CJ204" s="425"/>
      <c r="CK204" s="425"/>
      <c r="CL204" s="425"/>
      <c r="CM204" s="425"/>
      <c r="CN204" s="425"/>
      <c r="CO204" s="425"/>
      <c r="CP204" s="425"/>
      <c r="CQ204" s="425"/>
      <c r="CR204" s="425"/>
      <c r="CS204" s="425"/>
      <c r="CT204" s="425"/>
      <c r="CU204" s="425"/>
      <c r="CV204" s="425"/>
    </row>
    <row r="205" spans="1:100">
      <c r="A205" s="554"/>
      <c r="B205" s="442"/>
      <c r="C205" s="442"/>
      <c r="D205" s="442"/>
      <c r="E205" s="442"/>
      <c r="F205" s="442"/>
      <c r="G205" s="442"/>
      <c r="H205" s="549"/>
      <c r="I205" s="549"/>
      <c r="J205" s="549"/>
      <c r="K205" s="549"/>
      <c r="L205" s="549"/>
      <c r="M205" s="549"/>
      <c r="N205" s="549"/>
      <c r="O205" s="549"/>
      <c r="P205" s="549"/>
      <c r="Q205" s="549"/>
      <c r="R205" s="549"/>
      <c r="S205" s="549"/>
      <c r="T205" s="549"/>
      <c r="U205" s="424"/>
      <c r="V205" s="424"/>
      <c r="W205" s="425"/>
      <c r="X205" s="425"/>
      <c r="Y205" s="425"/>
      <c r="Z205" s="425"/>
      <c r="AA205" s="425"/>
      <c r="AH205" s="425"/>
      <c r="AI205" s="425"/>
      <c r="AJ205" s="425"/>
      <c r="AK205" s="425"/>
      <c r="AL205" s="425"/>
      <c r="AM205" s="425"/>
      <c r="AN205" s="437">
        <v>16</v>
      </c>
      <c r="AO205" s="559" t="s">
        <v>212</v>
      </c>
      <c r="AP205" s="559" t="s">
        <v>213</v>
      </c>
      <c r="AQ205" s="559" t="s">
        <v>214</v>
      </c>
      <c r="AR205" s="425" t="str">
        <f t="shared" si="67"/>
        <v>€</v>
      </c>
      <c r="AS205" s="425"/>
      <c r="AT205" s="425"/>
      <c r="AU205" s="425"/>
      <c r="AV205" s="425"/>
      <c r="AW205" s="425"/>
      <c r="AX205" s="425"/>
      <c r="AY205" s="425"/>
      <c r="AZ205" s="425"/>
      <c r="BA205" s="425"/>
      <c r="BB205" s="425"/>
      <c r="BC205" s="425"/>
      <c r="BD205" s="425"/>
      <c r="BE205" s="425"/>
      <c r="BF205" s="425"/>
      <c r="BG205" s="426"/>
      <c r="BH205" s="425"/>
      <c r="BI205" s="425"/>
      <c r="BJ205" s="425"/>
      <c r="BK205" s="425"/>
      <c r="BL205" s="425"/>
      <c r="BM205" s="425"/>
      <c r="BN205" s="425"/>
      <c r="BO205" s="425"/>
      <c r="BP205" s="425"/>
      <c r="BQ205" s="425"/>
      <c r="BR205" s="425"/>
      <c r="BS205" s="425"/>
      <c r="BT205" s="425"/>
      <c r="BU205" s="425"/>
      <c r="BV205" s="425"/>
      <c r="BW205" s="425"/>
      <c r="BX205" s="425"/>
      <c r="BY205" s="425"/>
      <c r="BZ205" s="425"/>
      <c r="CA205" s="425"/>
      <c r="CB205" s="425"/>
      <c r="CC205" s="425"/>
      <c r="CD205" s="425"/>
      <c r="CE205" s="425"/>
      <c r="CF205" s="425"/>
      <c r="CG205" s="425"/>
      <c r="CH205" s="425"/>
      <c r="CI205" s="425"/>
      <c r="CJ205" s="425"/>
      <c r="CK205" s="425"/>
      <c r="CL205" s="425"/>
      <c r="CM205" s="425"/>
      <c r="CN205" s="425"/>
      <c r="CO205" s="425"/>
      <c r="CP205" s="425"/>
      <c r="CQ205" s="425"/>
      <c r="CR205" s="425"/>
      <c r="CS205" s="425"/>
      <c r="CT205" s="425"/>
      <c r="CU205" s="425"/>
      <c r="CV205" s="425"/>
    </row>
    <row r="206" spans="1:100">
      <c r="A206" s="554"/>
      <c r="B206" s="442"/>
      <c r="C206" s="442"/>
      <c r="D206" s="442"/>
      <c r="E206" s="442"/>
      <c r="F206" s="442"/>
      <c r="G206" s="442"/>
      <c r="H206" s="549"/>
      <c r="I206" s="549"/>
      <c r="J206" s="549"/>
      <c r="K206" s="549"/>
      <c r="L206" s="549"/>
      <c r="M206" s="549"/>
      <c r="N206" s="549"/>
      <c r="O206" s="549"/>
      <c r="P206" s="549"/>
      <c r="Q206" s="549"/>
      <c r="R206" s="549"/>
      <c r="S206" s="549"/>
      <c r="T206" s="549"/>
      <c r="U206" s="424"/>
      <c r="V206" s="424"/>
      <c r="W206" s="425"/>
      <c r="X206" s="425"/>
      <c r="Y206" s="425"/>
      <c r="Z206" s="425"/>
      <c r="AA206" s="425"/>
      <c r="AH206" s="425"/>
      <c r="AI206" s="425"/>
      <c r="AJ206" s="425"/>
      <c r="AK206" s="425"/>
      <c r="AL206" s="425"/>
      <c r="AM206" s="425"/>
      <c r="AN206" s="437">
        <v>17</v>
      </c>
      <c r="AO206" s="559" t="s">
        <v>215</v>
      </c>
      <c r="AP206" s="559" t="s">
        <v>216</v>
      </c>
      <c r="AQ206" s="559" t="s">
        <v>569</v>
      </c>
      <c r="AR206" s="425" t="str">
        <f t="shared" si="67"/>
        <v>p</v>
      </c>
      <c r="AS206" s="425"/>
      <c r="AT206" s="425"/>
      <c r="AU206" s="425"/>
      <c r="AV206" s="425"/>
      <c r="AW206" s="425"/>
      <c r="AX206" s="425"/>
      <c r="AY206" s="425"/>
      <c r="AZ206" s="425"/>
      <c r="BA206" s="425"/>
      <c r="BB206" s="425"/>
      <c r="BC206" s="425"/>
      <c r="BD206" s="425"/>
      <c r="BE206" s="425"/>
      <c r="BF206" s="425"/>
      <c r="BG206" s="426"/>
      <c r="BH206" s="425"/>
      <c r="BI206" s="425"/>
      <c r="BJ206" s="425"/>
      <c r="BK206" s="425"/>
      <c r="BL206" s="425"/>
      <c r="BM206" s="425"/>
      <c r="BN206" s="425"/>
      <c r="BO206" s="425"/>
      <c r="BP206" s="425"/>
      <c r="BQ206" s="425"/>
      <c r="BR206" s="425"/>
      <c r="BS206" s="425"/>
      <c r="BT206" s="425"/>
      <c r="BU206" s="425"/>
      <c r="BV206" s="425"/>
      <c r="BW206" s="425"/>
      <c r="BX206" s="425"/>
      <c r="BY206" s="425"/>
      <c r="BZ206" s="425"/>
      <c r="CA206" s="425"/>
      <c r="CB206" s="425"/>
      <c r="CC206" s="425"/>
      <c r="CD206" s="425"/>
      <c r="CE206" s="425"/>
      <c r="CF206" s="425"/>
      <c r="CG206" s="425"/>
      <c r="CH206" s="425"/>
      <c r="CI206" s="425"/>
      <c r="CJ206" s="425"/>
      <c r="CK206" s="425"/>
      <c r="CL206" s="425"/>
      <c r="CM206" s="425"/>
      <c r="CN206" s="425"/>
      <c r="CO206" s="425"/>
      <c r="CP206" s="425"/>
      <c r="CQ206" s="425"/>
      <c r="CR206" s="425"/>
      <c r="CS206" s="425"/>
      <c r="CT206" s="425"/>
      <c r="CU206" s="425"/>
      <c r="CV206" s="425"/>
    </row>
    <row r="207" spans="1:100">
      <c r="A207" s="554"/>
      <c r="B207" s="442"/>
      <c r="C207" s="442"/>
      <c r="D207" s="442"/>
      <c r="E207" s="442"/>
      <c r="F207" s="442"/>
      <c r="G207" s="442"/>
      <c r="H207" s="549"/>
      <c r="I207" s="549"/>
      <c r="J207" s="549"/>
      <c r="K207" s="549"/>
      <c r="L207" s="549"/>
      <c r="M207" s="549"/>
      <c r="N207" s="549"/>
      <c r="O207" s="549"/>
      <c r="P207" s="549"/>
      <c r="Q207" s="549"/>
      <c r="R207" s="549"/>
      <c r="S207" s="549"/>
      <c r="T207" s="549"/>
      <c r="U207" s="424"/>
      <c r="V207" s="424"/>
      <c r="W207" s="425"/>
      <c r="X207" s="425"/>
      <c r="Y207" s="425"/>
      <c r="Z207" s="425"/>
      <c r="AA207" s="425"/>
      <c r="AH207" s="425"/>
      <c r="AI207" s="425"/>
      <c r="AJ207" s="425"/>
      <c r="AK207" s="425"/>
      <c r="AL207" s="425"/>
      <c r="AM207" s="425"/>
      <c r="AN207" s="437">
        <v>18</v>
      </c>
      <c r="AO207" s="559" t="s">
        <v>217</v>
      </c>
      <c r="AP207" s="559" t="s">
        <v>218</v>
      </c>
      <c r="AQ207" s="559" t="s">
        <v>219</v>
      </c>
      <c r="AR207" s="425" t="str">
        <f t="shared" si="67"/>
        <v>₤</v>
      </c>
      <c r="AS207" s="425"/>
      <c r="AT207" s="425"/>
      <c r="AU207" s="425"/>
      <c r="AV207" s="425"/>
      <c r="AW207" s="425"/>
      <c r="AX207" s="425"/>
      <c r="AY207" s="425"/>
      <c r="AZ207" s="425"/>
      <c r="BA207" s="425"/>
      <c r="BB207" s="425"/>
      <c r="BC207" s="425"/>
      <c r="BD207" s="425"/>
      <c r="BE207" s="425"/>
      <c r="BF207" s="425"/>
      <c r="BG207" s="426"/>
      <c r="BH207" s="425"/>
      <c r="BI207" s="425"/>
      <c r="BJ207" s="425"/>
      <c r="BK207" s="425"/>
      <c r="BL207" s="425"/>
      <c r="BM207" s="425"/>
      <c r="BN207" s="425"/>
      <c r="BO207" s="425"/>
      <c r="BP207" s="425"/>
      <c r="BQ207" s="425"/>
      <c r="BR207" s="425"/>
      <c r="BS207" s="425"/>
      <c r="BT207" s="425"/>
      <c r="BU207" s="425"/>
      <c r="BV207" s="425"/>
      <c r="BW207" s="425"/>
      <c r="BX207" s="425"/>
      <c r="BY207" s="425"/>
      <c r="BZ207" s="425"/>
      <c r="CA207" s="425"/>
      <c r="CB207" s="425"/>
      <c r="CC207" s="425"/>
      <c r="CD207" s="425"/>
      <c r="CE207" s="425"/>
      <c r="CF207" s="425"/>
      <c r="CG207" s="425"/>
      <c r="CH207" s="425"/>
      <c r="CI207" s="425"/>
      <c r="CJ207" s="425"/>
      <c r="CK207" s="425"/>
      <c r="CL207" s="425"/>
      <c r="CM207" s="425"/>
      <c r="CN207" s="425"/>
      <c r="CO207" s="425"/>
      <c r="CP207" s="425"/>
      <c r="CQ207" s="425"/>
      <c r="CR207" s="425"/>
      <c r="CS207" s="425"/>
      <c r="CT207" s="425"/>
      <c r="CU207" s="425"/>
      <c r="CV207" s="425"/>
    </row>
    <row r="208" spans="1:100">
      <c r="A208" s="554"/>
      <c r="B208" s="442"/>
      <c r="C208" s="442"/>
      <c r="D208" s="442"/>
      <c r="E208" s="442"/>
      <c r="F208" s="442"/>
      <c r="G208" s="442"/>
      <c r="H208" s="549"/>
      <c r="I208" s="549"/>
      <c r="J208" s="549"/>
      <c r="K208" s="549"/>
      <c r="L208" s="549"/>
      <c r="M208" s="549"/>
      <c r="N208" s="549"/>
      <c r="O208" s="549"/>
      <c r="P208" s="549"/>
      <c r="Q208" s="549"/>
      <c r="R208" s="549"/>
      <c r="S208" s="549"/>
      <c r="T208" s="549"/>
      <c r="U208" s="424"/>
      <c r="V208" s="424"/>
      <c r="W208" s="425"/>
      <c r="X208" s="425"/>
      <c r="Y208" s="425"/>
      <c r="Z208" s="425"/>
      <c r="AA208" s="425"/>
      <c r="AH208" s="425"/>
      <c r="AI208" s="425"/>
      <c r="AJ208" s="425"/>
      <c r="AK208" s="425"/>
      <c r="AL208" s="425"/>
      <c r="AM208" s="425"/>
      <c r="AN208" s="437">
        <v>19</v>
      </c>
      <c r="AO208" s="559" t="s">
        <v>220</v>
      </c>
      <c r="AP208" s="559" t="s">
        <v>221</v>
      </c>
      <c r="AQ208" s="559" t="s">
        <v>222</v>
      </c>
      <c r="AR208" s="425" t="str">
        <f t="shared" si="67"/>
        <v>HK$</v>
      </c>
      <c r="AS208" s="425"/>
      <c r="AT208" s="425"/>
      <c r="AU208" s="425"/>
      <c r="AV208" s="425"/>
      <c r="AW208" s="425"/>
      <c r="AX208" s="425"/>
      <c r="AY208" s="425"/>
      <c r="AZ208" s="425"/>
      <c r="BA208" s="425"/>
      <c r="BB208" s="425"/>
      <c r="BC208" s="425"/>
      <c r="BD208" s="425"/>
      <c r="BE208" s="425"/>
      <c r="BF208" s="425"/>
      <c r="BG208" s="426"/>
      <c r="BH208" s="425"/>
      <c r="BI208" s="425"/>
      <c r="BJ208" s="425"/>
      <c r="BK208" s="425"/>
      <c r="BL208" s="425"/>
      <c r="BM208" s="425"/>
      <c r="BN208" s="425"/>
      <c r="BO208" s="425"/>
      <c r="BP208" s="425"/>
      <c r="BQ208" s="425"/>
      <c r="BR208" s="425"/>
      <c r="BS208" s="425"/>
      <c r="BT208" s="425"/>
      <c r="BU208" s="425"/>
      <c r="BV208" s="425"/>
      <c r="BW208" s="425"/>
      <c r="BX208" s="425"/>
      <c r="BY208" s="425"/>
      <c r="BZ208" s="425"/>
      <c r="CA208" s="425"/>
      <c r="CB208" s="425"/>
      <c r="CC208" s="425"/>
      <c r="CD208" s="425"/>
      <c r="CE208" s="425"/>
      <c r="CF208" s="425"/>
      <c r="CG208" s="425"/>
      <c r="CH208" s="425"/>
      <c r="CI208" s="425"/>
      <c r="CJ208" s="425"/>
      <c r="CK208" s="425"/>
      <c r="CL208" s="425"/>
      <c r="CM208" s="425"/>
      <c r="CN208" s="425"/>
      <c r="CO208" s="425"/>
      <c r="CP208" s="425"/>
      <c r="CQ208" s="425"/>
      <c r="CR208" s="425"/>
      <c r="CS208" s="425"/>
      <c r="CT208" s="425"/>
      <c r="CU208" s="425"/>
      <c r="CV208" s="425"/>
    </row>
    <row r="209" spans="1:100">
      <c r="A209" s="554"/>
      <c r="B209" s="442"/>
      <c r="C209" s="442"/>
      <c r="D209" s="442"/>
      <c r="E209" s="442"/>
      <c r="F209" s="442"/>
      <c r="G209" s="442"/>
      <c r="H209" s="549"/>
      <c r="I209" s="549"/>
      <c r="J209" s="549"/>
      <c r="K209" s="549"/>
      <c r="L209" s="549"/>
      <c r="M209" s="549"/>
      <c r="N209" s="549"/>
      <c r="O209" s="549"/>
      <c r="P209" s="549"/>
      <c r="Q209" s="549"/>
      <c r="R209" s="549"/>
      <c r="S209" s="549"/>
      <c r="T209" s="549"/>
      <c r="U209" s="424"/>
      <c r="V209" s="424"/>
      <c r="W209" s="425"/>
      <c r="X209" s="425"/>
      <c r="Y209" s="425"/>
      <c r="Z209" s="425"/>
      <c r="AA209" s="425"/>
      <c r="AH209" s="425"/>
      <c r="AI209" s="425"/>
      <c r="AJ209" s="425"/>
      <c r="AK209" s="425"/>
      <c r="AL209" s="425"/>
      <c r="AM209" s="425"/>
      <c r="AN209" s="437">
        <v>20</v>
      </c>
      <c r="AO209" s="559" t="s">
        <v>223</v>
      </c>
      <c r="AP209" s="559" t="s">
        <v>224</v>
      </c>
      <c r="AQ209" s="559" t="s">
        <v>225</v>
      </c>
      <c r="AR209" s="425" t="str">
        <f t="shared" si="67"/>
        <v>Ft</v>
      </c>
      <c r="AS209" s="425"/>
      <c r="AT209" s="425"/>
      <c r="AU209" s="425"/>
      <c r="AV209" s="425"/>
      <c r="AW209" s="425"/>
      <c r="AX209" s="425"/>
      <c r="AY209" s="425"/>
      <c r="AZ209" s="425"/>
      <c r="BA209" s="425"/>
      <c r="BB209" s="425"/>
      <c r="BC209" s="425"/>
      <c r="BD209" s="425"/>
      <c r="BE209" s="425"/>
      <c r="BF209" s="425"/>
      <c r="BG209" s="426"/>
      <c r="BH209" s="425"/>
      <c r="BI209" s="425"/>
      <c r="BJ209" s="425"/>
      <c r="BK209" s="425"/>
      <c r="BL209" s="425"/>
      <c r="BM209" s="425"/>
      <c r="BN209" s="425"/>
      <c r="BO209" s="425"/>
      <c r="BP209" s="425"/>
      <c r="BQ209" s="425"/>
      <c r="BR209" s="425"/>
      <c r="BS209" s="425"/>
      <c r="BT209" s="425"/>
      <c r="BU209" s="425"/>
      <c r="BV209" s="425"/>
      <c r="BW209" s="425"/>
      <c r="BX209" s="425"/>
      <c r="BY209" s="425"/>
      <c r="BZ209" s="425"/>
      <c r="CA209" s="425"/>
      <c r="CB209" s="425"/>
      <c r="CC209" s="425"/>
      <c r="CD209" s="425"/>
      <c r="CE209" s="425"/>
      <c r="CF209" s="425"/>
      <c r="CG209" s="425"/>
      <c r="CH209" s="425"/>
      <c r="CI209" s="425"/>
      <c r="CJ209" s="425"/>
      <c r="CK209" s="425"/>
      <c r="CL209" s="425"/>
      <c r="CM209" s="425"/>
      <c r="CN209" s="425"/>
      <c r="CO209" s="425"/>
      <c r="CP209" s="425"/>
      <c r="CQ209" s="425"/>
      <c r="CR209" s="425"/>
      <c r="CS209" s="425"/>
      <c r="CT209" s="425"/>
      <c r="CU209" s="425"/>
      <c r="CV209" s="425"/>
    </row>
    <row r="210" spans="1:100">
      <c r="A210" s="554"/>
      <c r="B210" s="442"/>
      <c r="C210" s="442"/>
      <c r="D210" s="442"/>
      <c r="E210" s="442"/>
      <c r="F210" s="442"/>
      <c r="G210" s="442"/>
      <c r="H210" s="549"/>
      <c r="I210" s="549"/>
      <c r="J210" s="549"/>
      <c r="K210" s="549"/>
      <c r="L210" s="549"/>
      <c r="M210" s="549"/>
      <c r="N210" s="549"/>
      <c r="O210" s="549"/>
      <c r="P210" s="549"/>
      <c r="Q210" s="549"/>
      <c r="R210" s="549"/>
      <c r="S210" s="549"/>
      <c r="T210" s="549"/>
      <c r="U210" s="424"/>
      <c r="V210" s="424"/>
      <c r="W210" s="425"/>
      <c r="X210" s="425"/>
      <c r="Y210" s="425"/>
      <c r="Z210" s="425"/>
      <c r="AA210" s="425"/>
      <c r="AH210" s="425"/>
      <c r="AI210" s="425"/>
      <c r="AJ210" s="425"/>
      <c r="AK210" s="425"/>
      <c r="AL210" s="425"/>
      <c r="AM210" s="425"/>
      <c r="AN210" s="437">
        <v>21</v>
      </c>
      <c r="AO210" s="559" t="s">
        <v>226</v>
      </c>
      <c r="AP210" s="559" t="s">
        <v>227</v>
      </c>
      <c r="AQ210" s="559" t="s">
        <v>228</v>
      </c>
      <c r="AR210" s="425" t="str">
        <f t="shared" si="67"/>
        <v>Rp</v>
      </c>
      <c r="AS210" s="425"/>
      <c r="AT210" s="425"/>
      <c r="AU210" s="425"/>
      <c r="AV210" s="425"/>
      <c r="AW210" s="425"/>
      <c r="AX210" s="425"/>
      <c r="AY210" s="425"/>
      <c r="AZ210" s="425"/>
      <c r="BA210" s="425"/>
      <c r="BB210" s="425"/>
      <c r="BC210" s="425"/>
      <c r="BD210" s="425"/>
      <c r="BE210" s="425"/>
      <c r="BF210" s="425"/>
      <c r="BG210" s="426"/>
      <c r="BH210" s="425"/>
      <c r="BI210" s="425"/>
      <c r="BJ210" s="425"/>
      <c r="BK210" s="425"/>
      <c r="BL210" s="425"/>
      <c r="BM210" s="425"/>
      <c r="BN210" s="425"/>
      <c r="BO210" s="425"/>
      <c r="BP210" s="425"/>
      <c r="BQ210" s="425"/>
      <c r="BR210" s="425"/>
      <c r="BS210" s="425"/>
      <c r="BT210" s="425"/>
      <c r="BU210" s="425"/>
      <c r="BV210" s="425"/>
      <c r="BW210" s="425"/>
      <c r="BX210" s="425"/>
      <c r="BY210" s="425"/>
      <c r="BZ210" s="425"/>
      <c r="CA210" s="425"/>
      <c r="CB210" s="425"/>
      <c r="CC210" s="425"/>
      <c r="CD210" s="425"/>
      <c r="CE210" s="425"/>
      <c r="CF210" s="425"/>
      <c r="CG210" s="425"/>
      <c r="CH210" s="425"/>
      <c r="CI210" s="425"/>
      <c r="CJ210" s="425"/>
      <c r="CK210" s="425"/>
      <c r="CL210" s="425"/>
      <c r="CM210" s="425"/>
      <c r="CN210" s="425"/>
      <c r="CO210" s="425"/>
      <c r="CP210" s="425"/>
      <c r="CQ210" s="425"/>
      <c r="CR210" s="425"/>
      <c r="CS210" s="425"/>
      <c r="CT210" s="425"/>
      <c r="CU210" s="425"/>
      <c r="CV210" s="425"/>
    </row>
    <row r="211" spans="1:100">
      <c r="A211" s="554"/>
      <c r="B211" s="442"/>
      <c r="C211" s="442"/>
      <c r="D211" s="442"/>
      <c r="E211" s="442"/>
      <c r="F211" s="442"/>
      <c r="G211" s="442"/>
      <c r="H211" s="549"/>
      <c r="I211" s="549"/>
      <c r="J211" s="549"/>
      <c r="K211" s="549"/>
      <c r="L211" s="549"/>
      <c r="M211" s="549"/>
      <c r="N211" s="549"/>
      <c r="O211" s="549"/>
      <c r="P211" s="549"/>
      <c r="Q211" s="549"/>
      <c r="R211" s="549"/>
      <c r="S211" s="549"/>
      <c r="T211" s="549"/>
      <c r="U211" s="424"/>
      <c r="V211" s="424"/>
      <c r="W211" s="425"/>
      <c r="X211" s="425"/>
      <c r="Y211" s="425"/>
      <c r="Z211" s="425"/>
      <c r="AA211" s="425"/>
      <c r="AH211" s="425"/>
      <c r="AI211" s="425"/>
      <c r="AJ211" s="425"/>
      <c r="AK211" s="425"/>
      <c r="AL211" s="425"/>
      <c r="AM211" s="425"/>
      <c r="AN211" s="437">
        <v>22</v>
      </c>
      <c r="AO211" s="559" t="s">
        <v>229</v>
      </c>
      <c r="AP211" s="559" t="s">
        <v>230</v>
      </c>
      <c r="AQ211" s="559" t="s">
        <v>230</v>
      </c>
      <c r="AR211" s="425" t="str">
        <f t="shared" si="67"/>
        <v>ILS</v>
      </c>
      <c r="AS211" s="425"/>
      <c r="AT211" s="425"/>
      <c r="AU211" s="425"/>
      <c r="AV211" s="425"/>
      <c r="AW211" s="425"/>
      <c r="AX211" s="425"/>
      <c r="AY211" s="425"/>
      <c r="AZ211" s="425"/>
      <c r="BA211" s="425"/>
      <c r="BB211" s="425"/>
      <c r="BC211" s="425"/>
      <c r="BD211" s="425"/>
      <c r="BE211" s="425"/>
      <c r="BF211" s="425"/>
      <c r="BG211" s="426"/>
      <c r="BH211" s="425"/>
      <c r="BI211" s="425"/>
      <c r="BJ211" s="425"/>
      <c r="BK211" s="425"/>
      <c r="BL211" s="425"/>
      <c r="BM211" s="425"/>
      <c r="BN211" s="425"/>
      <c r="BO211" s="425"/>
      <c r="BP211" s="425"/>
      <c r="BQ211" s="425"/>
      <c r="BR211" s="425"/>
      <c r="BS211" s="425"/>
      <c r="BT211" s="425"/>
      <c r="BU211" s="425"/>
      <c r="BV211" s="425"/>
      <c r="BW211" s="425"/>
      <c r="BX211" s="425"/>
      <c r="BY211" s="425"/>
      <c r="BZ211" s="425"/>
      <c r="CA211" s="425"/>
      <c r="CB211" s="425"/>
      <c r="CC211" s="425"/>
      <c r="CD211" s="425"/>
      <c r="CE211" s="425"/>
      <c r="CF211" s="425"/>
      <c r="CG211" s="425"/>
      <c r="CH211" s="425"/>
      <c r="CI211" s="425"/>
      <c r="CJ211" s="425"/>
      <c r="CK211" s="425"/>
      <c r="CL211" s="425"/>
      <c r="CM211" s="425"/>
      <c r="CN211" s="425"/>
      <c r="CO211" s="425"/>
      <c r="CP211" s="425"/>
      <c r="CQ211" s="425"/>
      <c r="CR211" s="425"/>
      <c r="CS211" s="425"/>
      <c r="CT211" s="425"/>
      <c r="CU211" s="425"/>
      <c r="CV211" s="425"/>
    </row>
    <row r="212" spans="1:100">
      <c r="A212" s="554"/>
      <c r="B212" s="442"/>
      <c r="C212" s="442"/>
      <c r="D212" s="442"/>
      <c r="E212" s="442"/>
      <c r="F212" s="442"/>
      <c r="G212" s="442"/>
      <c r="H212" s="549"/>
      <c r="I212" s="549"/>
      <c r="J212" s="549"/>
      <c r="K212" s="549"/>
      <c r="L212" s="549"/>
      <c r="M212" s="549"/>
      <c r="N212" s="549"/>
      <c r="O212" s="549"/>
      <c r="P212" s="549"/>
      <c r="Q212" s="549"/>
      <c r="R212" s="549"/>
      <c r="S212" s="549"/>
      <c r="T212" s="549"/>
      <c r="U212" s="424"/>
      <c r="V212" s="424"/>
      <c r="W212" s="425"/>
      <c r="X212" s="425"/>
      <c r="Y212" s="425"/>
      <c r="Z212" s="425"/>
      <c r="AA212" s="425"/>
      <c r="AH212" s="425"/>
      <c r="AI212" s="425"/>
      <c r="AJ212" s="425"/>
      <c r="AK212" s="425"/>
      <c r="AL212" s="425"/>
      <c r="AM212" s="425"/>
      <c r="AN212" s="437">
        <v>23</v>
      </c>
      <c r="AO212" s="559" t="s">
        <v>231</v>
      </c>
      <c r="AP212" s="559" t="s">
        <v>232</v>
      </c>
      <c r="AQ212" s="559" t="s">
        <v>233</v>
      </c>
      <c r="AR212" s="425" t="str">
        <f t="shared" si="67"/>
        <v>Rs.</v>
      </c>
      <c r="AS212" s="425"/>
      <c r="AT212" s="425"/>
      <c r="AU212" s="425"/>
      <c r="AV212" s="425"/>
      <c r="AW212" s="425"/>
      <c r="AX212" s="425"/>
      <c r="AY212" s="425"/>
      <c r="AZ212" s="425"/>
      <c r="BA212" s="425"/>
      <c r="BB212" s="425"/>
      <c r="BC212" s="425"/>
      <c r="BD212" s="425"/>
      <c r="BE212" s="425"/>
      <c r="BF212" s="425"/>
      <c r="BG212" s="426"/>
      <c r="BH212" s="425"/>
      <c r="BI212" s="425"/>
      <c r="BJ212" s="425"/>
      <c r="BK212" s="425"/>
      <c r="BL212" s="425"/>
      <c r="BM212" s="425"/>
      <c r="BN212" s="425"/>
      <c r="BO212" s="425"/>
      <c r="BP212" s="425"/>
      <c r="BQ212" s="425"/>
      <c r="BR212" s="425"/>
      <c r="BS212" s="425"/>
      <c r="BT212" s="425"/>
      <c r="BU212" s="425"/>
      <c r="BV212" s="425"/>
      <c r="BW212" s="425"/>
      <c r="BX212" s="425"/>
      <c r="BY212" s="425"/>
      <c r="BZ212" s="425"/>
      <c r="CA212" s="425"/>
      <c r="CB212" s="425"/>
      <c r="CC212" s="425"/>
      <c r="CD212" s="425"/>
      <c r="CE212" s="425"/>
      <c r="CF212" s="425"/>
      <c r="CG212" s="425"/>
      <c r="CH212" s="425"/>
      <c r="CI212" s="425"/>
      <c r="CJ212" s="425"/>
      <c r="CK212" s="425"/>
      <c r="CL212" s="425"/>
      <c r="CM212" s="425"/>
      <c r="CN212" s="425"/>
      <c r="CO212" s="425"/>
      <c r="CP212" s="425"/>
      <c r="CQ212" s="425"/>
      <c r="CR212" s="425"/>
      <c r="CS212" s="425"/>
      <c r="CT212" s="425"/>
      <c r="CU212" s="425"/>
      <c r="CV212" s="425"/>
    </row>
    <row r="213" spans="1:100">
      <c r="A213" s="554"/>
      <c r="B213" s="442"/>
      <c r="C213" s="442"/>
      <c r="D213" s="442"/>
      <c r="E213" s="442"/>
      <c r="F213" s="442"/>
      <c r="G213" s="442"/>
      <c r="H213" s="549"/>
      <c r="I213" s="549"/>
      <c r="J213" s="549"/>
      <c r="K213" s="549"/>
      <c r="L213" s="549"/>
      <c r="M213" s="549"/>
      <c r="N213" s="549"/>
      <c r="O213" s="549"/>
      <c r="P213" s="549"/>
      <c r="Q213" s="549"/>
      <c r="R213" s="549"/>
      <c r="S213" s="549"/>
      <c r="T213" s="549"/>
      <c r="U213" s="424"/>
      <c r="V213" s="424"/>
      <c r="W213" s="425"/>
      <c r="X213" s="425"/>
      <c r="Y213" s="425"/>
      <c r="Z213" s="425"/>
      <c r="AA213" s="425"/>
      <c r="AH213" s="425"/>
      <c r="AI213" s="425"/>
      <c r="AJ213" s="425"/>
      <c r="AK213" s="425"/>
      <c r="AL213" s="425"/>
      <c r="AM213" s="425"/>
      <c r="AN213" s="437">
        <v>24</v>
      </c>
      <c r="AO213" s="559" t="s">
        <v>234</v>
      </c>
      <c r="AP213" s="559" t="s">
        <v>235</v>
      </c>
      <c r="AQ213" s="559" t="s">
        <v>235</v>
      </c>
      <c r="AR213" s="425" t="str">
        <f t="shared" si="67"/>
        <v>IQD</v>
      </c>
      <c r="AS213" s="425"/>
      <c r="AT213" s="425"/>
      <c r="AU213" s="425"/>
      <c r="AV213" s="425"/>
      <c r="AW213" s="425"/>
      <c r="AX213" s="425"/>
      <c r="AY213" s="425"/>
      <c r="AZ213" s="425"/>
      <c r="BA213" s="425"/>
      <c r="BB213" s="425"/>
      <c r="BC213" s="425"/>
      <c r="BD213" s="425"/>
      <c r="BE213" s="425"/>
      <c r="BF213" s="425"/>
      <c r="BG213" s="426"/>
      <c r="BH213" s="425"/>
      <c r="BI213" s="425"/>
      <c r="BJ213" s="425"/>
      <c r="BK213" s="425"/>
      <c r="BL213" s="425"/>
      <c r="BM213" s="425"/>
      <c r="BN213" s="425"/>
      <c r="BO213" s="425"/>
      <c r="BP213" s="425"/>
      <c r="BQ213" s="425"/>
      <c r="BR213" s="425"/>
      <c r="BS213" s="425"/>
      <c r="BT213" s="425"/>
      <c r="BU213" s="425"/>
      <c r="BV213" s="425"/>
      <c r="BW213" s="425"/>
      <c r="BX213" s="425"/>
      <c r="BY213" s="425"/>
      <c r="BZ213" s="425"/>
      <c r="CA213" s="425"/>
      <c r="CB213" s="425"/>
      <c r="CC213" s="425"/>
      <c r="CD213" s="425"/>
      <c r="CE213" s="425"/>
      <c r="CF213" s="425"/>
      <c r="CG213" s="425"/>
      <c r="CH213" s="425"/>
      <c r="CI213" s="425"/>
      <c r="CJ213" s="425"/>
      <c r="CK213" s="425"/>
      <c r="CL213" s="425"/>
      <c r="CM213" s="425"/>
      <c r="CN213" s="425"/>
      <c r="CO213" s="425"/>
      <c r="CP213" s="425"/>
      <c r="CQ213" s="425"/>
      <c r="CR213" s="425"/>
      <c r="CS213" s="425"/>
      <c r="CT213" s="425"/>
      <c r="CU213" s="425"/>
      <c r="CV213" s="425"/>
    </row>
    <row r="214" spans="1:100">
      <c r="A214" s="554"/>
      <c r="B214" s="442"/>
      <c r="C214" s="442"/>
      <c r="D214" s="442"/>
      <c r="E214" s="442"/>
      <c r="F214" s="442"/>
      <c r="G214" s="442"/>
      <c r="H214" s="549"/>
      <c r="I214" s="549"/>
      <c r="J214" s="549"/>
      <c r="K214" s="549"/>
      <c r="L214" s="549"/>
      <c r="M214" s="549"/>
      <c r="N214" s="549"/>
      <c r="O214" s="549"/>
      <c r="P214" s="549"/>
      <c r="Q214" s="549"/>
      <c r="R214" s="549"/>
      <c r="S214" s="549"/>
      <c r="T214" s="549"/>
      <c r="U214" s="424"/>
      <c r="V214" s="424"/>
      <c r="W214" s="425"/>
      <c r="X214" s="425"/>
      <c r="Y214" s="425"/>
      <c r="Z214" s="425"/>
      <c r="AA214" s="425"/>
      <c r="AH214" s="425"/>
      <c r="AI214" s="425"/>
      <c r="AJ214" s="425"/>
      <c r="AK214" s="425"/>
      <c r="AL214" s="425"/>
      <c r="AM214" s="425"/>
      <c r="AN214" s="437">
        <v>25</v>
      </c>
      <c r="AO214" s="559" t="s">
        <v>236</v>
      </c>
      <c r="AP214" s="559" t="s">
        <v>237</v>
      </c>
      <c r="AQ214" s="559" t="s">
        <v>237</v>
      </c>
      <c r="AR214" s="425" t="str">
        <f t="shared" si="67"/>
        <v>IRR</v>
      </c>
      <c r="AS214" s="425"/>
      <c r="AT214" s="425"/>
      <c r="AU214" s="425"/>
      <c r="AV214" s="425"/>
      <c r="AW214" s="425"/>
      <c r="AX214" s="425"/>
      <c r="AY214" s="425"/>
      <c r="AZ214" s="425"/>
      <c r="BA214" s="425"/>
      <c r="BB214" s="425"/>
      <c r="BC214" s="425"/>
      <c r="BD214" s="425"/>
      <c r="BE214" s="425"/>
      <c r="BF214" s="425"/>
      <c r="BG214" s="426"/>
      <c r="BH214" s="425"/>
      <c r="BI214" s="425"/>
      <c r="BJ214" s="425"/>
      <c r="BK214" s="425"/>
      <c r="BL214" s="425"/>
      <c r="BM214" s="425"/>
      <c r="BN214" s="425"/>
      <c r="BO214" s="425"/>
      <c r="BP214" s="425"/>
      <c r="BQ214" s="425"/>
      <c r="BR214" s="425"/>
      <c r="BS214" s="425"/>
      <c r="BT214" s="425"/>
      <c r="BU214" s="425"/>
      <c r="BV214" s="425"/>
      <c r="BW214" s="425"/>
      <c r="BX214" s="425"/>
      <c r="BY214" s="425"/>
      <c r="BZ214" s="425"/>
      <c r="CA214" s="425"/>
      <c r="CB214" s="425"/>
      <c r="CC214" s="425"/>
      <c r="CD214" s="425"/>
      <c r="CE214" s="425"/>
      <c r="CF214" s="425"/>
      <c r="CG214" s="425"/>
      <c r="CH214" s="425"/>
      <c r="CI214" s="425"/>
      <c r="CJ214" s="425"/>
      <c r="CK214" s="425"/>
      <c r="CL214" s="425"/>
      <c r="CM214" s="425"/>
      <c r="CN214" s="425"/>
      <c r="CO214" s="425"/>
      <c r="CP214" s="425"/>
      <c r="CQ214" s="425"/>
      <c r="CR214" s="425"/>
      <c r="CS214" s="425"/>
      <c r="CT214" s="425"/>
      <c r="CU214" s="425"/>
      <c r="CV214" s="425"/>
    </row>
    <row r="215" spans="1:100">
      <c r="A215" s="554"/>
      <c r="B215" s="442"/>
      <c r="C215" s="442"/>
      <c r="D215" s="442"/>
      <c r="E215" s="442"/>
      <c r="F215" s="442"/>
      <c r="G215" s="442"/>
      <c r="H215" s="549"/>
      <c r="I215" s="549"/>
      <c r="J215" s="549"/>
      <c r="K215" s="549"/>
      <c r="L215" s="549"/>
      <c r="M215" s="549"/>
      <c r="N215" s="549"/>
      <c r="O215" s="549"/>
      <c r="P215" s="549"/>
      <c r="Q215" s="549"/>
      <c r="R215" s="549"/>
      <c r="S215" s="549"/>
      <c r="T215" s="549"/>
      <c r="U215" s="424"/>
      <c r="V215" s="424"/>
      <c r="W215" s="425"/>
      <c r="X215" s="425"/>
      <c r="Y215" s="425"/>
      <c r="Z215" s="425"/>
      <c r="AA215" s="425"/>
      <c r="AH215" s="425"/>
      <c r="AI215" s="425"/>
      <c r="AJ215" s="425"/>
      <c r="AK215" s="425"/>
      <c r="AL215" s="425"/>
      <c r="AM215" s="425"/>
      <c r="AN215" s="437">
        <v>26</v>
      </c>
      <c r="AO215" s="559" t="s">
        <v>238</v>
      </c>
      <c r="AP215" s="559" t="s">
        <v>239</v>
      </c>
      <c r="AQ215" s="559" t="s">
        <v>240</v>
      </c>
      <c r="AR215" s="425" t="str">
        <f t="shared" si="67"/>
        <v>kr</v>
      </c>
      <c r="AS215" s="425"/>
      <c r="AT215" s="425"/>
      <c r="AU215" s="425"/>
      <c r="AV215" s="425"/>
      <c r="AW215" s="425"/>
      <c r="AX215" s="425"/>
      <c r="AY215" s="425"/>
      <c r="AZ215" s="425"/>
      <c r="BA215" s="425"/>
      <c r="BB215" s="425"/>
      <c r="BC215" s="425"/>
      <c r="BD215" s="425"/>
      <c r="BE215" s="425"/>
      <c r="BF215" s="425"/>
      <c r="BG215" s="426"/>
      <c r="BH215" s="425"/>
      <c r="BI215" s="425"/>
      <c r="BJ215" s="425"/>
      <c r="BK215" s="425"/>
      <c r="BL215" s="425"/>
      <c r="BM215" s="425"/>
      <c r="BN215" s="425"/>
      <c r="BO215" s="425"/>
      <c r="BP215" s="425"/>
      <c r="BQ215" s="425"/>
      <c r="BR215" s="425"/>
      <c r="BS215" s="425"/>
      <c r="BT215" s="425"/>
      <c r="BU215" s="425"/>
      <c r="BV215" s="425"/>
      <c r="BW215" s="425"/>
      <c r="BX215" s="425"/>
      <c r="BY215" s="425"/>
      <c r="BZ215" s="425"/>
      <c r="CA215" s="425"/>
      <c r="CB215" s="425"/>
      <c r="CC215" s="425"/>
      <c r="CD215" s="425"/>
      <c r="CE215" s="425"/>
      <c r="CF215" s="425"/>
      <c r="CG215" s="425"/>
      <c r="CH215" s="425"/>
      <c r="CI215" s="425"/>
      <c r="CJ215" s="425"/>
      <c r="CK215" s="425"/>
      <c r="CL215" s="425"/>
      <c r="CM215" s="425"/>
      <c r="CN215" s="425"/>
      <c r="CO215" s="425"/>
      <c r="CP215" s="425"/>
      <c r="CQ215" s="425"/>
      <c r="CR215" s="425"/>
      <c r="CS215" s="425"/>
      <c r="CT215" s="425"/>
      <c r="CU215" s="425"/>
      <c r="CV215" s="425"/>
    </row>
    <row r="216" spans="1:100">
      <c r="A216" s="554"/>
      <c r="B216" s="442"/>
      <c r="C216" s="442"/>
      <c r="D216" s="442"/>
      <c r="E216" s="442"/>
      <c r="F216" s="442"/>
      <c r="G216" s="442"/>
      <c r="H216" s="549"/>
      <c r="I216" s="549"/>
      <c r="J216" s="549"/>
      <c r="K216" s="549"/>
      <c r="L216" s="549"/>
      <c r="M216" s="549"/>
      <c r="N216" s="549"/>
      <c r="O216" s="549"/>
      <c r="P216" s="549"/>
      <c r="Q216" s="549"/>
      <c r="R216" s="549"/>
      <c r="S216" s="549"/>
      <c r="T216" s="549"/>
      <c r="U216" s="424"/>
      <c r="V216" s="424"/>
      <c r="W216" s="425"/>
      <c r="X216" s="425"/>
      <c r="Y216" s="425"/>
      <c r="Z216" s="425"/>
      <c r="AA216" s="425"/>
      <c r="AH216" s="425"/>
      <c r="AI216" s="425"/>
      <c r="AJ216" s="425"/>
      <c r="AK216" s="425"/>
      <c r="AL216" s="425"/>
      <c r="AM216" s="425"/>
      <c r="AN216" s="437">
        <v>27</v>
      </c>
      <c r="AO216" s="559" t="s">
        <v>241</v>
      </c>
      <c r="AP216" s="559" t="s">
        <v>242</v>
      </c>
      <c r="AQ216" s="559" t="s">
        <v>242</v>
      </c>
      <c r="AR216" s="425" t="str">
        <f t="shared" si="67"/>
        <v>JMD</v>
      </c>
      <c r="AS216" s="425"/>
      <c r="AT216" s="425"/>
      <c r="AU216" s="425"/>
      <c r="AV216" s="425"/>
      <c r="AW216" s="425"/>
      <c r="AX216" s="425"/>
      <c r="AY216" s="425"/>
      <c r="AZ216" s="425"/>
      <c r="BA216" s="425"/>
      <c r="BB216" s="425"/>
      <c r="BC216" s="425"/>
      <c r="BD216" s="425"/>
      <c r="BE216" s="425"/>
      <c r="BF216" s="425"/>
      <c r="BG216" s="426"/>
      <c r="BH216" s="425"/>
      <c r="BI216" s="425"/>
      <c r="BJ216" s="425"/>
      <c r="BK216" s="425"/>
      <c r="BL216" s="425"/>
      <c r="BM216" s="425"/>
      <c r="BN216" s="425"/>
      <c r="BO216" s="425"/>
      <c r="BP216" s="425"/>
      <c r="BQ216" s="425"/>
      <c r="BR216" s="425"/>
      <c r="BS216" s="425"/>
      <c r="BT216" s="425"/>
      <c r="BU216" s="425"/>
      <c r="BV216" s="425"/>
      <c r="BW216" s="425"/>
      <c r="BX216" s="425"/>
      <c r="BY216" s="425"/>
      <c r="BZ216" s="425"/>
      <c r="CA216" s="425"/>
      <c r="CB216" s="425"/>
      <c r="CC216" s="425"/>
      <c r="CD216" s="425"/>
      <c r="CE216" s="425"/>
      <c r="CF216" s="425"/>
      <c r="CG216" s="425"/>
      <c r="CH216" s="425"/>
      <c r="CI216" s="425"/>
      <c r="CJ216" s="425"/>
      <c r="CK216" s="425"/>
      <c r="CL216" s="425"/>
      <c r="CM216" s="425"/>
      <c r="CN216" s="425"/>
      <c r="CO216" s="425"/>
      <c r="CP216" s="425"/>
      <c r="CQ216" s="425"/>
      <c r="CR216" s="425"/>
      <c r="CS216" s="425"/>
      <c r="CT216" s="425"/>
      <c r="CU216" s="425"/>
      <c r="CV216" s="425"/>
    </row>
    <row r="217" spans="1:100">
      <c r="A217" s="554"/>
      <c r="B217" s="442"/>
      <c r="C217" s="442"/>
      <c r="D217" s="442"/>
      <c r="E217" s="442"/>
      <c r="F217" s="442"/>
      <c r="G217" s="442"/>
      <c r="H217" s="549"/>
      <c r="I217" s="549"/>
      <c r="J217" s="549"/>
      <c r="K217" s="549"/>
      <c r="L217" s="549"/>
      <c r="M217" s="549"/>
      <c r="N217" s="549"/>
      <c r="O217" s="549"/>
      <c r="P217" s="549"/>
      <c r="Q217" s="549"/>
      <c r="R217" s="549"/>
      <c r="S217" s="549"/>
      <c r="T217" s="549"/>
      <c r="U217" s="424"/>
      <c r="V217" s="424"/>
      <c r="W217" s="425"/>
      <c r="X217" s="425"/>
      <c r="Y217" s="425"/>
      <c r="Z217" s="425"/>
      <c r="AA217" s="425"/>
      <c r="AH217" s="425"/>
      <c r="AI217" s="425"/>
      <c r="AJ217" s="425"/>
      <c r="AK217" s="425"/>
      <c r="AL217" s="425"/>
      <c r="AM217" s="425"/>
      <c r="AN217" s="437">
        <v>28</v>
      </c>
      <c r="AO217" s="559" t="s">
        <v>243</v>
      </c>
      <c r="AP217" s="559" t="s">
        <v>244</v>
      </c>
      <c r="AQ217" s="559" t="s">
        <v>245</v>
      </c>
      <c r="AR217" s="425" t="str">
        <f t="shared" si="67"/>
        <v>¥</v>
      </c>
      <c r="AS217" s="425"/>
      <c r="AT217" s="425"/>
      <c r="AU217" s="425"/>
      <c r="AV217" s="425"/>
      <c r="AW217" s="425"/>
      <c r="AX217" s="425"/>
      <c r="AY217" s="425"/>
      <c r="AZ217" s="425"/>
      <c r="BA217" s="425"/>
      <c r="BB217" s="425"/>
      <c r="BC217" s="425"/>
      <c r="BD217" s="425"/>
      <c r="BE217" s="425"/>
      <c r="BF217" s="425"/>
      <c r="BG217" s="426"/>
      <c r="BH217" s="425"/>
      <c r="BI217" s="425"/>
      <c r="BJ217" s="425"/>
      <c r="BK217" s="425"/>
      <c r="BL217" s="425"/>
      <c r="BM217" s="425"/>
      <c r="BN217" s="425"/>
      <c r="BO217" s="425"/>
      <c r="BP217" s="425"/>
      <c r="BQ217" s="425"/>
      <c r="BR217" s="425"/>
      <c r="BS217" s="425"/>
      <c r="BT217" s="425"/>
      <c r="BU217" s="425"/>
      <c r="BV217" s="425"/>
      <c r="BW217" s="425"/>
      <c r="BX217" s="425"/>
      <c r="BY217" s="425"/>
      <c r="BZ217" s="425"/>
      <c r="CA217" s="425"/>
      <c r="CB217" s="425"/>
      <c r="CC217" s="425"/>
      <c r="CD217" s="425"/>
      <c r="CE217" s="425"/>
      <c r="CF217" s="425"/>
      <c r="CG217" s="425"/>
      <c r="CH217" s="425"/>
      <c r="CI217" s="425"/>
      <c r="CJ217" s="425"/>
      <c r="CK217" s="425"/>
      <c r="CL217" s="425"/>
      <c r="CM217" s="425"/>
      <c r="CN217" s="425"/>
      <c r="CO217" s="425"/>
      <c r="CP217" s="425"/>
      <c r="CQ217" s="425"/>
      <c r="CR217" s="425"/>
      <c r="CS217" s="425"/>
      <c r="CT217" s="425"/>
      <c r="CU217" s="425"/>
      <c r="CV217" s="425"/>
    </row>
    <row r="218" spans="1:100">
      <c r="A218" s="554"/>
      <c r="B218" s="442"/>
      <c r="C218" s="442"/>
      <c r="D218" s="442"/>
      <c r="E218" s="442"/>
      <c r="F218" s="442"/>
      <c r="G218" s="442"/>
      <c r="H218" s="549"/>
      <c r="I218" s="549"/>
      <c r="J218" s="549"/>
      <c r="K218" s="549"/>
      <c r="L218" s="549"/>
      <c r="M218" s="549"/>
      <c r="N218" s="549"/>
      <c r="O218" s="549"/>
      <c r="P218" s="549"/>
      <c r="Q218" s="549"/>
      <c r="R218" s="549"/>
      <c r="S218" s="549"/>
      <c r="T218" s="549"/>
      <c r="U218" s="424"/>
      <c r="V218" s="424"/>
      <c r="W218" s="425"/>
      <c r="X218" s="425"/>
      <c r="Y218" s="425"/>
      <c r="Z218" s="425"/>
      <c r="AA218" s="425"/>
      <c r="AH218" s="425"/>
      <c r="AI218" s="425"/>
      <c r="AJ218" s="425"/>
      <c r="AK218" s="425"/>
      <c r="AL218" s="425"/>
      <c r="AM218" s="425"/>
      <c r="AN218" s="437">
        <v>29</v>
      </c>
      <c r="AO218" s="559" t="s">
        <v>246</v>
      </c>
      <c r="AP218" s="559" t="s">
        <v>247</v>
      </c>
      <c r="AQ218" s="559" t="s">
        <v>247</v>
      </c>
      <c r="AR218" s="425" t="str">
        <f t="shared" si="67"/>
        <v>KES</v>
      </c>
      <c r="AS218" s="425"/>
      <c r="AT218" s="425"/>
      <c r="AU218" s="425"/>
      <c r="AV218" s="425"/>
      <c r="AW218" s="425"/>
      <c r="AX218" s="425"/>
      <c r="AY218" s="425"/>
      <c r="AZ218" s="425"/>
      <c r="BA218" s="425"/>
      <c r="BB218" s="425"/>
      <c r="BC218" s="425"/>
      <c r="BD218" s="425"/>
      <c r="BE218" s="425"/>
      <c r="BF218" s="425"/>
      <c r="BG218" s="426"/>
      <c r="BH218" s="425"/>
      <c r="BI218" s="425"/>
      <c r="BJ218" s="425"/>
      <c r="BK218" s="425"/>
      <c r="BL218" s="425"/>
      <c r="BM218" s="425"/>
      <c r="BN218" s="425"/>
      <c r="BO218" s="425"/>
      <c r="BP218" s="425"/>
      <c r="BQ218" s="425"/>
      <c r="BR218" s="425"/>
      <c r="BS218" s="425"/>
      <c r="BT218" s="425"/>
      <c r="BU218" s="425"/>
      <c r="BV218" s="425"/>
      <c r="BW218" s="425"/>
      <c r="BX218" s="425"/>
      <c r="BY218" s="425"/>
      <c r="BZ218" s="425"/>
      <c r="CA218" s="425"/>
      <c r="CB218" s="425"/>
      <c r="CC218" s="425"/>
      <c r="CD218" s="425"/>
      <c r="CE218" s="425"/>
      <c r="CF218" s="425"/>
      <c r="CG218" s="425"/>
      <c r="CH218" s="425"/>
      <c r="CI218" s="425"/>
      <c r="CJ218" s="425"/>
      <c r="CK218" s="425"/>
      <c r="CL218" s="425"/>
      <c r="CM218" s="425"/>
      <c r="CN218" s="425"/>
      <c r="CO218" s="425"/>
      <c r="CP218" s="425"/>
      <c r="CQ218" s="425"/>
      <c r="CR218" s="425"/>
      <c r="CS218" s="425"/>
      <c r="CT218" s="425"/>
      <c r="CU218" s="425"/>
      <c r="CV218" s="425"/>
    </row>
    <row r="219" spans="1:100">
      <c r="A219" s="554"/>
      <c r="B219" s="442"/>
      <c r="C219" s="442"/>
      <c r="D219" s="442"/>
      <c r="E219" s="442"/>
      <c r="F219" s="442"/>
      <c r="G219" s="442"/>
      <c r="H219" s="549"/>
      <c r="I219" s="549"/>
      <c r="J219" s="549"/>
      <c r="K219" s="549"/>
      <c r="L219" s="549"/>
      <c r="M219" s="549"/>
      <c r="N219" s="549"/>
      <c r="O219" s="549"/>
      <c r="P219" s="549"/>
      <c r="Q219" s="549"/>
      <c r="R219" s="549"/>
      <c r="S219" s="549"/>
      <c r="T219" s="549"/>
      <c r="U219" s="424"/>
      <c r="V219" s="424"/>
      <c r="W219" s="425"/>
      <c r="X219" s="425"/>
      <c r="Y219" s="425"/>
      <c r="Z219" s="425"/>
      <c r="AA219" s="425"/>
      <c r="AH219" s="425"/>
      <c r="AI219" s="425"/>
      <c r="AJ219" s="425"/>
      <c r="AK219" s="425"/>
      <c r="AL219" s="425"/>
      <c r="AM219" s="425"/>
      <c r="AN219" s="437">
        <v>30</v>
      </c>
      <c r="AO219" s="559" t="s">
        <v>248</v>
      </c>
      <c r="AP219" s="559" t="s">
        <v>249</v>
      </c>
      <c r="AQ219" s="559" t="s">
        <v>250</v>
      </c>
      <c r="AR219" s="425" t="str">
        <f t="shared" si="67"/>
        <v>₩</v>
      </c>
      <c r="AS219" s="425"/>
      <c r="AT219" s="425"/>
      <c r="AU219" s="425"/>
      <c r="AV219" s="425"/>
      <c r="AW219" s="425"/>
      <c r="AX219" s="425"/>
      <c r="AY219" s="425"/>
      <c r="AZ219" s="425"/>
      <c r="BA219" s="425"/>
      <c r="BB219" s="425"/>
      <c r="BC219" s="425"/>
      <c r="BD219" s="425"/>
      <c r="BE219" s="425"/>
      <c r="BF219" s="425"/>
      <c r="BG219" s="426"/>
      <c r="BH219" s="425"/>
      <c r="BI219" s="425"/>
      <c r="BJ219" s="425"/>
      <c r="BK219" s="425"/>
      <c r="BL219" s="425"/>
      <c r="BM219" s="425"/>
      <c r="BN219" s="425"/>
      <c r="BO219" s="425"/>
      <c r="BP219" s="425"/>
      <c r="BQ219" s="425"/>
      <c r="BR219" s="425"/>
      <c r="BS219" s="425"/>
      <c r="BT219" s="425"/>
      <c r="BU219" s="425"/>
      <c r="BV219" s="425"/>
      <c r="BW219" s="425"/>
      <c r="BX219" s="425"/>
      <c r="BY219" s="425"/>
      <c r="BZ219" s="425"/>
      <c r="CA219" s="425"/>
      <c r="CB219" s="425"/>
      <c r="CC219" s="425"/>
      <c r="CD219" s="425"/>
      <c r="CE219" s="425"/>
      <c r="CF219" s="425"/>
      <c r="CG219" s="425"/>
      <c r="CH219" s="425"/>
      <c r="CI219" s="425"/>
      <c r="CJ219" s="425"/>
      <c r="CK219" s="425"/>
      <c r="CL219" s="425"/>
      <c r="CM219" s="425"/>
      <c r="CN219" s="425"/>
      <c r="CO219" s="425"/>
      <c r="CP219" s="425"/>
      <c r="CQ219" s="425"/>
      <c r="CR219" s="425"/>
      <c r="CS219" s="425"/>
      <c r="CT219" s="425"/>
      <c r="CU219" s="425"/>
      <c r="CV219" s="425"/>
    </row>
    <row r="220" spans="1:100">
      <c r="A220" s="554"/>
      <c r="B220" s="442"/>
      <c r="C220" s="442"/>
      <c r="D220" s="442"/>
      <c r="E220" s="442"/>
      <c r="F220" s="442"/>
      <c r="G220" s="442"/>
      <c r="H220" s="549"/>
      <c r="I220" s="549"/>
      <c r="J220" s="549"/>
      <c r="K220" s="549"/>
      <c r="L220" s="549"/>
      <c r="M220" s="549"/>
      <c r="N220" s="549"/>
      <c r="O220" s="549"/>
      <c r="P220" s="549"/>
      <c r="Q220" s="549"/>
      <c r="R220" s="549"/>
      <c r="S220" s="549"/>
      <c r="T220" s="549"/>
      <c r="U220" s="424"/>
      <c r="V220" s="424"/>
      <c r="W220" s="425"/>
      <c r="X220" s="425"/>
      <c r="Y220" s="425"/>
      <c r="Z220" s="425"/>
      <c r="AA220" s="425"/>
      <c r="AH220" s="425"/>
      <c r="AI220" s="425"/>
      <c r="AJ220" s="425"/>
      <c r="AK220" s="425"/>
      <c r="AL220" s="425"/>
      <c r="AM220" s="425"/>
      <c r="AN220" s="437">
        <v>31</v>
      </c>
      <c r="AO220" s="559" t="s">
        <v>251</v>
      </c>
      <c r="AP220" s="559" t="s">
        <v>252</v>
      </c>
      <c r="AQ220" s="559" t="s">
        <v>252</v>
      </c>
      <c r="AR220" s="425" t="str">
        <f t="shared" si="67"/>
        <v>KWD</v>
      </c>
      <c r="AS220" s="425"/>
      <c r="AT220" s="425"/>
      <c r="AU220" s="425"/>
      <c r="AV220" s="425"/>
      <c r="AW220" s="425"/>
      <c r="AX220" s="425"/>
      <c r="AY220" s="425"/>
      <c r="AZ220" s="425"/>
      <c r="BA220" s="425"/>
      <c r="BB220" s="425"/>
      <c r="BC220" s="425"/>
      <c r="BD220" s="425"/>
      <c r="BE220" s="425"/>
      <c r="BF220" s="425"/>
      <c r="BG220" s="426"/>
      <c r="BH220" s="425"/>
      <c r="BI220" s="425"/>
      <c r="BJ220" s="425"/>
      <c r="BK220" s="425"/>
      <c r="BL220" s="425"/>
      <c r="BM220" s="425"/>
      <c r="BN220" s="425"/>
      <c r="BO220" s="425"/>
      <c r="BP220" s="425"/>
      <c r="BQ220" s="425"/>
      <c r="BR220" s="425"/>
      <c r="BS220" s="425"/>
      <c r="BT220" s="425"/>
      <c r="BU220" s="425"/>
      <c r="BV220" s="425"/>
      <c r="BW220" s="425"/>
      <c r="BX220" s="425"/>
      <c r="BY220" s="425"/>
      <c r="BZ220" s="425"/>
      <c r="CA220" s="425"/>
      <c r="CB220" s="425"/>
      <c r="CC220" s="425"/>
      <c r="CD220" s="425"/>
      <c r="CE220" s="425"/>
      <c r="CF220" s="425"/>
      <c r="CG220" s="425"/>
      <c r="CH220" s="425"/>
      <c r="CI220" s="425"/>
      <c r="CJ220" s="425"/>
      <c r="CK220" s="425"/>
      <c r="CL220" s="425"/>
      <c r="CM220" s="425"/>
      <c r="CN220" s="425"/>
      <c r="CO220" s="425"/>
      <c r="CP220" s="425"/>
      <c r="CQ220" s="425"/>
      <c r="CR220" s="425"/>
      <c r="CS220" s="425"/>
      <c r="CT220" s="425"/>
      <c r="CU220" s="425"/>
      <c r="CV220" s="425"/>
    </row>
    <row r="221" spans="1:100">
      <c r="A221" s="554"/>
      <c r="B221" s="442"/>
      <c r="C221" s="442"/>
      <c r="D221" s="442"/>
      <c r="E221" s="442"/>
      <c r="F221" s="442"/>
      <c r="G221" s="442"/>
      <c r="H221" s="549"/>
      <c r="I221" s="549"/>
      <c r="J221" s="549"/>
      <c r="K221" s="549"/>
      <c r="L221" s="549"/>
      <c r="M221" s="549"/>
      <c r="N221" s="549"/>
      <c r="O221" s="549"/>
      <c r="P221" s="549"/>
      <c r="Q221" s="549"/>
      <c r="R221" s="549"/>
      <c r="S221" s="549"/>
      <c r="T221" s="549"/>
      <c r="U221" s="424"/>
      <c r="V221" s="424"/>
      <c r="W221" s="425"/>
      <c r="X221" s="425"/>
      <c r="Y221" s="425"/>
      <c r="Z221" s="425"/>
      <c r="AA221" s="425"/>
      <c r="AH221" s="425"/>
      <c r="AI221" s="425"/>
      <c r="AJ221" s="425"/>
      <c r="AK221" s="425"/>
      <c r="AL221" s="425"/>
      <c r="AM221" s="425"/>
      <c r="AN221" s="437">
        <v>32</v>
      </c>
      <c r="AO221" s="559" t="s">
        <v>253</v>
      </c>
      <c r="AP221" s="559" t="s">
        <v>254</v>
      </c>
      <c r="AQ221" s="559" t="s">
        <v>254</v>
      </c>
      <c r="AR221" s="425" t="str">
        <f t="shared" si="67"/>
        <v>KYD</v>
      </c>
      <c r="AS221" s="425"/>
      <c r="AT221" s="425"/>
      <c r="AU221" s="425"/>
      <c r="AV221" s="425"/>
      <c r="AW221" s="425"/>
      <c r="AX221" s="425"/>
      <c r="AY221" s="425"/>
      <c r="AZ221" s="425"/>
      <c r="BA221" s="425"/>
      <c r="BB221" s="425"/>
      <c r="BC221" s="425"/>
      <c r="BD221" s="425"/>
      <c r="BE221" s="425"/>
      <c r="BF221" s="425"/>
      <c r="BG221" s="426"/>
      <c r="BH221" s="425"/>
      <c r="BI221" s="425"/>
      <c r="BJ221" s="425"/>
      <c r="BK221" s="425"/>
      <c r="BL221" s="425"/>
      <c r="BM221" s="425"/>
      <c r="BN221" s="425"/>
      <c r="BO221" s="425"/>
      <c r="BP221" s="425"/>
      <c r="BQ221" s="425"/>
      <c r="BR221" s="425"/>
      <c r="BS221" s="425"/>
      <c r="BT221" s="425"/>
      <c r="BU221" s="425"/>
      <c r="BV221" s="425"/>
      <c r="BW221" s="425"/>
      <c r="BX221" s="425"/>
      <c r="BY221" s="425"/>
      <c r="BZ221" s="425"/>
      <c r="CA221" s="425"/>
      <c r="CB221" s="425"/>
      <c r="CC221" s="425"/>
      <c r="CD221" s="425"/>
      <c r="CE221" s="425"/>
      <c r="CF221" s="425"/>
      <c r="CG221" s="425"/>
      <c r="CH221" s="425"/>
      <c r="CI221" s="425"/>
      <c r="CJ221" s="425"/>
      <c r="CK221" s="425"/>
      <c r="CL221" s="425"/>
      <c r="CM221" s="425"/>
      <c r="CN221" s="425"/>
      <c r="CO221" s="425"/>
      <c r="CP221" s="425"/>
      <c r="CQ221" s="425"/>
      <c r="CR221" s="425"/>
      <c r="CS221" s="425"/>
      <c r="CT221" s="425"/>
      <c r="CU221" s="425"/>
      <c r="CV221" s="425"/>
    </row>
    <row r="222" spans="1:100">
      <c r="A222" s="554"/>
      <c r="B222" s="442"/>
      <c r="C222" s="442"/>
      <c r="D222" s="442"/>
      <c r="E222" s="442"/>
      <c r="F222" s="442"/>
      <c r="G222" s="442"/>
      <c r="H222" s="549"/>
      <c r="I222" s="549"/>
      <c r="J222" s="549"/>
      <c r="K222" s="549"/>
      <c r="L222" s="549"/>
      <c r="M222" s="549"/>
      <c r="N222" s="549"/>
      <c r="O222" s="549"/>
      <c r="P222" s="549"/>
      <c r="Q222" s="549"/>
      <c r="R222" s="549"/>
      <c r="S222" s="549"/>
      <c r="T222" s="549"/>
      <c r="U222" s="424"/>
      <c r="V222" s="424"/>
      <c r="W222" s="425"/>
      <c r="X222" s="425"/>
      <c r="Y222" s="425"/>
      <c r="Z222" s="425"/>
      <c r="AA222" s="425"/>
      <c r="AH222" s="425"/>
      <c r="AI222" s="425"/>
      <c r="AJ222" s="425"/>
      <c r="AK222" s="425"/>
      <c r="AL222" s="425"/>
      <c r="AM222" s="425"/>
      <c r="AN222" s="437">
        <v>33</v>
      </c>
      <c r="AO222" s="559" t="s">
        <v>255</v>
      </c>
      <c r="AP222" s="559" t="s">
        <v>256</v>
      </c>
      <c r="AQ222" s="559" t="s">
        <v>256</v>
      </c>
      <c r="AR222" s="425" t="str">
        <f t="shared" si="67"/>
        <v>LKR</v>
      </c>
      <c r="AS222" s="425"/>
      <c r="AT222" s="425"/>
      <c r="AU222" s="425"/>
      <c r="AV222" s="425"/>
      <c r="AW222" s="425"/>
      <c r="AX222" s="425"/>
      <c r="AY222" s="425"/>
      <c r="AZ222" s="425"/>
      <c r="BA222" s="425"/>
      <c r="BB222" s="425"/>
      <c r="BC222" s="425"/>
      <c r="BD222" s="425"/>
      <c r="BE222" s="425"/>
      <c r="BF222" s="425"/>
      <c r="BG222" s="426"/>
      <c r="BH222" s="425"/>
      <c r="BI222" s="425"/>
      <c r="BJ222" s="425"/>
      <c r="BK222" s="425"/>
      <c r="BL222" s="425"/>
      <c r="BM222" s="425"/>
      <c r="BN222" s="425"/>
      <c r="BO222" s="425"/>
      <c r="BP222" s="425"/>
      <c r="BQ222" s="425"/>
      <c r="BR222" s="425"/>
      <c r="BS222" s="425"/>
      <c r="BT222" s="425"/>
      <c r="BU222" s="425"/>
      <c r="BV222" s="425"/>
      <c r="BW222" s="425"/>
      <c r="BX222" s="425"/>
      <c r="BY222" s="425"/>
      <c r="BZ222" s="425"/>
      <c r="CA222" s="425"/>
      <c r="CB222" s="425"/>
      <c r="CC222" s="425"/>
      <c r="CD222" s="425"/>
      <c r="CE222" s="425"/>
      <c r="CF222" s="425"/>
      <c r="CG222" s="425"/>
      <c r="CH222" s="425"/>
      <c r="CI222" s="425"/>
      <c r="CJ222" s="425"/>
      <c r="CK222" s="425"/>
      <c r="CL222" s="425"/>
      <c r="CM222" s="425"/>
      <c r="CN222" s="425"/>
      <c r="CO222" s="425"/>
      <c r="CP222" s="425"/>
      <c r="CQ222" s="425"/>
      <c r="CR222" s="425"/>
      <c r="CS222" s="425"/>
      <c r="CT222" s="425"/>
      <c r="CU222" s="425"/>
      <c r="CV222" s="425"/>
    </row>
    <row r="223" spans="1:100">
      <c r="A223" s="554"/>
      <c r="B223" s="442"/>
      <c r="C223" s="442"/>
      <c r="D223" s="442"/>
      <c r="E223" s="442"/>
      <c r="F223" s="442"/>
      <c r="G223" s="442"/>
      <c r="H223" s="549"/>
      <c r="I223" s="549"/>
      <c r="J223" s="549"/>
      <c r="K223" s="549"/>
      <c r="L223" s="549"/>
      <c r="M223" s="549"/>
      <c r="N223" s="549"/>
      <c r="O223" s="549"/>
      <c r="P223" s="549"/>
      <c r="Q223" s="549"/>
      <c r="R223" s="549"/>
      <c r="S223" s="549"/>
      <c r="T223" s="549"/>
      <c r="U223" s="424"/>
      <c r="V223" s="424"/>
      <c r="W223" s="425"/>
      <c r="X223" s="425"/>
      <c r="Y223" s="425"/>
      <c r="Z223" s="425"/>
      <c r="AA223" s="425"/>
      <c r="AH223" s="425"/>
      <c r="AI223" s="425"/>
      <c r="AJ223" s="425"/>
      <c r="AK223" s="425"/>
      <c r="AL223" s="425"/>
      <c r="AM223" s="425"/>
      <c r="AN223" s="437">
        <v>34</v>
      </c>
      <c r="AO223" s="559" t="s">
        <v>257</v>
      </c>
      <c r="AP223" s="559" t="s">
        <v>258</v>
      </c>
      <c r="AQ223" s="559" t="s">
        <v>258</v>
      </c>
      <c r="AR223" s="425" t="str">
        <f t="shared" si="67"/>
        <v>MAD</v>
      </c>
      <c r="AS223" s="425"/>
      <c r="AT223" s="425"/>
      <c r="AU223" s="425"/>
      <c r="AV223" s="425"/>
      <c r="AW223" s="425"/>
      <c r="AX223" s="425"/>
      <c r="AY223" s="425"/>
      <c r="AZ223" s="425"/>
      <c r="BA223" s="425"/>
      <c r="BB223" s="425"/>
      <c r="BC223" s="425"/>
      <c r="BD223" s="425"/>
      <c r="BE223" s="425"/>
      <c r="BF223" s="425"/>
      <c r="BG223" s="426"/>
      <c r="BH223" s="425"/>
      <c r="BI223" s="425"/>
      <c r="BJ223" s="425"/>
      <c r="BK223" s="425"/>
      <c r="BL223" s="425"/>
      <c r="BM223" s="425"/>
      <c r="BN223" s="425"/>
      <c r="BO223" s="425"/>
      <c r="BP223" s="425"/>
      <c r="BQ223" s="425"/>
      <c r="BR223" s="425"/>
      <c r="BS223" s="425"/>
      <c r="BT223" s="425"/>
      <c r="BU223" s="425"/>
      <c r="BV223" s="425"/>
      <c r="BW223" s="425"/>
      <c r="BX223" s="425"/>
      <c r="BY223" s="425"/>
      <c r="BZ223" s="425"/>
      <c r="CA223" s="425"/>
      <c r="CB223" s="425"/>
      <c r="CC223" s="425"/>
      <c r="CD223" s="425"/>
      <c r="CE223" s="425"/>
      <c r="CF223" s="425"/>
      <c r="CG223" s="425"/>
      <c r="CH223" s="425"/>
      <c r="CI223" s="425"/>
      <c r="CJ223" s="425"/>
      <c r="CK223" s="425"/>
      <c r="CL223" s="425"/>
      <c r="CM223" s="425"/>
      <c r="CN223" s="425"/>
      <c r="CO223" s="425"/>
      <c r="CP223" s="425"/>
      <c r="CQ223" s="425"/>
      <c r="CR223" s="425"/>
      <c r="CS223" s="425"/>
      <c r="CT223" s="425"/>
      <c r="CU223" s="425"/>
      <c r="CV223" s="425"/>
    </row>
    <row r="224" spans="1:100">
      <c r="A224" s="554"/>
      <c r="B224" s="442"/>
      <c r="C224" s="442"/>
      <c r="D224" s="442"/>
      <c r="E224" s="442"/>
      <c r="F224" s="442"/>
      <c r="G224" s="442"/>
      <c r="H224" s="549"/>
      <c r="I224" s="549"/>
      <c r="J224" s="549"/>
      <c r="K224" s="549"/>
      <c r="L224" s="549"/>
      <c r="M224" s="549"/>
      <c r="N224" s="549"/>
      <c r="O224" s="549"/>
      <c r="P224" s="549"/>
      <c r="Q224" s="549"/>
      <c r="R224" s="549"/>
      <c r="S224" s="549"/>
      <c r="T224" s="549"/>
      <c r="U224" s="424"/>
      <c r="V224" s="424"/>
      <c r="W224" s="425"/>
      <c r="X224" s="425"/>
      <c r="Y224" s="425"/>
      <c r="Z224" s="425"/>
      <c r="AA224" s="425"/>
      <c r="AH224" s="425"/>
      <c r="AI224" s="425"/>
      <c r="AJ224" s="425"/>
      <c r="AK224" s="425"/>
      <c r="AL224" s="425"/>
      <c r="AM224" s="425"/>
      <c r="AN224" s="437">
        <v>35</v>
      </c>
      <c r="AO224" s="559" t="s">
        <v>259</v>
      </c>
      <c r="AP224" s="559" t="s">
        <v>260</v>
      </c>
      <c r="AQ224" s="559" t="s">
        <v>261</v>
      </c>
      <c r="AR224" s="425" t="str">
        <f t="shared" si="67"/>
        <v>M$</v>
      </c>
      <c r="AS224" s="425"/>
      <c r="AT224" s="425"/>
      <c r="AU224" s="425"/>
      <c r="AV224" s="425"/>
      <c r="AW224" s="425"/>
      <c r="AX224" s="425"/>
      <c r="AY224" s="425"/>
      <c r="AZ224" s="425"/>
      <c r="BA224" s="425"/>
      <c r="BB224" s="425"/>
      <c r="BC224" s="425"/>
      <c r="BD224" s="425"/>
      <c r="BE224" s="425"/>
      <c r="BF224" s="425"/>
      <c r="BG224" s="426"/>
      <c r="BH224" s="425"/>
      <c r="BI224" s="425"/>
      <c r="BJ224" s="425"/>
      <c r="BK224" s="425"/>
      <c r="BL224" s="425"/>
      <c r="BM224" s="425"/>
      <c r="BN224" s="425"/>
      <c r="BO224" s="425"/>
      <c r="BP224" s="425"/>
      <c r="BQ224" s="425"/>
      <c r="BR224" s="425"/>
      <c r="BS224" s="425"/>
      <c r="BT224" s="425"/>
      <c r="BU224" s="425"/>
      <c r="BV224" s="425"/>
      <c r="BW224" s="425"/>
      <c r="BX224" s="425"/>
      <c r="BY224" s="425"/>
      <c r="BZ224" s="425"/>
      <c r="CA224" s="425"/>
      <c r="CB224" s="425"/>
      <c r="CC224" s="425"/>
      <c r="CD224" s="425"/>
      <c r="CE224" s="425"/>
      <c r="CF224" s="425"/>
      <c r="CG224" s="425"/>
      <c r="CH224" s="425"/>
      <c r="CI224" s="425"/>
      <c r="CJ224" s="425"/>
      <c r="CK224" s="425"/>
      <c r="CL224" s="425"/>
      <c r="CM224" s="425"/>
      <c r="CN224" s="425"/>
      <c r="CO224" s="425"/>
      <c r="CP224" s="425"/>
      <c r="CQ224" s="425"/>
      <c r="CR224" s="425"/>
      <c r="CS224" s="425"/>
      <c r="CT224" s="425"/>
      <c r="CU224" s="425"/>
      <c r="CV224" s="425"/>
    </row>
    <row r="225" spans="1:100">
      <c r="A225" s="554"/>
      <c r="B225" s="442"/>
      <c r="C225" s="442"/>
      <c r="D225" s="442"/>
      <c r="E225" s="442"/>
      <c r="F225" s="442"/>
      <c r="G225" s="442"/>
      <c r="H225" s="549"/>
      <c r="I225" s="549"/>
      <c r="J225" s="549"/>
      <c r="K225" s="549"/>
      <c r="L225" s="549"/>
      <c r="M225" s="549"/>
      <c r="N225" s="549"/>
      <c r="O225" s="549"/>
      <c r="P225" s="549"/>
      <c r="Q225" s="549"/>
      <c r="R225" s="549"/>
      <c r="S225" s="549"/>
      <c r="T225" s="549"/>
      <c r="U225" s="424"/>
      <c r="V225" s="424"/>
      <c r="W225" s="425"/>
      <c r="X225" s="425"/>
      <c r="Y225" s="425"/>
      <c r="Z225" s="425"/>
      <c r="AA225" s="425"/>
      <c r="AH225" s="425"/>
      <c r="AI225" s="425"/>
      <c r="AJ225" s="425"/>
      <c r="AK225" s="425"/>
      <c r="AL225" s="425"/>
      <c r="AM225" s="425"/>
      <c r="AN225" s="437">
        <v>36</v>
      </c>
      <c r="AO225" s="559" t="s">
        <v>262</v>
      </c>
      <c r="AP225" s="559" t="s">
        <v>263</v>
      </c>
      <c r="AQ225" s="559" t="s">
        <v>264</v>
      </c>
      <c r="AR225" s="425" t="str">
        <f t="shared" si="67"/>
        <v>RM</v>
      </c>
      <c r="AS225" s="425"/>
      <c r="AT225" s="425"/>
      <c r="AU225" s="425"/>
      <c r="AV225" s="425"/>
      <c r="AW225" s="425"/>
      <c r="AX225" s="425"/>
      <c r="AY225" s="425"/>
      <c r="AZ225" s="425"/>
      <c r="BA225" s="425"/>
      <c r="BB225" s="425"/>
      <c r="BC225" s="425"/>
      <c r="BD225" s="425"/>
      <c r="BE225" s="425"/>
      <c r="BF225" s="425"/>
      <c r="BG225" s="426"/>
      <c r="BH225" s="425"/>
      <c r="BI225" s="425"/>
      <c r="BJ225" s="425"/>
      <c r="BK225" s="425"/>
      <c r="BL225" s="425"/>
      <c r="BM225" s="425"/>
      <c r="BN225" s="425"/>
      <c r="BO225" s="425"/>
      <c r="BP225" s="425"/>
      <c r="BQ225" s="425"/>
      <c r="BR225" s="425"/>
      <c r="BS225" s="425"/>
      <c r="BT225" s="425"/>
      <c r="BU225" s="425"/>
      <c r="BV225" s="425"/>
      <c r="BW225" s="425"/>
      <c r="BX225" s="425"/>
      <c r="BY225" s="425"/>
      <c r="BZ225" s="425"/>
      <c r="CA225" s="425"/>
      <c r="CB225" s="425"/>
      <c r="CC225" s="425"/>
      <c r="CD225" s="425"/>
      <c r="CE225" s="425"/>
      <c r="CF225" s="425"/>
      <c r="CG225" s="425"/>
      <c r="CH225" s="425"/>
      <c r="CI225" s="425"/>
      <c r="CJ225" s="425"/>
      <c r="CK225" s="425"/>
      <c r="CL225" s="425"/>
      <c r="CM225" s="425"/>
      <c r="CN225" s="425"/>
      <c r="CO225" s="425"/>
      <c r="CP225" s="425"/>
      <c r="CQ225" s="425"/>
      <c r="CR225" s="425"/>
      <c r="CS225" s="425"/>
      <c r="CT225" s="425"/>
      <c r="CU225" s="425"/>
      <c r="CV225" s="425"/>
    </row>
    <row r="226" spans="1:100">
      <c r="A226" s="554"/>
      <c r="B226" s="442"/>
      <c r="C226" s="442"/>
      <c r="D226" s="442"/>
      <c r="E226" s="442"/>
      <c r="F226" s="442"/>
      <c r="G226" s="442"/>
      <c r="H226" s="549"/>
      <c r="I226" s="549"/>
      <c r="J226" s="549"/>
      <c r="K226" s="549"/>
      <c r="L226" s="549"/>
      <c r="M226" s="549"/>
      <c r="N226" s="549"/>
      <c r="O226" s="549"/>
      <c r="P226" s="549"/>
      <c r="Q226" s="549"/>
      <c r="R226" s="549"/>
      <c r="S226" s="549"/>
      <c r="T226" s="549"/>
      <c r="U226" s="424"/>
      <c r="V226" s="424"/>
      <c r="W226" s="425"/>
      <c r="X226" s="425"/>
      <c r="Y226" s="425"/>
      <c r="Z226" s="425"/>
      <c r="AA226" s="425"/>
      <c r="AH226" s="425"/>
      <c r="AI226" s="425"/>
      <c r="AJ226" s="425"/>
      <c r="AK226" s="425"/>
      <c r="AL226" s="425"/>
      <c r="AM226" s="425"/>
      <c r="AN226" s="437">
        <v>37</v>
      </c>
      <c r="AO226" s="559" t="s">
        <v>265</v>
      </c>
      <c r="AP226" s="559" t="s">
        <v>266</v>
      </c>
      <c r="AQ226" s="559" t="s">
        <v>267</v>
      </c>
      <c r="AR226" s="425" t="str">
        <f t="shared" si="67"/>
        <v>NKr</v>
      </c>
      <c r="AS226" s="425"/>
      <c r="AT226" s="425"/>
      <c r="AU226" s="425"/>
      <c r="AV226" s="425"/>
      <c r="AW226" s="425"/>
      <c r="AX226" s="425"/>
      <c r="AY226" s="425"/>
      <c r="AZ226" s="425"/>
      <c r="BA226" s="425"/>
      <c r="BB226" s="425"/>
      <c r="BC226" s="425"/>
      <c r="BD226" s="425"/>
      <c r="BE226" s="425"/>
      <c r="BF226" s="425"/>
      <c r="BG226" s="426"/>
      <c r="BH226" s="425"/>
      <c r="BI226" s="425"/>
      <c r="BJ226" s="425"/>
      <c r="BK226" s="425"/>
      <c r="BL226" s="425"/>
      <c r="BM226" s="425"/>
      <c r="BN226" s="425"/>
      <c r="BO226" s="425"/>
      <c r="BP226" s="425"/>
      <c r="BQ226" s="425"/>
      <c r="BR226" s="425"/>
      <c r="BS226" s="425"/>
      <c r="BT226" s="425"/>
      <c r="BU226" s="425"/>
      <c r="BV226" s="425"/>
      <c r="BW226" s="425"/>
      <c r="BX226" s="425"/>
      <c r="BY226" s="425"/>
      <c r="BZ226" s="425"/>
      <c r="CA226" s="425"/>
      <c r="CB226" s="425"/>
      <c r="CC226" s="425"/>
      <c r="CD226" s="425"/>
      <c r="CE226" s="425"/>
      <c r="CF226" s="425"/>
      <c r="CG226" s="425"/>
      <c r="CH226" s="425"/>
      <c r="CI226" s="425"/>
      <c r="CJ226" s="425"/>
      <c r="CK226" s="425"/>
      <c r="CL226" s="425"/>
      <c r="CM226" s="425"/>
      <c r="CN226" s="425"/>
      <c r="CO226" s="425"/>
      <c r="CP226" s="425"/>
      <c r="CQ226" s="425"/>
      <c r="CR226" s="425"/>
      <c r="CS226" s="425"/>
      <c r="CT226" s="425"/>
      <c r="CU226" s="425"/>
      <c r="CV226" s="425"/>
    </row>
    <row r="227" spans="1:100">
      <c r="A227" s="554"/>
      <c r="B227" s="442"/>
      <c r="C227" s="442"/>
      <c r="D227" s="442"/>
      <c r="E227" s="442"/>
      <c r="F227" s="442"/>
      <c r="G227" s="442"/>
      <c r="H227" s="549"/>
      <c r="I227" s="549"/>
      <c r="J227" s="549"/>
      <c r="K227" s="549"/>
      <c r="L227" s="549"/>
      <c r="M227" s="549"/>
      <c r="N227" s="549"/>
      <c r="O227" s="549"/>
      <c r="P227" s="549"/>
      <c r="Q227" s="549"/>
      <c r="R227" s="549"/>
      <c r="S227" s="549"/>
      <c r="T227" s="549"/>
      <c r="U227" s="424"/>
      <c r="V227" s="424"/>
      <c r="W227" s="425"/>
      <c r="X227" s="425"/>
      <c r="Y227" s="425"/>
      <c r="Z227" s="425"/>
      <c r="AA227" s="425"/>
      <c r="AH227" s="425"/>
      <c r="AI227" s="425"/>
      <c r="AJ227" s="425"/>
      <c r="AK227" s="425"/>
      <c r="AL227" s="425"/>
      <c r="AM227" s="425"/>
      <c r="AN227" s="437">
        <v>38</v>
      </c>
      <c r="AO227" s="559" t="s">
        <v>268</v>
      </c>
      <c r="AP227" s="559" t="s">
        <v>269</v>
      </c>
      <c r="AQ227" s="559" t="s">
        <v>270</v>
      </c>
      <c r="AR227" s="425" t="str">
        <f t="shared" si="67"/>
        <v>NZ$</v>
      </c>
      <c r="AS227" s="425"/>
      <c r="AT227" s="425"/>
      <c r="AU227" s="425"/>
      <c r="AV227" s="425"/>
      <c r="AW227" s="425"/>
      <c r="AX227" s="425"/>
      <c r="AY227" s="425"/>
      <c r="AZ227" s="425"/>
      <c r="BA227" s="425"/>
      <c r="BB227" s="425"/>
      <c r="BC227" s="425"/>
      <c r="BD227" s="425"/>
      <c r="BE227" s="425"/>
      <c r="BF227" s="425"/>
      <c r="BG227" s="426"/>
      <c r="BH227" s="425"/>
      <c r="BI227" s="425"/>
      <c r="BJ227" s="425"/>
      <c r="BK227" s="425"/>
      <c r="BL227" s="425"/>
      <c r="BM227" s="425"/>
      <c r="BN227" s="425"/>
      <c r="BO227" s="425"/>
      <c r="BP227" s="425"/>
      <c r="BQ227" s="425"/>
      <c r="BR227" s="425"/>
      <c r="BS227" s="425"/>
      <c r="BT227" s="425"/>
      <c r="BU227" s="425"/>
      <c r="BV227" s="425"/>
      <c r="BW227" s="425"/>
      <c r="BX227" s="425"/>
      <c r="BY227" s="425"/>
      <c r="BZ227" s="425"/>
      <c r="CA227" s="425"/>
      <c r="CB227" s="425"/>
      <c r="CC227" s="425"/>
      <c r="CD227" s="425"/>
      <c r="CE227" s="425"/>
      <c r="CF227" s="425"/>
      <c r="CG227" s="425"/>
      <c r="CH227" s="425"/>
      <c r="CI227" s="425"/>
      <c r="CJ227" s="425"/>
      <c r="CK227" s="425"/>
      <c r="CL227" s="425"/>
      <c r="CM227" s="425"/>
      <c r="CN227" s="425"/>
      <c r="CO227" s="425"/>
      <c r="CP227" s="425"/>
      <c r="CQ227" s="425"/>
      <c r="CR227" s="425"/>
      <c r="CS227" s="425"/>
      <c r="CT227" s="425"/>
      <c r="CU227" s="425"/>
      <c r="CV227" s="425"/>
    </row>
    <row r="228" spans="1:100">
      <c r="A228" s="554"/>
      <c r="B228" s="442"/>
      <c r="C228" s="442"/>
      <c r="D228" s="442"/>
      <c r="E228" s="442"/>
      <c r="F228" s="442"/>
      <c r="G228" s="442"/>
      <c r="H228" s="549"/>
      <c r="I228" s="549"/>
      <c r="J228" s="549"/>
      <c r="K228" s="549"/>
      <c r="L228" s="549"/>
      <c r="M228" s="549"/>
      <c r="N228" s="549"/>
      <c r="O228" s="549"/>
      <c r="P228" s="549"/>
      <c r="Q228" s="549"/>
      <c r="R228" s="549"/>
      <c r="S228" s="549"/>
      <c r="T228" s="549"/>
      <c r="U228" s="424"/>
      <c r="V228" s="424"/>
      <c r="W228" s="425"/>
      <c r="X228" s="425"/>
      <c r="Y228" s="425"/>
      <c r="Z228" s="425"/>
      <c r="AA228" s="425"/>
      <c r="AH228" s="425"/>
      <c r="AI228" s="425"/>
      <c r="AJ228" s="425"/>
      <c r="AK228" s="425"/>
      <c r="AL228" s="425"/>
      <c r="AM228" s="425"/>
      <c r="AN228" s="437">
        <v>39</v>
      </c>
      <c r="AO228" s="559" t="s">
        <v>271</v>
      </c>
      <c r="AP228" s="559" t="s">
        <v>272</v>
      </c>
      <c r="AQ228" s="559" t="s">
        <v>272</v>
      </c>
      <c r="AR228" s="425" t="str">
        <f t="shared" si="67"/>
        <v>OMR</v>
      </c>
      <c r="AS228" s="425"/>
      <c r="AT228" s="425"/>
      <c r="AU228" s="425"/>
      <c r="AV228" s="425"/>
      <c r="AW228" s="425"/>
      <c r="AX228" s="425"/>
      <c r="AY228" s="425"/>
      <c r="AZ228" s="425"/>
      <c r="BA228" s="425"/>
      <c r="BB228" s="425"/>
      <c r="BC228" s="425"/>
      <c r="BD228" s="425"/>
      <c r="BE228" s="425"/>
      <c r="BF228" s="425"/>
      <c r="BG228" s="426"/>
      <c r="BH228" s="425"/>
      <c r="BI228" s="425"/>
      <c r="BJ228" s="425"/>
      <c r="BK228" s="425"/>
      <c r="BL228" s="425"/>
      <c r="BM228" s="425"/>
      <c r="BN228" s="425"/>
      <c r="BO228" s="425"/>
      <c r="BP228" s="425"/>
      <c r="BQ228" s="425"/>
      <c r="BR228" s="425"/>
      <c r="BS228" s="425"/>
      <c r="BT228" s="425"/>
      <c r="BU228" s="425"/>
      <c r="BV228" s="425"/>
      <c r="BW228" s="425"/>
      <c r="BX228" s="425"/>
      <c r="BY228" s="425"/>
      <c r="BZ228" s="425"/>
      <c r="CA228" s="425"/>
      <c r="CB228" s="425"/>
      <c r="CC228" s="425"/>
      <c r="CD228" s="425"/>
      <c r="CE228" s="425"/>
      <c r="CF228" s="425"/>
      <c r="CG228" s="425"/>
      <c r="CH228" s="425"/>
      <c r="CI228" s="425"/>
      <c r="CJ228" s="425"/>
      <c r="CK228" s="425"/>
      <c r="CL228" s="425"/>
      <c r="CM228" s="425"/>
      <c r="CN228" s="425"/>
      <c r="CO228" s="425"/>
      <c r="CP228" s="425"/>
      <c r="CQ228" s="425"/>
      <c r="CR228" s="425"/>
      <c r="CS228" s="425"/>
      <c r="CT228" s="425"/>
      <c r="CU228" s="425"/>
      <c r="CV228" s="425"/>
    </row>
    <row r="229" spans="1:100">
      <c r="A229" s="554"/>
      <c r="B229" s="442"/>
      <c r="C229" s="442"/>
      <c r="D229" s="442"/>
      <c r="E229" s="442"/>
      <c r="F229" s="442"/>
      <c r="G229" s="442"/>
      <c r="H229" s="549"/>
      <c r="I229" s="549"/>
      <c r="J229" s="549"/>
      <c r="K229" s="549"/>
      <c r="L229" s="549"/>
      <c r="M229" s="549"/>
      <c r="N229" s="549"/>
      <c r="O229" s="549"/>
      <c r="P229" s="549"/>
      <c r="Q229" s="549"/>
      <c r="R229" s="549"/>
      <c r="S229" s="549"/>
      <c r="T229" s="549"/>
      <c r="U229" s="424"/>
      <c r="V229" s="424"/>
      <c r="W229" s="425"/>
      <c r="X229" s="425"/>
      <c r="Y229" s="425"/>
      <c r="Z229" s="425"/>
      <c r="AA229" s="425"/>
      <c r="AH229" s="425"/>
      <c r="AI229" s="425"/>
      <c r="AJ229" s="425"/>
      <c r="AK229" s="425"/>
      <c r="AL229" s="425"/>
      <c r="AM229" s="425"/>
      <c r="AN229" s="437">
        <v>40</v>
      </c>
      <c r="AO229" s="559" t="s">
        <v>273</v>
      </c>
      <c r="AP229" s="559" t="s">
        <v>274</v>
      </c>
      <c r="AQ229" s="559" t="s">
        <v>274</v>
      </c>
      <c r="AR229" s="425" t="str">
        <f t="shared" si="67"/>
        <v>PAB</v>
      </c>
      <c r="AS229" s="425"/>
      <c r="AT229" s="425"/>
      <c r="AU229" s="425"/>
      <c r="AV229" s="425"/>
      <c r="AW229" s="425"/>
      <c r="AX229" s="425"/>
      <c r="AY229" s="425"/>
      <c r="AZ229" s="425"/>
      <c r="BA229" s="425"/>
      <c r="BB229" s="425"/>
      <c r="BC229" s="425"/>
      <c r="BD229" s="425"/>
      <c r="BE229" s="425"/>
      <c r="BF229" s="425"/>
      <c r="BG229" s="426"/>
      <c r="BH229" s="425"/>
      <c r="BI229" s="425"/>
      <c r="BJ229" s="425"/>
      <c r="BK229" s="425"/>
      <c r="BL229" s="425"/>
      <c r="BM229" s="425"/>
      <c r="BN229" s="425"/>
      <c r="BO229" s="425"/>
      <c r="BP229" s="425"/>
      <c r="BQ229" s="425"/>
      <c r="BR229" s="425"/>
      <c r="BS229" s="425"/>
      <c r="BT229" s="425"/>
      <c r="BU229" s="425"/>
      <c r="BV229" s="425"/>
      <c r="BW229" s="425"/>
      <c r="BX229" s="425"/>
      <c r="BY229" s="425"/>
      <c r="BZ229" s="425"/>
      <c r="CA229" s="425"/>
      <c r="CB229" s="425"/>
      <c r="CC229" s="425"/>
      <c r="CD229" s="425"/>
      <c r="CE229" s="425"/>
      <c r="CF229" s="425"/>
      <c r="CG229" s="425"/>
      <c r="CH229" s="425"/>
      <c r="CI229" s="425"/>
      <c r="CJ229" s="425"/>
      <c r="CK229" s="425"/>
      <c r="CL229" s="425"/>
      <c r="CM229" s="425"/>
      <c r="CN229" s="425"/>
      <c r="CO229" s="425"/>
      <c r="CP229" s="425"/>
      <c r="CQ229" s="425"/>
      <c r="CR229" s="425"/>
      <c r="CS229" s="425"/>
      <c r="CT229" s="425"/>
      <c r="CU229" s="425"/>
      <c r="CV229" s="425"/>
    </row>
    <row r="230" spans="1:100">
      <c r="A230" s="554"/>
      <c r="B230" s="442"/>
      <c r="C230" s="442"/>
      <c r="D230" s="442"/>
      <c r="E230" s="442"/>
      <c r="F230" s="442"/>
      <c r="G230" s="442"/>
      <c r="H230" s="549"/>
      <c r="I230" s="549"/>
      <c r="J230" s="549"/>
      <c r="K230" s="549"/>
      <c r="L230" s="549"/>
      <c r="M230" s="549"/>
      <c r="N230" s="549"/>
      <c r="O230" s="549"/>
      <c r="P230" s="549"/>
      <c r="Q230" s="549"/>
      <c r="R230" s="549"/>
      <c r="S230" s="549"/>
      <c r="T230" s="549"/>
      <c r="U230" s="424"/>
      <c r="V230" s="424"/>
      <c r="W230" s="425"/>
      <c r="X230" s="425"/>
      <c r="Y230" s="425"/>
      <c r="Z230" s="425"/>
      <c r="AA230" s="425"/>
      <c r="AH230" s="425"/>
      <c r="AI230" s="425"/>
      <c r="AJ230" s="425"/>
      <c r="AK230" s="425"/>
      <c r="AL230" s="425"/>
      <c r="AM230" s="425"/>
      <c r="AN230" s="437">
        <v>41</v>
      </c>
      <c r="AO230" s="559" t="s">
        <v>275</v>
      </c>
      <c r="AP230" s="559" t="s">
        <v>276</v>
      </c>
      <c r="AQ230" s="559" t="s">
        <v>276</v>
      </c>
      <c r="AR230" s="425" t="str">
        <f t="shared" si="67"/>
        <v>PEN</v>
      </c>
      <c r="AS230" s="425"/>
      <c r="AT230" s="425"/>
      <c r="AU230" s="425"/>
      <c r="AV230" s="425"/>
      <c r="AW230" s="425"/>
      <c r="AX230" s="425"/>
      <c r="AY230" s="425"/>
      <c r="AZ230" s="425"/>
      <c r="BA230" s="425"/>
      <c r="BB230" s="425"/>
      <c r="BC230" s="425"/>
      <c r="BD230" s="425"/>
      <c r="BE230" s="425"/>
      <c r="BF230" s="425"/>
      <c r="BG230" s="426"/>
      <c r="BH230" s="425"/>
      <c r="BI230" s="425"/>
      <c r="BJ230" s="425"/>
      <c r="BK230" s="425"/>
      <c r="BL230" s="425"/>
      <c r="BM230" s="425"/>
      <c r="BN230" s="425"/>
      <c r="BO230" s="425"/>
      <c r="BP230" s="425"/>
      <c r="BQ230" s="425"/>
      <c r="BR230" s="425"/>
      <c r="BS230" s="425"/>
      <c r="BT230" s="425"/>
      <c r="BU230" s="425"/>
      <c r="BV230" s="425"/>
      <c r="BW230" s="425"/>
      <c r="BX230" s="425"/>
      <c r="BY230" s="425"/>
      <c r="BZ230" s="425"/>
      <c r="CA230" s="425"/>
      <c r="CB230" s="425"/>
      <c r="CC230" s="425"/>
      <c r="CD230" s="425"/>
      <c r="CE230" s="425"/>
      <c r="CF230" s="425"/>
      <c r="CG230" s="425"/>
      <c r="CH230" s="425"/>
      <c r="CI230" s="425"/>
      <c r="CJ230" s="425"/>
      <c r="CK230" s="425"/>
      <c r="CL230" s="425"/>
      <c r="CM230" s="425"/>
      <c r="CN230" s="425"/>
      <c r="CO230" s="425"/>
      <c r="CP230" s="425"/>
      <c r="CQ230" s="425"/>
      <c r="CR230" s="425"/>
      <c r="CS230" s="425"/>
      <c r="CT230" s="425"/>
      <c r="CU230" s="425"/>
      <c r="CV230" s="425"/>
    </row>
    <row r="231" spans="1:100">
      <c r="A231" s="554"/>
      <c r="B231" s="442"/>
      <c r="C231" s="442"/>
      <c r="D231" s="442"/>
      <c r="E231" s="442"/>
      <c r="F231" s="442"/>
      <c r="G231" s="442"/>
      <c r="H231" s="549"/>
      <c r="I231" s="549"/>
      <c r="J231" s="549"/>
      <c r="K231" s="549"/>
      <c r="L231" s="549"/>
      <c r="M231" s="549"/>
      <c r="N231" s="549"/>
      <c r="O231" s="549"/>
      <c r="P231" s="549"/>
      <c r="Q231" s="549"/>
      <c r="R231" s="549"/>
      <c r="S231" s="549"/>
      <c r="T231" s="549"/>
      <c r="U231" s="424"/>
      <c r="V231" s="424"/>
      <c r="W231" s="425"/>
      <c r="X231" s="425"/>
      <c r="Y231" s="425"/>
      <c r="Z231" s="425"/>
      <c r="AA231" s="425"/>
      <c r="AH231" s="425"/>
      <c r="AI231" s="425"/>
      <c r="AJ231" s="425"/>
      <c r="AK231" s="425"/>
      <c r="AL231" s="425"/>
      <c r="AM231" s="425"/>
      <c r="AN231" s="437">
        <v>42</v>
      </c>
      <c r="AO231" s="559" t="s">
        <v>277</v>
      </c>
      <c r="AP231" s="559" t="s">
        <v>278</v>
      </c>
      <c r="AQ231" s="559" t="s">
        <v>279</v>
      </c>
      <c r="AR231" s="425" t="str">
        <f t="shared" si="67"/>
        <v>PP</v>
      </c>
      <c r="AS231" s="425"/>
      <c r="AT231" s="425"/>
      <c r="AU231" s="425"/>
      <c r="AV231" s="425"/>
      <c r="AW231" s="425"/>
      <c r="AX231" s="425"/>
      <c r="AY231" s="425"/>
      <c r="AZ231" s="425"/>
      <c r="BA231" s="425"/>
      <c r="BB231" s="425"/>
      <c r="BC231" s="425"/>
      <c r="BD231" s="425"/>
      <c r="BE231" s="425"/>
      <c r="BF231" s="425"/>
      <c r="BG231" s="426"/>
      <c r="BH231" s="425"/>
      <c r="BI231" s="425"/>
      <c r="BJ231" s="425"/>
      <c r="BK231" s="425"/>
      <c r="BL231" s="425"/>
      <c r="BM231" s="425"/>
      <c r="BN231" s="425"/>
      <c r="BO231" s="425"/>
      <c r="BP231" s="425"/>
      <c r="BQ231" s="425"/>
      <c r="BR231" s="425"/>
      <c r="BS231" s="425"/>
      <c r="BT231" s="425"/>
      <c r="BU231" s="425"/>
      <c r="BV231" s="425"/>
      <c r="BW231" s="425"/>
      <c r="BX231" s="425"/>
      <c r="BY231" s="425"/>
      <c r="BZ231" s="425"/>
      <c r="CA231" s="425"/>
      <c r="CB231" s="425"/>
      <c r="CC231" s="425"/>
      <c r="CD231" s="425"/>
      <c r="CE231" s="425"/>
      <c r="CF231" s="425"/>
      <c r="CG231" s="425"/>
      <c r="CH231" s="425"/>
      <c r="CI231" s="425"/>
      <c r="CJ231" s="425"/>
      <c r="CK231" s="425"/>
      <c r="CL231" s="425"/>
      <c r="CM231" s="425"/>
      <c r="CN231" s="425"/>
      <c r="CO231" s="425"/>
      <c r="CP231" s="425"/>
      <c r="CQ231" s="425"/>
      <c r="CR231" s="425"/>
      <c r="CS231" s="425"/>
      <c r="CT231" s="425"/>
      <c r="CU231" s="425"/>
      <c r="CV231" s="425"/>
    </row>
    <row r="232" spans="1:100">
      <c r="A232" s="554"/>
      <c r="B232" s="442"/>
      <c r="C232" s="442"/>
      <c r="D232" s="442"/>
      <c r="E232" s="442"/>
      <c r="F232" s="442"/>
      <c r="G232" s="442"/>
      <c r="H232" s="549"/>
      <c r="I232" s="549"/>
      <c r="J232" s="549"/>
      <c r="K232" s="549"/>
      <c r="L232" s="549"/>
      <c r="M232" s="549"/>
      <c r="N232" s="549"/>
      <c r="O232" s="549"/>
      <c r="P232" s="549"/>
      <c r="Q232" s="549"/>
      <c r="R232" s="549"/>
      <c r="S232" s="549"/>
      <c r="T232" s="549"/>
      <c r="U232" s="424"/>
      <c r="V232" s="424"/>
      <c r="W232" s="425"/>
      <c r="X232" s="425"/>
      <c r="Y232" s="425"/>
      <c r="Z232" s="425"/>
      <c r="AA232" s="425"/>
      <c r="AH232" s="425"/>
      <c r="AI232" s="425"/>
      <c r="AJ232" s="425"/>
      <c r="AK232" s="425"/>
      <c r="AL232" s="425"/>
      <c r="AM232" s="425"/>
      <c r="AN232" s="437">
        <v>43</v>
      </c>
      <c r="AO232" s="559" t="s">
        <v>280</v>
      </c>
      <c r="AP232" s="559" t="s">
        <v>232</v>
      </c>
      <c r="AQ232" s="559" t="s">
        <v>281</v>
      </c>
      <c r="AR232" s="425" t="str">
        <f t="shared" si="67"/>
        <v>Rs.</v>
      </c>
      <c r="AS232" s="425"/>
      <c r="AT232" s="425"/>
      <c r="AU232" s="425"/>
      <c r="AV232" s="425"/>
      <c r="AW232" s="425"/>
      <c r="AX232" s="425"/>
      <c r="AY232" s="425"/>
      <c r="AZ232" s="425"/>
      <c r="BA232" s="425"/>
      <c r="BB232" s="425"/>
      <c r="BC232" s="425"/>
      <c r="BD232" s="425"/>
      <c r="BE232" s="425"/>
      <c r="BF232" s="425"/>
      <c r="BG232" s="426"/>
      <c r="BH232" s="425"/>
      <c r="BI232" s="425"/>
      <c r="BJ232" s="425"/>
      <c r="BK232" s="425"/>
      <c r="BL232" s="425"/>
      <c r="BM232" s="425"/>
      <c r="BN232" s="425"/>
      <c r="BO232" s="425"/>
      <c r="BP232" s="425"/>
      <c r="BQ232" s="425"/>
      <c r="BR232" s="425"/>
      <c r="BS232" s="425"/>
      <c r="BT232" s="425"/>
      <c r="BU232" s="425"/>
      <c r="BV232" s="425"/>
      <c r="BW232" s="425"/>
      <c r="BX232" s="425"/>
      <c r="BY232" s="425"/>
      <c r="BZ232" s="425"/>
      <c r="CA232" s="425"/>
      <c r="CB232" s="425"/>
      <c r="CC232" s="425"/>
      <c r="CD232" s="425"/>
      <c r="CE232" s="425"/>
      <c r="CF232" s="425"/>
      <c r="CG232" s="425"/>
      <c r="CH232" s="425"/>
      <c r="CI232" s="425"/>
      <c r="CJ232" s="425"/>
      <c r="CK232" s="425"/>
      <c r="CL232" s="425"/>
      <c r="CM232" s="425"/>
      <c r="CN232" s="425"/>
      <c r="CO232" s="425"/>
      <c r="CP232" s="425"/>
      <c r="CQ232" s="425"/>
      <c r="CR232" s="425"/>
      <c r="CS232" s="425"/>
      <c r="CT232" s="425"/>
      <c r="CU232" s="425"/>
      <c r="CV232" s="425"/>
    </row>
    <row r="233" spans="1:100">
      <c r="A233" s="554"/>
      <c r="B233" s="442"/>
      <c r="C233" s="442"/>
      <c r="D233" s="442"/>
      <c r="E233" s="442"/>
      <c r="F233" s="442"/>
      <c r="G233" s="442"/>
      <c r="H233" s="549"/>
      <c r="I233" s="549"/>
      <c r="J233" s="549"/>
      <c r="K233" s="549"/>
      <c r="L233" s="549"/>
      <c r="M233" s="549"/>
      <c r="N233" s="549"/>
      <c r="O233" s="549"/>
      <c r="P233" s="549"/>
      <c r="Q233" s="549"/>
      <c r="R233" s="549"/>
      <c r="S233" s="549"/>
      <c r="T233" s="549"/>
      <c r="U233" s="424"/>
      <c r="V233" s="424"/>
      <c r="W233" s="425"/>
      <c r="X233" s="425"/>
      <c r="Y233" s="425"/>
      <c r="Z233" s="425"/>
      <c r="AA233" s="425"/>
      <c r="AH233" s="425"/>
      <c r="AI233" s="425"/>
      <c r="AJ233" s="425"/>
      <c r="AK233" s="425"/>
      <c r="AL233" s="425"/>
      <c r="AM233" s="425"/>
      <c r="AN233" s="437">
        <v>44</v>
      </c>
      <c r="AO233" s="559" t="s">
        <v>282</v>
      </c>
      <c r="AP233" s="559" t="s">
        <v>283</v>
      </c>
      <c r="AQ233" s="559" t="s">
        <v>284</v>
      </c>
      <c r="AR233" s="425" t="str">
        <f t="shared" si="67"/>
        <v>zł</v>
      </c>
      <c r="AS233" s="425"/>
      <c r="AT233" s="425"/>
      <c r="AU233" s="425"/>
      <c r="AV233" s="425"/>
      <c r="AW233" s="425"/>
      <c r="AX233" s="425"/>
      <c r="AY233" s="425"/>
      <c r="AZ233" s="425"/>
      <c r="BA233" s="425"/>
      <c r="BB233" s="425"/>
      <c r="BC233" s="425"/>
      <c r="BD233" s="425"/>
      <c r="BE233" s="425"/>
      <c r="BF233" s="425"/>
      <c r="BG233" s="426"/>
      <c r="BH233" s="425"/>
      <c r="BI233" s="425"/>
      <c r="BJ233" s="425"/>
      <c r="BK233" s="425"/>
      <c r="BL233" s="425"/>
      <c r="BM233" s="425"/>
      <c r="BN233" s="425"/>
      <c r="BO233" s="425"/>
      <c r="BP233" s="425"/>
      <c r="BQ233" s="425"/>
      <c r="BR233" s="425"/>
      <c r="BS233" s="425"/>
      <c r="BT233" s="425"/>
      <c r="BU233" s="425"/>
      <c r="BV233" s="425"/>
      <c r="BW233" s="425"/>
      <c r="BX233" s="425"/>
      <c r="BY233" s="425"/>
      <c r="BZ233" s="425"/>
      <c r="CA233" s="425"/>
      <c r="CB233" s="425"/>
      <c r="CC233" s="425"/>
      <c r="CD233" s="425"/>
      <c r="CE233" s="425"/>
      <c r="CF233" s="425"/>
      <c r="CG233" s="425"/>
      <c r="CH233" s="425"/>
      <c r="CI233" s="425"/>
      <c r="CJ233" s="425"/>
      <c r="CK233" s="425"/>
      <c r="CL233" s="425"/>
      <c r="CM233" s="425"/>
      <c r="CN233" s="425"/>
      <c r="CO233" s="425"/>
      <c r="CP233" s="425"/>
      <c r="CQ233" s="425"/>
      <c r="CR233" s="425"/>
      <c r="CS233" s="425"/>
      <c r="CT233" s="425"/>
      <c r="CU233" s="425"/>
      <c r="CV233" s="425"/>
    </row>
    <row r="234" spans="1:100">
      <c r="A234" s="554"/>
      <c r="B234" s="442"/>
      <c r="C234" s="442"/>
      <c r="D234" s="442"/>
      <c r="E234" s="442"/>
      <c r="F234" s="442"/>
      <c r="G234" s="442"/>
      <c r="H234" s="549"/>
      <c r="I234" s="549"/>
      <c r="J234" s="549"/>
      <c r="K234" s="549"/>
      <c r="L234" s="549"/>
      <c r="M234" s="549"/>
      <c r="N234" s="549"/>
      <c r="O234" s="549"/>
      <c r="P234" s="549"/>
      <c r="Q234" s="549"/>
      <c r="R234" s="549"/>
      <c r="S234" s="549"/>
      <c r="T234" s="549"/>
      <c r="U234" s="424"/>
      <c r="V234" s="424"/>
      <c r="W234" s="425"/>
      <c r="X234" s="425"/>
      <c r="Y234" s="425"/>
      <c r="Z234" s="425"/>
      <c r="AA234" s="425"/>
      <c r="AH234" s="425"/>
      <c r="AI234" s="425"/>
      <c r="AJ234" s="425"/>
      <c r="AK234" s="425"/>
      <c r="AL234" s="425"/>
      <c r="AM234" s="425"/>
      <c r="AN234" s="437">
        <v>45</v>
      </c>
      <c r="AO234" s="559" t="s">
        <v>285</v>
      </c>
      <c r="AP234" s="559" t="s">
        <v>286</v>
      </c>
      <c r="AQ234" s="559" t="s">
        <v>286</v>
      </c>
      <c r="AR234" s="425" t="str">
        <f t="shared" si="67"/>
        <v>RUB</v>
      </c>
      <c r="AS234" s="425"/>
      <c r="AT234" s="425"/>
      <c r="AU234" s="425"/>
      <c r="AV234" s="425"/>
      <c r="AW234" s="425"/>
      <c r="AX234" s="425"/>
      <c r="AY234" s="425"/>
      <c r="AZ234" s="425"/>
      <c r="BA234" s="425"/>
      <c r="BB234" s="425"/>
      <c r="BC234" s="425"/>
      <c r="BD234" s="425"/>
      <c r="BE234" s="425"/>
      <c r="BF234" s="425"/>
      <c r="BG234" s="426"/>
      <c r="BH234" s="425"/>
      <c r="BI234" s="425"/>
      <c r="BJ234" s="425"/>
      <c r="BK234" s="425"/>
      <c r="BL234" s="425"/>
      <c r="BM234" s="425"/>
      <c r="BN234" s="425"/>
      <c r="BO234" s="425"/>
      <c r="BP234" s="425"/>
      <c r="BQ234" s="425"/>
      <c r="BR234" s="425"/>
      <c r="BS234" s="425"/>
      <c r="BT234" s="425"/>
      <c r="BU234" s="425"/>
      <c r="BV234" s="425"/>
      <c r="BW234" s="425"/>
      <c r="BX234" s="425"/>
      <c r="BY234" s="425"/>
      <c r="BZ234" s="425"/>
      <c r="CA234" s="425"/>
      <c r="CB234" s="425"/>
      <c r="CC234" s="425"/>
      <c r="CD234" s="425"/>
      <c r="CE234" s="425"/>
      <c r="CF234" s="425"/>
      <c r="CG234" s="425"/>
      <c r="CH234" s="425"/>
      <c r="CI234" s="425"/>
      <c r="CJ234" s="425"/>
      <c r="CK234" s="425"/>
      <c r="CL234" s="425"/>
      <c r="CM234" s="425"/>
      <c r="CN234" s="425"/>
      <c r="CO234" s="425"/>
      <c r="CP234" s="425"/>
      <c r="CQ234" s="425"/>
      <c r="CR234" s="425"/>
      <c r="CS234" s="425"/>
      <c r="CT234" s="425"/>
      <c r="CU234" s="425"/>
      <c r="CV234" s="425"/>
    </row>
    <row r="235" spans="1:100">
      <c r="A235" s="554"/>
      <c r="B235" s="442"/>
      <c r="C235" s="442"/>
      <c r="D235" s="442"/>
      <c r="E235" s="442"/>
      <c r="F235" s="442"/>
      <c r="G235" s="442"/>
      <c r="H235" s="549"/>
      <c r="I235" s="549"/>
      <c r="J235" s="549"/>
      <c r="K235" s="549"/>
      <c r="L235" s="549"/>
      <c r="M235" s="549"/>
      <c r="N235" s="549"/>
      <c r="O235" s="549"/>
      <c r="P235" s="549"/>
      <c r="Q235" s="549"/>
      <c r="R235" s="549"/>
      <c r="S235" s="549"/>
      <c r="T235" s="549"/>
      <c r="U235" s="424"/>
      <c r="V235" s="424"/>
      <c r="W235" s="425"/>
      <c r="X235" s="425"/>
      <c r="Y235" s="425"/>
      <c r="Z235" s="425"/>
      <c r="AA235" s="425"/>
      <c r="AH235" s="425"/>
      <c r="AI235" s="425"/>
      <c r="AJ235" s="425"/>
      <c r="AK235" s="425"/>
      <c r="AL235" s="425"/>
      <c r="AM235" s="425"/>
      <c r="AN235" s="437">
        <v>46</v>
      </c>
      <c r="AO235" s="559" t="s">
        <v>287</v>
      </c>
      <c r="AP235" s="559" t="s">
        <v>288</v>
      </c>
      <c r="AQ235" s="559" t="s">
        <v>288</v>
      </c>
      <c r="AR235" s="425" t="str">
        <f t="shared" si="67"/>
        <v>SAR</v>
      </c>
      <c r="AS235" s="425"/>
      <c r="AT235" s="425"/>
      <c r="AU235" s="425"/>
      <c r="AV235" s="425"/>
      <c r="AW235" s="425"/>
      <c r="AX235" s="425"/>
      <c r="AY235" s="425"/>
      <c r="AZ235" s="425"/>
      <c r="BA235" s="425"/>
      <c r="BB235" s="425"/>
      <c r="BC235" s="425"/>
      <c r="BD235" s="425"/>
      <c r="BE235" s="425"/>
      <c r="BF235" s="425"/>
      <c r="BG235" s="426"/>
      <c r="BH235" s="425"/>
      <c r="BI235" s="425"/>
      <c r="BJ235" s="425"/>
      <c r="BK235" s="425"/>
      <c r="BL235" s="425"/>
      <c r="BM235" s="425"/>
      <c r="BN235" s="425"/>
      <c r="BO235" s="425"/>
      <c r="BP235" s="425"/>
      <c r="BQ235" s="425"/>
      <c r="BR235" s="425"/>
      <c r="BS235" s="425"/>
      <c r="BT235" s="425"/>
      <c r="BU235" s="425"/>
      <c r="BV235" s="425"/>
      <c r="BW235" s="425"/>
      <c r="BX235" s="425"/>
      <c r="BY235" s="425"/>
      <c r="BZ235" s="425"/>
      <c r="CA235" s="425"/>
      <c r="CB235" s="425"/>
      <c r="CC235" s="425"/>
      <c r="CD235" s="425"/>
      <c r="CE235" s="425"/>
      <c r="CF235" s="425"/>
      <c r="CG235" s="425"/>
      <c r="CH235" s="425"/>
      <c r="CI235" s="425"/>
      <c r="CJ235" s="425"/>
      <c r="CK235" s="425"/>
      <c r="CL235" s="425"/>
      <c r="CM235" s="425"/>
      <c r="CN235" s="425"/>
      <c r="CO235" s="425"/>
      <c r="CP235" s="425"/>
      <c r="CQ235" s="425"/>
      <c r="CR235" s="425"/>
      <c r="CS235" s="425"/>
      <c r="CT235" s="425"/>
      <c r="CU235" s="425"/>
      <c r="CV235" s="425"/>
    </row>
    <row r="236" spans="1:100">
      <c r="A236" s="554"/>
      <c r="B236" s="442"/>
      <c r="C236" s="442"/>
      <c r="D236" s="442"/>
      <c r="E236" s="442"/>
      <c r="F236" s="442"/>
      <c r="G236" s="442"/>
      <c r="H236" s="549"/>
      <c r="I236" s="549"/>
      <c r="J236" s="549"/>
      <c r="K236" s="549"/>
      <c r="L236" s="549"/>
      <c r="M236" s="549"/>
      <c r="N236" s="549"/>
      <c r="O236" s="549"/>
      <c r="P236" s="549"/>
      <c r="Q236" s="549"/>
      <c r="R236" s="549"/>
      <c r="S236" s="549"/>
      <c r="T236" s="549"/>
      <c r="U236" s="424"/>
      <c r="V236" s="424"/>
      <c r="W236" s="425"/>
      <c r="X236" s="425"/>
      <c r="Y236" s="425"/>
      <c r="Z236" s="425"/>
      <c r="AA236" s="425"/>
      <c r="AH236" s="425"/>
      <c r="AI236" s="425"/>
      <c r="AJ236" s="425"/>
      <c r="AK236" s="425"/>
      <c r="AL236" s="425"/>
      <c r="AM236" s="425"/>
      <c r="AN236" s="437">
        <v>47</v>
      </c>
      <c r="AO236" s="559" t="s">
        <v>289</v>
      </c>
      <c r="AP236" s="559" t="s">
        <v>290</v>
      </c>
      <c r="AQ236" s="559" t="s">
        <v>291</v>
      </c>
      <c r="AR236" s="425" t="str">
        <f t="shared" si="67"/>
        <v>SKr</v>
      </c>
      <c r="AS236" s="425"/>
      <c r="AT236" s="425"/>
      <c r="AU236" s="425"/>
      <c r="AV236" s="425"/>
      <c r="AW236" s="425"/>
      <c r="AX236" s="425"/>
      <c r="AY236" s="425"/>
      <c r="AZ236" s="425"/>
      <c r="BA236" s="425"/>
      <c r="BB236" s="425"/>
      <c r="BC236" s="425"/>
      <c r="BD236" s="425"/>
      <c r="BE236" s="425"/>
      <c r="BF236" s="425"/>
      <c r="BG236" s="426"/>
      <c r="BH236" s="425"/>
      <c r="BI236" s="425"/>
      <c r="BJ236" s="425"/>
      <c r="BK236" s="425"/>
      <c r="BL236" s="425"/>
      <c r="BM236" s="425"/>
      <c r="BN236" s="425"/>
      <c r="BO236" s="425"/>
      <c r="BP236" s="425"/>
      <c r="BQ236" s="425"/>
      <c r="BR236" s="425"/>
      <c r="BS236" s="425"/>
      <c r="BT236" s="425"/>
      <c r="BU236" s="425"/>
      <c r="BV236" s="425"/>
      <c r="BW236" s="425"/>
      <c r="BX236" s="425"/>
      <c r="BY236" s="425"/>
      <c r="BZ236" s="425"/>
      <c r="CA236" s="425"/>
      <c r="CB236" s="425"/>
      <c r="CC236" s="425"/>
      <c r="CD236" s="425"/>
      <c r="CE236" s="425"/>
      <c r="CF236" s="425"/>
      <c r="CG236" s="425"/>
      <c r="CH236" s="425"/>
      <c r="CI236" s="425"/>
      <c r="CJ236" s="425"/>
      <c r="CK236" s="425"/>
      <c r="CL236" s="425"/>
      <c r="CM236" s="425"/>
      <c r="CN236" s="425"/>
      <c r="CO236" s="425"/>
      <c r="CP236" s="425"/>
      <c r="CQ236" s="425"/>
      <c r="CR236" s="425"/>
      <c r="CS236" s="425"/>
      <c r="CT236" s="425"/>
      <c r="CU236" s="425"/>
      <c r="CV236" s="425"/>
    </row>
    <row r="237" spans="1:100">
      <c r="A237" s="554"/>
      <c r="B237" s="442"/>
      <c r="C237" s="442"/>
      <c r="D237" s="442"/>
      <c r="E237" s="442"/>
      <c r="F237" s="442"/>
      <c r="G237" s="442"/>
      <c r="H237" s="549"/>
      <c r="I237" s="549"/>
      <c r="J237" s="549"/>
      <c r="K237" s="549"/>
      <c r="L237" s="549"/>
      <c r="M237" s="549"/>
      <c r="N237" s="549"/>
      <c r="O237" s="549"/>
      <c r="P237" s="549"/>
      <c r="Q237" s="549"/>
      <c r="R237" s="549"/>
      <c r="S237" s="549"/>
      <c r="T237" s="549"/>
      <c r="U237" s="424"/>
      <c r="V237" s="424"/>
      <c r="W237" s="425"/>
      <c r="X237" s="425"/>
      <c r="Y237" s="425"/>
      <c r="Z237" s="425"/>
      <c r="AA237" s="425"/>
      <c r="AH237" s="425"/>
      <c r="AI237" s="425"/>
      <c r="AJ237" s="425"/>
      <c r="AK237" s="425"/>
      <c r="AL237" s="425"/>
      <c r="AM237" s="425"/>
      <c r="AN237" s="437">
        <v>48</v>
      </c>
      <c r="AO237" s="559" t="s">
        <v>292</v>
      </c>
      <c r="AP237" s="559" t="s">
        <v>293</v>
      </c>
      <c r="AQ237" s="559" t="s">
        <v>294</v>
      </c>
      <c r="AR237" s="425" t="str">
        <f t="shared" si="67"/>
        <v>S$</v>
      </c>
      <c r="AS237" s="425"/>
      <c r="AT237" s="425"/>
      <c r="AU237" s="425"/>
      <c r="AV237" s="425"/>
      <c r="AW237" s="425"/>
      <c r="AX237" s="425"/>
      <c r="AY237" s="425"/>
      <c r="AZ237" s="425"/>
      <c r="BA237" s="425"/>
      <c r="BB237" s="425"/>
      <c r="BC237" s="425"/>
      <c r="BD237" s="425"/>
      <c r="BE237" s="425"/>
      <c r="BF237" s="425"/>
      <c r="BG237" s="426"/>
      <c r="BH237" s="425"/>
      <c r="BI237" s="425"/>
      <c r="BJ237" s="425"/>
      <c r="BK237" s="425"/>
      <c r="BL237" s="425"/>
      <c r="BM237" s="425"/>
      <c r="BN237" s="425"/>
      <c r="BO237" s="425"/>
      <c r="BP237" s="425"/>
      <c r="BQ237" s="425"/>
      <c r="BR237" s="425"/>
      <c r="BS237" s="425"/>
      <c r="BT237" s="425"/>
      <c r="BU237" s="425"/>
      <c r="BV237" s="425"/>
      <c r="BW237" s="425"/>
      <c r="BX237" s="425"/>
      <c r="BY237" s="425"/>
      <c r="BZ237" s="425"/>
      <c r="CA237" s="425"/>
      <c r="CB237" s="425"/>
      <c r="CC237" s="425"/>
      <c r="CD237" s="425"/>
      <c r="CE237" s="425"/>
      <c r="CF237" s="425"/>
      <c r="CG237" s="425"/>
      <c r="CH237" s="425"/>
      <c r="CI237" s="425"/>
      <c r="CJ237" s="425"/>
      <c r="CK237" s="425"/>
      <c r="CL237" s="425"/>
      <c r="CM237" s="425"/>
      <c r="CN237" s="425"/>
      <c r="CO237" s="425"/>
      <c r="CP237" s="425"/>
      <c r="CQ237" s="425"/>
      <c r="CR237" s="425"/>
      <c r="CS237" s="425"/>
      <c r="CT237" s="425"/>
      <c r="CU237" s="425"/>
      <c r="CV237" s="425"/>
    </row>
    <row r="238" spans="1:100">
      <c r="A238" s="554"/>
      <c r="B238" s="442"/>
      <c r="C238" s="442"/>
      <c r="D238" s="442"/>
      <c r="E238" s="442"/>
      <c r="F238" s="442"/>
      <c r="G238" s="442"/>
      <c r="H238" s="549"/>
      <c r="I238" s="549"/>
      <c r="J238" s="549"/>
      <c r="K238" s="549"/>
      <c r="L238" s="549"/>
      <c r="M238" s="549"/>
      <c r="N238" s="549"/>
      <c r="O238" s="549"/>
      <c r="P238" s="549"/>
      <c r="Q238" s="549"/>
      <c r="R238" s="549"/>
      <c r="S238" s="549"/>
      <c r="T238" s="549"/>
      <c r="U238" s="424"/>
      <c r="V238" s="424"/>
      <c r="W238" s="425"/>
      <c r="X238" s="425"/>
      <c r="Y238" s="425"/>
      <c r="Z238" s="425"/>
      <c r="AA238" s="425"/>
      <c r="AH238" s="425"/>
      <c r="AI238" s="425"/>
      <c r="AJ238" s="425"/>
      <c r="AK238" s="425"/>
      <c r="AL238" s="425"/>
      <c r="AM238" s="425"/>
      <c r="AN238" s="437">
        <v>49</v>
      </c>
      <c r="AO238" s="559" t="s">
        <v>295</v>
      </c>
      <c r="AP238" s="559" t="s">
        <v>296</v>
      </c>
      <c r="AQ238" s="559" t="s">
        <v>297</v>
      </c>
      <c r="AR238" s="425" t="str">
        <f t="shared" si="67"/>
        <v>Bt</v>
      </c>
      <c r="AS238" s="425"/>
      <c r="AT238" s="425"/>
      <c r="AU238" s="425"/>
      <c r="AV238" s="425"/>
      <c r="AW238" s="425"/>
      <c r="AX238" s="425"/>
      <c r="AY238" s="425"/>
      <c r="AZ238" s="425"/>
      <c r="BA238" s="425"/>
      <c r="BB238" s="425"/>
      <c r="BC238" s="425"/>
      <c r="BD238" s="425"/>
      <c r="BE238" s="425"/>
      <c r="BF238" s="425"/>
      <c r="BG238" s="426"/>
      <c r="BH238" s="425"/>
      <c r="BI238" s="425"/>
      <c r="BJ238" s="425"/>
      <c r="BK238" s="425"/>
      <c r="BL238" s="425"/>
      <c r="BM238" s="425"/>
      <c r="BN238" s="425"/>
      <c r="BO238" s="425"/>
      <c r="BP238" s="425"/>
      <c r="BQ238" s="425"/>
      <c r="BR238" s="425"/>
      <c r="BS238" s="425"/>
      <c r="BT238" s="425"/>
      <c r="BU238" s="425"/>
      <c r="BV238" s="425"/>
      <c r="BW238" s="425"/>
      <c r="BX238" s="425"/>
      <c r="BY238" s="425"/>
      <c r="BZ238" s="425"/>
      <c r="CA238" s="425"/>
      <c r="CB238" s="425"/>
      <c r="CC238" s="425"/>
      <c r="CD238" s="425"/>
      <c r="CE238" s="425"/>
      <c r="CF238" s="425"/>
      <c r="CG238" s="425"/>
      <c r="CH238" s="425"/>
      <c r="CI238" s="425"/>
      <c r="CJ238" s="425"/>
      <c r="CK238" s="425"/>
      <c r="CL238" s="425"/>
      <c r="CM238" s="425"/>
      <c r="CN238" s="425"/>
      <c r="CO238" s="425"/>
      <c r="CP238" s="425"/>
      <c r="CQ238" s="425"/>
      <c r="CR238" s="425"/>
      <c r="CS238" s="425"/>
      <c r="CT238" s="425"/>
      <c r="CU238" s="425"/>
      <c r="CV238" s="425"/>
    </row>
    <row r="239" spans="1:100">
      <c r="A239" s="554"/>
      <c r="B239" s="442"/>
      <c r="C239" s="442"/>
      <c r="D239" s="442"/>
      <c r="E239" s="442"/>
      <c r="F239" s="442"/>
      <c r="G239" s="442"/>
      <c r="H239" s="549"/>
      <c r="I239" s="549"/>
      <c r="J239" s="549"/>
      <c r="K239" s="549"/>
      <c r="L239" s="549"/>
      <c r="M239" s="549"/>
      <c r="N239" s="549"/>
      <c r="O239" s="549"/>
      <c r="P239" s="549"/>
      <c r="Q239" s="549"/>
      <c r="R239" s="549"/>
      <c r="S239" s="549"/>
      <c r="T239" s="549"/>
      <c r="U239" s="424"/>
      <c r="V239" s="424"/>
      <c r="W239" s="425"/>
      <c r="X239" s="425"/>
      <c r="Y239" s="425"/>
      <c r="Z239" s="425"/>
      <c r="AA239" s="425"/>
      <c r="AH239" s="425"/>
      <c r="AI239" s="425"/>
      <c r="AJ239" s="425"/>
      <c r="AK239" s="425"/>
      <c r="AL239" s="425"/>
      <c r="AM239" s="425"/>
      <c r="AN239" s="437">
        <v>50</v>
      </c>
      <c r="AO239" s="559" t="s">
        <v>298</v>
      </c>
      <c r="AP239" s="559" t="s">
        <v>299</v>
      </c>
      <c r="AQ239" s="559" t="s">
        <v>299</v>
      </c>
      <c r="AR239" s="425" t="str">
        <f t="shared" si="67"/>
        <v>TND</v>
      </c>
      <c r="AS239" s="425"/>
      <c r="AT239" s="425"/>
      <c r="AU239" s="425"/>
      <c r="AV239" s="425"/>
      <c r="AW239" s="425"/>
      <c r="AX239" s="425"/>
      <c r="AY239" s="425"/>
      <c r="AZ239" s="425"/>
      <c r="BA239" s="425"/>
      <c r="BB239" s="425"/>
      <c r="BC239" s="425"/>
      <c r="BD239" s="425"/>
      <c r="BE239" s="425"/>
      <c r="BF239" s="425"/>
      <c r="BG239" s="426"/>
      <c r="BH239" s="425"/>
      <c r="BI239" s="425"/>
      <c r="BJ239" s="425"/>
      <c r="BK239" s="425"/>
      <c r="BL239" s="425"/>
      <c r="BM239" s="425"/>
      <c r="BN239" s="425"/>
      <c r="BO239" s="425"/>
      <c r="BP239" s="425"/>
      <c r="BQ239" s="425"/>
      <c r="BR239" s="425"/>
      <c r="BS239" s="425"/>
      <c r="BT239" s="425"/>
      <c r="BU239" s="425"/>
      <c r="BV239" s="425"/>
      <c r="BW239" s="425"/>
      <c r="BX239" s="425"/>
      <c r="BY239" s="425"/>
      <c r="BZ239" s="425"/>
      <c r="CA239" s="425"/>
      <c r="CB239" s="425"/>
      <c r="CC239" s="425"/>
      <c r="CD239" s="425"/>
      <c r="CE239" s="425"/>
      <c r="CF239" s="425"/>
      <c r="CG239" s="425"/>
      <c r="CH239" s="425"/>
      <c r="CI239" s="425"/>
      <c r="CJ239" s="425"/>
      <c r="CK239" s="425"/>
      <c r="CL239" s="425"/>
      <c r="CM239" s="425"/>
      <c r="CN239" s="425"/>
      <c r="CO239" s="425"/>
      <c r="CP239" s="425"/>
      <c r="CQ239" s="425"/>
      <c r="CR239" s="425"/>
      <c r="CS239" s="425"/>
      <c r="CT239" s="425"/>
      <c r="CU239" s="425"/>
      <c r="CV239" s="425"/>
    </row>
    <row r="240" spans="1:100">
      <c r="A240" s="554"/>
      <c r="B240" s="442"/>
      <c r="C240" s="442"/>
      <c r="D240" s="442"/>
      <c r="E240" s="442"/>
      <c r="F240" s="442"/>
      <c r="G240" s="442"/>
      <c r="H240" s="549"/>
      <c r="I240" s="549"/>
      <c r="J240" s="549"/>
      <c r="K240" s="549"/>
      <c r="L240" s="549"/>
      <c r="M240" s="549"/>
      <c r="N240" s="549"/>
      <c r="O240" s="549"/>
      <c r="P240" s="549"/>
      <c r="Q240" s="549"/>
      <c r="R240" s="549"/>
      <c r="S240" s="549"/>
      <c r="T240" s="549"/>
      <c r="U240" s="424"/>
      <c r="V240" s="424"/>
      <c r="W240" s="425"/>
      <c r="X240" s="425"/>
      <c r="Y240" s="425"/>
      <c r="Z240" s="425"/>
      <c r="AA240" s="425"/>
      <c r="AH240" s="425"/>
      <c r="AI240" s="425"/>
      <c r="AJ240" s="425"/>
      <c r="AK240" s="425"/>
      <c r="AL240" s="425"/>
      <c r="AM240" s="425"/>
      <c r="AN240" s="437">
        <v>51</v>
      </c>
      <c r="AO240" s="559" t="s">
        <v>300</v>
      </c>
      <c r="AP240" s="559" t="s">
        <v>301</v>
      </c>
      <c r="AQ240" s="559" t="s">
        <v>302</v>
      </c>
      <c r="AR240" s="425" t="str">
        <f t="shared" si="67"/>
        <v>YTL</v>
      </c>
      <c r="AS240" s="425"/>
      <c r="AT240" s="425"/>
      <c r="AU240" s="425"/>
      <c r="AV240" s="425"/>
      <c r="AW240" s="425"/>
      <c r="AX240" s="425"/>
      <c r="AY240" s="425"/>
      <c r="AZ240" s="425"/>
      <c r="BA240" s="425"/>
      <c r="BB240" s="425"/>
      <c r="BC240" s="425"/>
      <c r="BD240" s="425"/>
      <c r="BE240" s="425"/>
      <c r="BF240" s="425"/>
      <c r="BG240" s="426"/>
      <c r="BH240" s="425"/>
      <c r="BI240" s="425"/>
      <c r="BJ240" s="425"/>
      <c r="BK240" s="425"/>
      <c r="BL240" s="425"/>
      <c r="BM240" s="425"/>
      <c r="BN240" s="425"/>
      <c r="BO240" s="425"/>
      <c r="BP240" s="425"/>
      <c r="BQ240" s="425"/>
      <c r="BR240" s="425"/>
      <c r="BS240" s="425"/>
      <c r="BT240" s="425"/>
      <c r="BU240" s="425"/>
      <c r="BV240" s="425"/>
      <c r="BW240" s="425"/>
      <c r="BX240" s="425"/>
      <c r="BY240" s="425"/>
      <c r="BZ240" s="425"/>
      <c r="CA240" s="425"/>
      <c r="CB240" s="425"/>
      <c r="CC240" s="425"/>
      <c r="CD240" s="425"/>
      <c r="CE240" s="425"/>
      <c r="CF240" s="425"/>
      <c r="CG240" s="425"/>
      <c r="CH240" s="425"/>
      <c r="CI240" s="425"/>
      <c r="CJ240" s="425"/>
      <c r="CK240" s="425"/>
      <c r="CL240" s="425"/>
      <c r="CM240" s="425"/>
      <c r="CN240" s="425"/>
      <c r="CO240" s="425"/>
      <c r="CP240" s="425"/>
      <c r="CQ240" s="425"/>
      <c r="CR240" s="425"/>
      <c r="CS240" s="425"/>
      <c r="CT240" s="425"/>
      <c r="CU240" s="425"/>
      <c r="CV240" s="425"/>
    </row>
    <row r="241" spans="1:100">
      <c r="A241" s="554"/>
      <c r="B241" s="442"/>
      <c r="C241" s="442"/>
      <c r="D241" s="442"/>
      <c r="E241" s="442"/>
      <c r="F241" s="442"/>
      <c r="G241" s="442"/>
      <c r="H241" s="549"/>
      <c r="I241" s="549"/>
      <c r="J241" s="549"/>
      <c r="K241" s="549"/>
      <c r="L241" s="549"/>
      <c r="M241" s="549"/>
      <c r="N241" s="549"/>
      <c r="O241" s="549"/>
      <c r="P241" s="549"/>
      <c r="Q241" s="549"/>
      <c r="R241" s="549"/>
      <c r="S241" s="549"/>
      <c r="T241" s="549"/>
      <c r="U241" s="424"/>
      <c r="V241" s="424"/>
      <c r="W241" s="425"/>
      <c r="X241" s="425"/>
      <c r="Y241" s="425"/>
      <c r="Z241" s="425"/>
      <c r="AA241" s="425"/>
      <c r="AH241" s="425"/>
      <c r="AI241" s="425"/>
      <c r="AJ241" s="425"/>
      <c r="AK241" s="425"/>
      <c r="AL241" s="425"/>
      <c r="AM241" s="425"/>
      <c r="AN241" s="437">
        <v>52</v>
      </c>
      <c r="AO241" s="559" t="s">
        <v>303</v>
      </c>
      <c r="AP241" s="559" t="s">
        <v>304</v>
      </c>
      <c r="AQ241" s="559" t="s">
        <v>305</v>
      </c>
      <c r="AR241" s="425" t="str">
        <f t="shared" si="67"/>
        <v>NT$</v>
      </c>
      <c r="AS241" s="425"/>
      <c r="AT241" s="425"/>
      <c r="AU241" s="425"/>
      <c r="AV241" s="425"/>
      <c r="AW241" s="425"/>
      <c r="AX241" s="425"/>
      <c r="AY241" s="425"/>
      <c r="AZ241" s="425"/>
      <c r="BA241" s="425"/>
      <c r="BB241" s="425"/>
      <c r="BC241" s="425"/>
      <c r="BD241" s="425"/>
      <c r="BE241" s="425"/>
      <c r="BF241" s="425"/>
      <c r="BG241" s="426"/>
      <c r="BH241" s="425"/>
      <c r="BI241" s="425"/>
      <c r="BJ241" s="425"/>
      <c r="BK241" s="425"/>
      <c r="BL241" s="425"/>
      <c r="BM241" s="425"/>
      <c r="BN241" s="425"/>
      <c r="BO241" s="425"/>
      <c r="BP241" s="425"/>
      <c r="BQ241" s="425"/>
      <c r="BR241" s="425"/>
      <c r="BS241" s="425"/>
      <c r="BT241" s="425"/>
      <c r="BU241" s="425"/>
      <c r="BV241" s="425"/>
      <c r="BW241" s="425"/>
      <c r="BX241" s="425"/>
      <c r="BY241" s="425"/>
      <c r="BZ241" s="425"/>
      <c r="CA241" s="425"/>
      <c r="CB241" s="425"/>
      <c r="CC241" s="425"/>
      <c r="CD241" s="425"/>
      <c r="CE241" s="425"/>
      <c r="CF241" s="425"/>
      <c r="CG241" s="425"/>
      <c r="CH241" s="425"/>
      <c r="CI241" s="425"/>
      <c r="CJ241" s="425"/>
      <c r="CK241" s="425"/>
      <c r="CL241" s="425"/>
      <c r="CM241" s="425"/>
      <c r="CN241" s="425"/>
      <c r="CO241" s="425"/>
      <c r="CP241" s="425"/>
      <c r="CQ241" s="425"/>
      <c r="CR241" s="425"/>
      <c r="CS241" s="425"/>
      <c r="CT241" s="425"/>
      <c r="CU241" s="425"/>
      <c r="CV241" s="425"/>
    </row>
    <row r="242" spans="1:100">
      <c r="A242" s="554"/>
      <c r="B242" s="442"/>
      <c r="C242" s="442"/>
      <c r="D242" s="442"/>
      <c r="E242" s="442"/>
      <c r="F242" s="442"/>
      <c r="G242" s="442"/>
      <c r="H242" s="549"/>
      <c r="I242" s="549"/>
      <c r="J242" s="549"/>
      <c r="K242" s="549"/>
      <c r="L242" s="549"/>
      <c r="M242" s="549"/>
      <c r="N242" s="549"/>
      <c r="O242" s="549"/>
      <c r="P242" s="549"/>
      <c r="Q242" s="549"/>
      <c r="R242" s="549"/>
      <c r="S242" s="549"/>
      <c r="T242" s="549"/>
      <c r="U242" s="424"/>
      <c r="V242" s="424"/>
      <c r="W242" s="425"/>
      <c r="X242" s="425"/>
      <c r="Y242" s="425"/>
      <c r="Z242" s="425"/>
      <c r="AA242" s="425"/>
      <c r="AH242" s="425"/>
      <c r="AI242" s="425"/>
      <c r="AJ242" s="425"/>
      <c r="AK242" s="425"/>
      <c r="AL242" s="425"/>
      <c r="AM242" s="425"/>
      <c r="AN242" s="437">
        <v>53</v>
      </c>
      <c r="AO242" s="559" t="s">
        <v>306</v>
      </c>
      <c r="AP242" s="559" t="s">
        <v>307</v>
      </c>
      <c r="AQ242" s="559" t="s">
        <v>307</v>
      </c>
      <c r="AR242" s="425" t="str">
        <f t="shared" si="67"/>
        <v>UAH</v>
      </c>
      <c r="AS242" s="425"/>
      <c r="AT242" s="425"/>
      <c r="AU242" s="425"/>
      <c r="AV242" s="425"/>
      <c r="AW242" s="425"/>
      <c r="AX242" s="425"/>
      <c r="AY242" s="425"/>
      <c r="AZ242" s="425"/>
      <c r="BA242" s="425"/>
      <c r="BB242" s="425"/>
      <c r="BC242" s="425"/>
      <c r="BD242" s="425"/>
      <c r="BE242" s="425"/>
      <c r="BF242" s="425"/>
      <c r="BG242" s="426"/>
      <c r="BH242" s="425"/>
      <c r="BI242" s="425"/>
      <c r="BJ242" s="425"/>
      <c r="BK242" s="425"/>
      <c r="BL242" s="425"/>
      <c r="BM242" s="425"/>
      <c r="BN242" s="425"/>
      <c r="BO242" s="425"/>
      <c r="BP242" s="425"/>
      <c r="BQ242" s="425"/>
      <c r="BR242" s="425"/>
      <c r="BS242" s="425"/>
      <c r="BT242" s="425"/>
      <c r="BU242" s="425"/>
      <c r="BV242" s="425"/>
      <c r="BW242" s="425"/>
      <c r="BX242" s="425"/>
      <c r="BY242" s="425"/>
      <c r="BZ242" s="425"/>
      <c r="CA242" s="425"/>
      <c r="CB242" s="425"/>
      <c r="CC242" s="425"/>
      <c r="CD242" s="425"/>
      <c r="CE242" s="425"/>
      <c r="CF242" s="425"/>
      <c r="CG242" s="425"/>
      <c r="CH242" s="425"/>
      <c r="CI242" s="425"/>
      <c r="CJ242" s="425"/>
      <c r="CK242" s="425"/>
      <c r="CL242" s="425"/>
      <c r="CM242" s="425"/>
      <c r="CN242" s="425"/>
      <c r="CO242" s="425"/>
      <c r="CP242" s="425"/>
      <c r="CQ242" s="425"/>
      <c r="CR242" s="425"/>
      <c r="CS242" s="425"/>
      <c r="CT242" s="425"/>
      <c r="CU242" s="425"/>
      <c r="CV242" s="425"/>
    </row>
    <row r="243" spans="1:100">
      <c r="A243" s="554"/>
      <c r="B243" s="442"/>
      <c r="C243" s="442"/>
      <c r="D243" s="442"/>
      <c r="E243" s="442"/>
      <c r="F243" s="442"/>
      <c r="G243" s="442"/>
      <c r="H243" s="549"/>
      <c r="I243" s="549"/>
      <c r="J243" s="549"/>
      <c r="K243" s="549"/>
      <c r="L243" s="549"/>
      <c r="M243" s="549"/>
      <c r="N243" s="549"/>
      <c r="O243" s="549"/>
      <c r="P243" s="549"/>
      <c r="Q243" s="549"/>
      <c r="R243" s="549"/>
      <c r="S243" s="549"/>
      <c r="T243" s="549"/>
      <c r="U243" s="424"/>
      <c r="V243" s="424"/>
      <c r="W243" s="425"/>
      <c r="X243" s="425"/>
      <c r="Y243" s="425"/>
      <c r="Z243" s="425"/>
      <c r="AA243" s="425"/>
      <c r="AH243" s="425"/>
      <c r="AI243" s="425"/>
      <c r="AJ243" s="425"/>
      <c r="AK243" s="425"/>
      <c r="AL243" s="425"/>
      <c r="AM243" s="425"/>
      <c r="AN243" s="437">
        <v>54</v>
      </c>
      <c r="AO243" s="559" t="s">
        <v>308</v>
      </c>
      <c r="AP243" s="559" t="s">
        <v>309</v>
      </c>
      <c r="AQ243" s="559" t="s">
        <v>158</v>
      </c>
      <c r="AR243" s="425" t="str">
        <f t="shared" si="67"/>
        <v>$</v>
      </c>
      <c r="AS243" s="425"/>
      <c r="AT243" s="425"/>
      <c r="AU243" s="425"/>
      <c r="AV243" s="425"/>
      <c r="AW243" s="425"/>
      <c r="AX243" s="425"/>
      <c r="AY243" s="425"/>
      <c r="AZ243" s="425"/>
      <c r="BA243" s="425"/>
      <c r="BB243" s="425"/>
      <c r="BC243" s="425"/>
      <c r="BD243" s="425"/>
      <c r="BE243" s="425"/>
      <c r="BF243" s="425"/>
      <c r="BG243" s="426"/>
      <c r="BH243" s="425"/>
      <c r="BI243" s="425"/>
      <c r="BJ243" s="425"/>
      <c r="BK243" s="425"/>
      <c r="BL243" s="425"/>
      <c r="BM243" s="425"/>
      <c r="BN243" s="425"/>
      <c r="BO243" s="425"/>
      <c r="BP243" s="425"/>
      <c r="BQ243" s="425"/>
      <c r="BR243" s="425"/>
      <c r="BS243" s="425"/>
      <c r="BT243" s="425"/>
      <c r="BU243" s="425"/>
      <c r="BV243" s="425"/>
      <c r="BW243" s="425"/>
      <c r="BX243" s="425"/>
      <c r="BY243" s="425"/>
      <c r="BZ243" s="425"/>
      <c r="CA243" s="425"/>
      <c r="CB243" s="425"/>
      <c r="CC243" s="425"/>
      <c r="CD243" s="425"/>
      <c r="CE243" s="425"/>
      <c r="CF243" s="425"/>
      <c r="CG243" s="425"/>
      <c r="CH243" s="425"/>
      <c r="CI243" s="425"/>
      <c r="CJ243" s="425"/>
      <c r="CK243" s="425"/>
      <c r="CL243" s="425"/>
      <c r="CM243" s="425"/>
      <c r="CN243" s="425"/>
      <c r="CO243" s="425"/>
      <c r="CP243" s="425"/>
      <c r="CQ243" s="425"/>
      <c r="CR243" s="425"/>
      <c r="CS243" s="425"/>
      <c r="CT243" s="425"/>
      <c r="CU243" s="425"/>
      <c r="CV243" s="425"/>
    </row>
    <row r="244" spans="1:100">
      <c r="A244" s="554"/>
      <c r="B244" s="442"/>
      <c r="C244" s="442"/>
      <c r="D244" s="442"/>
      <c r="E244" s="442"/>
      <c r="F244" s="442"/>
      <c r="G244" s="442"/>
      <c r="H244" s="549"/>
      <c r="I244" s="549"/>
      <c r="J244" s="549"/>
      <c r="K244" s="549"/>
      <c r="L244" s="549"/>
      <c r="M244" s="549"/>
      <c r="N244" s="549"/>
      <c r="O244" s="549"/>
      <c r="P244" s="549"/>
      <c r="Q244" s="549"/>
      <c r="R244" s="549"/>
      <c r="S244" s="549"/>
      <c r="T244" s="549"/>
      <c r="U244" s="424"/>
      <c r="V244" s="424"/>
      <c r="W244" s="425"/>
      <c r="X244" s="425"/>
      <c r="Y244" s="425"/>
      <c r="Z244" s="425"/>
      <c r="AA244" s="425"/>
      <c r="AH244" s="425"/>
      <c r="AI244" s="425"/>
      <c r="AJ244" s="425"/>
      <c r="AK244" s="425"/>
      <c r="AL244" s="425"/>
      <c r="AM244" s="425"/>
      <c r="AN244" s="437">
        <v>55</v>
      </c>
      <c r="AO244" s="559" t="s">
        <v>310</v>
      </c>
      <c r="AP244" s="559" t="s">
        <v>311</v>
      </c>
      <c r="AQ244" s="559" t="s">
        <v>311</v>
      </c>
      <c r="AR244" s="425" t="str">
        <f t="shared" si="67"/>
        <v>VEB</v>
      </c>
      <c r="AS244" s="425"/>
      <c r="AT244" s="425"/>
      <c r="AU244" s="425"/>
      <c r="AV244" s="425"/>
      <c r="AW244" s="425"/>
      <c r="AX244" s="425"/>
      <c r="AY244" s="425"/>
      <c r="AZ244" s="425"/>
      <c r="BA244" s="425"/>
      <c r="BB244" s="425"/>
      <c r="BC244" s="425"/>
      <c r="BD244" s="425"/>
      <c r="BE244" s="425"/>
      <c r="BF244" s="425"/>
      <c r="BG244" s="426"/>
      <c r="BH244" s="425"/>
      <c r="BI244" s="425"/>
      <c r="BJ244" s="425"/>
      <c r="BK244" s="425"/>
      <c r="BL244" s="425"/>
      <c r="BM244" s="425"/>
      <c r="BN244" s="425"/>
      <c r="BO244" s="425"/>
      <c r="BP244" s="425"/>
      <c r="BQ244" s="425"/>
      <c r="BR244" s="425"/>
      <c r="BS244" s="425"/>
      <c r="BT244" s="425"/>
      <c r="BU244" s="425"/>
      <c r="BV244" s="425"/>
      <c r="BW244" s="425"/>
      <c r="BX244" s="425"/>
      <c r="BY244" s="425"/>
      <c r="BZ244" s="425"/>
      <c r="CA244" s="425"/>
      <c r="CB244" s="425"/>
      <c r="CC244" s="425"/>
      <c r="CD244" s="425"/>
      <c r="CE244" s="425"/>
      <c r="CF244" s="425"/>
      <c r="CG244" s="425"/>
      <c r="CH244" s="425"/>
      <c r="CI244" s="425"/>
      <c r="CJ244" s="425"/>
      <c r="CK244" s="425"/>
      <c r="CL244" s="425"/>
      <c r="CM244" s="425"/>
      <c r="CN244" s="425"/>
      <c r="CO244" s="425"/>
      <c r="CP244" s="425"/>
      <c r="CQ244" s="425"/>
      <c r="CR244" s="425"/>
      <c r="CS244" s="425"/>
      <c r="CT244" s="425"/>
      <c r="CU244" s="425"/>
      <c r="CV244" s="425"/>
    </row>
    <row r="245" spans="1:100">
      <c r="A245" s="554"/>
      <c r="B245" s="442"/>
      <c r="C245" s="442"/>
      <c r="D245" s="442"/>
      <c r="E245" s="442"/>
      <c r="F245" s="442"/>
      <c r="G245" s="442"/>
      <c r="H245" s="549"/>
      <c r="I245" s="549"/>
      <c r="J245" s="549"/>
      <c r="K245" s="549"/>
      <c r="L245" s="549"/>
      <c r="M245" s="549"/>
      <c r="N245" s="549"/>
      <c r="O245" s="549"/>
      <c r="P245" s="549"/>
      <c r="Q245" s="549"/>
      <c r="R245" s="549"/>
      <c r="S245" s="549"/>
      <c r="T245" s="549"/>
      <c r="U245" s="424"/>
      <c r="V245" s="424"/>
      <c r="W245" s="425"/>
      <c r="X245" s="425"/>
      <c r="Y245" s="425"/>
      <c r="Z245" s="425"/>
      <c r="AA245" s="425"/>
      <c r="AH245" s="425"/>
      <c r="AI245" s="425"/>
      <c r="AJ245" s="425"/>
      <c r="AK245" s="425"/>
      <c r="AL245" s="425"/>
      <c r="AM245" s="425"/>
      <c r="AN245" s="437">
        <v>56</v>
      </c>
      <c r="AO245" s="559" t="s">
        <v>312</v>
      </c>
      <c r="AP245" s="559" t="s">
        <v>313</v>
      </c>
      <c r="AQ245" s="559" t="s">
        <v>313</v>
      </c>
      <c r="AR245" s="425" t="str">
        <f t="shared" si="67"/>
        <v>ZAR</v>
      </c>
      <c r="AS245" s="425"/>
      <c r="AT245" s="425"/>
      <c r="AU245" s="425"/>
      <c r="AV245" s="425"/>
      <c r="AW245" s="425"/>
      <c r="AX245" s="425"/>
      <c r="AY245" s="425"/>
      <c r="AZ245" s="425"/>
      <c r="BA245" s="425"/>
      <c r="BB245" s="425"/>
      <c r="BC245" s="425"/>
      <c r="BD245" s="425"/>
      <c r="BE245" s="425"/>
      <c r="BF245" s="425"/>
      <c r="BG245" s="426"/>
      <c r="BH245" s="425"/>
      <c r="BI245" s="425"/>
      <c r="BJ245" s="425"/>
      <c r="BK245" s="425"/>
      <c r="BL245" s="425"/>
      <c r="BM245" s="425"/>
      <c r="BN245" s="425"/>
      <c r="BO245" s="425"/>
      <c r="BP245" s="425"/>
      <c r="BQ245" s="425"/>
      <c r="BR245" s="425"/>
      <c r="BS245" s="425"/>
      <c r="BT245" s="425"/>
      <c r="BU245" s="425"/>
      <c r="BV245" s="425"/>
      <c r="BW245" s="425"/>
      <c r="BX245" s="425"/>
      <c r="BY245" s="425"/>
      <c r="BZ245" s="425"/>
      <c r="CA245" s="425"/>
      <c r="CB245" s="425"/>
      <c r="CC245" s="425"/>
      <c r="CD245" s="425"/>
      <c r="CE245" s="425"/>
      <c r="CF245" s="425"/>
      <c r="CG245" s="425"/>
      <c r="CH245" s="425"/>
      <c r="CI245" s="425"/>
      <c r="CJ245" s="425"/>
      <c r="CK245" s="425"/>
      <c r="CL245" s="425"/>
      <c r="CM245" s="425"/>
      <c r="CN245" s="425"/>
      <c r="CO245" s="425"/>
      <c r="CP245" s="425"/>
      <c r="CQ245" s="425"/>
      <c r="CR245" s="425"/>
      <c r="CS245" s="425"/>
      <c r="CT245" s="425"/>
      <c r="CU245" s="425"/>
      <c r="CV245" s="425"/>
    </row>
    <row r="246" spans="1:100">
      <c r="A246" s="554"/>
      <c r="B246" s="442"/>
      <c r="C246" s="442"/>
      <c r="D246" s="442"/>
      <c r="E246" s="442"/>
      <c r="F246" s="442"/>
      <c r="G246" s="442"/>
      <c r="H246" s="549"/>
      <c r="I246" s="549"/>
      <c r="J246" s="549"/>
      <c r="K246" s="549"/>
      <c r="L246" s="549"/>
      <c r="M246" s="549"/>
      <c r="N246" s="549"/>
      <c r="O246" s="549"/>
      <c r="P246" s="549"/>
      <c r="Q246" s="549"/>
      <c r="R246" s="549"/>
      <c r="S246" s="549"/>
      <c r="T246" s="549"/>
      <c r="U246" s="424"/>
      <c r="V246" s="424"/>
      <c r="W246" s="425"/>
      <c r="X246" s="425"/>
      <c r="Y246" s="425"/>
      <c r="Z246" s="425"/>
      <c r="AA246" s="425"/>
      <c r="AH246" s="425"/>
      <c r="AI246" s="425"/>
      <c r="AJ246" s="425"/>
      <c r="AK246" s="425"/>
      <c r="AL246" s="425"/>
      <c r="AM246" s="425"/>
      <c r="AN246" s="437">
        <v>57</v>
      </c>
      <c r="AO246" s="559" t="s">
        <v>475</v>
      </c>
      <c r="AP246" s="544"/>
      <c r="AQ246" s="559" t="s">
        <v>146</v>
      </c>
      <c r="AR246" s="425" t="s">
        <v>146</v>
      </c>
      <c r="AS246" s="425"/>
      <c r="AT246" s="425"/>
      <c r="AU246" s="425"/>
      <c r="AV246" s="425"/>
      <c r="AW246" s="425"/>
      <c r="AX246" s="425"/>
      <c r="AY246" s="425"/>
      <c r="AZ246" s="425"/>
      <c r="BA246" s="425"/>
      <c r="BB246" s="425"/>
      <c r="BC246" s="425"/>
      <c r="BD246" s="425"/>
      <c r="BE246" s="425"/>
      <c r="BF246" s="425"/>
      <c r="BG246" s="426"/>
      <c r="BH246" s="425"/>
      <c r="BI246" s="425"/>
      <c r="BJ246" s="425"/>
      <c r="BK246" s="425"/>
      <c r="BL246" s="425"/>
      <c r="BM246" s="425"/>
      <c r="BN246" s="425"/>
      <c r="BO246" s="425"/>
      <c r="BP246" s="425"/>
      <c r="BQ246" s="425"/>
      <c r="BR246" s="425"/>
      <c r="BS246" s="425"/>
      <c r="BT246" s="425"/>
      <c r="BU246" s="425"/>
      <c r="BV246" s="425"/>
      <c r="BW246" s="425"/>
      <c r="BX246" s="425"/>
      <c r="BY246" s="425"/>
      <c r="BZ246" s="425"/>
      <c r="CA246" s="425"/>
      <c r="CB246" s="425"/>
      <c r="CC246" s="425"/>
      <c r="CD246" s="425"/>
      <c r="CE246" s="425"/>
      <c r="CF246" s="425"/>
      <c r="CG246" s="425"/>
      <c r="CH246" s="425"/>
      <c r="CI246" s="425"/>
      <c r="CJ246" s="425"/>
      <c r="CK246" s="425"/>
      <c r="CL246" s="425"/>
      <c r="CM246" s="425"/>
      <c r="CN246" s="425"/>
      <c r="CO246" s="425"/>
      <c r="CP246" s="425"/>
      <c r="CQ246" s="425"/>
      <c r="CR246" s="425"/>
      <c r="CS246" s="425"/>
      <c r="CT246" s="425"/>
      <c r="CU246" s="425"/>
      <c r="CV246" s="425"/>
    </row>
  </sheetData>
  <mergeCells count="3">
    <mergeCell ref="U69:Y69"/>
    <mergeCell ref="C55:T55"/>
    <mergeCell ref="A1:A2"/>
  </mergeCells>
  <phoneticPr fontId="86" type="noConversion"/>
  <pageMargins left="0.75" right="0.75" top="1" bottom="1" header="0.5" footer="0.5"/>
  <pageSetup scale="69" orientation="landscape" r:id="rId1"/>
  <headerFooter alignWithMargins="0"/>
  <rowBreaks count="1" manualBreakCount="1">
    <brk id="53" max="16383" man="1"/>
  </rowBreaks>
  <colBreaks count="1" manualBreakCount="1">
    <brk id="25" max="1048575" man="1"/>
  </colBreaks>
  <drawing r:id="rId2"/>
  <legacyDrawing r:id="rId3"/>
  <controls>
    <mc:AlternateContent xmlns:mc="http://schemas.openxmlformats.org/markup-compatibility/2006">
      <mc:Choice Requires="x14">
        <control shapeId="58415" r:id="rId4" name="ComboBox1">
          <controlPr defaultSize="0" autoLine="0" autoPict="0" linkedCell="AY20" listFillRange="AY21:AY22" r:id="rId5">
            <anchor moveWithCells="1">
              <from>
                <xdr:col>10</xdr:col>
                <xdr:colOff>476250</xdr:colOff>
                <xdr:row>0</xdr:row>
                <xdr:rowOff>85725</xdr:rowOff>
              </from>
              <to>
                <xdr:col>13</xdr:col>
                <xdr:colOff>657225</xdr:colOff>
                <xdr:row>1</xdr:row>
                <xdr:rowOff>171450</xdr:rowOff>
              </to>
            </anchor>
          </controlPr>
        </control>
      </mc:Choice>
      <mc:Fallback>
        <control shapeId="58415" r:id="rId4" name="ComboBox1"/>
      </mc:Fallback>
    </mc:AlternateContent>
    <mc:AlternateContent xmlns:mc="http://schemas.openxmlformats.org/markup-compatibility/2006">
      <mc:Choice Requires="x14">
        <control shapeId="58384" r:id="rId6" name="CommandButton2">
          <controlPr defaultSize="0" autoLine="0" autoPict="0" r:id="rId7">
            <anchor moveWithCells="1">
              <from>
                <xdr:col>23</xdr:col>
                <xdr:colOff>76200</xdr:colOff>
                <xdr:row>0</xdr:row>
                <xdr:rowOff>57150</xdr:rowOff>
              </from>
              <to>
                <xdr:col>26</xdr:col>
                <xdr:colOff>0</xdr:colOff>
                <xdr:row>1</xdr:row>
                <xdr:rowOff>133350</xdr:rowOff>
              </to>
            </anchor>
          </controlPr>
        </control>
      </mc:Choice>
      <mc:Fallback>
        <control shapeId="58384" r:id="rId6" name="CommandButton2"/>
      </mc:Fallback>
    </mc:AlternateContent>
    <mc:AlternateContent xmlns:mc="http://schemas.openxmlformats.org/markup-compatibility/2006">
      <mc:Choice Requires="x14">
        <control shapeId="58381" r:id="rId8" name="CommandButton1">
          <controlPr defaultSize="0" autoLine="0" autoPict="0" r:id="rId9">
            <anchor moveWithCells="1">
              <from>
                <xdr:col>20</xdr:col>
                <xdr:colOff>209550</xdr:colOff>
                <xdr:row>0</xdr:row>
                <xdr:rowOff>66675</xdr:rowOff>
              </from>
              <to>
                <xdr:col>22</xdr:col>
                <xdr:colOff>180975</xdr:colOff>
                <xdr:row>1</xdr:row>
                <xdr:rowOff>133350</xdr:rowOff>
              </to>
            </anchor>
          </controlPr>
        </control>
      </mc:Choice>
      <mc:Fallback>
        <control shapeId="58381" r:id="rId8" name="CommandButton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enableFormatConditionsCalculation="0">
    <tabColor indexed="12"/>
  </sheetPr>
  <dimension ref="A1:CJ174"/>
  <sheetViews>
    <sheetView showGridLines="0" zoomScaleNormal="100" workbookViewId="0">
      <pane xSplit="3" ySplit="6" topLeftCell="K28" activePane="bottomRight" state="frozen"/>
      <selection pane="topRight"/>
      <selection pane="bottomLeft"/>
      <selection pane="bottomRight"/>
    </sheetView>
  </sheetViews>
  <sheetFormatPr defaultRowHeight="12.75" outlineLevelRow="1" outlineLevelCol="1"/>
  <cols>
    <col min="1" max="1" width="1.28515625" customWidth="1"/>
    <col min="2" max="2" width="7" customWidth="1"/>
    <col min="3" max="3" width="32.5703125" customWidth="1"/>
    <col min="4" max="4" width="10.42578125" hidden="1" customWidth="1" outlineLevel="1"/>
    <col min="5" max="5" width="12.42578125" hidden="1" customWidth="1" outlineLevel="1"/>
    <col min="6" max="6" width="11.42578125" hidden="1" customWidth="1" outlineLevel="1"/>
    <col min="7" max="7" width="13.42578125" hidden="1" customWidth="1" outlineLevel="1"/>
    <col min="8" max="8" width="10.140625" customWidth="1" collapsed="1"/>
    <col min="9" max="20" width="10.140625" customWidth="1"/>
    <col min="21" max="21" width="4.5703125" customWidth="1"/>
    <col min="22" max="22" width="19.140625" customWidth="1"/>
    <col min="28" max="28" width="41.140625" bestFit="1" customWidth="1"/>
    <col min="29" max="29" width="12.5703125" bestFit="1" customWidth="1"/>
    <col min="30" max="31" width="11.28515625" bestFit="1" customWidth="1"/>
    <col min="32" max="32" width="18.140625" bestFit="1" customWidth="1"/>
    <col min="33" max="33" width="10.28515625" bestFit="1" customWidth="1"/>
    <col min="34" max="34" width="9.42578125" hidden="1" customWidth="1"/>
    <col min="35" max="39" width="9.140625" hidden="1" customWidth="1"/>
    <col min="40" max="40" width="108.5703125" hidden="1" customWidth="1" outlineLevel="1"/>
    <col min="41" max="41" width="9.140625" collapsed="1"/>
    <col min="42" max="42" width="34.42578125" customWidth="1"/>
    <col min="44" max="44" width="10.42578125" customWidth="1"/>
    <col min="48" max="48" width="24.85546875" customWidth="1"/>
    <col min="51" max="51" width="16.85546875" customWidth="1"/>
    <col min="52" max="52" width="8" customWidth="1"/>
    <col min="53" max="53" width="7.5703125" bestFit="1" customWidth="1"/>
    <col min="54" max="54" width="8.7109375" customWidth="1"/>
    <col min="56" max="56" width="7.5703125" bestFit="1" customWidth="1"/>
    <col min="62" max="62" width="13.28515625" bestFit="1" customWidth="1"/>
    <col min="81" max="81" width="13.28515625" bestFit="1" customWidth="1"/>
    <col min="82" max="82" width="10.5703125" bestFit="1" customWidth="1"/>
  </cols>
  <sheetData>
    <row r="1" spans="1:88" ht="12.75" customHeight="1">
      <c r="A1" s="1577"/>
      <c r="B1" s="421"/>
      <c r="C1" s="422" t="s">
        <v>391</v>
      </c>
      <c r="D1" s="422"/>
      <c r="E1" s="422"/>
      <c r="F1" s="422"/>
      <c r="G1" s="422"/>
      <c r="H1" s="423" t="str">
        <f>Pension!$H$1</f>
        <v>X.N</v>
      </c>
      <c r="I1" s="424"/>
      <c r="J1" s="424"/>
      <c r="K1" s="424"/>
      <c r="L1" s="424"/>
      <c r="M1" s="424"/>
      <c r="N1" s="424"/>
      <c r="O1" s="424"/>
      <c r="P1" s="424"/>
      <c r="Q1" s="424"/>
      <c r="R1" s="424"/>
      <c r="S1" s="424"/>
      <c r="T1" s="424"/>
      <c r="U1" s="424"/>
      <c r="V1" s="425"/>
      <c r="W1" s="425"/>
      <c r="X1" s="425"/>
      <c r="Y1" s="425"/>
      <c r="Z1" s="425"/>
      <c r="AA1" s="425"/>
      <c r="AH1" s="425"/>
      <c r="AI1" s="425"/>
      <c r="AJ1" s="425"/>
      <c r="AK1" s="425"/>
      <c r="AL1" s="425"/>
      <c r="AM1" s="425"/>
      <c r="AN1" s="428"/>
      <c r="AO1" s="425"/>
      <c r="AP1" s="425"/>
      <c r="AQ1" s="425"/>
      <c r="AR1" s="425"/>
      <c r="AS1" s="425"/>
      <c r="AT1" s="425"/>
      <c r="AU1" s="425"/>
      <c r="AV1" s="425"/>
      <c r="AW1" s="425"/>
      <c r="AX1" s="425"/>
      <c r="AY1" s="425"/>
      <c r="AZ1" s="425"/>
      <c r="BA1" s="425"/>
      <c r="BB1" s="425"/>
      <c r="BC1" s="425"/>
      <c r="BD1" s="425"/>
      <c r="BE1" s="425"/>
      <c r="BF1" s="425"/>
      <c r="BG1" s="426"/>
      <c r="BH1" s="425"/>
      <c r="BI1" s="425"/>
      <c r="BJ1" s="425"/>
      <c r="BK1" s="425"/>
      <c r="BL1" s="425"/>
      <c r="BM1" s="425"/>
      <c r="BN1" s="425"/>
      <c r="BO1" s="425"/>
      <c r="BP1" s="425"/>
      <c r="BQ1" s="425"/>
      <c r="BR1" s="425"/>
      <c r="BS1" s="425"/>
      <c r="BT1" s="425"/>
      <c r="BU1" s="425"/>
      <c r="BV1" s="425"/>
      <c r="BW1" s="425"/>
      <c r="BX1" s="425"/>
      <c r="BY1" s="425"/>
      <c r="BZ1" s="425"/>
      <c r="CA1" s="425"/>
      <c r="CB1" s="425"/>
      <c r="CC1" s="425"/>
      <c r="CD1" s="425"/>
      <c r="CE1" s="425"/>
      <c r="CF1" s="425"/>
      <c r="CG1" s="425"/>
      <c r="CH1" s="425"/>
      <c r="CI1" s="425"/>
      <c r="CJ1" s="425"/>
    </row>
    <row r="2" spans="1:88" ht="15" customHeight="1">
      <c r="A2" s="1577"/>
      <c r="B2" s="421"/>
      <c r="C2" s="422" t="s">
        <v>392</v>
      </c>
      <c r="D2" s="422"/>
      <c r="E2" s="422"/>
      <c r="F2" s="422"/>
      <c r="G2" s="422"/>
      <c r="H2" s="429" t="str">
        <f>Pension!H2</f>
        <v>United States Steel Corp</v>
      </c>
      <c r="I2" s="424"/>
      <c r="J2" s="424"/>
      <c r="K2" s="431"/>
      <c r="L2" s="431"/>
      <c r="M2" s="431"/>
      <c r="N2" s="431"/>
      <c r="O2" s="431"/>
      <c r="P2" s="431"/>
      <c r="Q2" s="431"/>
      <c r="R2" s="431"/>
      <c r="S2" s="431"/>
      <c r="T2" s="431"/>
      <c r="U2" s="424"/>
      <c r="V2" s="425"/>
      <c r="W2" s="425"/>
      <c r="X2" s="425"/>
      <c r="Y2" s="425"/>
      <c r="Z2" s="425"/>
      <c r="AA2" s="425"/>
      <c r="AH2" s="425"/>
      <c r="AI2" s="425"/>
      <c r="AJ2" s="425"/>
      <c r="AK2" s="425"/>
      <c r="AL2" s="425"/>
      <c r="AM2" s="425"/>
      <c r="AN2" s="428"/>
      <c r="AO2" s="425"/>
      <c r="AP2" s="425"/>
      <c r="AQ2" s="425"/>
      <c r="AR2" s="425"/>
      <c r="AS2" s="425"/>
      <c r="AT2" s="425"/>
      <c r="AU2" s="425"/>
      <c r="AV2" s="425"/>
      <c r="AW2" s="425"/>
      <c r="AX2" s="425"/>
      <c r="AY2" s="425"/>
      <c r="AZ2" s="425"/>
      <c r="BA2" s="425"/>
      <c r="BB2" s="425"/>
      <c r="BC2" s="425"/>
      <c r="BD2" s="425"/>
      <c r="BE2" s="425"/>
      <c r="BF2" s="425"/>
      <c r="BG2" s="426"/>
      <c r="BH2" s="425"/>
      <c r="BI2" s="425"/>
      <c r="BJ2" s="425"/>
      <c r="BK2" s="425"/>
      <c r="BL2" s="425"/>
      <c r="BM2" s="425"/>
      <c r="BN2" s="425"/>
      <c r="BO2" s="425"/>
      <c r="BP2" s="425"/>
      <c r="BQ2" s="425"/>
      <c r="BR2" s="425"/>
      <c r="BS2" s="425"/>
      <c r="BT2" s="425"/>
      <c r="BU2" s="425"/>
      <c r="BV2" s="425"/>
      <c r="BW2" s="425"/>
      <c r="BX2" s="425"/>
      <c r="BY2" s="425"/>
      <c r="BZ2" s="425"/>
      <c r="CA2" s="425"/>
      <c r="CB2" s="425"/>
      <c r="CC2" s="425"/>
      <c r="CD2" s="425"/>
      <c r="CE2" s="425"/>
      <c r="CF2" s="425"/>
      <c r="CG2" s="425"/>
      <c r="CH2" s="425"/>
      <c r="CI2" s="425"/>
      <c r="CJ2" s="425"/>
    </row>
    <row r="3" spans="1:88" ht="12.75" customHeight="1" outlineLevel="1">
      <c r="A3" s="432"/>
      <c r="B3" s="421"/>
      <c r="C3" s="422" t="s">
        <v>394</v>
      </c>
      <c r="D3" s="560"/>
      <c r="E3" s="560"/>
      <c r="F3" s="560"/>
      <c r="G3" s="560"/>
      <c r="H3" s="561">
        <f>Sedol</f>
        <v>2824770</v>
      </c>
      <c r="I3" s="424"/>
      <c r="J3" s="424"/>
      <c r="K3" s="424"/>
      <c r="L3" s="424"/>
      <c r="M3" s="424"/>
      <c r="N3" s="424"/>
      <c r="O3" s="424"/>
      <c r="P3" s="424"/>
      <c r="Q3" s="424"/>
      <c r="R3" s="424"/>
      <c r="S3" s="424"/>
      <c r="T3" s="424"/>
      <c r="U3" s="424"/>
      <c r="V3" s="425"/>
      <c r="W3" s="425"/>
      <c r="X3" s="425"/>
      <c r="Y3" s="425"/>
      <c r="Z3" s="425"/>
      <c r="AA3" s="425"/>
      <c r="AH3" s="425"/>
      <c r="AI3" s="425"/>
      <c r="AJ3" s="425"/>
      <c r="AK3" s="425"/>
      <c r="AL3" s="425"/>
      <c r="AM3" s="425"/>
      <c r="AN3" s="428"/>
      <c r="AO3" s="425"/>
      <c r="AP3" s="425"/>
      <c r="AQ3" s="425"/>
      <c r="AR3" s="425"/>
      <c r="AS3" s="425"/>
      <c r="AT3" s="425"/>
      <c r="AU3" s="425"/>
      <c r="AV3" s="425"/>
      <c r="AW3" s="425"/>
      <c r="AX3" s="425"/>
      <c r="AY3" s="425"/>
      <c r="AZ3" s="425"/>
      <c r="BA3" s="425"/>
      <c r="BB3" s="425"/>
      <c r="BC3" s="425"/>
      <c r="BD3" s="425"/>
      <c r="BE3" s="425"/>
      <c r="BF3" s="425"/>
      <c r="BG3" s="426"/>
      <c r="BH3" s="425"/>
      <c r="BI3" s="425"/>
      <c r="BJ3" s="425"/>
      <c r="BK3" s="425"/>
      <c r="BL3" s="425"/>
      <c r="BM3" s="425"/>
      <c r="BN3" s="425"/>
      <c r="BO3" s="425"/>
      <c r="BP3" s="425"/>
      <c r="BQ3" s="425"/>
      <c r="BR3" s="425"/>
      <c r="BS3" s="425"/>
      <c r="BT3" s="425"/>
      <c r="BU3" s="425"/>
      <c r="BV3" s="425"/>
      <c r="BW3" s="425"/>
      <c r="BX3" s="425"/>
      <c r="BY3" s="425"/>
      <c r="BZ3" s="425"/>
      <c r="CA3" s="425"/>
      <c r="CB3" s="425"/>
      <c r="CC3" s="425"/>
      <c r="CD3" s="433"/>
      <c r="CE3" s="433"/>
      <c r="CF3" s="433"/>
      <c r="CG3" s="433"/>
      <c r="CH3" s="433"/>
      <c r="CI3" s="433"/>
      <c r="CJ3" s="433"/>
    </row>
    <row r="4" spans="1:88">
      <c r="A4" s="434"/>
      <c r="B4" s="435"/>
      <c r="C4" s="436"/>
      <c r="D4" s="436"/>
      <c r="E4" s="436"/>
      <c r="F4" s="436"/>
      <c r="G4" s="436"/>
      <c r="H4" s="431"/>
      <c r="I4" s="431"/>
      <c r="J4" s="431"/>
      <c r="K4" s="431"/>
      <c r="L4" s="431"/>
      <c r="M4" s="431"/>
      <c r="N4" s="431"/>
      <c r="O4" s="431"/>
      <c r="P4" s="431"/>
      <c r="Q4" s="431"/>
      <c r="R4" s="431"/>
      <c r="S4" s="431"/>
      <c r="T4" s="431"/>
      <c r="U4" s="431"/>
      <c r="V4" s="426"/>
      <c r="W4" s="426"/>
      <c r="X4" s="426"/>
      <c r="Y4" s="426"/>
      <c r="Z4" s="426"/>
      <c r="AA4" s="426"/>
      <c r="AH4" s="426"/>
      <c r="AI4" s="426"/>
      <c r="AJ4" s="426"/>
      <c r="AK4" s="426"/>
      <c r="AL4" s="426"/>
      <c r="AM4" s="426"/>
      <c r="AN4" s="437"/>
      <c r="AO4" s="426"/>
      <c r="AP4" s="426"/>
      <c r="AQ4" s="426"/>
      <c r="AR4" s="426"/>
      <c r="AS4" s="426"/>
      <c r="AT4" s="426"/>
      <c r="AU4" s="426"/>
      <c r="AV4" s="426"/>
      <c r="AW4" s="426"/>
      <c r="AX4" s="426"/>
      <c r="AY4" s="438"/>
      <c r="AZ4" s="438"/>
      <c r="BA4" s="438"/>
      <c r="BB4" s="438"/>
      <c r="BC4" s="426"/>
      <c r="BD4" s="426"/>
      <c r="BE4" s="426"/>
      <c r="BF4" s="426"/>
      <c r="BG4" s="426"/>
      <c r="BH4" s="426"/>
      <c r="BI4" s="426"/>
      <c r="BJ4" s="426"/>
      <c r="BK4" s="426"/>
      <c r="BL4" s="426"/>
      <c r="BM4" s="426"/>
      <c r="BN4" s="426"/>
      <c r="BO4" s="426"/>
      <c r="BP4" s="426"/>
      <c r="BQ4" s="426"/>
      <c r="BR4" s="426"/>
      <c r="BS4" s="426"/>
      <c r="BT4" s="426"/>
      <c r="BU4" s="426"/>
      <c r="BV4" s="426"/>
      <c r="BW4" s="426"/>
      <c r="BX4" s="426"/>
      <c r="BY4" s="426"/>
      <c r="BZ4" s="426"/>
      <c r="CA4" s="426"/>
      <c r="CB4" s="426"/>
      <c r="CC4" s="426"/>
      <c r="CD4" s="426"/>
      <c r="CE4" s="426"/>
      <c r="CF4" s="426"/>
      <c r="CG4" s="426"/>
      <c r="CH4" s="426"/>
      <c r="CI4" s="426"/>
      <c r="CJ4" s="426"/>
    </row>
    <row r="5" spans="1:88" ht="12.75" hidden="1" customHeight="1" outlineLevel="1"/>
    <row r="6" spans="1:88" collapsed="1">
      <c r="A6" s="434"/>
      <c r="B6" s="422" t="s">
        <v>395</v>
      </c>
      <c r="C6" s="422" t="s">
        <v>396</v>
      </c>
      <c r="D6" s="440">
        <f t="shared" ref="D6:I6" si="0">E6-1</f>
        <v>2005</v>
      </c>
      <c r="E6" s="440">
        <f t="shared" si="0"/>
        <v>2006</v>
      </c>
      <c r="F6" s="440">
        <f t="shared" si="0"/>
        <v>2007</v>
      </c>
      <c r="G6" s="440">
        <f t="shared" si="0"/>
        <v>2008</v>
      </c>
      <c r="H6" s="440">
        <f t="shared" si="0"/>
        <v>2009</v>
      </c>
      <c r="I6" s="440">
        <f t="shared" si="0"/>
        <v>2010</v>
      </c>
      <c r="J6" s="440">
        <f>K6-1</f>
        <v>2011</v>
      </c>
      <c r="K6" s="439">
        <f>Pension!K6</f>
        <v>2012</v>
      </c>
      <c r="L6" s="440">
        <f>K6+1</f>
        <v>2013</v>
      </c>
      <c r="M6" s="440">
        <f t="shared" ref="M6:T6" si="1">L6+1</f>
        <v>2014</v>
      </c>
      <c r="N6" s="440">
        <f t="shared" si="1"/>
        <v>2015</v>
      </c>
      <c r="O6" s="440">
        <f t="shared" si="1"/>
        <v>2016</v>
      </c>
      <c r="P6" s="440">
        <f t="shared" si="1"/>
        <v>2017</v>
      </c>
      <c r="Q6" s="440">
        <f t="shared" si="1"/>
        <v>2018</v>
      </c>
      <c r="R6" s="440">
        <f t="shared" si="1"/>
        <v>2019</v>
      </c>
      <c r="S6" s="440">
        <f t="shared" si="1"/>
        <v>2020</v>
      </c>
      <c r="T6" s="440">
        <f t="shared" si="1"/>
        <v>2021</v>
      </c>
      <c r="U6" s="424"/>
      <c r="V6" s="425"/>
      <c r="W6" s="425"/>
      <c r="X6" s="424"/>
      <c r="Y6" s="424"/>
      <c r="Z6" s="425"/>
      <c r="AA6" s="425"/>
      <c r="AH6" s="425"/>
      <c r="AI6" s="425"/>
      <c r="AJ6" s="425"/>
      <c r="AK6" s="425"/>
      <c r="AL6" s="425"/>
      <c r="AM6" s="425"/>
      <c r="AN6" s="428"/>
      <c r="AO6" s="425"/>
      <c r="AP6" s="425"/>
      <c r="AQ6" s="425"/>
      <c r="AR6" s="425"/>
      <c r="AS6" s="425"/>
      <c r="AT6" s="425"/>
      <c r="AU6" s="425"/>
      <c r="AV6" s="425"/>
      <c r="AW6" s="425"/>
      <c r="AX6" s="425"/>
      <c r="AY6" s="441"/>
      <c r="AZ6" s="441"/>
      <c r="BA6" s="441"/>
      <c r="BB6" s="441"/>
      <c r="BC6" s="425"/>
      <c r="BD6" s="425"/>
      <c r="BE6" s="425"/>
      <c r="BF6" s="425"/>
      <c r="BG6" s="427">
        <f>Pension!BG6</f>
        <v>2012</v>
      </c>
      <c r="BH6" s="425"/>
      <c r="BI6" s="425"/>
      <c r="BJ6" s="425"/>
      <c r="BK6" s="425"/>
      <c r="BL6" s="425"/>
      <c r="BM6" s="425"/>
      <c r="BN6" s="425"/>
      <c r="BO6" s="425"/>
      <c r="BP6" s="425"/>
      <c r="BQ6" s="425"/>
      <c r="BR6" s="425"/>
      <c r="BS6" s="425"/>
      <c r="BT6" s="425"/>
      <c r="BU6" s="425"/>
      <c r="BV6" s="425"/>
      <c r="BW6" s="425"/>
      <c r="BX6" s="425"/>
      <c r="BY6" s="425"/>
      <c r="BZ6" s="425"/>
      <c r="CA6" s="425"/>
      <c r="CB6" s="425"/>
      <c r="CC6" s="425"/>
      <c r="CD6" s="425"/>
      <c r="CE6" s="425"/>
      <c r="CF6" s="425"/>
      <c r="CG6" s="425"/>
      <c r="CH6" s="425"/>
      <c r="CI6" s="425"/>
      <c r="CJ6" s="425"/>
    </row>
    <row r="7" spans="1:88" ht="7.5" customHeight="1">
      <c r="A7" s="434"/>
      <c r="B7" s="442"/>
      <c r="C7" s="443"/>
      <c r="D7" s="443"/>
      <c r="E7" s="443"/>
      <c r="F7" s="443"/>
      <c r="G7" s="443"/>
      <c r="H7" s="444"/>
      <c r="I7" s="444"/>
      <c r="J7" s="445"/>
      <c r="K7" s="445"/>
      <c r="L7" s="445"/>
      <c r="M7" s="445"/>
      <c r="N7" s="445"/>
      <c r="O7" s="445"/>
      <c r="P7" s="445"/>
      <c r="Q7" s="445"/>
      <c r="R7" s="445"/>
      <c r="S7" s="445"/>
      <c r="T7" s="445"/>
      <c r="U7" s="424"/>
      <c r="V7" s="425"/>
      <c r="W7" s="425"/>
      <c r="X7" s="424"/>
      <c r="Y7" s="424"/>
      <c r="Z7" s="425"/>
      <c r="AA7" s="425"/>
      <c r="AH7" s="425"/>
      <c r="AI7" s="425"/>
      <c r="AJ7" s="425"/>
      <c r="AK7" s="425"/>
      <c r="AL7" s="425"/>
      <c r="AM7" s="425"/>
      <c r="AN7" s="428"/>
      <c r="AO7" s="425"/>
      <c r="AP7" s="425"/>
      <c r="AQ7" s="425"/>
      <c r="AR7" s="425"/>
      <c r="AS7" s="425"/>
      <c r="AT7" s="425"/>
      <c r="AU7" s="425"/>
      <c r="AV7" s="425"/>
      <c r="AW7" s="425"/>
      <c r="AX7" s="425"/>
      <c r="AY7" s="425"/>
      <c r="AZ7" s="425"/>
      <c r="BA7" s="425"/>
      <c r="BB7" s="425"/>
      <c r="BC7" s="425"/>
      <c r="BD7" s="425"/>
      <c r="BE7" s="425"/>
      <c r="BF7" s="425"/>
      <c r="BG7" s="427" t="str">
        <f>Pension!BG7</f>
        <v>12/2012</v>
      </c>
      <c r="BH7" s="425"/>
      <c r="BI7" s="425"/>
      <c r="BJ7" s="425"/>
      <c r="BK7" s="425"/>
      <c r="BL7" s="425"/>
      <c r="BM7" s="425"/>
      <c r="BN7" s="425"/>
      <c r="BO7" s="425"/>
      <c r="BP7" s="425"/>
      <c r="BQ7" s="425"/>
      <c r="BR7" s="425"/>
      <c r="BS7" s="425"/>
      <c r="BT7" s="425"/>
      <c r="BU7" s="425"/>
      <c r="BV7" s="425"/>
      <c r="BW7" s="425"/>
      <c r="BX7" s="425"/>
      <c r="BY7" s="425"/>
      <c r="BZ7" s="425"/>
      <c r="CA7" s="425"/>
      <c r="CB7" s="425"/>
      <c r="CC7" s="425"/>
      <c r="CD7" s="425"/>
      <c r="CE7" s="425"/>
      <c r="CF7" s="425"/>
      <c r="CG7" s="425"/>
      <c r="CH7" s="425"/>
      <c r="CI7" s="425"/>
      <c r="CJ7" s="425"/>
    </row>
    <row r="8" spans="1:88">
      <c r="A8" s="434"/>
      <c r="B8" s="442"/>
      <c r="C8" s="424" t="s">
        <v>320</v>
      </c>
      <c r="D8" s="446">
        <v>5.5E-2</v>
      </c>
      <c r="E8" s="446">
        <v>5.7500000000000002E-2</v>
      </c>
      <c r="F8" s="446">
        <f>AVERAGE(5.75%,5.5%)</f>
        <v>5.6250000000000001E-2</v>
      </c>
      <c r="G8" s="446">
        <f>AVERAGE(6%,6.5%)</f>
        <v>6.25E-2</v>
      </c>
      <c r="H8" s="446">
        <f>AVERAGE(5.5%,6%)</f>
        <v>5.7499999999999996E-2</v>
      </c>
      <c r="I8" s="728">
        <v>0.05</v>
      </c>
      <c r="J8" s="728">
        <v>4.4999999999999998E-2</v>
      </c>
      <c r="K8" s="728">
        <v>3.7499999999999999E-2</v>
      </c>
      <c r="L8" s="728">
        <v>4.4999999999999998E-2</v>
      </c>
      <c r="M8" s="728">
        <v>3.7499999999999999E-2</v>
      </c>
      <c r="N8" s="728">
        <v>4.2500000000000003E-2</v>
      </c>
      <c r="O8" s="728">
        <v>4.2500000000000003E-2</v>
      </c>
      <c r="P8" s="750">
        <f t="shared" ref="P8:Q9" si="2">+O8</f>
        <v>4.2500000000000003E-2</v>
      </c>
      <c r="Q8" s="750">
        <f t="shared" si="2"/>
        <v>4.2500000000000003E-2</v>
      </c>
      <c r="R8" s="750">
        <f t="shared" ref="R8:T9" si="3">+Q8</f>
        <v>4.2500000000000003E-2</v>
      </c>
      <c r="S8" s="750">
        <f t="shared" si="3"/>
        <v>4.2500000000000003E-2</v>
      </c>
      <c r="T8" s="750">
        <f t="shared" si="3"/>
        <v>4.2500000000000003E-2</v>
      </c>
      <c r="U8" s="562"/>
      <c r="V8" s="425"/>
      <c r="W8" s="425"/>
      <c r="X8" s="425"/>
      <c r="Y8" s="425"/>
      <c r="Z8" s="425"/>
      <c r="AA8" s="425"/>
      <c r="AH8" s="425"/>
      <c r="AI8" s="425"/>
      <c r="AJ8" s="425"/>
      <c r="AK8" s="425"/>
      <c r="AL8" s="425"/>
      <c r="AM8" s="425"/>
      <c r="AN8" s="447" t="s">
        <v>476</v>
      </c>
      <c r="AO8" s="425"/>
      <c r="AP8" s="425"/>
      <c r="AQ8" s="425"/>
      <c r="AR8" s="425"/>
      <c r="AS8" s="425"/>
      <c r="AT8" s="425"/>
      <c r="AU8" s="425"/>
      <c r="AV8" s="425"/>
      <c r="AW8" s="425"/>
      <c r="AX8" s="425"/>
      <c r="AY8" s="441"/>
      <c r="AZ8" s="448"/>
      <c r="BA8" s="448"/>
      <c r="BB8" s="441"/>
      <c r="BC8" s="425"/>
      <c r="BD8" s="425"/>
      <c r="BE8" s="425"/>
      <c r="BF8" s="425"/>
      <c r="BG8" s="449" t="e">
        <v>#NAME?</v>
      </c>
      <c r="BH8" s="450">
        <v>0</v>
      </c>
      <c r="BI8" s="450">
        <v>0</v>
      </c>
      <c r="BJ8" s="450">
        <v>0</v>
      </c>
      <c r="BK8" s="450">
        <v>0</v>
      </c>
      <c r="BL8" s="450">
        <v>4.4999999999999998E-2</v>
      </c>
      <c r="BM8" s="450">
        <v>3.7499999999999999E-2</v>
      </c>
      <c r="BN8" s="450">
        <v>0</v>
      </c>
      <c r="BO8" s="425"/>
      <c r="BP8" s="425"/>
      <c r="BQ8" s="425"/>
      <c r="BR8" s="425"/>
      <c r="BS8" s="425"/>
      <c r="BT8" s="425"/>
      <c r="BU8" s="425"/>
      <c r="BV8" s="425"/>
      <c r="BW8" s="425"/>
      <c r="BX8" s="425"/>
      <c r="BY8" s="425"/>
      <c r="BZ8" s="425"/>
      <c r="CA8" s="425"/>
      <c r="CB8" s="425"/>
      <c r="CC8" s="425"/>
      <c r="CD8" s="425"/>
      <c r="CE8" s="425"/>
      <c r="CF8" s="425"/>
      <c r="CG8" s="425"/>
      <c r="CH8" s="425"/>
      <c r="CI8" s="425"/>
      <c r="CJ8" s="425"/>
    </row>
    <row r="9" spans="1:88" ht="12.75" customHeight="1" outlineLevel="1">
      <c r="A9" s="434"/>
      <c r="B9" s="442"/>
      <c r="C9" s="424" t="s">
        <v>398</v>
      </c>
      <c r="D9" s="451">
        <f>Pension!D9</f>
        <v>0.1</v>
      </c>
      <c r="E9" s="451">
        <f>Pension!E9</f>
        <v>0.1</v>
      </c>
      <c r="F9" s="451">
        <f>Pension!F9</f>
        <v>0.1</v>
      </c>
      <c r="G9" s="451">
        <f>Pension!G9</f>
        <v>0.1</v>
      </c>
      <c r="H9" s="451">
        <f>Pension!H9</f>
        <v>0.1</v>
      </c>
      <c r="I9" s="451">
        <f>Pension!I9</f>
        <v>0.1</v>
      </c>
      <c r="J9" s="451">
        <f>Pension!J9</f>
        <v>0.1</v>
      </c>
      <c r="K9" s="451">
        <f>Pension!K9</f>
        <v>0.1</v>
      </c>
      <c r="L9" s="451">
        <f>Pension!L9</f>
        <v>0.1</v>
      </c>
      <c r="M9" s="451">
        <f>Pension!M9</f>
        <v>0.1</v>
      </c>
      <c r="N9" s="451">
        <f>Pension!N9</f>
        <v>0.1</v>
      </c>
      <c r="O9" s="451">
        <f>Pension!O9</f>
        <v>0.1</v>
      </c>
      <c r="P9" s="745">
        <f t="shared" si="2"/>
        <v>0.1</v>
      </c>
      <c r="Q9" s="745">
        <f t="shared" si="2"/>
        <v>0.1</v>
      </c>
      <c r="R9" s="745">
        <f t="shared" si="3"/>
        <v>0.1</v>
      </c>
      <c r="S9" s="745">
        <f t="shared" si="3"/>
        <v>0.1</v>
      </c>
      <c r="T9" s="745">
        <f t="shared" si="3"/>
        <v>0.1</v>
      </c>
      <c r="U9" s="424"/>
      <c r="V9" s="425"/>
      <c r="W9" s="425"/>
      <c r="X9" s="425"/>
      <c r="Y9" s="425"/>
      <c r="Z9" s="425"/>
      <c r="AA9" s="425"/>
      <c r="AH9" s="425"/>
      <c r="AI9" s="425"/>
      <c r="AJ9" s="425"/>
      <c r="AK9" s="425"/>
      <c r="AL9" s="425"/>
      <c r="AM9" s="425"/>
      <c r="AN9" s="428"/>
      <c r="AO9" s="425"/>
      <c r="AP9" s="425"/>
      <c r="AQ9" s="425"/>
      <c r="AR9" s="425"/>
      <c r="AS9" s="425"/>
      <c r="AT9" s="425"/>
      <c r="AU9" s="425"/>
      <c r="AV9" s="425"/>
      <c r="AW9" s="425"/>
      <c r="AX9" s="425"/>
      <c r="AY9" s="425"/>
      <c r="AZ9" s="424"/>
      <c r="BA9" s="452"/>
      <c r="BB9" s="452"/>
      <c r="BC9" s="452"/>
      <c r="BD9" s="452"/>
      <c r="BE9" s="425"/>
      <c r="BF9" s="425"/>
      <c r="BG9" s="453"/>
      <c r="BH9" s="425"/>
      <c r="BI9" s="425"/>
      <c r="BJ9" s="425"/>
      <c r="BK9" s="425"/>
      <c r="BL9" s="425"/>
      <c r="BM9" s="425"/>
      <c r="BN9" s="425"/>
      <c r="BO9" s="425"/>
      <c r="BP9" s="425"/>
      <c r="BQ9" s="425"/>
      <c r="BR9" s="425"/>
      <c r="BS9" s="425"/>
      <c r="BT9" s="425"/>
      <c r="BU9" s="425"/>
      <c r="BV9" s="425"/>
      <c r="BW9" s="425"/>
      <c r="BX9" s="425"/>
      <c r="BY9" s="425"/>
      <c r="BZ9" s="425"/>
      <c r="CA9" s="425"/>
      <c r="CB9" s="425"/>
      <c r="CC9" s="425"/>
      <c r="CD9" s="425"/>
      <c r="CE9" s="425"/>
      <c r="CF9" s="425"/>
      <c r="CG9" s="425"/>
      <c r="CH9" s="425"/>
      <c r="CI9" s="425"/>
      <c r="CJ9" s="425"/>
    </row>
    <row r="10" spans="1:88" ht="12.75" customHeight="1" outlineLevel="1">
      <c r="A10" s="434"/>
      <c r="B10" s="442"/>
      <c r="C10" s="424" t="s">
        <v>399</v>
      </c>
      <c r="D10" s="454">
        <f>Pension!D10</f>
        <v>10</v>
      </c>
      <c r="E10" s="454">
        <f>Pension!E10</f>
        <v>10</v>
      </c>
      <c r="F10" s="454">
        <f>Pension!F10</f>
        <v>10</v>
      </c>
      <c r="G10" s="454">
        <f>Pension!G10</f>
        <v>10</v>
      </c>
      <c r="H10" s="454">
        <f>Pension!H10</f>
        <v>10</v>
      </c>
      <c r="I10" s="454">
        <f>Pension!I10</f>
        <v>10</v>
      </c>
      <c r="J10" s="454">
        <f>Pension!J10</f>
        <v>10</v>
      </c>
      <c r="K10" s="454">
        <f>Pension!K10</f>
        <v>10</v>
      </c>
      <c r="L10" s="454">
        <f>Pension!L10</f>
        <v>10</v>
      </c>
      <c r="M10" s="454">
        <f>Pension!M10</f>
        <v>10</v>
      </c>
      <c r="N10" s="454">
        <f>Pension!N10</f>
        <v>10</v>
      </c>
      <c r="O10" s="454">
        <f>Pension!O10</f>
        <v>10</v>
      </c>
      <c r="P10" s="753">
        <v>10</v>
      </c>
      <c r="Q10" s="753">
        <v>10</v>
      </c>
      <c r="R10" s="753">
        <v>10</v>
      </c>
      <c r="S10" s="753">
        <v>10</v>
      </c>
      <c r="T10" s="753">
        <v>10</v>
      </c>
      <c r="U10" s="424"/>
      <c r="V10" s="425"/>
      <c r="W10" s="425"/>
      <c r="X10" s="425"/>
      <c r="Y10" s="425"/>
      <c r="Z10" s="425"/>
      <c r="AA10" s="425"/>
      <c r="AH10" s="425"/>
      <c r="AI10" s="425"/>
      <c r="AJ10" s="425"/>
      <c r="AK10" s="425"/>
      <c r="AL10" s="425"/>
      <c r="AM10" s="425"/>
      <c r="AN10" s="428"/>
      <c r="AO10" s="425"/>
      <c r="AP10" s="425"/>
      <c r="AQ10" s="425"/>
      <c r="AR10" s="425"/>
      <c r="AS10" s="425"/>
      <c r="AT10" s="425"/>
      <c r="AU10" s="425"/>
      <c r="AV10" s="425"/>
      <c r="AW10" s="425"/>
      <c r="AX10" s="425"/>
      <c r="AY10" s="458"/>
      <c r="AZ10" s="563"/>
      <c r="BA10" s="452"/>
      <c r="BB10" s="452"/>
      <c r="BC10" s="452"/>
      <c r="BD10" s="452"/>
      <c r="BE10" s="425"/>
      <c r="BF10" s="425"/>
      <c r="BG10" s="454">
        <f>Pension!BG10</f>
        <v>0</v>
      </c>
      <c r="BH10" s="425"/>
      <c r="BI10" s="425"/>
      <c r="BJ10" s="425"/>
      <c r="BK10" s="425"/>
      <c r="BL10" s="425"/>
      <c r="BM10" s="425"/>
      <c r="BN10" s="425"/>
      <c r="BO10" s="425"/>
      <c r="BP10" s="425"/>
      <c r="BQ10" s="425"/>
      <c r="BR10" s="425"/>
      <c r="BS10" s="425"/>
      <c r="BT10" s="425"/>
      <c r="BU10" s="425"/>
      <c r="BV10" s="425"/>
      <c r="BW10" s="425"/>
      <c r="BX10" s="425"/>
      <c r="BY10" s="425"/>
      <c r="BZ10" s="425"/>
      <c r="CA10" s="425"/>
      <c r="CB10" s="425"/>
      <c r="CC10" s="425"/>
      <c r="CD10" s="425"/>
      <c r="CE10" s="425"/>
      <c r="CF10" s="425"/>
      <c r="CG10" s="425"/>
      <c r="CH10" s="425"/>
      <c r="CI10" s="425"/>
      <c r="CJ10" s="425"/>
    </row>
    <row r="11" spans="1:88">
      <c r="A11" s="434"/>
      <c r="B11" s="442"/>
      <c r="C11" s="424" t="s">
        <v>401</v>
      </c>
      <c r="D11" s="446">
        <v>0.08</v>
      </c>
      <c r="E11" s="446">
        <v>0.08</v>
      </c>
      <c r="F11" s="446">
        <v>0.08</v>
      </c>
      <c r="G11" s="446">
        <v>0.08</v>
      </c>
      <c r="H11" s="728">
        <v>0.08</v>
      </c>
      <c r="I11" s="728">
        <v>0.08</v>
      </c>
      <c r="J11" s="728">
        <v>0.08</v>
      </c>
      <c r="K11" s="728">
        <v>7.7499999999999999E-2</v>
      </c>
      <c r="L11" s="728">
        <v>7.7499999999999999E-2</v>
      </c>
      <c r="M11" s="728">
        <v>7.7499999999999999E-2</v>
      </c>
      <c r="N11" s="728">
        <v>7.4999999999999997E-2</v>
      </c>
      <c r="O11" s="728">
        <v>7.4999999999999997E-2</v>
      </c>
      <c r="P11" s="750">
        <f t="shared" ref="P11:T11" si="4">+O11</f>
        <v>7.4999999999999997E-2</v>
      </c>
      <c r="Q11" s="750">
        <f t="shared" si="4"/>
        <v>7.4999999999999997E-2</v>
      </c>
      <c r="R11" s="750">
        <f t="shared" si="4"/>
        <v>7.4999999999999997E-2</v>
      </c>
      <c r="S11" s="750">
        <f t="shared" si="4"/>
        <v>7.4999999999999997E-2</v>
      </c>
      <c r="T11" s="750">
        <f t="shared" si="4"/>
        <v>7.4999999999999997E-2</v>
      </c>
      <c r="U11" s="562"/>
      <c r="V11" s="425"/>
      <c r="W11" s="425"/>
      <c r="X11" s="425"/>
      <c r="Y11" s="425"/>
      <c r="Z11" s="425"/>
      <c r="AA11" s="425"/>
      <c r="AH11" s="425"/>
      <c r="AI11" s="425"/>
      <c r="AJ11" s="425"/>
      <c r="AK11" s="425"/>
      <c r="AL11" s="425"/>
      <c r="AM11" s="425"/>
      <c r="AN11" s="447" t="s">
        <v>477</v>
      </c>
      <c r="AO11" s="425"/>
      <c r="AP11" s="425"/>
      <c r="AQ11" s="425"/>
      <c r="AR11" s="425"/>
      <c r="AS11" s="425"/>
      <c r="AT11" s="425"/>
      <c r="AU11" s="425"/>
      <c r="AV11" s="425"/>
      <c r="AW11" s="425"/>
      <c r="AX11" s="425"/>
      <c r="AY11" s="452"/>
      <c r="AZ11" s="564"/>
      <c r="BA11" s="452"/>
      <c r="BB11" s="452"/>
      <c r="BC11" s="461"/>
      <c r="BD11" s="452"/>
      <c r="BE11" s="425"/>
      <c r="BF11" s="425"/>
      <c r="BG11" s="449" t="e">
        <v>#NAME?</v>
      </c>
      <c r="BH11" s="450">
        <v>0.08</v>
      </c>
      <c r="BI11" s="450">
        <v>0.08</v>
      </c>
      <c r="BJ11" s="450">
        <v>7.7499999999999999E-2</v>
      </c>
      <c r="BK11" s="450">
        <v>7.7499999999999999E-2</v>
      </c>
      <c r="BL11" s="450">
        <v>7.7499999999999999E-2</v>
      </c>
      <c r="BM11" s="450">
        <v>7.4999999999999997E-2</v>
      </c>
      <c r="BN11" s="450">
        <v>0</v>
      </c>
      <c r="BO11" s="425"/>
      <c r="BP11" s="425"/>
      <c r="BQ11" s="425"/>
      <c r="BR11" s="425"/>
      <c r="BS11" s="425"/>
      <c r="BT11" s="425"/>
      <c r="BU11" s="425"/>
      <c r="BV11" s="425"/>
      <c r="BW11" s="425"/>
      <c r="BX11" s="425"/>
      <c r="BY11" s="425"/>
      <c r="BZ11" s="425"/>
      <c r="CA11" s="425"/>
      <c r="CB11" s="425"/>
      <c r="CC11" s="425"/>
      <c r="CD11" s="425"/>
      <c r="CE11" s="425"/>
      <c r="CF11" s="425"/>
      <c r="CG11" s="425"/>
      <c r="CH11" s="425"/>
      <c r="CI11" s="425"/>
      <c r="CJ11" s="425"/>
    </row>
    <row r="12" spans="1:88">
      <c r="A12" s="434"/>
      <c r="B12" s="442"/>
      <c r="C12" s="424" t="s">
        <v>322</v>
      </c>
      <c r="D12" s="446">
        <f t="shared" ref="D12:J12" si="5">IF(ISNUMBER(D38/D37),D38/D37,0)</f>
        <v>2.575107296137339E-2</v>
      </c>
      <c r="E12" s="446">
        <f t="shared" si="5"/>
        <v>0.13345864661654136</v>
      </c>
      <c r="F12" s="446">
        <f t="shared" si="5"/>
        <v>6.8181818181818177E-2</v>
      </c>
      <c r="G12" s="446">
        <f t="shared" si="5"/>
        <v>-0.21955403087478559</v>
      </c>
      <c r="H12" s="446">
        <f t="shared" si="5"/>
        <v>0.22141560798548093</v>
      </c>
      <c r="I12" s="446">
        <f t="shared" si="5"/>
        <v>0.12303075768942236</v>
      </c>
      <c r="J12" s="446">
        <f t="shared" si="5"/>
        <v>5.6858564321250887E-2</v>
      </c>
      <c r="K12" s="446">
        <f>IF(ISNUMBER(K38/K37),K38/K37,0)</f>
        <v>0.13306177868295996</v>
      </c>
      <c r="L12" s="446">
        <f>IF(ISNUMBER(L38/L37),L38/L37,0)</f>
        <v>0.1997690531177829</v>
      </c>
      <c r="M12" s="446">
        <f>IF(ISNUMBER(M38/M37),M38/M37,0)</f>
        <v>9.5939086294416248E-2</v>
      </c>
      <c r="N12" s="446">
        <f>IF(ISNUMBER(N38/N37),N38/N37,0)</f>
        <v>-3.7735849056603774E-3</v>
      </c>
      <c r="O12" s="446">
        <f>IF(ISNUMBER(O38/O37),O38/O37,0)</f>
        <v>4.7236180904522612E-2</v>
      </c>
      <c r="P12" s="751">
        <f t="shared" ref="P12:T12" si="6">+P11</f>
        <v>7.4999999999999997E-2</v>
      </c>
      <c r="Q12" s="751">
        <f t="shared" si="6"/>
        <v>7.4999999999999997E-2</v>
      </c>
      <c r="R12" s="751">
        <f t="shared" si="6"/>
        <v>7.4999999999999997E-2</v>
      </c>
      <c r="S12" s="751">
        <f t="shared" si="6"/>
        <v>7.4999999999999997E-2</v>
      </c>
      <c r="T12" s="751">
        <f t="shared" si="6"/>
        <v>7.4999999999999997E-2</v>
      </c>
      <c r="U12" s="424"/>
      <c r="V12" s="425"/>
      <c r="W12" s="425"/>
      <c r="X12" s="425"/>
      <c r="Y12" s="425"/>
      <c r="Z12" s="425"/>
      <c r="AA12" s="425"/>
      <c r="AH12" s="425"/>
      <c r="AI12" s="425"/>
      <c r="AJ12" s="425"/>
      <c r="AK12" s="425"/>
      <c r="AL12" s="425"/>
      <c r="AM12" s="425"/>
      <c r="AN12" s="447"/>
      <c r="AO12" s="425"/>
      <c r="AP12" s="425"/>
      <c r="AQ12" s="425"/>
      <c r="AR12" s="425"/>
      <c r="AS12" s="425"/>
      <c r="AT12" s="425"/>
      <c r="AU12" s="425"/>
      <c r="AV12" s="425"/>
      <c r="AW12" s="425"/>
      <c r="AX12" s="425"/>
      <c r="AY12" s="452"/>
      <c r="AZ12" s="564"/>
      <c r="BA12" s="452"/>
      <c r="BB12" s="465"/>
      <c r="BC12" s="452"/>
      <c r="BD12" s="452"/>
      <c r="BE12" s="425"/>
      <c r="BF12" s="425"/>
      <c r="BG12" s="453"/>
      <c r="BH12" s="425"/>
      <c r="BI12" s="425"/>
      <c r="BJ12" s="425"/>
      <c r="BK12" s="425"/>
      <c r="BL12" s="425"/>
      <c r="BM12" s="425"/>
      <c r="BN12" s="425"/>
      <c r="BO12" s="425"/>
      <c r="BP12" s="425"/>
      <c r="BQ12" s="425"/>
      <c r="BR12" s="425"/>
      <c r="BS12" s="425"/>
      <c r="BT12" s="425"/>
      <c r="BU12" s="425"/>
      <c r="BV12" s="425"/>
      <c r="BW12" s="425"/>
      <c r="BX12" s="425"/>
      <c r="BY12" s="425"/>
      <c r="BZ12" s="425"/>
      <c r="CA12" s="425"/>
      <c r="CB12" s="425"/>
      <c r="CC12" s="425"/>
      <c r="CD12" s="425"/>
      <c r="CE12" s="425"/>
      <c r="CF12" s="425"/>
      <c r="CG12" s="425"/>
      <c r="CH12" s="425"/>
      <c r="CI12" s="425"/>
      <c r="CJ12" s="425"/>
    </row>
    <row r="13" spans="1:88">
      <c r="A13" s="434"/>
      <c r="B13" s="442"/>
      <c r="C13" s="424" t="s">
        <v>748</v>
      </c>
      <c r="D13" s="446">
        <f>Pension!D13</f>
        <v>0.35</v>
      </c>
      <c r="E13" s="446">
        <f>Pension!E13</f>
        <v>0.35</v>
      </c>
      <c r="F13" s="446">
        <f>Pension!F13</f>
        <v>0.35</v>
      </c>
      <c r="G13" s="446">
        <f>Pension!G13</f>
        <v>0.35</v>
      </c>
      <c r="H13" s="446">
        <f>Pension!H13</f>
        <v>0.35</v>
      </c>
      <c r="I13" s="446">
        <f>Pension!I13</f>
        <v>0.35</v>
      </c>
      <c r="J13" s="446">
        <f>Pension!J13</f>
        <v>0.35</v>
      </c>
      <c r="K13" s="446">
        <f>Pension!K13</f>
        <v>0.35</v>
      </c>
      <c r="L13" s="446">
        <f>Pension!L13</f>
        <v>0.35</v>
      </c>
      <c r="M13" s="446">
        <f>Pension!M13</f>
        <v>0.35</v>
      </c>
      <c r="N13" s="446">
        <f>Pension!N13</f>
        <v>0.35</v>
      </c>
      <c r="O13" s="446">
        <f>Pension!O13</f>
        <v>0.35</v>
      </c>
      <c r="P13" s="752">
        <f>Pension!P13</f>
        <v>0.35</v>
      </c>
      <c r="Q13" s="752">
        <f>Pension!Q13</f>
        <v>0.35</v>
      </c>
      <c r="R13" s="752">
        <f>Pension!R13</f>
        <v>0.35</v>
      </c>
      <c r="S13" s="752">
        <f>Pension!S13</f>
        <v>0.35</v>
      </c>
      <c r="T13" s="752">
        <f>Pension!T13</f>
        <v>0.35</v>
      </c>
      <c r="U13" s="424"/>
      <c r="V13" s="425"/>
      <c r="W13" s="425"/>
      <c r="X13" s="425"/>
      <c r="Y13" s="425"/>
      <c r="Z13" s="425"/>
      <c r="AA13" s="425"/>
      <c r="AH13" s="425"/>
      <c r="AI13" s="425"/>
      <c r="AJ13" s="425"/>
      <c r="AK13" s="425"/>
      <c r="AL13" s="425"/>
      <c r="AM13" s="425"/>
      <c r="AN13" s="428"/>
      <c r="AO13" s="425"/>
      <c r="AP13" s="425"/>
      <c r="AQ13" s="425"/>
      <c r="AR13" s="425"/>
      <c r="AS13" s="425"/>
      <c r="AT13" s="425"/>
      <c r="AU13" s="425"/>
      <c r="AV13" s="425"/>
      <c r="AW13" s="425"/>
      <c r="AX13" s="425"/>
      <c r="AY13" s="452"/>
      <c r="AZ13" s="565"/>
      <c r="BA13" s="452"/>
      <c r="BB13" s="452"/>
      <c r="BC13" s="452"/>
      <c r="BD13" s="452"/>
      <c r="BE13" s="425"/>
      <c r="BF13" s="425"/>
      <c r="BG13" s="449"/>
      <c r="BH13" s="425"/>
      <c r="BI13" s="425"/>
      <c r="BJ13" s="425"/>
      <c r="BK13" s="425"/>
      <c r="BL13" s="425"/>
      <c r="BM13" s="425"/>
      <c r="BN13" s="425"/>
      <c r="BO13" s="425"/>
      <c r="BP13" s="425"/>
      <c r="BQ13" s="425"/>
      <c r="BR13" s="425"/>
      <c r="BS13" s="425"/>
      <c r="BT13" s="425"/>
      <c r="BU13" s="425"/>
      <c r="BV13" s="425"/>
      <c r="BW13" s="425"/>
      <c r="BX13" s="425"/>
      <c r="BY13" s="425"/>
      <c r="BZ13" s="425"/>
      <c r="CA13" s="425"/>
      <c r="CB13" s="425"/>
      <c r="CC13" s="425"/>
      <c r="CD13" s="425"/>
      <c r="CE13" s="425"/>
      <c r="CF13" s="425"/>
      <c r="CG13" s="425"/>
      <c r="CH13" s="425"/>
      <c r="CI13" s="425"/>
      <c r="CJ13" s="425"/>
    </row>
    <row r="14" spans="1:88" ht="7.5" customHeight="1">
      <c r="A14" s="434"/>
      <c r="B14" s="442"/>
      <c r="C14" s="443"/>
      <c r="D14" s="443"/>
      <c r="E14" s="443"/>
      <c r="F14" s="443"/>
      <c r="G14" s="443"/>
      <c r="H14" s="444"/>
      <c r="I14" s="444"/>
      <c r="J14" s="445"/>
      <c r="K14" s="445"/>
      <c r="L14" s="445"/>
      <c r="M14" s="445"/>
      <c r="N14" s="445"/>
      <c r="O14" s="445"/>
      <c r="P14" s="445"/>
      <c r="Q14" s="445"/>
      <c r="R14" s="445"/>
      <c r="S14" s="445"/>
      <c r="T14" s="445"/>
      <c r="U14" s="424"/>
      <c r="V14" s="425"/>
      <c r="W14" s="425"/>
      <c r="X14" s="425"/>
      <c r="Y14" s="425"/>
      <c r="Z14" s="425"/>
      <c r="AA14" s="425"/>
      <c r="AH14" s="425"/>
      <c r="AI14" s="425"/>
      <c r="AJ14" s="425"/>
      <c r="AK14" s="425"/>
      <c r="AL14" s="425"/>
      <c r="AM14" s="425"/>
      <c r="AN14" s="428"/>
      <c r="AO14" s="425"/>
      <c r="AP14" s="425"/>
      <c r="AQ14" s="425"/>
      <c r="AR14" s="425"/>
      <c r="AS14" s="425"/>
      <c r="AT14" s="425"/>
      <c r="AU14" s="425"/>
      <c r="AV14" s="425"/>
      <c r="AW14" s="425"/>
      <c r="AX14" s="425"/>
      <c r="AY14" s="424"/>
      <c r="AZ14" s="424"/>
      <c r="BA14" s="425"/>
      <c r="BB14" s="425"/>
      <c r="BC14" s="425"/>
      <c r="BD14" s="425"/>
      <c r="BE14" s="425"/>
      <c r="BF14" s="425"/>
      <c r="BG14" s="470"/>
      <c r="BH14" s="425"/>
      <c r="BI14" s="425"/>
      <c r="BJ14" s="425"/>
      <c r="BK14" s="425"/>
      <c r="BL14" s="425"/>
      <c r="BM14" s="425"/>
      <c r="BN14" s="425"/>
      <c r="BO14" s="425"/>
      <c r="BP14" s="425"/>
      <c r="BQ14" s="425"/>
      <c r="BR14" s="425"/>
      <c r="BS14" s="425"/>
      <c r="BT14" s="425"/>
      <c r="BU14" s="425"/>
      <c r="BV14" s="425"/>
      <c r="BW14" s="425"/>
      <c r="BX14" s="425"/>
      <c r="BY14" s="425"/>
      <c r="BZ14" s="425"/>
      <c r="CA14" s="425"/>
      <c r="CB14" s="425"/>
      <c r="CC14" s="425"/>
      <c r="CD14" s="425"/>
      <c r="CE14" s="425"/>
      <c r="CF14" s="425"/>
      <c r="CG14" s="425"/>
      <c r="CH14" s="425"/>
      <c r="CI14" s="425"/>
      <c r="CJ14" s="425"/>
    </row>
    <row r="15" spans="1:88">
      <c r="A15" s="434"/>
      <c r="B15" s="422" t="s">
        <v>406</v>
      </c>
      <c r="C15" s="422" t="s">
        <v>407</v>
      </c>
      <c r="D15" s="440">
        <f>+D6</f>
        <v>2005</v>
      </c>
      <c r="E15" s="440">
        <f>+E6</f>
        <v>2006</v>
      </c>
      <c r="F15" s="440">
        <f>+F6</f>
        <v>2007</v>
      </c>
      <c r="G15" s="440">
        <f>+G6</f>
        <v>2008</v>
      </c>
      <c r="H15" s="440">
        <f>+H6</f>
        <v>2009</v>
      </c>
      <c r="I15" s="440">
        <f t="shared" ref="I15:Q15" si="7">+I6</f>
        <v>2010</v>
      </c>
      <c r="J15" s="440">
        <f t="shared" si="7"/>
        <v>2011</v>
      </c>
      <c r="K15" s="440">
        <f t="shared" si="7"/>
        <v>2012</v>
      </c>
      <c r="L15" s="440">
        <f t="shared" si="7"/>
        <v>2013</v>
      </c>
      <c r="M15" s="440">
        <f t="shared" si="7"/>
        <v>2014</v>
      </c>
      <c r="N15" s="440">
        <f t="shared" si="7"/>
        <v>2015</v>
      </c>
      <c r="O15" s="440">
        <f t="shared" si="7"/>
        <v>2016</v>
      </c>
      <c r="P15" s="440">
        <f t="shared" si="7"/>
        <v>2017</v>
      </c>
      <c r="Q15" s="440">
        <f t="shared" si="7"/>
        <v>2018</v>
      </c>
      <c r="R15" s="440">
        <f>+R6</f>
        <v>2019</v>
      </c>
      <c r="S15" s="440">
        <f>+S6</f>
        <v>2020</v>
      </c>
      <c r="T15" s="440">
        <f>+T6</f>
        <v>2021</v>
      </c>
      <c r="U15" s="424"/>
      <c r="V15" s="425"/>
      <c r="W15" s="425"/>
      <c r="X15" s="425"/>
      <c r="Y15" s="425"/>
      <c r="Z15" s="425"/>
      <c r="AA15" s="425"/>
      <c r="AH15" s="425"/>
      <c r="AI15" s="425"/>
      <c r="AJ15" s="425"/>
      <c r="AK15" s="425"/>
      <c r="AL15" s="425"/>
      <c r="AM15" s="425"/>
      <c r="AN15" s="428"/>
      <c r="AO15" s="425"/>
      <c r="AP15" s="425"/>
      <c r="AQ15" s="425"/>
      <c r="AR15" s="425"/>
      <c r="AS15" s="425"/>
      <c r="AT15" s="425"/>
      <c r="AU15" s="425"/>
      <c r="AV15" s="425"/>
      <c r="AW15" s="425"/>
      <c r="AX15" s="425"/>
      <c r="AY15" s="452"/>
      <c r="AZ15" s="565"/>
      <c r="BA15" s="452"/>
      <c r="BB15" s="452"/>
      <c r="BC15" s="452"/>
      <c r="BD15" s="452"/>
      <c r="BE15" s="425"/>
      <c r="BF15" s="425"/>
      <c r="BG15" s="471"/>
      <c r="BH15" s="425"/>
      <c r="BI15" s="425"/>
      <c r="BJ15" s="425"/>
      <c r="BK15" s="425"/>
      <c r="BL15" s="425"/>
      <c r="BM15" s="425"/>
      <c r="BN15" s="425"/>
      <c r="BO15" s="425"/>
      <c r="BP15" s="425"/>
      <c r="BQ15" s="425"/>
      <c r="BR15" s="425"/>
      <c r="BS15" s="425"/>
      <c r="BT15" s="425"/>
      <c r="BU15" s="425"/>
      <c r="BV15" s="425"/>
      <c r="BW15" s="425"/>
      <c r="BX15" s="425"/>
      <c r="BY15" s="425"/>
      <c r="BZ15" s="425"/>
      <c r="CA15" s="425"/>
      <c r="CB15" s="425"/>
      <c r="CC15" s="425"/>
      <c r="CD15" s="425"/>
      <c r="CE15" s="425"/>
      <c r="CF15" s="425"/>
      <c r="CG15" s="425"/>
      <c r="CH15" s="425"/>
      <c r="CI15" s="425"/>
      <c r="CJ15" s="425"/>
    </row>
    <row r="16" spans="1:88" ht="11.25" customHeight="1">
      <c r="A16" s="434"/>
      <c r="B16" s="442"/>
      <c r="C16" s="443"/>
      <c r="D16" s="443"/>
      <c r="E16" s="443"/>
      <c r="F16" s="443"/>
      <c r="G16" s="443"/>
      <c r="H16" s="472"/>
      <c r="I16" s="472"/>
      <c r="J16" s="473"/>
      <c r="K16" s="473"/>
      <c r="L16" s="473"/>
      <c r="M16" s="473"/>
      <c r="N16" s="473"/>
      <c r="O16" s="473"/>
      <c r="P16" s="473"/>
      <c r="Q16" s="473"/>
      <c r="R16" s="473"/>
      <c r="S16" s="473"/>
      <c r="T16" s="473"/>
      <c r="U16" s="424"/>
      <c r="V16" s="425"/>
      <c r="W16" s="425"/>
      <c r="X16" s="425"/>
      <c r="Y16" s="425"/>
      <c r="Z16" s="425"/>
      <c r="AA16" s="425"/>
      <c r="AH16" s="425"/>
      <c r="AI16" s="425"/>
      <c r="AJ16" s="425"/>
      <c r="AK16" s="425"/>
      <c r="AL16" s="425"/>
      <c r="AM16" s="425"/>
      <c r="AN16" s="428"/>
      <c r="AO16" s="425"/>
      <c r="AP16" s="425"/>
      <c r="AQ16" s="425"/>
      <c r="AR16" s="425"/>
      <c r="AS16" s="425"/>
      <c r="AT16" s="425"/>
      <c r="AU16" s="425"/>
      <c r="AV16" s="425"/>
      <c r="AW16" s="425"/>
      <c r="AX16" s="425"/>
      <c r="AY16" s="452"/>
      <c r="AZ16" s="566"/>
      <c r="BA16" s="452"/>
      <c r="BB16" s="452"/>
      <c r="BC16" s="452"/>
      <c r="BD16" s="452"/>
      <c r="BE16" s="425"/>
      <c r="BF16" s="425"/>
      <c r="BG16" s="470"/>
      <c r="BH16" s="425"/>
      <c r="BI16" s="425"/>
      <c r="BJ16" s="425"/>
      <c r="BK16" s="425"/>
      <c r="BL16" s="425"/>
      <c r="BM16" s="425"/>
      <c r="BN16" s="425"/>
      <c r="BO16" s="425"/>
      <c r="BP16" s="425"/>
      <c r="BQ16" s="425"/>
      <c r="BR16" s="425"/>
      <c r="BS16" s="425"/>
      <c r="BT16" s="425"/>
      <c r="BU16" s="425"/>
      <c r="BV16" s="425"/>
      <c r="BW16" s="425"/>
      <c r="BX16" s="425"/>
      <c r="BY16" s="425"/>
      <c r="BZ16" s="425"/>
      <c r="CA16" s="425"/>
      <c r="CB16" s="425"/>
      <c r="CC16" s="425"/>
      <c r="CD16" s="425"/>
      <c r="CE16" s="425"/>
      <c r="CF16" s="425"/>
      <c r="CG16" s="425"/>
      <c r="CH16" s="425"/>
      <c r="CI16" s="425"/>
      <c r="CJ16" s="425"/>
    </row>
    <row r="17" spans="1:88" ht="15" customHeight="1">
      <c r="A17" s="434"/>
      <c r="B17" s="475" t="s">
        <v>410</v>
      </c>
      <c r="C17" s="476" t="s">
        <v>133</v>
      </c>
      <c r="D17" s="477"/>
      <c r="E17" s="477"/>
      <c r="F17" s="477"/>
      <c r="G17" s="477"/>
      <c r="H17" s="473"/>
      <c r="I17" s="473"/>
      <c r="J17" s="473"/>
      <c r="K17" s="473"/>
      <c r="L17" s="473"/>
      <c r="M17" s="473"/>
      <c r="N17" s="473"/>
      <c r="O17" s="473"/>
      <c r="P17" s="473"/>
      <c r="Q17" s="473"/>
      <c r="R17" s="473"/>
      <c r="S17" s="473"/>
      <c r="T17" s="473"/>
      <c r="U17" s="424"/>
      <c r="V17" s="425"/>
      <c r="W17" s="425"/>
      <c r="X17" s="425"/>
      <c r="Y17" s="425"/>
      <c r="Z17" s="425"/>
      <c r="AA17" s="425"/>
      <c r="AH17" s="425"/>
      <c r="AI17" s="425"/>
      <c r="AJ17" s="425"/>
      <c r="AK17" s="425"/>
      <c r="AL17" s="425"/>
      <c r="AM17" s="425"/>
      <c r="AN17" s="428"/>
      <c r="AO17" s="425"/>
      <c r="AP17" s="425"/>
      <c r="AQ17" s="425"/>
      <c r="AR17" s="425"/>
      <c r="AS17" s="425"/>
      <c r="AT17" s="425"/>
      <c r="AU17" s="425"/>
      <c r="AV17" s="425"/>
      <c r="AW17" s="425"/>
      <c r="AX17" s="425"/>
      <c r="AY17" s="452"/>
      <c r="AZ17" s="567"/>
      <c r="BA17" s="452"/>
      <c r="BB17" s="452"/>
      <c r="BC17" s="480"/>
      <c r="BD17" s="452"/>
      <c r="BE17" s="425"/>
      <c r="BF17" s="425"/>
      <c r="BG17" s="481"/>
      <c r="BH17" s="425"/>
      <c r="BI17" s="425"/>
      <c r="BJ17" s="425"/>
      <c r="BK17" s="425"/>
      <c r="BL17" s="425"/>
      <c r="BM17" s="425"/>
      <c r="BN17" s="425"/>
      <c r="BO17" s="425"/>
      <c r="BP17" s="425"/>
      <c r="BQ17" s="425"/>
      <c r="BR17" s="425"/>
      <c r="BS17" s="425"/>
      <c r="BT17" s="425"/>
      <c r="BU17" s="425"/>
      <c r="BV17" s="425"/>
      <c r="BW17" s="425"/>
      <c r="BX17" s="425"/>
      <c r="BY17" s="425"/>
      <c r="BZ17" s="425"/>
      <c r="CA17" s="425"/>
      <c r="CB17" s="425"/>
      <c r="CC17" s="425"/>
      <c r="CD17" s="425"/>
      <c r="CE17" s="425"/>
      <c r="CF17" s="425"/>
      <c r="CG17" s="425"/>
      <c r="CH17" s="425"/>
      <c r="CI17" s="425"/>
      <c r="CJ17" s="425"/>
    </row>
    <row r="18" spans="1:88" ht="7.5" customHeight="1">
      <c r="A18" s="434"/>
      <c r="B18" s="442"/>
      <c r="C18" s="443"/>
      <c r="D18" s="443"/>
      <c r="E18" s="443"/>
      <c r="F18" s="443"/>
      <c r="G18" s="443"/>
      <c r="H18" s="444"/>
      <c r="I18" s="444"/>
      <c r="J18" s="445"/>
      <c r="K18" s="445"/>
      <c r="L18" s="445"/>
      <c r="M18" s="445"/>
      <c r="N18" s="445"/>
      <c r="O18" s="445"/>
      <c r="P18" s="445"/>
      <c r="Q18" s="445"/>
      <c r="R18" s="445"/>
      <c r="S18" s="445"/>
      <c r="T18" s="445"/>
      <c r="U18" s="424"/>
      <c r="V18" s="425"/>
      <c r="W18" s="425"/>
      <c r="X18" s="425"/>
      <c r="Y18" s="425"/>
      <c r="Z18" s="425"/>
      <c r="AA18" s="425"/>
      <c r="AH18" s="425"/>
      <c r="AI18" s="425"/>
      <c r="AJ18" s="425"/>
      <c r="AK18" s="425"/>
      <c r="AL18" s="425"/>
      <c r="AM18" s="425"/>
      <c r="AN18" s="428"/>
      <c r="AO18" s="425"/>
      <c r="AP18" s="425"/>
      <c r="AQ18" s="425"/>
      <c r="AR18" s="425"/>
      <c r="AS18" s="425"/>
      <c r="AT18" s="425"/>
      <c r="AU18" s="425"/>
      <c r="AV18" s="425"/>
      <c r="AW18" s="425"/>
      <c r="AX18" s="425"/>
      <c r="AY18" s="568" t="s">
        <v>314</v>
      </c>
      <c r="AZ18" s="566"/>
      <c r="BA18" s="425"/>
      <c r="BB18" s="425"/>
      <c r="BC18" s="425"/>
      <c r="BD18" s="425"/>
      <c r="BE18" s="425"/>
      <c r="BF18" s="425"/>
      <c r="BG18" s="470"/>
      <c r="BH18" s="425"/>
      <c r="BI18" s="425"/>
      <c r="BJ18" s="425"/>
      <c r="BK18" s="425"/>
      <c r="BL18" s="425"/>
      <c r="BM18" s="425"/>
      <c r="BN18" s="425"/>
      <c r="BO18" s="425"/>
      <c r="BP18" s="425"/>
      <c r="BQ18" s="425"/>
      <c r="BR18" s="425"/>
      <c r="BS18" s="425"/>
      <c r="BT18" s="425"/>
      <c r="BU18" s="425"/>
      <c r="BV18" s="425"/>
      <c r="BW18" s="425"/>
      <c r="BX18" s="425"/>
      <c r="BY18" s="425"/>
      <c r="BZ18" s="425"/>
      <c r="CA18" s="425"/>
      <c r="CB18" s="425"/>
      <c r="CC18" s="425"/>
      <c r="CD18" s="425"/>
      <c r="CE18" s="425"/>
      <c r="CF18" s="425"/>
      <c r="CG18" s="425"/>
      <c r="CH18" s="425"/>
      <c r="CI18" s="425"/>
      <c r="CJ18" s="425"/>
    </row>
    <row r="19" spans="1:88" outlineLevel="1">
      <c r="A19" s="434"/>
      <c r="B19" s="442"/>
      <c r="C19" s="424" t="s">
        <v>315</v>
      </c>
      <c r="D19" s="444">
        <v>12</v>
      </c>
      <c r="E19" s="444">
        <v>14</v>
      </c>
      <c r="F19" s="444">
        <v>14</v>
      </c>
      <c r="G19" s="444">
        <v>18</v>
      </c>
      <c r="H19" s="731">
        <v>19</v>
      </c>
      <c r="I19" s="731">
        <v>21</v>
      </c>
      <c r="J19" s="731">
        <v>25</v>
      </c>
      <c r="K19" s="731">
        <v>28</v>
      </c>
      <c r="L19" s="732">
        <v>27</v>
      </c>
      <c r="M19" s="732">
        <v>22</v>
      </c>
      <c r="N19" s="732">
        <v>21</v>
      </c>
      <c r="O19" s="732">
        <v>20</v>
      </c>
      <c r="P19" s="732">
        <v>17</v>
      </c>
      <c r="Q19" s="445">
        <f t="shared" ref="Q19:T19" si="8">P19+P19*(-(Q8-P8))*Q9*100</f>
        <v>17</v>
      </c>
      <c r="R19" s="445">
        <f t="shared" si="8"/>
        <v>17</v>
      </c>
      <c r="S19" s="445">
        <f t="shared" si="8"/>
        <v>17</v>
      </c>
      <c r="T19" s="445">
        <f t="shared" si="8"/>
        <v>17</v>
      </c>
      <c r="U19" s="514"/>
      <c r="V19" s="425"/>
      <c r="W19" s="425"/>
      <c r="X19" s="425"/>
      <c r="Y19" s="425"/>
      <c r="Z19" s="425"/>
      <c r="AA19" s="425"/>
      <c r="AH19" s="425"/>
      <c r="AI19" s="425"/>
      <c r="AJ19" s="425"/>
      <c r="AK19" s="425"/>
      <c r="AL19" s="425"/>
      <c r="AM19" s="425"/>
      <c r="AN19" s="484" t="s">
        <v>478</v>
      </c>
      <c r="AO19" s="425"/>
      <c r="AP19" s="425"/>
      <c r="AQ19" s="425"/>
      <c r="AR19" s="425"/>
      <c r="AS19" s="425"/>
      <c r="AT19" s="425"/>
      <c r="AU19" s="425"/>
      <c r="AV19" s="425"/>
      <c r="AW19" s="425"/>
      <c r="AX19" s="425"/>
      <c r="AY19" s="569" t="s">
        <v>314</v>
      </c>
      <c r="AZ19" s="566"/>
      <c r="BA19" s="441"/>
      <c r="BB19" s="441"/>
      <c r="BC19" s="425"/>
      <c r="BD19" s="425"/>
      <c r="BE19" s="425"/>
      <c r="BF19" s="425"/>
      <c r="BG19" s="488" t="e">
        <v>#NAME?</v>
      </c>
      <c r="BH19" s="490">
        <v>21</v>
      </c>
      <c r="BI19" s="490">
        <v>25</v>
      </c>
      <c r="BJ19" s="490">
        <v>28</v>
      </c>
      <c r="BK19" s="490">
        <v>27</v>
      </c>
      <c r="BL19" s="490">
        <v>22</v>
      </c>
      <c r="BM19" s="490">
        <v>21</v>
      </c>
      <c r="BN19" s="490">
        <v>0</v>
      </c>
      <c r="BO19" s="425"/>
      <c r="BP19" s="425"/>
      <c r="BQ19" s="425"/>
      <c r="BR19" s="425"/>
      <c r="BS19" s="425"/>
      <c r="BT19" s="425"/>
      <c r="BU19" s="425"/>
      <c r="BV19" s="425"/>
      <c r="BW19" s="425"/>
      <c r="BX19" s="425"/>
      <c r="BY19" s="425"/>
      <c r="BZ19" s="425"/>
      <c r="CA19" s="425"/>
      <c r="CB19" s="425"/>
      <c r="CC19" s="425"/>
      <c r="CD19" s="425"/>
      <c r="CE19" s="425"/>
      <c r="CF19" s="425"/>
      <c r="CG19" s="425"/>
      <c r="CH19" s="425"/>
      <c r="CI19" s="425"/>
      <c r="CJ19" s="425"/>
    </row>
    <row r="20" spans="1:88" outlineLevel="1">
      <c r="A20" s="434"/>
      <c r="B20" s="442"/>
      <c r="C20" s="424" t="s">
        <v>316</v>
      </c>
      <c r="D20" s="444">
        <v>-46</v>
      </c>
      <c r="E20" s="444">
        <v>-45</v>
      </c>
      <c r="F20" s="444">
        <v>-33</v>
      </c>
      <c r="G20" s="444">
        <v>-15</v>
      </c>
      <c r="H20" s="731">
        <v>23</v>
      </c>
      <c r="I20" s="731">
        <v>23</v>
      </c>
      <c r="J20" s="731">
        <v>25</v>
      </c>
      <c r="K20" s="731">
        <v>11</v>
      </c>
      <c r="L20" s="732">
        <v>-13</v>
      </c>
      <c r="M20" s="732">
        <v>-16</v>
      </c>
      <c r="N20" s="732">
        <v>-6</v>
      </c>
      <c r="O20" s="732">
        <v>26</v>
      </c>
      <c r="P20" s="732">
        <v>29</v>
      </c>
      <c r="Q20" s="445">
        <f>+P20</f>
        <v>29</v>
      </c>
      <c r="R20" s="445">
        <f>+Q20</f>
        <v>29</v>
      </c>
      <c r="S20" s="445">
        <f>+R20</f>
        <v>29</v>
      </c>
      <c r="T20" s="445">
        <f>+S20</f>
        <v>29</v>
      </c>
      <c r="U20" s="514"/>
      <c r="V20" s="425"/>
      <c r="W20" s="425"/>
      <c r="X20" s="425"/>
      <c r="Y20" s="425"/>
      <c r="Z20" s="425"/>
      <c r="AA20" s="425"/>
      <c r="AH20" s="425"/>
      <c r="AI20" s="425"/>
      <c r="AJ20" s="425"/>
      <c r="AK20" s="425"/>
      <c r="AL20" s="425"/>
      <c r="AM20" s="425"/>
      <c r="AN20" s="491" t="s">
        <v>479</v>
      </c>
      <c r="AO20" s="425"/>
      <c r="AP20" s="425"/>
      <c r="AQ20" s="425"/>
      <c r="AR20" s="425"/>
      <c r="AS20" s="425"/>
      <c r="AT20" s="425"/>
      <c r="AU20" s="425"/>
      <c r="AV20" s="425"/>
      <c r="AW20" s="425"/>
      <c r="AX20" s="425"/>
      <c r="AY20" s="569" t="s">
        <v>419</v>
      </c>
      <c r="AZ20" s="425"/>
      <c r="BA20" s="425"/>
      <c r="BB20" s="425"/>
      <c r="BC20" s="425"/>
      <c r="BD20" s="425"/>
      <c r="BE20" s="425"/>
      <c r="BF20" s="425"/>
      <c r="BG20" s="488" t="e">
        <v>#NAME?</v>
      </c>
      <c r="BH20" s="490">
        <v>23</v>
      </c>
      <c r="BI20" s="490">
        <v>25</v>
      </c>
      <c r="BJ20" s="490">
        <v>11</v>
      </c>
      <c r="BK20" s="490">
        <v>-13</v>
      </c>
      <c r="BL20" s="490">
        <v>-16</v>
      </c>
      <c r="BM20" s="490">
        <v>-6</v>
      </c>
      <c r="BN20" s="490">
        <v>0</v>
      </c>
      <c r="BO20" s="425"/>
      <c r="BP20" s="425"/>
      <c r="BQ20" s="425"/>
      <c r="BR20" s="425"/>
      <c r="BS20" s="425"/>
      <c r="BT20" s="425"/>
      <c r="BU20" s="425"/>
      <c r="BV20" s="425"/>
      <c r="BW20" s="425"/>
      <c r="BX20" s="425"/>
      <c r="BY20" s="425"/>
      <c r="BZ20" s="425"/>
      <c r="CA20" s="425"/>
      <c r="CB20" s="425"/>
      <c r="CC20" s="425"/>
      <c r="CD20" s="425"/>
      <c r="CE20" s="425"/>
      <c r="CF20" s="425"/>
      <c r="CG20" s="425"/>
      <c r="CH20" s="425"/>
      <c r="CI20" s="425"/>
      <c r="CJ20" s="425"/>
    </row>
    <row r="21" spans="1:88" outlineLevel="1">
      <c r="A21" s="434"/>
      <c r="B21" s="442"/>
      <c r="C21" s="424" t="s">
        <v>317</v>
      </c>
      <c r="D21" s="444">
        <v>150</v>
      </c>
      <c r="E21" s="444">
        <v>148</v>
      </c>
      <c r="F21" s="444">
        <v>167</v>
      </c>
      <c r="G21" s="444">
        <v>229</v>
      </c>
      <c r="H21" s="731">
        <v>251</v>
      </c>
      <c r="I21" s="731">
        <v>227</v>
      </c>
      <c r="J21" s="731">
        <v>209</v>
      </c>
      <c r="K21" s="731">
        <v>170</v>
      </c>
      <c r="L21" s="732">
        <v>141</v>
      </c>
      <c r="M21" s="732">
        <v>132</v>
      </c>
      <c r="N21" s="732">
        <v>97</v>
      </c>
      <c r="O21" s="732">
        <v>98</v>
      </c>
      <c r="P21" s="732">
        <v>94</v>
      </c>
      <c r="Q21" s="445">
        <f t="shared" ref="Q21:T21" si="9">+P35*P8</f>
        <v>101.1075</v>
      </c>
      <c r="R21" s="445">
        <f t="shared" si="9"/>
        <v>98.604568750000013</v>
      </c>
      <c r="S21" s="445">
        <f t="shared" si="9"/>
        <v>95.740262921875015</v>
      </c>
      <c r="T21" s="445">
        <f t="shared" si="9"/>
        <v>92.541724096054693</v>
      </c>
      <c r="U21" s="514"/>
      <c r="V21" s="425"/>
      <c r="W21" s="425"/>
      <c r="X21" s="425"/>
      <c r="Y21" s="425"/>
      <c r="Z21" s="425"/>
      <c r="AA21" s="425"/>
      <c r="AH21" s="425"/>
      <c r="AI21" s="425"/>
      <c r="AJ21" s="425"/>
      <c r="AK21" s="425"/>
      <c r="AL21" s="425"/>
      <c r="AM21" s="425"/>
      <c r="AN21" s="484" t="s">
        <v>480</v>
      </c>
      <c r="AO21" s="425"/>
      <c r="AP21" s="425"/>
      <c r="AQ21" s="425"/>
      <c r="AR21" s="425"/>
      <c r="AS21" s="425"/>
      <c r="AT21" s="425"/>
      <c r="AU21" s="425"/>
      <c r="AV21" s="425"/>
      <c r="AW21" s="425"/>
      <c r="AX21" s="425"/>
      <c r="AY21" s="455" t="s">
        <v>481</v>
      </c>
      <c r="AZ21" s="456">
        <f>MATCH($AY$18,AY19:AY20,0)</f>
        <v>1</v>
      </c>
      <c r="BA21" s="428"/>
      <c r="BB21" s="425"/>
      <c r="BC21" s="425"/>
      <c r="BD21" s="425"/>
      <c r="BE21" s="425"/>
      <c r="BF21" s="425"/>
      <c r="BG21" s="488" t="e">
        <v>#NAME?</v>
      </c>
      <c r="BH21" s="490">
        <v>227</v>
      </c>
      <c r="BI21" s="490">
        <v>209</v>
      </c>
      <c r="BJ21" s="490">
        <v>170</v>
      </c>
      <c r="BK21" s="490">
        <v>141</v>
      </c>
      <c r="BL21" s="490">
        <v>132</v>
      </c>
      <c r="BM21" s="490">
        <v>97</v>
      </c>
      <c r="BN21" s="490">
        <v>0</v>
      </c>
      <c r="BO21" s="425"/>
      <c r="BP21" s="425"/>
      <c r="BQ21" s="425"/>
      <c r="BR21" s="425"/>
      <c r="BS21" s="425"/>
      <c r="BT21" s="425"/>
      <c r="BU21" s="425"/>
      <c r="BV21" s="425"/>
      <c r="BW21" s="425"/>
      <c r="BX21" s="425"/>
      <c r="BY21" s="425"/>
      <c r="BZ21" s="425"/>
      <c r="CA21" s="425"/>
      <c r="CB21" s="425"/>
      <c r="CC21" s="425"/>
      <c r="CD21" s="425"/>
      <c r="CE21" s="425"/>
      <c r="CF21" s="425"/>
      <c r="CG21" s="425"/>
      <c r="CH21" s="425"/>
      <c r="CI21" s="425"/>
      <c r="CJ21" s="425"/>
    </row>
    <row r="22" spans="1:88" outlineLevel="1">
      <c r="A22" s="434"/>
      <c r="B22" s="442"/>
      <c r="C22" s="424" t="s">
        <v>318</v>
      </c>
      <c r="D22" s="444">
        <v>-36</v>
      </c>
      <c r="E22" s="444">
        <v>-44</v>
      </c>
      <c r="F22" s="444">
        <v>-52</v>
      </c>
      <c r="G22" s="444">
        <v>-100</v>
      </c>
      <c r="H22" s="731">
        <v>-107</v>
      </c>
      <c r="I22" s="731">
        <v>-108</v>
      </c>
      <c r="J22" s="731">
        <v>-105</v>
      </c>
      <c r="K22" s="731">
        <v>-117</v>
      </c>
      <c r="L22" s="732">
        <v>-131</v>
      </c>
      <c r="M22" s="732">
        <v>-143</v>
      </c>
      <c r="N22" s="732">
        <v>-155</v>
      </c>
      <c r="O22" s="732">
        <v>-151</v>
      </c>
      <c r="P22" s="732">
        <v>-65</v>
      </c>
      <c r="Q22" s="445">
        <f t="shared" ref="Q22:T22" si="10">-P42*Q11</f>
        <v>-153.15</v>
      </c>
      <c r="R22" s="445">
        <f t="shared" si="10"/>
        <v>-151.36125000000001</v>
      </c>
      <c r="S22" s="445">
        <f t="shared" si="10"/>
        <v>-148.98834374999998</v>
      </c>
      <c r="T22" s="445">
        <f t="shared" si="10"/>
        <v>-146.06246953124997</v>
      </c>
      <c r="U22" s="514"/>
      <c r="V22" s="425"/>
      <c r="W22" s="425"/>
      <c r="X22" s="425"/>
      <c r="Y22" s="425"/>
      <c r="Z22" s="425"/>
      <c r="AA22" s="425"/>
      <c r="AH22" s="425"/>
      <c r="AI22" s="425"/>
      <c r="AJ22" s="425"/>
      <c r="AK22" s="425"/>
      <c r="AL22" s="425"/>
      <c r="AM22" s="425"/>
      <c r="AN22" s="491" t="s">
        <v>482</v>
      </c>
      <c r="AO22" s="425"/>
      <c r="AP22" s="425"/>
      <c r="AQ22" s="425"/>
      <c r="AR22" s="425"/>
      <c r="AS22" s="425"/>
      <c r="AT22" s="425"/>
      <c r="AU22" s="425"/>
      <c r="AV22" s="425"/>
      <c r="AW22" s="425"/>
      <c r="AX22" s="425"/>
      <c r="AY22" s="437"/>
      <c r="AZ22" s="437"/>
      <c r="BA22" s="437"/>
      <c r="BB22" s="437"/>
      <c r="BC22" s="425"/>
      <c r="BD22" s="425"/>
      <c r="BE22" s="425"/>
      <c r="BF22" s="425"/>
      <c r="BG22" s="488" t="e">
        <v>#NAME?</v>
      </c>
      <c r="BH22" s="490">
        <v>-108</v>
      </c>
      <c r="BI22" s="490">
        <v>-105</v>
      </c>
      <c r="BJ22" s="490">
        <v>-117</v>
      </c>
      <c r="BK22" s="490">
        <v>-131</v>
      </c>
      <c r="BL22" s="490">
        <v>-143</v>
      </c>
      <c r="BM22" s="490">
        <v>-155</v>
      </c>
      <c r="BN22" s="490">
        <v>0</v>
      </c>
      <c r="BO22" s="425"/>
      <c r="BP22" s="425"/>
      <c r="BQ22" s="425"/>
      <c r="BR22" s="425"/>
      <c r="BS22" s="425"/>
      <c r="BT22" s="425"/>
      <c r="BU22" s="425"/>
      <c r="BV22" s="425"/>
      <c r="BW22" s="425"/>
      <c r="BX22" s="425"/>
      <c r="BY22" s="425"/>
      <c r="BZ22" s="425"/>
      <c r="CA22" s="425"/>
      <c r="CB22" s="425"/>
      <c r="CC22" s="425"/>
      <c r="CD22" s="425"/>
      <c r="CE22" s="425"/>
      <c r="CF22" s="425"/>
      <c r="CG22" s="425"/>
      <c r="CH22" s="425"/>
      <c r="CI22" s="425"/>
      <c r="CJ22" s="425"/>
    </row>
    <row r="23" spans="1:88" ht="12.75" hidden="1" customHeight="1" outlineLevel="1">
      <c r="A23" s="434"/>
      <c r="B23" s="435"/>
      <c r="C23" s="431" t="s">
        <v>420</v>
      </c>
      <c r="D23" s="472">
        <f t="shared" ref="D23:J23" si="11">IF(ISNUMBER(D26-SUM(D19:D22)),D26-SUM(D19:D22),0)</f>
        <v>29</v>
      </c>
      <c r="E23" s="472">
        <f t="shared" si="11"/>
        <v>37</v>
      </c>
      <c r="F23" s="472">
        <f t="shared" si="11"/>
        <v>40</v>
      </c>
      <c r="G23" s="472">
        <f t="shared" si="11"/>
        <v>17</v>
      </c>
      <c r="H23" s="494">
        <f t="shared" si="11"/>
        <v>5</v>
      </c>
      <c r="I23" s="494">
        <f t="shared" si="11"/>
        <v>-11</v>
      </c>
      <c r="J23" s="494">
        <f t="shared" si="11"/>
        <v>5</v>
      </c>
      <c r="K23" s="494">
        <f>IF(ISNUMBER(K26-SUM(K19:K22)),K26-SUM(K19:K22),0)</f>
        <v>8</v>
      </c>
      <c r="L23" s="444">
        <f>((L32+(-L22-K42*L12)))</f>
        <v>-635</v>
      </c>
      <c r="M23" s="444">
        <f t="shared" ref="M23:T23" si="12">((M32+(-M22-L42*M12)))</f>
        <v>174</v>
      </c>
      <c r="N23" s="444">
        <f t="shared" si="12"/>
        <v>-155</v>
      </c>
      <c r="O23" s="444">
        <f t="shared" si="12"/>
        <v>51</v>
      </c>
      <c r="P23" s="444">
        <f t="shared" si="12"/>
        <v>-75.799999999999983</v>
      </c>
      <c r="Q23" s="444">
        <f t="shared" si="12"/>
        <v>0</v>
      </c>
      <c r="R23" s="444">
        <f t="shared" si="12"/>
        <v>0</v>
      </c>
      <c r="S23" s="444">
        <f t="shared" si="12"/>
        <v>0</v>
      </c>
      <c r="T23" s="444">
        <f t="shared" si="12"/>
        <v>0</v>
      </c>
      <c r="U23" s="495"/>
      <c r="V23" s="496"/>
      <c r="W23" s="426"/>
      <c r="X23" s="426"/>
      <c r="Y23" s="426"/>
      <c r="Z23" s="426"/>
      <c r="AA23" s="426"/>
      <c r="AH23" s="426"/>
      <c r="AI23" s="426"/>
      <c r="AJ23" s="426"/>
      <c r="AK23" s="426"/>
      <c r="AL23" s="426"/>
      <c r="AM23" s="426"/>
      <c r="AN23" s="491"/>
      <c r="AO23" s="426"/>
      <c r="AP23" s="426"/>
      <c r="AQ23" s="426"/>
      <c r="AR23" s="426"/>
      <c r="AS23" s="426"/>
      <c r="AT23" s="426"/>
      <c r="AU23" s="426"/>
      <c r="AV23" s="426"/>
      <c r="AW23" s="426"/>
      <c r="AX23" s="426"/>
      <c r="AY23" s="426"/>
      <c r="AZ23" s="426"/>
      <c r="BA23" s="426"/>
      <c r="BB23" s="426"/>
      <c r="BC23" s="426"/>
      <c r="BD23" s="426"/>
      <c r="BE23" s="426"/>
      <c r="BF23" s="426"/>
      <c r="BG23" s="488"/>
      <c r="BH23" s="426"/>
      <c r="BI23" s="426"/>
      <c r="BJ23" s="426"/>
      <c r="BK23" s="426"/>
      <c r="BL23" s="426"/>
      <c r="BM23" s="426"/>
      <c r="BN23" s="426"/>
      <c r="BO23" s="426"/>
      <c r="BP23" s="426"/>
      <c r="BQ23" s="426"/>
      <c r="BR23" s="426"/>
      <c r="BS23" s="426"/>
      <c r="BT23" s="426"/>
      <c r="BU23" s="426"/>
      <c r="BV23" s="426"/>
      <c r="BW23" s="426"/>
      <c r="BX23" s="426"/>
      <c r="BY23" s="426"/>
      <c r="BZ23" s="426"/>
      <c r="CA23" s="426"/>
      <c r="CB23" s="426"/>
      <c r="CC23" s="426"/>
      <c r="CD23" s="426"/>
      <c r="CE23" s="426"/>
      <c r="CF23" s="426"/>
      <c r="CG23" s="426"/>
      <c r="CH23" s="426"/>
      <c r="CI23" s="426"/>
      <c r="CJ23" s="426"/>
    </row>
    <row r="24" spans="1:88" ht="12.75" customHeight="1" outlineLevel="1">
      <c r="A24" s="434"/>
      <c r="B24" s="435"/>
      <c r="C24" s="431" t="s">
        <v>422</v>
      </c>
      <c r="D24" s="444">
        <f t="shared" ref="D24:J24" si="13">IF(ISNUMBER(D26-SUM(D19:D22)),D26-SUM(D19:D22),0)</f>
        <v>29</v>
      </c>
      <c r="E24" s="444">
        <f t="shared" si="13"/>
        <v>37</v>
      </c>
      <c r="F24" s="444">
        <f t="shared" si="13"/>
        <v>40</v>
      </c>
      <c r="G24" s="444">
        <f t="shared" si="13"/>
        <v>17</v>
      </c>
      <c r="H24" s="444">
        <f t="shared" si="13"/>
        <v>5</v>
      </c>
      <c r="I24" s="444">
        <f t="shared" si="13"/>
        <v>-11</v>
      </c>
      <c r="J24" s="444">
        <f t="shared" si="13"/>
        <v>5</v>
      </c>
      <c r="K24" s="444">
        <f t="shared" ref="K24:P24" si="14">IF(ISNUMBER(K26-SUM(K19:K22)),K26-SUM(K19:K22),0)</f>
        <v>8</v>
      </c>
      <c r="L24" s="444">
        <f t="shared" si="14"/>
        <v>31</v>
      </c>
      <c r="M24" s="444">
        <f t="shared" si="14"/>
        <v>-1</v>
      </c>
      <c r="N24" s="444">
        <f t="shared" si="14"/>
        <v>7</v>
      </c>
      <c r="O24" s="444">
        <f t="shared" si="14"/>
        <v>3</v>
      </c>
      <c r="P24" s="444">
        <f t="shared" si="14"/>
        <v>3</v>
      </c>
      <c r="Q24" s="444">
        <f>P24+((Q32+(-Q22-P42*Q12))/Q10)</f>
        <v>3</v>
      </c>
      <c r="R24" s="444">
        <f>Q24+((R32+(-R22-Q42*R12))/R10)</f>
        <v>3</v>
      </c>
      <c r="S24" s="444">
        <f>R24+((S32+(-S22-R42*S12))/S10)</f>
        <v>3</v>
      </c>
      <c r="T24" s="444">
        <f>S24+((T32+(-T22-S42*T12))/T10)</f>
        <v>3</v>
      </c>
      <c r="U24" s="424"/>
      <c r="V24" s="424" t="b">
        <v>0</v>
      </c>
      <c r="W24" s="426"/>
      <c r="X24" s="426"/>
      <c r="Y24" s="426"/>
      <c r="Z24" s="426"/>
      <c r="AA24" s="426"/>
      <c r="AH24" s="426"/>
      <c r="AI24" s="426"/>
      <c r="AJ24" s="426"/>
      <c r="AK24" s="426"/>
      <c r="AL24" s="426"/>
      <c r="AM24" s="426"/>
      <c r="AN24" s="491"/>
      <c r="AO24" s="426"/>
      <c r="AP24" s="426"/>
      <c r="AQ24" s="426"/>
      <c r="AR24" s="426"/>
      <c r="AS24" s="426"/>
      <c r="AT24" s="426"/>
      <c r="AU24" s="426"/>
      <c r="AV24" s="497" t="s">
        <v>421</v>
      </c>
      <c r="AW24" s="426"/>
      <c r="AX24" s="426"/>
      <c r="AY24" s="426"/>
      <c r="AZ24" s="426"/>
      <c r="BA24" s="426"/>
      <c r="BB24" s="426"/>
      <c r="BC24" s="426"/>
      <c r="BD24" s="426"/>
      <c r="BE24" s="426"/>
      <c r="BF24" s="426"/>
      <c r="BG24" s="488"/>
      <c r="BH24" s="426"/>
      <c r="BI24" s="426"/>
      <c r="BJ24" s="426"/>
      <c r="BK24" s="426"/>
      <c r="BL24" s="426"/>
      <c r="BM24" s="426"/>
      <c r="BN24" s="426"/>
      <c r="BO24" s="426"/>
      <c r="BP24" s="426"/>
      <c r="BQ24" s="426"/>
      <c r="BR24" s="426"/>
      <c r="BS24" s="426"/>
      <c r="BT24" s="426"/>
      <c r="BU24" s="426"/>
      <c r="BV24" s="426"/>
      <c r="BW24" s="426"/>
      <c r="BX24" s="426"/>
      <c r="BY24" s="426"/>
      <c r="BZ24" s="426"/>
      <c r="CA24" s="426"/>
      <c r="CB24" s="426"/>
      <c r="CC24" s="426"/>
      <c r="CD24" s="426"/>
      <c r="CE24" s="426"/>
      <c r="CF24" s="426"/>
      <c r="CG24" s="426"/>
      <c r="CH24" s="426"/>
      <c r="CI24" s="426"/>
      <c r="CJ24" s="426"/>
    </row>
    <row r="25" spans="1:88">
      <c r="A25" s="434"/>
      <c r="B25" s="442"/>
      <c r="C25" s="499" t="s">
        <v>483</v>
      </c>
      <c r="D25" s="500">
        <f t="shared" ref="D25:J25" si="15">CHOOSE(dropDown2,SUM(D19:D22)+D24,SUM(D19:D23))</f>
        <v>109</v>
      </c>
      <c r="E25" s="500">
        <f t="shared" si="15"/>
        <v>110</v>
      </c>
      <c r="F25" s="500">
        <f t="shared" si="15"/>
        <v>136</v>
      </c>
      <c r="G25" s="500">
        <f t="shared" si="15"/>
        <v>149</v>
      </c>
      <c r="H25" s="500">
        <f t="shared" si="15"/>
        <v>191</v>
      </c>
      <c r="I25" s="500">
        <f t="shared" si="15"/>
        <v>152</v>
      </c>
      <c r="J25" s="500">
        <f t="shared" si="15"/>
        <v>159</v>
      </c>
      <c r="K25" s="500">
        <f t="shared" ref="K25:T25" si="16">CHOOSE(dropDown2,SUM(K19:K22)+K24,SUM(K19:K23))</f>
        <v>100</v>
      </c>
      <c r="L25" s="500">
        <f t="shared" si="16"/>
        <v>55</v>
      </c>
      <c r="M25" s="500">
        <f t="shared" si="16"/>
        <v>-6</v>
      </c>
      <c r="N25" s="500">
        <f>CHOOSE(dropDown2,SUM(N19:N22)+N24,SUM(N19:N23))</f>
        <v>-36</v>
      </c>
      <c r="O25" s="500">
        <f t="shared" si="16"/>
        <v>-4</v>
      </c>
      <c r="P25" s="500">
        <f t="shared" ref="P25" si="17">CHOOSE(dropDown2,SUM(P19:P22)+P24,SUM(P19:P23))</f>
        <v>78</v>
      </c>
      <c r="Q25" s="501">
        <f t="shared" si="16"/>
        <v>-3.0424999999999898</v>
      </c>
      <c r="R25" s="501">
        <f t="shared" si="16"/>
        <v>-3.756681250000014</v>
      </c>
      <c r="S25" s="501">
        <f t="shared" si="16"/>
        <v>-4.2480808281249836</v>
      </c>
      <c r="T25" s="501">
        <f t="shared" si="16"/>
        <v>-4.5207454351952947</v>
      </c>
      <c r="U25" s="424"/>
      <c r="V25" s="425"/>
      <c r="W25" s="425"/>
      <c r="X25" s="425"/>
      <c r="Y25" s="425"/>
      <c r="Z25" s="425"/>
      <c r="AA25" s="425"/>
      <c r="AH25" s="425"/>
      <c r="AI25" s="425"/>
      <c r="AJ25" s="425"/>
      <c r="AK25" s="425"/>
      <c r="AL25" s="425"/>
      <c r="AM25" s="425"/>
      <c r="AN25" s="491"/>
      <c r="AO25" s="425"/>
      <c r="AP25" s="425"/>
      <c r="AQ25" s="425"/>
      <c r="AR25" s="425"/>
      <c r="AS25" s="425"/>
      <c r="AT25" s="425"/>
      <c r="AU25" s="425"/>
      <c r="AV25" s="498" t="s">
        <v>319</v>
      </c>
      <c r="AW25" s="473">
        <v>6</v>
      </c>
      <c r="AX25" s="424" t="str">
        <f>"ISO4217:"&amp;Pension!$AQ$186</f>
        <v>ISO4217:USD</v>
      </c>
      <c r="AY25" s="424" t="b">
        <v>0</v>
      </c>
      <c r="AZ25" s="424" t="b">
        <v>0</v>
      </c>
      <c r="BA25" s="425"/>
      <c r="BB25" s="425"/>
      <c r="BC25" s="425"/>
      <c r="BD25" s="425"/>
      <c r="BE25" s="425"/>
      <c r="BF25" s="425"/>
      <c r="BG25" s="500"/>
      <c r="BH25" s="425"/>
      <c r="BI25" s="425"/>
      <c r="BJ25" s="425"/>
      <c r="BK25" s="425"/>
      <c r="BL25" s="425"/>
      <c r="BM25" s="425"/>
      <c r="BN25" s="425"/>
      <c r="BO25" s="425"/>
      <c r="BP25" s="425"/>
      <c r="BQ25" s="425"/>
      <c r="BR25" s="425"/>
      <c r="BS25" s="425"/>
      <c r="BT25" s="425"/>
      <c r="BU25" s="425"/>
      <c r="BV25" s="425"/>
      <c r="BW25" s="425"/>
      <c r="BX25" s="425"/>
      <c r="BY25" s="425"/>
      <c r="BZ25" s="425"/>
      <c r="CA25" s="425"/>
      <c r="CB25" s="425"/>
      <c r="CC25" s="425"/>
      <c r="CD25" s="425"/>
      <c r="CE25" s="425"/>
      <c r="CF25" s="425"/>
      <c r="CG25" s="425"/>
      <c r="CH25" s="425"/>
      <c r="CI25" s="425"/>
      <c r="CJ25" s="425"/>
    </row>
    <row r="26" spans="1:88">
      <c r="A26" s="434"/>
      <c r="B26" s="442"/>
      <c r="C26" s="443"/>
      <c r="D26" s="503">
        <v>109</v>
      </c>
      <c r="E26" s="504">
        <v>110</v>
      </c>
      <c r="F26" s="504">
        <v>136</v>
      </c>
      <c r="G26" s="504">
        <v>149</v>
      </c>
      <c r="H26" s="744">
        <v>191</v>
      </c>
      <c r="I26" s="731">
        <v>152</v>
      </c>
      <c r="J26" s="731">
        <v>159</v>
      </c>
      <c r="K26" s="731">
        <v>100</v>
      </c>
      <c r="L26" s="731">
        <v>55</v>
      </c>
      <c r="M26" s="731">
        <v>-6</v>
      </c>
      <c r="N26" s="731">
        <v>-36</v>
      </c>
      <c r="O26" s="731">
        <v>-4</v>
      </c>
      <c r="P26" s="731">
        <v>78</v>
      </c>
      <c r="Q26" s="503"/>
      <c r="R26" s="503"/>
      <c r="S26" s="503"/>
      <c r="T26" s="503"/>
      <c r="U26" s="514"/>
      <c r="V26" s="425"/>
      <c r="W26" s="425"/>
      <c r="X26" s="425"/>
      <c r="Y26" s="425"/>
      <c r="Z26" s="425"/>
      <c r="AA26" s="425"/>
      <c r="AH26" s="425"/>
      <c r="AI26" s="425"/>
      <c r="AJ26" s="425"/>
      <c r="AK26" s="425"/>
      <c r="AL26" s="425"/>
      <c r="AM26" s="425"/>
      <c r="AN26" s="491" t="s">
        <v>484</v>
      </c>
      <c r="AO26" s="425"/>
      <c r="AP26" s="425"/>
      <c r="AQ26" s="425"/>
      <c r="AR26" s="425"/>
      <c r="AS26" s="425"/>
      <c r="AT26" s="425"/>
      <c r="AU26" s="425"/>
      <c r="AV26" s="425"/>
      <c r="AW26" s="425"/>
      <c r="AX26" s="425"/>
      <c r="AY26" s="425"/>
      <c r="AZ26" s="425"/>
      <c r="BA26" s="425"/>
      <c r="BB26" s="425"/>
      <c r="BC26" s="425"/>
      <c r="BD26" s="425"/>
      <c r="BE26" s="425"/>
      <c r="BF26" s="425"/>
      <c r="BG26" s="505" t="e">
        <v>#NAME?</v>
      </c>
      <c r="BH26" s="490">
        <v>152</v>
      </c>
      <c r="BI26" s="490">
        <v>159</v>
      </c>
      <c r="BJ26" s="490">
        <v>100</v>
      </c>
      <c r="BK26" s="490">
        <v>55</v>
      </c>
      <c r="BL26" s="490">
        <v>-25</v>
      </c>
      <c r="BM26" s="490">
        <v>-40</v>
      </c>
      <c r="BN26" s="490">
        <v>0</v>
      </c>
      <c r="BO26" s="425"/>
      <c r="BP26" s="425"/>
      <c r="BQ26" s="425"/>
      <c r="BR26" s="425"/>
      <c r="BS26" s="425"/>
      <c r="BT26" s="425"/>
      <c r="BU26" s="425"/>
      <c r="BV26" s="425"/>
      <c r="BW26" s="425"/>
      <c r="BX26" s="425"/>
      <c r="BY26" s="425"/>
      <c r="BZ26" s="425"/>
      <c r="CA26" s="425"/>
      <c r="CB26" s="425"/>
      <c r="CC26" s="506"/>
      <c r="CD26" s="425"/>
      <c r="CE26" s="425"/>
      <c r="CF26" s="425"/>
      <c r="CG26" s="425"/>
      <c r="CH26" s="425"/>
      <c r="CI26" s="425"/>
      <c r="CJ26" s="425"/>
    </row>
    <row r="27" spans="1:88">
      <c r="A27" s="434"/>
      <c r="B27" s="475" t="s">
        <v>427</v>
      </c>
      <c r="C27" s="476" t="s">
        <v>600</v>
      </c>
      <c r="D27" s="477"/>
      <c r="E27" s="477"/>
      <c r="F27" s="477"/>
      <c r="G27" s="477"/>
      <c r="H27" s="444"/>
      <c r="I27" s="444"/>
      <c r="J27" s="445"/>
      <c r="K27" s="445"/>
      <c r="L27" s="445"/>
      <c r="M27" s="445"/>
      <c r="N27" s="445"/>
      <c r="O27" s="445"/>
      <c r="P27" s="445"/>
      <c r="Q27" s="445"/>
      <c r="R27" s="445"/>
      <c r="S27" s="445"/>
      <c r="T27" s="445"/>
      <c r="U27" s="424"/>
      <c r="V27" s="425"/>
      <c r="W27" s="425"/>
      <c r="X27" s="425"/>
      <c r="Y27" s="425"/>
      <c r="Z27" s="425"/>
      <c r="AA27" s="425"/>
      <c r="AH27" s="425"/>
      <c r="AI27" s="425"/>
      <c r="AJ27" s="425"/>
      <c r="AK27" s="425"/>
      <c r="AL27" s="425"/>
      <c r="AM27" s="425"/>
      <c r="AN27" s="428"/>
      <c r="AO27" s="425"/>
      <c r="AP27" s="425"/>
      <c r="AQ27" s="425"/>
      <c r="AR27" s="425"/>
      <c r="AS27" s="425"/>
      <c r="AT27" s="425"/>
      <c r="AU27" s="425"/>
      <c r="AV27" s="425"/>
      <c r="AW27" s="425"/>
      <c r="AX27" s="425"/>
      <c r="AY27" s="425"/>
      <c r="AZ27" s="425"/>
      <c r="BA27" s="425"/>
      <c r="BB27" s="425"/>
      <c r="BC27" s="425"/>
      <c r="BD27" s="425"/>
      <c r="BE27" s="425"/>
      <c r="BF27" s="425"/>
      <c r="BG27" s="481"/>
      <c r="BH27" s="425"/>
      <c r="BI27" s="425"/>
      <c r="BJ27" s="425"/>
      <c r="BK27" s="425"/>
      <c r="BL27" s="425"/>
      <c r="BM27" s="425"/>
      <c r="BN27" s="425"/>
      <c r="BO27" s="425"/>
      <c r="BP27" s="425"/>
      <c r="BQ27" s="425"/>
      <c r="BR27" s="425"/>
      <c r="BS27" s="425"/>
      <c r="BT27" s="425"/>
      <c r="BU27" s="425"/>
      <c r="BV27" s="425"/>
      <c r="BW27" s="425"/>
      <c r="BX27" s="425"/>
      <c r="BY27" s="425"/>
      <c r="BZ27" s="425"/>
      <c r="CA27" s="425"/>
      <c r="CB27" s="425"/>
      <c r="CC27" s="426"/>
      <c r="CD27" s="507"/>
      <c r="CE27" s="513"/>
      <c r="CF27" s="513"/>
      <c r="CG27" s="513"/>
      <c r="CH27" s="513"/>
      <c r="CI27" s="513"/>
      <c r="CJ27" s="513"/>
    </row>
    <row r="28" spans="1:88" ht="7.5" customHeight="1">
      <c r="A28" s="434"/>
      <c r="B28" s="442"/>
      <c r="C28" s="443"/>
      <c r="D28" s="443"/>
      <c r="E28" s="443"/>
      <c r="F28" s="443"/>
      <c r="G28" s="443"/>
      <c r="H28" s="444"/>
      <c r="I28" s="444"/>
      <c r="J28" s="445"/>
      <c r="K28" s="445"/>
      <c r="L28" s="445"/>
      <c r="M28" s="445"/>
      <c r="N28" s="445"/>
      <c r="O28" s="445"/>
      <c r="P28" s="445"/>
      <c r="Q28" s="445"/>
      <c r="R28" s="445"/>
      <c r="S28" s="445"/>
      <c r="T28" s="445"/>
      <c r="U28" s="424"/>
      <c r="V28" s="425"/>
      <c r="W28" s="425"/>
      <c r="X28" s="425"/>
      <c r="Y28" s="425"/>
      <c r="Z28" s="425"/>
      <c r="AA28" s="425"/>
      <c r="AH28" s="425"/>
      <c r="AI28" s="425"/>
      <c r="AJ28" s="425"/>
      <c r="AK28" s="425"/>
      <c r="AL28" s="425"/>
      <c r="AM28" s="425"/>
      <c r="AN28" s="428"/>
      <c r="AO28" s="425"/>
      <c r="AP28" s="425"/>
      <c r="AQ28" s="425"/>
      <c r="AR28" s="425"/>
      <c r="AS28" s="425"/>
      <c r="AT28" s="425"/>
      <c r="AU28" s="425"/>
      <c r="AV28" s="425"/>
      <c r="AW28" s="425"/>
      <c r="AX28" s="425"/>
      <c r="AY28" s="425"/>
      <c r="AZ28" s="425"/>
      <c r="BA28" s="425"/>
      <c r="BB28" s="425"/>
      <c r="BC28" s="425"/>
      <c r="BD28" s="425"/>
      <c r="BE28" s="425"/>
      <c r="BF28" s="425"/>
      <c r="BG28" s="470"/>
      <c r="BH28" s="425"/>
      <c r="BI28" s="425"/>
      <c r="BJ28" s="425"/>
      <c r="BK28" s="425"/>
      <c r="BL28" s="425"/>
      <c r="BM28" s="425"/>
      <c r="BN28" s="425"/>
      <c r="BO28" s="425"/>
      <c r="BP28" s="425"/>
      <c r="BQ28" s="425"/>
      <c r="BR28" s="425"/>
      <c r="BS28" s="425"/>
      <c r="BT28" s="425"/>
      <c r="BU28" s="425"/>
      <c r="BV28" s="425"/>
      <c r="BW28" s="425"/>
      <c r="BX28" s="425"/>
      <c r="BY28" s="425"/>
      <c r="BZ28" s="425"/>
      <c r="CA28" s="425"/>
      <c r="CB28" s="425"/>
      <c r="CC28" s="426"/>
      <c r="CD28" s="507"/>
      <c r="CE28" s="513"/>
      <c r="CF28" s="513"/>
      <c r="CG28" s="513"/>
      <c r="CH28" s="513"/>
      <c r="CI28" s="513"/>
      <c r="CJ28" s="513"/>
    </row>
    <row r="29" spans="1:88" outlineLevel="1">
      <c r="A29" s="434"/>
      <c r="B29" s="442"/>
      <c r="C29" s="424" t="s">
        <v>430</v>
      </c>
      <c r="D29" s="444">
        <v>2730</v>
      </c>
      <c r="E29" s="444">
        <f t="shared" ref="E29:J29" si="18">D35</f>
        <v>2811</v>
      </c>
      <c r="F29" s="444">
        <f t="shared" si="18"/>
        <v>2867</v>
      </c>
      <c r="G29" s="444">
        <f t="shared" si="18"/>
        <v>4089</v>
      </c>
      <c r="H29" s="444">
        <f t="shared" si="18"/>
        <v>4235</v>
      </c>
      <c r="I29" s="444">
        <f t="shared" si="18"/>
        <v>4224</v>
      </c>
      <c r="J29" s="444">
        <f t="shared" si="18"/>
        <v>4340</v>
      </c>
      <c r="K29" s="444">
        <f>J35</f>
        <v>4186</v>
      </c>
      <c r="L29" s="444">
        <f t="shared" ref="L29:T29" si="19">+K35</f>
        <v>3940</v>
      </c>
      <c r="M29" s="444">
        <f t="shared" si="19"/>
        <v>3378</v>
      </c>
      <c r="N29" s="444">
        <f t="shared" si="19"/>
        <v>2715</v>
      </c>
      <c r="O29" s="444">
        <f t="shared" si="19"/>
        <v>2310</v>
      </c>
      <c r="P29" s="444">
        <f t="shared" si="19"/>
        <v>2432</v>
      </c>
      <c r="Q29" s="444">
        <f t="shared" si="19"/>
        <v>2379</v>
      </c>
      <c r="R29" s="444">
        <f t="shared" si="19"/>
        <v>2320.1075000000001</v>
      </c>
      <c r="S29" s="444">
        <f t="shared" si="19"/>
        <v>2252.7120687500001</v>
      </c>
      <c r="T29" s="444">
        <f t="shared" si="19"/>
        <v>2177.4523316718751</v>
      </c>
      <c r="U29" s="424"/>
      <c r="V29" s="425"/>
      <c r="W29" s="425"/>
      <c r="X29" s="425"/>
      <c r="Y29" s="425"/>
      <c r="Z29" s="425"/>
      <c r="AA29" s="425"/>
      <c r="AH29" s="425"/>
      <c r="AI29" s="425"/>
      <c r="AJ29" s="425"/>
      <c r="AK29" s="425"/>
      <c r="AL29" s="425"/>
      <c r="AM29" s="425"/>
      <c r="AN29" s="509" t="s">
        <v>485</v>
      </c>
      <c r="AO29" s="425"/>
      <c r="AP29" s="425"/>
      <c r="AQ29" s="425"/>
      <c r="AR29" s="425"/>
      <c r="AS29" s="425"/>
      <c r="AT29" s="425"/>
      <c r="AU29" s="425"/>
      <c r="AV29" s="425"/>
      <c r="AW29" s="425"/>
      <c r="AX29" s="425"/>
      <c r="AY29" s="425"/>
      <c r="AZ29" s="425"/>
      <c r="BA29" s="425"/>
      <c r="BB29" s="425"/>
      <c r="BC29" s="425"/>
      <c r="BD29" s="425"/>
      <c r="BE29" s="425"/>
      <c r="BF29" s="425"/>
      <c r="BG29" s="488" t="e">
        <v>#NAME?</v>
      </c>
      <c r="BH29" s="425"/>
      <c r="BI29" s="425"/>
      <c r="BJ29" s="425"/>
      <c r="BK29" s="425"/>
      <c r="BL29" s="425"/>
      <c r="BM29" s="425"/>
      <c r="BN29" s="425"/>
      <c r="BO29" s="425"/>
      <c r="BP29" s="425"/>
      <c r="BQ29" s="425"/>
      <c r="BR29" s="425"/>
      <c r="BS29" s="425"/>
      <c r="BT29" s="425"/>
      <c r="BU29" s="425"/>
      <c r="BV29" s="425"/>
      <c r="BW29" s="425"/>
      <c r="BX29" s="425"/>
      <c r="BY29" s="425"/>
      <c r="BZ29" s="425"/>
      <c r="CA29" s="425"/>
      <c r="CB29" s="425"/>
      <c r="CC29" s="426"/>
      <c r="CD29" s="507"/>
      <c r="CE29" s="513"/>
      <c r="CF29" s="513"/>
      <c r="CG29" s="513"/>
      <c r="CH29" s="513"/>
      <c r="CI29" s="513"/>
      <c r="CJ29" s="513"/>
    </row>
    <row r="30" spans="1:88" outlineLevel="1">
      <c r="A30" s="434"/>
      <c r="B30" s="442"/>
      <c r="C30" s="424" t="s">
        <v>315</v>
      </c>
      <c r="D30" s="444">
        <f>D19</f>
        <v>12</v>
      </c>
      <c r="E30" s="444">
        <f t="shared" ref="E30:J30" si="20">E19</f>
        <v>14</v>
      </c>
      <c r="F30" s="444">
        <f t="shared" si="20"/>
        <v>14</v>
      </c>
      <c r="G30" s="444">
        <f t="shared" si="20"/>
        <v>18</v>
      </c>
      <c r="H30" s="444">
        <f t="shared" si="20"/>
        <v>19</v>
      </c>
      <c r="I30" s="444">
        <f t="shared" si="20"/>
        <v>21</v>
      </c>
      <c r="J30" s="444">
        <f t="shared" si="20"/>
        <v>25</v>
      </c>
      <c r="K30" s="444">
        <f>K19</f>
        <v>28</v>
      </c>
      <c r="L30" s="444">
        <f t="shared" ref="L30:T30" si="21">+L19</f>
        <v>27</v>
      </c>
      <c r="M30" s="444">
        <f t="shared" si="21"/>
        <v>22</v>
      </c>
      <c r="N30" s="444">
        <f t="shared" si="21"/>
        <v>21</v>
      </c>
      <c r="O30" s="444">
        <f t="shared" si="21"/>
        <v>20</v>
      </c>
      <c r="P30" s="444">
        <f t="shared" ref="P30" si="22">+P19</f>
        <v>17</v>
      </c>
      <c r="Q30" s="444">
        <f t="shared" si="21"/>
        <v>17</v>
      </c>
      <c r="R30" s="444">
        <f t="shared" si="21"/>
        <v>17</v>
      </c>
      <c r="S30" s="444">
        <f t="shared" si="21"/>
        <v>17</v>
      </c>
      <c r="T30" s="444">
        <f t="shared" si="21"/>
        <v>17</v>
      </c>
      <c r="U30" s="424"/>
      <c r="V30" s="425"/>
      <c r="W30" s="425"/>
      <c r="X30" s="425"/>
      <c r="Y30" s="425"/>
      <c r="Z30" s="425"/>
      <c r="AA30" s="425"/>
      <c r="AH30" s="425"/>
      <c r="AI30" s="425"/>
      <c r="AJ30" s="425"/>
      <c r="AK30" s="425"/>
      <c r="AL30" s="425"/>
      <c r="AM30" s="425"/>
      <c r="AN30" s="428"/>
      <c r="AO30" s="425"/>
      <c r="AP30" s="425"/>
      <c r="AQ30" s="425"/>
      <c r="AR30" s="425"/>
      <c r="AS30" s="425"/>
      <c r="AT30" s="425"/>
      <c r="AU30" s="425"/>
      <c r="AV30" s="425"/>
      <c r="AW30" s="425"/>
      <c r="AX30" s="425"/>
      <c r="AY30" s="425"/>
      <c r="AZ30" s="425"/>
      <c r="BA30" s="425"/>
      <c r="BB30" s="425"/>
      <c r="BC30" s="425"/>
      <c r="BD30" s="425"/>
      <c r="BE30" s="425"/>
      <c r="BF30" s="425"/>
      <c r="BG30" s="488"/>
      <c r="BH30" s="425"/>
      <c r="BI30" s="425"/>
      <c r="BJ30" s="425"/>
      <c r="BK30" s="425"/>
      <c r="BL30" s="425"/>
      <c r="BM30" s="425"/>
      <c r="BN30" s="425"/>
      <c r="BO30" s="425"/>
      <c r="BP30" s="425"/>
      <c r="BQ30" s="425"/>
      <c r="BR30" s="425"/>
      <c r="BS30" s="425"/>
      <c r="BT30" s="425"/>
      <c r="BU30" s="425"/>
      <c r="BV30" s="425"/>
      <c r="BW30" s="425"/>
      <c r="BX30" s="425"/>
      <c r="BY30" s="425"/>
      <c r="BZ30" s="425"/>
      <c r="CA30" s="425"/>
      <c r="CB30" s="425"/>
      <c r="CC30" s="426"/>
      <c r="CD30" s="507"/>
      <c r="CE30" s="513"/>
      <c r="CF30" s="513"/>
      <c r="CG30" s="513"/>
      <c r="CH30" s="513"/>
      <c r="CI30" s="513"/>
      <c r="CJ30" s="513"/>
    </row>
    <row r="31" spans="1:88" outlineLevel="1">
      <c r="A31" s="434"/>
      <c r="B31" s="442"/>
      <c r="C31" s="424" t="s">
        <v>317</v>
      </c>
      <c r="D31" s="444">
        <f>D21</f>
        <v>150</v>
      </c>
      <c r="E31" s="444">
        <f t="shared" ref="E31:J31" si="23">E21</f>
        <v>148</v>
      </c>
      <c r="F31" s="444">
        <f t="shared" si="23"/>
        <v>167</v>
      </c>
      <c r="G31" s="444">
        <f t="shared" si="23"/>
        <v>229</v>
      </c>
      <c r="H31" s="444">
        <f t="shared" si="23"/>
        <v>251</v>
      </c>
      <c r="I31" s="444">
        <f t="shared" si="23"/>
        <v>227</v>
      </c>
      <c r="J31" s="444">
        <f t="shared" si="23"/>
        <v>209</v>
      </c>
      <c r="K31" s="444">
        <f>K21</f>
        <v>170</v>
      </c>
      <c r="L31" s="444">
        <f t="shared" ref="L31:T31" si="24">+L21</f>
        <v>141</v>
      </c>
      <c r="M31" s="444">
        <f t="shared" si="24"/>
        <v>132</v>
      </c>
      <c r="N31" s="444">
        <f t="shared" si="24"/>
        <v>97</v>
      </c>
      <c r="O31" s="444">
        <f t="shared" si="24"/>
        <v>98</v>
      </c>
      <c r="P31" s="444">
        <f t="shared" ref="P31" si="25">+P21</f>
        <v>94</v>
      </c>
      <c r="Q31" s="444">
        <f t="shared" si="24"/>
        <v>101.1075</v>
      </c>
      <c r="R31" s="444">
        <f t="shared" si="24"/>
        <v>98.604568750000013</v>
      </c>
      <c r="S31" s="444">
        <f t="shared" si="24"/>
        <v>95.740262921875015</v>
      </c>
      <c r="T31" s="444">
        <f t="shared" si="24"/>
        <v>92.541724096054693</v>
      </c>
      <c r="U31" s="424"/>
      <c r="V31" s="425"/>
      <c r="W31" s="425"/>
      <c r="X31" s="425"/>
      <c r="Y31" s="425"/>
      <c r="Z31" s="425"/>
      <c r="AA31" s="425"/>
      <c r="AH31" s="425"/>
      <c r="AI31" s="425"/>
      <c r="AJ31" s="425"/>
      <c r="AK31" s="425"/>
      <c r="AL31" s="425"/>
      <c r="AM31" s="425"/>
      <c r="AN31" s="428"/>
      <c r="AO31" s="425"/>
      <c r="AP31" s="425"/>
      <c r="AQ31" s="425"/>
      <c r="AR31" s="425"/>
      <c r="AS31" s="425"/>
      <c r="AT31" s="425"/>
      <c r="AU31" s="425"/>
      <c r="AV31" s="425"/>
      <c r="AW31" s="425"/>
      <c r="AX31" s="425"/>
      <c r="AY31" s="425"/>
      <c r="AZ31" s="425"/>
      <c r="BA31" s="425"/>
      <c r="BB31" s="425"/>
      <c r="BC31" s="425"/>
      <c r="BD31" s="425"/>
      <c r="BE31" s="425"/>
      <c r="BF31" s="425"/>
      <c r="BG31" s="488"/>
      <c r="BH31" s="425"/>
      <c r="BI31" s="425"/>
      <c r="BJ31" s="425"/>
      <c r="BK31" s="425"/>
      <c r="BL31" s="425"/>
      <c r="BM31" s="425"/>
      <c r="BN31" s="425"/>
      <c r="BO31" s="425"/>
      <c r="BP31" s="425"/>
      <c r="BQ31" s="425"/>
      <c r="BR31" s="425"/>
      <c r="BS31" s="425"/>
      <c r="BT31" s="425"/>
      <c r="BU31" s="425"/>
      <c r="BV31" s="425"/>
      <c r="BW31" s="425"/>
      <c r="BX31" s="425"/>
      <c r="BY31" s="425"/>
      <c r="BZ31" s="425"/>
      <c r="CA31" s="425"/>
      <c r="CB31" s="425"/>
      <c r="CC31" s="426"/>
      <c r="CD31" s="507"/>
      <c r="CE31" s="513"/>
      <c r="CF31" s="513"/>
      <c r="CG31" s="513"/>
      <c r="CH31" s="513"/>
      <c r="CI31" s="513"/>
      <c r="CJ31" s="513"/>
    </row>
    <row r="32" spans="1:88" outlineLevel="1">
      <c r="A32" s="434"/>
      <c r="B32" s="442"/>
      <c r="C32" s="424" t="s">
        <v>434</v>
      </c>
      <c r="D32" s="512">
        <v>152</v>
      </c>
      <c r="E32" s="512">
        <v>64</v>
      </c>
      <c r="F32" s="512">
        <v>-116</v>
      </c>
      <c r="G32" s="512">
        <v>-459</v>
      </c>
      <c r="H32" s="731">
        <v>-89</v>
      </c>
      <c r="I32" s="731">
        <v>132</v>
      </c>
      <c r="J32" s="731">
        <v>-26</v>
      </c>
      <c r="K32" s="731">
        <v>375</v>
      </c>
      <c r="L32" s="731">
        <v>-420</v>
      </c>
      <c r="M32" s="731">
        <v>220</v>
      </c>
      <c r="N32" s="731">
        <v>-318</v>
      </c>
      <c r="O32" s="731">
        <v>-6</v>
      </c>
      <c r="P32" s="731">
        <v>8</v>
      </c>
      <c r="Q32" s="444">
        <f t="shared" ref="Q32:T32" si="26">P35*(-(Q8-P8))*Q9*100</f>
        <v>0</v>
      </c>
      <c r="R32" s="444">
        <f t="shared" si="26"/>
        <v>0</v>
      </c>
      <c r="S32" s="444">
        <f t="shared" si="26"/>
        <v>0</v>
      </c>
      <c r="T32" s="444">
        <f t="shared" si="26"/>
        <v>0</v>
      </c>
      <c r="U32" s="424"/>
      <c r="V32" s="425"/>
      <c r="W32" s="425"/>
      <c r="X32" s="425"/>
      <c r="Y32" s="425"/>
      <c r="Z32" s="425"/>
      <c r="AA32" s="425"/>
      <c r="AH32" s="425"/>
      <c r="AI32" s="425"/>
      <c r="AJ32" s="425"/>
      <c r="AK32" s="425"/>
      <c r="AL32" s="425"/>
      <c r="AM32" s="425"/>
      <c r="AN32" s="428"/>
      <c r="AO32" s="425"/>
      <c r="AP32" s="425"/>
      <c r="AQ32" s="425"/>
      <c r="AR32" s="425"/>
      <c r="AS32" s="425"/>
      <c r="AT32" s="425"/>
      <c r="AU32" s="425"/>
      <c r="AV32" s="425"/>
      <c r="AW32" s="425"/>
      <c r="AX32" s="425"/>
      <c r="AY32" s="425"/>
      <c r="AZ32" s="425"/>
      <c r="BA32" s="425"/>
      <c r="BB32" s="425"/>
      <c r="BC32" s="425"/>
      <c r="BD32" s="425"/>
      <c r="BE32" s="425"/>
      <c r="BF32" s="425"/>
      <c r="BG32" s="444"/>
      <c r="BH32" s="425"/>
      <c r="BI32" s="425"/>
      <c r="BJ32" s="425"/>
      <c r="BK32" s="425"/>
      <c r="BL32" s="425"/>
      <c r="BM32" s="425"/>
      <c r="BN32" s="425"/>
      <c r="BO32" s="425"/>
      <c r="BP32" s="425"/>
      <c r="BQ32" s="425"/>
      <c r="BR32" s="425"/>
      <c r="BS32" s="425"/>
      <c r="BT32" s="425"/>
      <c r="BU32" s="425"/>
      <c r="BV32" s="425"/>
      <c r="BW32" s="425"/>
      <c r="BX32" s="425"/>
      <c r="BY32" s="425"/>
      <c r="BZ32" s="425"/>
      <c r="CA32" s="425"/>
      <c r="CB32" s="425"/>
      <c r="CC32" s="506"/>
      <c r="CD32" s="513"/>
      <c r="CE32" s="513"/>
      <c r="CF32" s="513"/>
      <c r="CG32" s="513"/>
      <c r="CH32" s="513"/>
      <c r="CI32" s="513"/>
      <c r="CJ32" s="513"/>
    </row>
    <row r="33" spans="1:88" outlineLevel="1">
      <c r="A33" s="434"/>
      <c r="B33" s="442"/>
      <c r="C33" s="424" t="s">
        <v>321</v>
      </c>
      <c r="D33" s="512">
        <f>-246-28</f>
        <v>-274</v>
      </c>
      <c r="E33" s="512">
        <f>-275-23</f>
        <v>-298</v>
      </c>
      <c r="F33" s="512">
        <f>-236-37</f>
        <v>-273</v>
      </c>
      <c r="G33" s="512">
        <f>-271-36</f>
        <v>-307</v>
      </c>
      <c r="H33" s="731">
        <f>-310-25</f>
        <v>-335</v>
      </c>
      <c r="I33" s="731">
        <f>-326-90</f>
        <v>-416</v>
      </c>
      <c r="J33" s="731">
        <f>-232-14</f>
        <v>-246</v>
      </c>
      <c r="K33" s="731">
        <f>-316-13</f>
        <v>-329</v>
      </c>
      <c r="L33" s="731">
        <f>-255-118</f>
        <v>-373</v>
      </c>
      <c r="M33" s="731">
        <v>-236</v>
      </c>
      <c r="N33" s="731">
        <v>-207</v>
      </c>
      <c r="O33" s="731">
        <v>-161</v>
      </c>
      <c r="P33" s="731">
        <v>-172</v>
      </c>
      <c r="Q33" s="748">
        <v>-177</v>
      </c>
      <c r="R33" s="748">
        <v>-183</v>
      </c>
      <c r="S33" s="748">
        <v>-188</v>
      </c>
      <c r="T33" s="748">
        <v>-189</v>
      </c>
      <c r="U33" s="424"/>
      <c r="V33" s="425"/>
      <c r="W33" s="425"/>
      <c r="X33" s="425"/>
      <c r="Y33" s="425"/>
      <c r="Z33" s="425"/>
      <c r="AA33" s="425"/>
      <c r="AH33" s="425"/>
      <c r="AI33" s="425"/>
      <c r="AJ33" s="425"/>
      <c r="AK33" s="425"/>
      <c r="AL33" s="425"/>
      <c r="AM33" s="425"/>
      <c r="AN33" s="428"/>
      <c r="AO33" s="425"/>
      <c r="AP33" s="425"/>
      <c r="AQ33" s="425"/>
      <c r="AR33" s="426"/>
      <c r="AS33" s="425"/>
      <c r="AT33" s="425"/>
      <c r="AU33" s="425"/>
      <c r="AV33" s="425"/>
      <c r="AW33" s="425"/>
      <c r="AX33" s="425"/>
      <c r="AY33" s="425"/>
      <c r="AZ33" s="425"/>
      <c r="BA33" s="425"/>
      <c r="BB33" s="425"/>
      <c r="BC33" s="425"/>
      <c r="BD33" s="425"/>
      <c r="BE33" s="425"/>
      <c r="BF33" s="425"/>
      <c r="BG33" s="444"/>
      <c r="BH33" s="425"/>
      <c r="BI33" s="425"/>
      <c r="BJ33" s="425"/>
      <c r="BK33" s="425"/>
      <c r="BL33" s="425"/>
      <c r="BM33" s="425"/>
      <c r="BN33" s="425"/>
      <c r="BO33" s="425"/>
      <c r="BP33" s="425"/>
      <c r="BQ33" s="425"/>
      <c r="BR33" s="425"/>
      <c r="BS33" s="425"/>
      <c r="BT33" s="425"/>
      <c r="BU33" s="425"/>
      <c r="BV33" s="425"/>
      <c r="BW33" s="425"/>
      <c r="BX33" s="425"/>
      <c r="BY33" s="425"/>
      <c r="BZ33" s="425"/>
      <c r="CA33" s="425"/>
      <c r="CB33" s="425"/>
      <c r="CC33" s="425"/>
      <c r="CD33" s="425"/>
      <c r="CE33" s="425"/>
      <c r="CF33" s="425"/>
      <c r="CG33" s="425"/>
      <c r="CH33" s="425"/>
      <c r="CI33" s="425"/>
      <c r="CJ33" s="425"/>
    </row>
    <row r="34" spans="1:88" outlineLevel="1">
      <c r="A34" s="434"/>
      <c r="B34" s="442"/>
      <c r="C34" s="424" t="s">
        <v>150</v>
      </c>
      <c r="D34" s="444">
        <f t="shared" ref="D34:L34" si="27">IF(ISNUMBER(D35-SUM(D29:D33)),D35-SUM(D29:D33),0)</f>
        <v>41</v>
      </c>
      <c r="E34" s="444">
        <f t="shared" si="27"/>
        <v>128</v>
      </c>
      <c r="F34" s="444">
        <f t="shared" si="27"/>
        <v>1430</v>
      </c>
      <c r="G34" s="444">
        <f t="shared" si="27"/>
        <v>665</v>
      </c>
      <c r="H34" s="444">
        <f t="shared" si="27"/>
        <v>143</v>
      </c>
      <c r="I34" s="444">
        <f t="shared" si="27"/>
        <v>152</v>
      </c>
      <c r="J34" s="444">
        <f t="shared" si="27"/>
        <v>-116</v>
      </c>
      <c r="K34" s="444">
        <f t="shared" si="27"/>
        <v>-490</v>
      </c>
      <c r="L34" s="444">
        <f t="shared" si="27"/>
        <v>63</v>
      </c>
      <c r="M34" s="444">
        <f>IF(ISNUMBER(M35-SUM(M29:M33)),M35-SUM(M29:M33),0)</f>
        <v>-801</v>
      </c>
      <c r="N34" s="444">
        <f>IF(ISNUMBER(N35-SUM(N29:N33)),N35-SUM(N29:N33),0)</f>
        <v>2</v>
      </c>
      <c r="O34" s="444">
        <f>IF(ISNUMBER(O35-SUM(O29:O33)),O35-SUM(O29:O33),0)</f>
        <v>171</v>
      </c>
      <c r="P34" s="444">
        <f>IF(ISNUMBER(P35-SUM(P29:P33)),P35-SUM(P29:P33),0)</f>
        <v>0</v>
      </c>
      <c r="Q34" s="748">
        <v>0</v>
      </c>
      <c r="R34" s="748">
        <v>0</v>
      </c>
      <c r="S34" s="748">
        <v>0</v>
      </c>
      <c r="T34" s="748">
        <v>0</v>
      </c>
      <c r="U34" s="424"/>
      <c r="V34" s="425"/>
      <c r="W34" s="425"/>
      <c r="X34" s="425"/>
      <c r="Y34" s="425"/>
      <c r="Z34" s="425"/>
      <c r="AA34" s="425"/>
      <c r="AH34" s="425"/>
      <c r="AI34" s="425"/>
      <c r="AJ34" s="425"/>
      <c r="AK34" s="425"/>
      <c r="AL34" s="425"/>
      <c r="AM34" s="425"/>
      <c r="AN34" s="428"/>
      <c r="AO34" s="425"/>
      <c r="AP34" s="425"/>
      <c r="AQ34" s="425"/>
      <c r="AR34" s="425"/>
      <c r="AS34" s="425"/>
      <c r="AT34" s="425"/>
      <c r="AU34" s="425"/>
      <c r="AV34" s="425"/>
      <c r="AW34" s="425"/>
      <c r="AX34" s="425"/>
      <c r="AY34" s="425"/>
      <c r="AZ34" s="425"/>
      <c r="BA34" s="425"/>
      <c r="BB34" s="425"/>
      <c r="BC34" s="425"/>
      <c r="BD34" s="425"/>
      <c r="BE34" s="425"/>
      <c r="BF34" s="425"/>
      <c r="BG34" s="488"/>
      <c r="BH34" s="425"/>
      <c r="BI34" s="425"/>
      <c r="BJ34" s="425"/>
      <c r="BK34" s="425"/>
      <c r="BL34" s="425"/>
      <c r="BM34" s="425"/>
      <c r="BN34" s="425"/>
      <c r="BO34" s="425"/>
      <c r="BP34" s="425"/>
      <c r="BQ34" s="425"/>
      <c r="BR34" s="425"/>
      <c r="BS34" s="425"/>
      <c r="BT34" s="425"/>
      <c r="BU34" s="425"/>
      <c r="BV34" s="425"/>
      <c r="BW34" s="425"/>
      <c r="BX34" s="425"/>
      <c r="BY34" s="425"/>
      <c r="BZ34" s="425"/>
      <c r="CA34" s="425"/>
      <c r="CB34" s="425"/>
      <c r="CC34" s="425"/>
      <c r="CD34" s="425"/>
      <c r="CE34" s="425"/>
      <c r="CF34" s="425"/>
      <c r="CG34" s="425"/>
      <c r="CH34" s="425"/>
      <c r="CI34" s="425"/>
      <c r="CJ34" s="425"/>
    </row>
    <row r="35" spans="1:88">
      <c r="A35" s="434"/>
      <c r="B35" s="442"/>
      <c r="C35" s="499" t="s">
        <v>435</v>
      </c>
      <c r="D35" s="500">
        <v>2811</v>
      </c>
      <c r="E35" s="500">
        <v>2867</v>
      </c>
      <c r="F35" s="500">
        <v>4089</v>
      </c>
      <c r="G35" s="500">
        <v>4235</v>
      </c>
      <c r="H35" s="734">
        <v>4224</v>
      </c>
      <c r="I35" s="734">
        <v>4340</v>
      </c>
      <c r="J35" s="734">
        <v>4186</v>
      </c>
      <c r="K35" s="734">
        <v>3940</v>
      </c>
      <c r="L35" s="734">
        <v>3378</v>
      </c>
      <c r="M35" s="734">
        <v>2715</v>
      </c>
      <c r="N35" s="734">
        <v>2310</v>
      </c>
      <c r="O35" s="734">
        <v>2432</v>
      </c>
      <c r="P35" s="734">
        <v>2379</v>
      </c>
      <c r="Q35" s="500">
        <f t="shared" ref="Q35:T35" si="28">SUM(Q29:Q34)</f>
        <v>2320.1075000000001</v>
      </c>
      <c r="R35" s="500">
        <f t="shared" si="28"/>
        <v>2252.7120687500001</v>
      </c>
      <c r="S35" s="500">
        <f t="shared" si="28"/>
        <v>2177.4523316718751</v>
      </c>
      <c r="T35" s="500">
        <f t="shared" si="28"/>
        <v>2097.9940557679297</v>
      </c>
      <c r="U35" s="514"/>
      <c r="V35" s="425"/>
      <c r="W35" s="425"/>
      <c r="X35" s="425"/>
      <c r="Y35" s="425"/>
      <c r="Z35" s="425"/>
      <c r="AA35" s="425"/>
      <c r="AH35" s="425"/>
      <c r="AI35" s="425"/>
      <c r="AJ35" s="425"/>
      <c r="AK35" s="425"/>
      <c r="AL35" s="425"/>
      <c r="AM35" s="425"/>
      <c r="AN35" s="509" t="s">
        <v>486</v>
      </c>
      <c r="AO35" s="425"/>
      <c r="AP35" s="425"/>
      <c r="AQ35" s="425"/>
      <c r="AR35" s="425"/>
      <c r="AS35" s="425"/>
      <c r="AT35" s="425"/>
      <c r="AU35" s="425"/>
      <c r="AV35" s="425"/>
      <c r="AW35" s="425"/>
      <c r="AX35" s="425"/>
      <c r="AY35" s="425"/>
      <c r="AZ35" s="425"/>
      <c r="BA35" s="425"/>
      <c r="BB35" s="425"/>
      <c r="BC35" s="425"/>
      <c r="BD35" s="425"/>
      <c r="BE35" s="425"/>
      <c r="BF35" s="425"/>
      <c r="BG35" s="502" t="e">
        <v>#NAME?</v>
      </c>
      <c r="BH35" s="490">
        <v>4340</v>
      </c>
      <c r="BI35" s="490">
        <v>4186</v>
      </c>
      <c r="BJ35" s="490">
        <v>3940</v>
      </c>
      <c r="BK35" s="490">
        <v>3378</v>
      </c>
      <c r="BL35" s="490">
        <v>2715</v>
      </c>
      <c r="BM35" s="490">
        <v>2310</v>
      </c>
      <c r="BN35" s="490">
        <v>0</v>
      </c>
      <c r="BO35" s="425"/>
      <c r="BP35" s="425"/>
      <c r="BQ35" s="425"/>
      <c r="BR35" s="425"/>
      <c r="BS35" s="425"/>
      <c r="BT35" s="425"/>
      <c r="BU35" s="425"/>
      <c r="BV35" s="425"/>
      <c r="BW35" s="425"/>
      <c r="BX35" s="425"/>
      <c r="BY35" s="425"/>
      <c r="BZ35" s="425"/>
      <c r="CA35" s="425"/>
      <c r="CB35" s="425"/>
      <c r="CC35" s="425"/>
      <c r="CD35" s="425"/>
      <c r="CE35" s="425"/>
      <c r="CF35" s="425"/>
      <c r="CG35" s="425"/>
      <c r="CH35" s="425"/>
      <c r="CI35" s="425"/>
      <c r="CJ35" s="425"/>
    </row>
    <row r="36" spans="1:88">
      <c r="A36" s="434"/>
      <c r="B36" s="442"/>
      <c r="C36" s="443"/>
      <c r="D36" s="443"/>
      <c r="E36" s="443"/>
      <c r="F36" s="443"/>
      <c r="G36" s="443"/>
      <c r="H36" s="444"/>
      <c r="I36" s="444"/>
      <c r="J36" s="445"/>
      <c r="K36" s="445"/>
      <c r="L36" s="445"/>
      <c r="M36" s="445"/>
      <c r="N36" s="445"/>
      <c r="O36" s="445"/>
      <c r="P36" s="445"/>
      <c r="Q36" s="445"/>
      <c r="R36" s="445"/>
      <c r="S36" s="445"/>
      <c r="T36" s="445"/>
      <c r="U36" s="424"/>
      <c r="V36" s="425"/>
      <c r="W36" s="425"/>
      <c r="X36" s="425"/>
      <c r="Y36" s="425"/>
      <c r="Z36" s="425"/>
      <c r="AA36" s="425"/>
      <c r="AH36" s="425"/>
      <c r="AI36" s="425"/>
      <c r="AJ36" s="425"/>
      <c r="AK36" s="425"/>
      <c r="AL36" s="425"/>
      <c r="AM36" s="425"/>
      <c r="AN36" s="428"/>
      <c r="AO36" s="425"/>
      <c r="AP36" s="425"/>
      <c r="AQ36" s="425"/>
      <c r="AR36" s="425"/>
      <c r="AS36" s="425"/>
      <c r="AT36" s="425"/>
      <c r="AU36" s="425"/>
      <c r="AV36" s="425"/>
      <c r="AW36" s="425"/>
      <c r="AX36" s="425"/>
      <c r="AY36" s="425"/>
      <c r="AZ36" s="425"/>
      <c r="BA36" s="425"/>
      <c r="BB36" s="425"/>
      <c r="BC36" s="425"/>
      <c r="BD36" s="425"/>
      <c r="BE36" s="425"/>
      <c r="BF36" s="425"/>
      <c r="BG36" s="470"/>
      <c r="BH36" s="425"/>
      <c r="BI36" s="425"/>
      <c r="BJ36" s="425"/>
      <c r="BK36" s="425"/>
      <c r="BL36" s="425"/>
      <c r="BM36" s="425"/>
      <c r="BN36" s="425"/>
      <c r="BO36" s="425"/>
      <c r="BP36" s="425"/>
      <c r="BQ36" s="425"/>
      <c r="BR36" s="425"/>
      <c r="BS36" s="425"/>
      <c r="BT36" s="425"/>
      <c r="BU36" s="425"/>
      <c r="BV36" s="425"/>
      <c r="BW36" s="425"/>
      <c r="BX36" s="425"/>
      <c r="BY36" s="425"/>
      <c r="BZ36" s="425"/>
      <c r="CA36" s="425"/>
      <c r="CB36" s="425"/>
      <c r="CC36" s="425"/>
      <c r="CD36" s="425"/>
      <c r="CE36" s="425"/>
      <c r="CF36" s="425"/>
      <c r="CG36" s="425"/>
      <c r="CH36" s="425"/>
      <c r="CI36" s="425"/>
      <c r="CJ36" s="425"/>
    </row>
    <row r="37" spans="1:88" outlineLevel="1">
      <c r="A37" s="434"/>
      <c r="B37" s="442"/>
      <c r="C37" s="424" t="s">
        <v>437</v>
      </c>
      <c r="D37" s="444">
        <v>466</v>
      </c>
      <c r="E37" s="444">
        <f t="shared" ref="E37:J37" si="29">D42</f>
        <v>532</v>
      </c>
      <c r="F37" s="444">
        <f t="shared" si="29"/>
        <v>660</v>
      </c>
      <c r="G37" s="444">
        <f t="shared" si="29"/>
        <v>1166</v>
      </c>
      <c r="H37" s="444">
        <f t="shared" si="29"/>
        <v>1102</v>
      </c>
      <c r="I37" s="444">
        <f t="shared" si="29"/>
        <v>1333</v>
      </c>
      <c r="J37" s="444">
        <f t="shared" si="29"/>
        <v>1407</v>
      </c>
      <c r="K37" s="444">
        <f>J42</f>
        <v>1473</v>
      </c>
      <c r="L37" s="444">
        <f t="shared" ref="L37:T37" si="30">+K42</f>
        <v>1732</v>
      </c>
      <c r="M37" s="444">
        <f t="shared" si="30"/>
        <v>1970</v>
      </c>
      <c r="N37" s="444">
        <f t="shared" si="30"/>
        <v>2120</v>
      </c>
      <c r="O37" s="444">
        <f t="shared" si="30"/>
        <v>1990</v>
      </c>
      <c r="P37" s="444">
        <f t="shared" si="30"/>
        <v>1984</v>
      </c>
      <c r="Q37" s="444">
        <f t="shared" si="30"/>
        <v>2042</v>
      </c>
      <c r="R37" s="444">
        <f t="shared" si="30"/>
        <v>2018.15</v>
      </c>
      <c r="S37" s="444">
        <f t="shared" si="30"/>
        <v>1986.51125</v>
      </c>
      <c r="T37" s="444">
        <f t="shared" si="30"/>
        <v>1947.4995937499998</v>
      </c>
      <c r="U37" s="424"/>
      <c r="V37" s="425"/>
      <c r="W37" s="425"/>
      <c r="X37" s="425"/>
      <c r="Y37" s="425"/>
      <c r="Z37" s="425"/>
      <c r="AA37" s="425"/>
      <c r="AH37" s="425"/>
      <c r="AI37" s="425"/>
      <c r="AJ37" s="425"/>
      <c r="AK37" s="425"/>
      <c r="AL37" s="425"/>
      <c r="AM37" s="425"/>
      <c r="AN37" s="509" t="s">
        <v>487</v>
      </c>
      <c r="AO37" s="425"/>
      <c r="AP37" s="425"/>
      <c r="AQ37" s="425"/>
      <c r="AR37" s="425"/>
      <c r="AS37" s="425"/>
      <c r="AT37" s="425"/>
      <c r="AU37" s="425"/>
      <c r="AV37" s="425"/>
      <c r="AW37" s="425"/>
      <c r="AX37" s="425"/>
      <c r="AY37" s="425"/>
      <c r="AZ37" s="425"/>
      <c r="BA37" s="425"/>
      <c r="BB37" s="425"/>
      <c r="BC37" s="425"/>
      <c r="BD37" s="425"/>
      <c r="BE37" s="425"/>
      <c r="BF37" s="425"/>
      <c r="BG37" s="488" t="e">
        <v>#NAME?</v>
      </c>
      <c r="BH37" s="425"/>
      <c r="BI37" s="425"/>
      <c r="BJ37" s="425"/>
      <c r="BK37" s="425"/>
      <c r="BL37" s="425"/>
      <c r="BM37" s="425"/>
      <c r="BN37" s="425"/>
      <c r="BO37" s="425"/>
      <c r="BP37" s="425"/>
      <c r="BQ37" s="425"/>
      <c r="BR37" s="425"/>
      <c r="BS37" s="425"/>
      <c r="BT37" s="425"/>
      <c r="BU37" s="425"/>
      <c r="BV37" s="425"/>
      <c r="BW37" s="425"/>
      <c r="BX37" s="425"/>
      <c r="BY37" s="425"/>
      <c r="BZ37" s="425"/>
      <c r="CA37" s="425"/>
      <c r="CB37" s="425"/>
      <c r="CC37" s="425"/>
      <c r="CD37" s="425"/>
      <c r="CE37" s="425"/>
      <c r="CF37" s="425"/>
      <c r="CG37" s="425"/>
      <c r="CH37" s="425"/>
      <c r="CI37" s="425"/>
      <c r="CJ37" s="425"/>
    </row>
    <row r="38" spans="1:88" outlineLevel="1">
      <c r="A38" s="434"/>
      <c r="B38" s="442"/>
      <c r="C38" s="424" t="s">
        <v>439</v>
      </c>
      <c r="D38" s="444">
        <v>12</v>
      </c>
      <c r="E38" s="516">
        <v>71</v>
      </c>
      <c r="F38" s="516">
        <v>45</v>
      </c>
      <c r="G38" s="516">
        <v>-256</v>
      </c>
      <c r="H38" s="733">
        <v>244</v>
      </c>
      <c r="I38" s="731">
        <v>164</v>
      </c>
      <c r="J38" s="732">
        <v>80</v>
      </c>
      <c r="K38" s="732">
        <v>196</v>
      </c>
      <c r="L38" s="732">
        <v>346</v>
      </c>
      <c r="M38" s="732">
        <v>189</v>
      </c>
      <c r="N38" s="732">
        <v>-8</v>
      </c>
      <c r="O38" s="732">
        <v>94</v>
      </c>
      <c r="P38" s="732">
        <v>171</v>
      </c>
      <c r="Q38" s="445">
        <f t="shared" ref="Q38:T38" si="31">IF(ISERROR(((P42+0.5*Q39)*Q12)),"",((P42+0.5*Q39)*Q12))</f>
        <v>153.15</v>
      </c>
      <c r="R38" s="445">
        <f t="shared" si="31"/>
        <v>151.36125000000001</v>
      </c>
      <c r="S38" s="445">
        <f t="shared" si="31"/>
        <v>148.98834374999998</v>
      </c>
      <c r="T38" s="445">
        <f t="shared" si="31"/>
        <v>146.06246953124997</v>
      </c>
      <c r="U38" s="514"/>
      <c r="V38" s="425"/>
      <c r="W38" s="425"/>
      <c r="X38" s="425"/>
      <c r="Y38" s="425"/>
      <c r="Z38" s="425"/>
      <c r="AA38" s="425"/>
      <c r="AH38" s="425"/>
      <c r="AI38" s="425"/>
      <c r="AJ38" s="425"/>
      <c r="AK38" s="425"/>
      <c r="AL38" s="425"/>
      <c r="AM38" s="425"/>
      <c r="AN38" s="509" t="s">
        <v>488</v>
      </c>
      <c r="AO38" s="425"/>
      <c r="AP38" s="425"/>
      <c r="AQ38" s="425"/>
      <c r="AR38" s="426"/>
      <c r="AS38" s="425"/>
      <c r="AT38" s="425"/>
      <c r="AU38" s="425"/>
      <c r="AV38" s="425"/>
      <c r="AW38" s="425"/>
      <c r="AX38" s="425"/>
      <c r="AY38" s="425"/>
      <c r="AZ38" s="425"/>
      <c r="BA38" s="425"/>
      <c r="BB38" s="425"/>
      <c r="BC38" s="425"/>
      <c r="BD38" s="425"/>
      <c r="BE38" s="425"/>
      <c r="BF38" s="425"/>
      <c r="BG38" s="488" t="e">
        <v>#NAME?</v>
      </c>
      <c r="BH38" s="490">
        <v>164</v>
      </c>
      <c r="BI38" s="490">
        <v>80</v>
      </c>
      <c r="BJ38" s="490">
        <v>196</v>
      </c>
      <c r="BK38" s="490">
        <v>346</v>
      </c>
      <c r="BL38" s="490">
        <v>189</v>
      </c>
      <c r="BM38" s="490">
        <v>8</v>
      </c>
      <c r="BN38" s="490">
        <v>0</v>
      </c>
      <c r="BO38" s="425"/>
      <c r="BP38" s="425"/>
      <c r="BQ38" s="425"/>
      <c r="BR38" s="425"/>
      <c r="BS38" s="425"/>
      <c r="BT38" s="425"/>
      <c r="BU38" s="425"/>
      <c r="BV38" s="425"/>
      <c r="BW38" s="425"/>
      <c r="BX38" s="425"/>
      <c r="BY38" s="425"/>
      <c r="BZ38" s="425"/>
      <c r="CA38" s="425"/>
      <c r="CB38" s="425"/>
      <c r="CC38" s="426"/>
      <c r="CD38" s="570">
        <f>H6</f>
        <v>2009</v>
      </c>
      <c r="CE38" s="570">
        <f t="shared" ref="CE38:CJ38" si="32">I6</f>
        <v>2010</v>
      </c>
      <c r="CF38" s="570">
        <f t="shared" si="32"/>
        <v>2011</v>
      </c>
      <c r="CG38" s="570">
        <f t="shared" si="32"/>
        <v>2012</v>
      </c>
      <c r="CH38" s="570">
        <f t="shared" si="32"/>
        <v>2013</v>
      </c>
      <c r="CI38" s="570">
        <f t="shared" si="32"/>
        <v>2014</v>
      </c>
      <c r="CJ38" s="570">
        <f t="shared" si="32"/>
        <v>2015</v>
      </c>
    </row>
    <row r="39" spans="1:88" outlineLevel="1">
      <c r="A39" s="434"/>
      <c r="B39" s="442"/>
      <c r="C39" s="424" t="s">
        <v>442</v>
      </c>
      <c r="D39" s="512">
        <f>246+82</f>
        <v>328</v>
      </c>
      <c r="E39" s="512">
        <f>275+80</f>
        <v>355</v>
      </c>
      <c r="F39" s="512">
        <f>236+498</f>
        <v>734</v>
      </c>
      <c r="G39" s="512">
        <f>271+228</f>
        <v>499</v>
      </c>
      <c r="H39" s="731">
        <f>310+12</f>
        <v>322</v>
      </c>
      <c r="I39" s="731">
        <f>326+0</f>
        <v>326</v>
      </c>
      <c r="J39" s="731">
        <f>323+0</f>
        <v>323</v>
      </c>
      <c r="K39" s="731">
        <f>316+76</f>
        <v>392</v>
      </c>
      <c r="L39" s="731">
        <f>255+10</f>
        <v>265</v>
      </c>
      <c r="M39" s="731">
        <v>39</v>
      </c>
      <c r="N39" s="731">
        <v>132</v>
      </c>
      <c r="O39" s="731">
        <v>0</v>
      </c>
      <c r="P39" s="731">
        <v>0</v>
      </c>
      <c r="Q39" s="748">
        <v>0</v>
      </c>
      <c r="R39" s="748">
        <v>0</v>
      </c>
      <c r="S39" s="748">
        <v>0</v>
      </c>
      <c r="T39" s="748">
        <v>0</v>
      </c>
      <c r="U39" s="424"/>
      <c r="V39" s="425"/>
      <c r="W39" s="425"/>
      <c r="X39" s="425"/>
      <c r="Y39" s="425"/>
      <c r="Z39" s="425"/>
      <c r="AA39" s="425"/>
      <c r="AH39" s="425"/>
      <c r="AI39" s="425"/>
      <c r="AJ39" s="425"/>
      <c r="AK39" s="425"/>
      <c r="AL39" s="425"/>
      <c r="AM39" s="425"/>
      <c r="AN39" s="428"/>
      <c r="AO39" s="425"/>
      <c r="AP39" s="425"/>
      <c r="AQ39" s="425"/>
      <c r="AR39" s="425"/>
      <c r="AS39" s="425"/>
      <c r="AT39" s="425"/>
      <c r="AU39" s="425"/>
      <c r="AV39" s="425"/>
      <c r="AW39" s="425"/>
      <c r="AX39" s="425"/>
      <c r="AY39" s="425"/>
      <c r="AZ39" s="425"/>
      <c r="BA39" s="425"/>
      <c r="BB39" s="425"/>
      <c r="BC39" s="425"/>
      <c r="BD39" s="425"/>
      <c r="BE39" s="425"/>
      <c r="BF39" s="425"/>
      <c r="BG39" s="444"/>
      <c r="BH39" s="425"/>
      <c r="BI39" s="425"/>
      <c r="BJ39" s="425"/>
      <c r="BK39" s="425"/>
      <c r="BL39" s="425"/>
      <c r="BM39" s="425"/>
      <c r="BN39" s="425"/>
      <c r="BO39" s="425"/>
      <c r="BP39" s="425"/>
      <c r="BQ39" s="425"/>
      <c r="BR39" s="425"/>
      <c r="BS39" s="425"/>
      <c r="BT39" s="425"/>
      <c r="BU39" s="425"/>
      <c r="BV39" s="425"/>
      <c r="BW39" s="425"/>
      <c r="BX39" s="425"/>
      <c r="BY39" s="425"/>
      <c r="BZ39" s="425"/>
      <c r="CA39" s="425"/>
      <c r="CB39" s="425"/>
      <c r="CC39" s="425"/>
      <c r="CD39" s="425"/>
      <c r="CE39" s="518"/>
      <c r="CF39" s="518"/>
      <c r="CG39" s="518"/>
      <c r="CH39" s="518"/>
      <c r="CI39" s="518"/>
      <c r="CJ39" s="518"/>
    </row>
    <row r="40" spans="1:88" outlineLevel="1">
      <c r="A40" s="434"/>
      <c r="B40" s="442"/>
      <c r="C40" s="424" t="s">
        <v>321</v>
      </c>
      <c r="D40" s="444">
        <f t="shared" ref="D40:J40" si="33">D33</f>
        <v>-274</v>
      </c>
      <c r="E40" s="444">
        <f t="shared" si="33"/>
        <v>-298</v>
      </c>
      <c r="F40" s="444">
        <f t="shared" si="33"/>
        <v>-273</v>
      </c>
      <c r="G40" s="444">
        <f t="shared" si="33"/>
        <v>-307</v>
      </c>
      <c r="H40" s="444">
        <f t="shared" si="33"/>
        <v>-335</v>
      </c>
      <c r="I40" s="444">
        <f t="shared" si="33"/>
        <v>-416</v>
      </c>
      <c r="J40" s="444">
        <f t="shared" si="33"/>
        <v>-246</v>
      </c>
      <c r="K40" s="444">
        <f t="shared" ref="K40:T40" si="34">K33</f>
        <v>-329</v>
      </c>
      <c r="L40" s="444">
        <f t="shared" si="34"/>
        <v>-373</v>
      </c>
      <c r="M40" s="444">
        <f t="shared" si="34"/>
        <v>-236</v>
      </c>
      <c r="N40" s="444">
        <f t="shared" si="34"/>
        <v>-207</v>
      </c>
      <c r="O40" s="444">
        <f t="shared" ref="O40:P40" si="35">O33</f>
        <v>-161</v>
      </c>
      <c r="P40" s="444">
        <f t="shared" si="35"/>
        <v>-172</v>
      </c>
      <c r="Q40" s="444">
        <f t="shared" si="34"/>
        <v>-177</v>
      </c>
      <c r="R40" s="444">
        <f t="shared" si="34"/>
        <v>-183</v>
      </c>
      <c r="S40" s="444">
        <f t="shared" si="34"/>
        <v>-188</v>
      </c>
      <c r="T40" s="444">
        <f t="shared" si="34"/>
        <v>-189</v>
      </c>
      <c r="U40" s="424"/>
      <c r="V40" s="425"/>
      <c r="W40" s="425"/>
      <c r="X40" s="425"/>
      <c r="Y40" s="425"/>
      <c r="Z40" s="425"/>
      <c r="AA40" s="425"/>
      <c r="AH40" s="425"/>
      <c r="AI40" s="425"/>
      <c r="AJ40" s="425"/>
      <c r="AK40" s="425"/>
      <c r="AL40" s="425"/>
      <c r="AM40" s="425"/>
      <c r="AN40" s="428"/>
      <c r="AO40" s="425"/>
      <c r="AP40" s="425"/>
      <c r="AQ40" s="425"/>
      <c r="AR40" s="426"/>
      <c r="AS40" s="425"/>
      <c r="AT40" s="425"/>
      <c r="AU40" s="425"/>
      <c r="AV40" s="425"/>
      <c r="AW40" s="425"/>
      <c r="AX40" s="425"/>
      <c r="AY40" s="425"/>
      <c r="AZ40" s="425"/>
      <c r="BA40" s="425"/>
      <c r="BB40" s="425"/>
      <c r="BC40" s="425"/>
      <c r="BD40" s="425"/>
      <c r="BE40" s="425"/>
      <c r="BF40" s="425"/>
      <c r="BG40" s="488"/>
      <c r="BH40" s="425"/>
      <c r="BI40" s="425"/>
      <c r="BJ40" s="425"/>
      <c r="BK40" s="425"/>
      <c r="BL40" s="425"/>
      <c r="BM40" s="425"/>
      <c r="BN40" s="425"/>
      <c r="BO40" s="425"/>
      <c r="BP40" s="425"/>
      <c r="BQ40" s="425"/>
      <c r="BR40" s="425"/>
      <c r="BS40" s="425"/>
      <c r="BT40" s="425"/>
      <c r="BU40" s="425"/>
      <c r="BV40" s="425"/>
      <c r="BW40" s="425"/>
      <c r="BX40" s="425"/>
      <c r="BY40" s="425"/>
      <c r="BZ40" s="425"/>
      <c r="CA40" s="425"/>
      <c r="CB40" s="425"/>
      <c r="CC40" s="425" t="str">
        <f>Pension!CC40</f>
        <v>Market cap</v>
      </c>
      <c r="CD40" s="519">
        <f>Pension!CD40</f>
        <v>7901.4751281982799</v>
      </c>
      <c r="CE40" s="519">
        <f>Pension!CE40</f>
        <v>8389.9916615849397</v>
      </c>
      <c r="CF40" s="519">
        <f>Pension!CF40</f>
        <v>3810.1809006175199</v>
      </c>
      <c r="CG40" s="519">
        <f>Pension!CG40</f>
        <v>3441.1048444693797</v>
      </c>
      <c r="CH40" s="519">
        <f>Pension!CH40</f>
        <v>3128.9387643256996</v>
      </c>
      <c r="CI40" s="519">
        <f>Pension!CI40</f>
        <v>3128.9387643256996</v>
      </c>
      <c r="CJ40" s="519">
        <f>Pension!CJ40</f>
        <v>3128.9387643256996</v>
      </c>
    </row>
    <row r="41" spans="1:88" outlineLevel="1">
      <c r="A41" s="434"/>
      <c r="B41" s="442"/>
      <c r="C41" s="424" t="s">
        <v>699</v>
      </c>
      <c r="D41" s="444">
        <f t="shared" ref="D41:J41" si="36">IF(ISNUMBER(D42-SUM(D37:D40)),D42-SUM(D37:D40),0)</f>
        <v>0</v>
      </c>
      <c r="E41" s="444">
        <f t="shared" si="36"/>
        <v>0</v>
      </c>
      <c r="F41" s="444">
        <f t="shared" si="36"/>
        <v>0</v>
      </c>
      <c r="G41" s="444">
        <f t="shared" si="36"/>
        <v>0</v>
      </c>
      <c r="H41" s="444">
        <f t="shared" si="36"/>
        <v>0</v>
      </c>
      <c r="I41" s="444">
        <f t="shared" si="36"/>
        <v>0</v>
      </c>
      <c r="J41" s="444">
        <f t="shared" si="36"/>
        <v>-91</v>
      </c>
      <c r="K41" s="444">
        <f t="shared" ref="K41:P41" si="37">IF(ISNUMBER(K42-SUM(K37:K40)),K42-SUM(K37:K40),0)</f>
        <v>0</v>
      </c>
      <c r="L41" s="444">
        <f t="shared" si="37"/>
        <v>0</v>
      </c>
      <c r="M41" s="444">
        <f t="shared" si="37"/>
        <v>158</v>
      </c>
      <c r="N41" s="444">
        <f t="shared" si="37"/>
        <v>-47</v>
      </c>
      <c r="O41" s="444">
        <f t="shared" si="37"/>
        <v>61</v>
      </c>
      <c r="P41" s="444">
        <f t="shared" si="37"/>
        <v>59</v>
      </c>
      <c r="Q41" s="748">
        <v>0</v>
      </c>
      <c r="R41" s="748">
        <v>0</v>
      </c>
      <c r="S41" s="748">
        <v>0</v>
      </c>
      <c r="T41" s="748">
        <v>0</v>
      </c>
      <c r="U41" s="424"/>
      <c r="V41" s="425"/>
      <c r="W41" s="425"/>
      <c r="X41" s="425"/>
      <c r="Y41" s="425"/>
      <c r="Z41" s="425"/>
      <c r="AA41" s="425"/>
      <c r="AH41" s="425"/>
      <c r="AI41" s="425"/>
      <c r="AJ41" s="425"/>
      <c r="AK41" s="425"/>
      <c r="AL41" s="425"/>
      <c r="AM41" s="425"/>
      <c r="AN41" s="428"/>
      <c r="AO41" s="425"/>
      <c r="AP41" s="425"/>
      <c r="AQ41" s="425"/>
      <c r="AR41" s="425"/>
      <c r="AS41" s="425"/>
      <c r="AT41" s="425"/>
      <c r="AU41" s="425"/>
      <c r="AV41" s="425"/>
      <c r="AW41" s="425"/>
      <c r="AX41" s="425"/>
      <c r="AY41" s="425"/>
      <c r="AZ41" s="425"/>
      <c r="BA41" s="425"/>
      <c r="BB41" s="425"/>
      <c r="BC41" s="425"/>
      <c r="BD41" s="425"/>
      <c r="BE41" s="425"/>
      <c r="BF41" s="425"/>
      <c r="BG41" s="444"/>
      <c r="BH41" s="425"/>
      <c r="BI41" s="425"/>
      <c r="BJ41" s="425"/>
      <c r="BK41" s="425"/>
      <c r="BL41" s="425"/>
      <c r="BM41" s="425"/>
      <c r="BN41" s="425"/>
      <c r="BO41" s="425"/>
      <c r="BP41" s="425"/>
      <c r="BQ41" s="425"/>
      <c r="BR41" s="425"/>
      <c r="BS41" s="425"/>
      <c r="BT41" s="425"/>
      <c r="BU41" s="425"/>
      <c r="BV41" s="425"/>
      <c r="BW41" s="425"/>
      <c r="BX41" s="425"/>
      <c r="BY41" s="425"/>
      <c r="BZ41" s="425"/>
      <c r="CA41" s="425"/>
      <c r="CB41" s="425"/>
      <c r="CC41" s="425" t="s">
        <v>489</v>
      </c>
      <c r="CD41" s="450">
        <f>IF(ISERROR(H35/CD40),NA(),H35/CD40)</f>
        <v>0.53458372411066113</v>
      </c>
      <c r="CE41" s="450">
        <f t="shared" ref="CE41:CJ41" si="38">IF(ISERROR(I35/CE40),NA(),I35/CE40)</f>
        <v>0.51728299324437443</v>
      </c>
      <c r="CF41" s="450">
        <f t="shared" si="38"/>
        <v>1.098635500304348</v>
      </c>
      <c r="CG41" s="450">
        <f t="shared" si="38"/>
        <v>1.1449810970835299</v>
      </c>
      <c r="CH41" s="450">
        <f t="shared" si="38"/>
        <v>1.07959926813332</v>
      </c>
      <c r="CI41" s="450">
        <f t="shared" si="38"/>
        <v>0.86770633895262406</v>
      </c>
      <c r="CJ41" s="450">
        <f t="shared" si="38"/>
        <v>0.7382694817607961</v>
      </c>
    </row>
    <row r="42" spans="1:88">
      <c r="A42" s="434"/>
      <c r="B42" s="442"/>
      <c r="C42" s="499" t="s">
        <v>445</v>
      </c>
      <c r="D42" s="500">
        <v>532</v>
      </c>
      <c r="E42" s="500">
        <v>660</v>
      </c>
      <c r="F42" s="500">
        <v>1166</v>
      </c>
      <c r="G42" s="500">
        <v>1102</v>
      </c>
      <c r="H42" s="734">
        <v>1333</v>
      </c>
      <c r="I42" s="734">
        <v>1407</v>
      </c>
      <c r="J42" s="734">
        <v>1473</v>
      </c>
      <c r="K42" s="734">
        <v>1732</v>
      </c>
      <c r="L42" s="734">
        <v>1970</v>
      </c>
      <c r="M42" s="734">
        <v>2120</v>
      </c>
      <c r="N42" s="734">
        <v>1990</v>
      </c>
      <c r="O42" s="734">
        <v>1984</v>
      </c>
      <c r="P42" s="734">
        <v>2042</v>
      </c>
      <c r="Q42" s="500">
        <f t="shared" ref="Q42:T42" si="39">SUM(Q37:Q41)</f>
        <v>2018.15</v>
      </c>
      <c r="R42" s="500">
        <f t="shared" si="39"/>
        <v>1986.51125</v>
      </c>
      <c r="S42" s="500">
        <f t="shared" si="39"/>
        <v>1947.4995937499998</v>
      </c>
      <c r="T42" s="500">
        <f t="shared" si="39"/>
        <v>1904.5620632812497</v>
      </c>
      <c r="U42" s="514"/>
      <c r="V42" s="425"/>
      <c r="W42" s="425"/>
      <c r="X42" s="425"/>
      <c r="Y42" s="425"/>
      <c r="Z42" s="425"/>
      <c r="AA42" s="425"/>
      <c r="AH42" s="425"/>
      <c r="AI42" s="425"/>
      <c r="AJ42" s="425"/>
      <c r="AK42" s="425"/>
      <c r="AL42" s="425"/>
      <c r="AM42" s="425"/>
      <c r="AN42" s="509" t="s">
        <v>490</v>
      </c>
      <c r="AO42" s="425"/>
      <c r="AP42" s="425"/>
      <c r="AQ42" s="425"/>
      <c r="AR42" s="425"/>
      <c r="AS42" s="425"/>
      <c r="AT42" s="425"/>
      <c r="AU42" s="425"/>
      <c r="AV42" s="425"/>
      <c r="AW42" s="425"/>
      <c r="AX42" s="425"/>
      <c r="AY42" s="425"/>
      <c r="AZ42" s="425"/>
      <c r="BA42" s="425"/>
      <c r="BB42" s="425"/>
      <c r="BC42" s="425"/>
      <c r="BD42" s="425"/>
      <c r="BE42" s="425"/>
      <c r="BF42" s="425"/>
      <c r="BG42" s="500" t="e">
        <v>#NAME?</v>
      </c>
      <c r="BH42" s="490">
        <v>1407</v>
      </c>
      <c r="BI42" s="490">
        <v>1473</v>
      </c>
      <c r="BJ42" s="490">
        <v>1732</v>
      </c>
      <c r="BK42" s="490">
        <v>1970</v>
      </c>
      <c r="BL42" s="490">
        <v>2120</v>
      </c>
      <c r="BM42" s="490">
        <v>1990</v>
      </c>
      <c r="BN42" s="490">
        <v>0</v>
      </c>
      <c r="BO42" s="425"/>
      <c r="BP42" s="425"/>
      <c r="BQ42" s="425"/>
      <c r="BR42" s="425"/>
      <c r="BS42" s="425"/>
      <c r="BT42" s="425"/>
      <c r="BU42" s="425"/>
      <c r="BV42" s="425"/>
      <c r="BW42" s="425"/>
      <c r="BX42" s="425"/>
      <c r="BY42" s="425"/>
      <c r="BZ42" s="425"/>
      <c r="CA42" s="425"/>
      <c r="CB42" s="425"/>
      <c r="CC42" s="425" t="s">
        <v>491</v>
      </c>
      <c r="CD42" s="571">
        <f>H35</f>
        <v>4224</v>
      </c>
      <c r="CE42" s="571">
        <f t="shared" ref="CE42:CJ42" si="40">I35</f>
        <v>4340</v>
      </c>
      <c r="CF42" s="571">
        <f t="shared" si="40"/>
        <v>4186</v>
      </c>
      <c r="CG42" s="571">
        <f t="shared" si="40"/>
        <v>3940</v>
      </c>
      <c r="CH42" s="571">
        <f t="shared" si="40"/>
        <v>3378</v>
      </c>
      <c r="CI42" s="571">
        <f t="shared" si="40"/>
        <v>2715</v>
      </c>
      <c r="CJ42" s="571">
        <f t="shared" si="40"/>
        <v>2310</v>
      </c>
    </row>
    <row r="43" spans="1:88">
      <c r="A43" s="434"/>
      <c r="B43" s="442"/>
      <c r="C43" s="443"/>
      <c r="D43" s="443"/>
      <c r="E43" s="443"/>
      <c r="F43" s="443"/>
      <c r="G43" s="443"/>
      <c r="H43" s="444"/>
      <c r="I43" s="444"/>
      <c r="J43" s="445"/>
      <c r="K43" s="445"/>
      <c r="L43" s="445"/>
      <c r="M43" s="445"/>
      <c r="N43" s="445"/>
      <c r="O43" s="445"/>
      <c r="P43" s="445"/>
      <c r="Q43" s="445"/>
      <c r="R43" s="445"/>
      <c r="S43" s="445"/>
      <c r="T43" s="445"/>
      <c r="U43" s="424"/>
      <c r="V43" s="425"/>
      <c r="W43" s="425"/>
      <c r="X43" s="425"/>
      <c r="Y43" s="425"/>
      <c r="Z43" s="425"/>
      <c r="AA43" s="425"/>
      <c r="AH43" s="425"/>
      <c r="AI43" s="425"/>
      <c r="AJ43" s="425"/>
      <c r="AK43" s="425"/>
      <c r="AL43" s="425"/>
      <c r="AM43" s="425"/>
      <c r="AN43" s="428"/>
      <c r="AO43" s="425"/>
      <c r="AP43" s="425"/>
      <c r="AQ43" s="425"/>
      <c r="AR43" s="425"/>
      <c r="AS43" s="425"/>
      <c r="AT43" s="425"/>
      <c r="AU43" s="425"/>
      <c r="AV43" s="425"/>
      <c r="AW43" s="425"/>
      <c r="AX43" s="425"/>
      <c r="AY43" s="425"/>
      <c r="AZ43" s="425"/>
      <c r="BA43" s="425"/>
      <c r="BB43" s="425"/>
      <c r="BC43" s="425"/>
      <c r="BD43" s="425"/>
      <c r="BE43" s="425"/>
      <c r="BF43" s="425"/>
      <c r="BG43" s="470"/>
      <c r="BH43" s="425"/>
      <c r="BI43" s="425"/>
      <c r="BJ43" s="425"/>
      <c r="BK43" s="425"/>
      <c r="BL43" s="425"/>
      <c r="BM43" s="425"/>
      <c r="BN43" s="425"/>
      <c r="BO43" s="425"/>
      <c r="BP43" s="425"/>
      <c r="BQ43" s="425"/>
      <c r="BR43" s="425"/>
      <c r="BS43" s="425"/>
      <c r="BT43" s="425"/>
      <c r="BU43" s="425"/>
      <c r="BV43" s="425"/>
      <c r="BW43" s="425"/>
      <c r="BX43" s="425"/>
      <c r="BY43" s="425"/>
      <c r="BZ43" s="425"/>
      <c r="CA43" s="425"/>
      <c r="CB43" s="425"/>
      <c r="CC43" s="425"/>
      <c r="CD43" s="425"/>
      <c r="CE43" s="425"/>
      <c r="CF43" s="425"/>
      <c r="CG43" s="425"/>
      <c r="CH43" s="425"/>
      <c r="CI43" s="425"/>
      <c r="CJ43" s="425"/>
    </row>
    <row r="44" spans="1:88">
      <c r="A44" s="434"/>
      <c r="B44" s="442"/>
      <c r="C44" s="499" t="s">
        <v>444</v>
      </c>
      <c r="D44" s="500">
        <f t="shared" ref="D44:J44" si="41">IF(ISERROR(D35-D42),0,D35-D42)</f>
        <v>2279</v>
      </c>
      <c r="E44" s="500">
        <f t="shared" si="41"/>
        <v>2207</v>
      </c>
      <c r="F44" s="500">
        <f t="shared" si="41"/>
        <v>2923</v>
      </c>
      <c r="G44" s="500">
        <f t="shared" si="41"/>
        <v>3133</v>
      </c>
      <c r="H44" s="500">
        <f t="shared" si="41"/>
        <v>2891</v>
      </c>
      <c r="I44" s="500">
        <f t="shared" si="41"/>
        <v>2933</v>
      </c>
      <c r="J44" s="500">
        <f t="shared" si="41"/>
        <v>2713</v>
      </c>
      <c r="K44" s="500">
        <f t="shared" ref="K44:Q44" si="42">IF(ISERROR(K35-K42),0,K35-K42)</f>
        <v>2208</v>
      </c>
      <c r="L44" s="500">
        <f t="shared" si="42"/>
        <v>1408</v>
      </c>
      <c r="M44" s="500">
        <f t="shared" si="42"/>
        <v>595</v>
      </c>
      <c r="N44" s="500">
        <f t="shared" si="42"/>
        <v>320</v>
      </c>
      <c r="O44" s="500">
        <f t="shared" si="42"/>
        <v>448</v>
      </c>
      <c r="P44" s="500">
        <f t="shared" si="42"/>
        <v>337</v>
      </c>
      <c r="Q44" s="500">
        <f t="shared" si="42"/>
        <v>301.95749999999998</v>
      </c>
      <c r="R44" s="500">
        <f>IF(ISERROR(R35-R42),0,R35-R42)</f>
        <v>266.20081875000005</v>
      </c>
      <c r="S44" s="500">
        <f>IF(ISERROR(S35-S42),0,S35-S42)</f>
        <v>229.95273792187527</v>
      </c>
      <c r="T44" s="500">
        <f>IF(ISERROR(T35-T42),0,T35-T42)</f>
        <v>193.43199248667997</v>
      </c>
      <c r="U44" s="424"/>
      <c r="V44" s="425"/>
      <c r="W44" s="425"/>
      <c r="X44" s="425"/>
      <c r="Y44" s="425"/>
      <c r="Z44" s="425"/>
      <c r="AA44" s="425"/>
      <c r="AH44" s="425"/>
      <c r="AI44" s="425"/>
      <c r="AJ44" s="425"/>
      <c r="AK44" s="425"/>
      <c r="AL44" s="425"/>
      <c r="AM44" s="425"/>
      <c r="AN44" s="428"/>
      <c r="AO44" s="425"/>
      <c r="AP44" s="425"/>
      <c r="AQ44" s="425"/>
      <c r="AR44" s="425"/>
      <c r="AS44" s="425"/>
      <c r="AT44" s="425"/>
      <c r="AU44" s="425"/>
      <c r="AV44" s="425"/>
      <c r="AW44" s="425"/>
      <c r="AX44" s="425"/>
      <c r="AY44" s="425"/>
      <c r="AZ44" s="425"/>
      <c r="BA44" s="425"/>
      <c r="BB44" s="425"/>
      <c r="BC44" s="425"/>
      <c r="BD44" s="425"/>
      <c r="BE44" s="425"/>
      <c r="BF44" s="425"/>
      <c r="BG44" s="500"/>
      <c r="BH44" s="425"/>
      <c r="BI44" s="425"/>
      <c r="BJ44" s="425"/>
      <c r="BK44" s="425"/>
      <c r="BL44" s="425"/>
      <c r="BM44" s="425"/>
      <c r="BN44" s="425"/>
      <c r="BO44" s="425"/>
      <c r="BP44" s="425"/>
      <c r="BQ44" s="425"/>
      <c r="BR44" s="425"/>
      <c r="BS44" s="425"/>
      <c r="BT44" s="425"/>
      <c r="BU44" s="425"/>
      <c r="BV44" s="425"/>
      <c r="BW44" s="425"/>
      <c r="BX44" s="425"/>
      <c r="BY44" s="425"/>
      <c r="BZ44" s="425"/>
      <c r="CA44" s="425"/>
      <c r="CB44" s="425"/>
      <c r="CC44" s="425"/>
      <c r="CD44" s="425"/>
      <c r="CE44" s="425"/>
      <c r="CF44" s="425"/>
      <c r="CG44" s="425"/>
      <c r="CH44" s="425"/>
      <c r="CI44" s="425"/>
      <c r="CJ44" s="425"/>
    </row>
    <row r="45" spans="1:88">
      <c r="A45" s="434"/>
      <c r="B45" s="442"/>
      <c r="C45" s="499" t="s">
        <v>151</v>
      </c>
      <c r="D45" s="522">
        <f t="shared" ref="D45:J45" si="43">IF(ISERROR(D42/D35),"NA",D42/D35)</f>
        <v>0.18925649235147635</v>
      </c>
      <c r="E45" s="522">
        <f t="shared" si="43"/>
        <v>0.23020579002441577</v>
      </c>
      <c r="F45" s="522">
        <f t="shared" si="43"/>
        <v>0.28515529469307899</v>
      </c>
      <c r="G45" s="522">
        <f t="shared" si="43"/>
        <v>0.2602125147579693</v>
      </c>
      <c r="H45" s="522">
        <f t="shared" si="43"/>
        <v>0.31557765151515149</v>
      </c>
      <c r="I45" s="522">
        <f t="shared" si="43"/>
        <v>0.3241935483870968</v>
      </c>
      <c r="J45" s="522">
        <f t="shared" si="43"/>
        <v>0.35188724319159104</v>
      </c>
      <c r="K45" s="522">
        <f t="shared" ref="K45:Q45" si="44">IF(ISERROR(K42/K35),"NA",K42/K35)</f>
        <v>0.43959390862944164</v>
      </c>
      <c r="L45" s="522">
        <f t="shared" si="44"/>
        <v>0.58318531675547658</v>
      </c>
      <c r="M45" s="522">
        <f t="shared" si="44"/>
        <v>0.78084714548802947</v>
      </c>
      <c r="N45" s="522">
        <f t="shared" si="44"/>
        <v>0.8614718614718615</v>
      </c>
      <c r="O45" s="522">
        <f t="shared" si="44"/>
        <v>0.81578947368421051</v>
      </c>
      <c r="P45" s="522">
        <f t="shared" si="44"/>
        <v>0.85834384195039937</v>
      </c>
      <c r="Q45" s="522">
        <f t="shared" si="44"/>
        <v>0.86985193574004649</v>
      </c>
      <c r="R45" s="522">
        <f>IF(ISERROR(R42/R35),"NA",R42/R35)</f>
        <v>0.88183096169156172</v>
      </c>
      <c r="S45" s="522">
        <f>IF(ISERROR(S42/S35),"NA",S42/S35)</f>
        <v>0.89439367531627445</v>
      </c>
      <c r="T45" s="522">
        <f>IF(ISERROR(T42/T35),"NA",T42/T35)</f>
        <v>0.90780145827635439</v>
      </c>
      <c r="U45" s="424"/>
      <c r="V45" s="425"/>
      <c r="W45" s="425"/>
      <c r="X45" s="425"/>
      <c r="Y45" s="425"/>
      <c r="Z45" s="425"/>
      <c r="AA45" s="425"/>
      <c r="AH45" s="425"/>
      <c r="AI45" s="425"/>
      <c r="AJ45" s="425"/>
      <c r="AK45" s="425"/>
      <c r="AL45" s="425"/>
      <c r="AM45" s="425"/>
      <c r="AN45" s="428"/>
      <c r="AO45" s="425"/>
      <c r="AP45" s="425"/>
      <c r="AQ45" s="425"/>
      <c r="AR45" s="425"/>
      <c r="AS45" s="425"/>
      <c r="AT45" s="425"/>
      <c r="AU45" s="425"/>
      <c r="AV45" s="425"/>
      <c r="AW45" s="425"/>
      <c r="AX45" s="425"/>
      <c r="AY45" s="425"/>
      <c r="AZ45" s="425"/>
      <c r="BA45" s="425"/>
      <c r="BB45" s="425"/>
      <c r="BC45" s="425"/>
      <c r="BD45" s="425"/>
      <c r="BE45" s="425"/>
      <c r="BF45" s="425"/>
      <c r="BG45" s="523"/>
      <c r="BH45" s="425"/>
      <c r="BI45" s="425"/>
      <c r="BJ45" s="425"/>
      <c r="BK45" s="425"/>
      <c r="BL45" s="425"/>
      <c r="BM45" s="425"/>
      <c r="BN45" s="425"/>
      <c r="BO45" s="425"/>
      <c r="BP45" s="425"/>
      <c r="BQ45" s="425"/>
      <c r="BR45" s="425"/>
      <c r="BS45" s="425"/>
      <c r="BT45" s="425"/>
      <c r="BU45" s="425"/>
      <c r="BV45" s="425"/>
      <c r="BW45" s="425"/>
      <c r="BX45" s="425"/>
      <c r="BY45" s="425"/>
      <c r="BZ45" s="425"/>
      <c r="CA45" s="425"/>
      <c r="CB45" s="425"/>
      <c r="CC45" s="425"/>
      <c r="CD45" s="425"/>
      <c r="CE45" s="425"/>
      <c r="CF45" s="425"/>
      <c r="CG45" s="425"/>
      <c r="CH45" s="425"/>
      <c r="CI45" s="425"/>
      <c r="CJ45" s="425"/>
    </row>
    <row r="46" spans="1:88" ht="12.75" customHeight="1">
      <c r="A46" s="434"/>
      <c r="B46" s="442"/>
      <c r="C46" s="443"/>
      <c r="D46" s="443"/>
      <c r="E46" s="443"/>
      <c r="F46" s="443"/>
      <c r="G46" s="443"/>
      <c r="H46" s="525"/>
      <c r="I46" s="525"/>
      <c r="J46" s="525"/>
      <c r="K46" s="525"/>
      <c r="L46" s="525"/>
      <c r="M46" s="525"/>
      <c r="N46" s="525"/>
      <c r="O46" s="525"/>
      <c r="P46" s="525"/>
      <c r="Q46" s="525"/>
      <c r="R46" s="525"/>
      <c r="S46" s="525"/>
      <c r="T46" s="525"/>
      <c r="U46" s="424"/>
      <c r="V46" s="425"/>
      <c r="W46" s="425"/>
      <c r="X46" s="425"/>
      <c r="Y46" s="425"/>
      <c r="Z46" s="425"/>
      <c r="AA46" s="425"/>
      <c r="AH46" s="425"/>
      <c r="AI46" s="425"/>
      <c r="AJ46" s="425"/>
      <c r="AK46" s="425"/>
      <c r="AL46" s="425"/>
      <c r="AM46" s="425"/>
      <c r="AN46" s="428"/>
      <c r="AO46" s="425"/>
      <c r="AP46" s="425"/>
      <c r="AQ46" s="425"/>
      <c r="AR46" s="425"/>
      <c r="AS46" s="425"/>
      <c r="AT46" s="425"/>
      <c r="AU46" s="425"/>
      <c r="AV46" s="425"/>
      <c r="AW46" s="425"/>
      <c r="AX46" s="425"/>
      <c r="AY46" s="425"/>
      <c r="AZ46" s="425"/>
      <c r="BA46" s="425"/>
      <c r="BB46" s="425"/>
      <c r="BC46" s="425"/>
      <c r="BD46" s="425"/>
      <c r="BE46" s="425"/>
      <c r="BF46" s="425"/>
      <c r="BG46" s="470"/>
      <c r="BH46" s="425"/>
      <c r="BI46" s="425"/>
      <c r="BJ46" s="425"/>
      <c r="BK46" s="425"/>
      <c r="BL46" s="425"/>
      <c r="BM46" s="425"/>
      <c r="BN46" s="425"/>
      <c r="BO46" s="425"/>
      <c r="BP46" s="425"/>
      <c r="BQ46" s="425"/>
      <c r="BR46" s="425"/>
      <c r="BS46" s="425"/>
      <c r="BT46" s="425"/>
      <c r="BU46" s="425"/>
      <c r="BV46" s="425"/>
      <c r="BW46" s="425"/>
      <c r="BX46" s="425"/>
      <c r="BY46" s="425"/>
      <c r="BZ46" s="425"/>
      <c r="CA46" s="425"/>
      <c r="CB46" s="425"/>
      <c r="CC46" s="425"/>
      <c r="CD46" s="425"/>
      <c r="CE46" s="425"/>
      <c r="CF46" s="425"/>
      <c r="CG46" s="425"/>
      <c r="CH46" s="425"/>
      <c r="CI46" s="425"/>
      <c r="CJ46" s="425"/>
    </row>
    <row r="47" spans="1:88">
      <c r="A47" s="434"/>
      <c r="B47" s="442"/>
      <c r="C47" s="499" t="s">
        <v>492</v>
      </c>
      <c r="D47" s="500">
        <f>IF(ISERROR(D44*D13),0,D44*D13)</f>
        <v>797.65</v>
      </c>
      <c r="E47" s="500">
        <f t="shared" ref="E47:K47" si="45">+D47+(E44-D44)*E13</f>
        <v>772.44999999999993</v>
      </c>
      <c r="F47" s="500">
        <f t="shared" si="45"/>
        <v>1023.05</v>
      </c>
      <c r="G47" s="500">
        <f t="shared" si="45"/>
        <v>1096.55</v>
      </c>
      <c r="H47" s="500">
        <f t="shared" si="45"/>
        <v>1011.8499999999999</v>
      </c>
      <c r="I47" s="500">
        <f t="shared" si="45"/>
        <v>1026.55</v>
      </c>
      <c r="J47" s="500">
        <f t="shared" si="45"/>
        <v>949.55</v>
      </c>
      <c r="K47" s="500">
        <f t="shared" si="45"/>
        <v>772.8</v>
      </c>
      <c r="L47" s="500">
        <f>+K47+(L44-K44)*L13</f>
        <v>492.79999999999995</v>
      </c>
      <c r="M47" s="500">
        <f t="shared" ref="M47:T47" si="46">+L47+(M44-L44)*M13</f>
        <v>208.25</v>
      </c>
      <c r="N47" s="500">
        <f t="shared" si="46"/>
        <v>112</v>
      </c>
      <c r="O47" s="500">
        <f t="shared" si="46"/>
        <v>156.80000000000001</v>
      </c>
      <c r="P47" s="500">
        <f t="shared" si="46"/>
        <v>117.95000000000002</v>
      </c>
      <c r="Q47" s="500">
        <f t="shared" si="46"/>
        <v>105.68512500000001</v>
      </c>
      <c r="R47" s="500">
        <f t="shared" si="46"/>
        <v>93.170286562500038</v>
      </c>
      <c r="S47" s="500">
        <f t="shared" si="46"/>
        <v>80.483458272656364</v>
      </c>
      <c r="T47" s="500">
        <f t="shared" si="46"/>
        <v>67.701197370338008</v>
      </c>
      <c r="U47" s="424"/>
      <c r="V47" s="425"/>
      <c r="W47" s="425"/>
      <c r="X47" s="425"/>
      <c r="Y47" s="425"/>
      <c r="Z47" s="425"/>
      <c r="AA47" s="425"/>
      <c r="AH47" s="425"/>
      <c r="AI47" s="425"/>
      <c r="AJ47" s="425"/>
      <c r="AK47" s="425"/>
      <c r="AL47" s="425"/>
      <c r="AM47" s="425"/>
      <c r="AN47" s="428"/>
      <c r="AO47" s="425"/>
      <c r="AP47" s="425"/>
      <c r="AQ47" s="425"/>
      <c r="AR47" s="425"/>
      <c r="AS47" s="425"/>
      <c r="AT47" s="425"/>
      <c r="AU47" s="425"/>
      <c r="AV47" s="425"/>
      <c r="AW47" s="425"/>
      <c r="AX47" s="425"/>
      <c r="AY47" s="425"/>
      <c r="AZ47" s="425"/>
      <c r="BA47" s="425"/>
      <c r="BB47" s="425"/>
      <c r="BC47" s="425"/>
      <c r="BD47" s="425"/>
      <c r="BE47" s="425"/>
      <c r="BF47" s="425"/>
      <c r="BG47" s="500"/>
      <c r="BH47" s="425"/>
      <c r="BI47" s="425"/>
      <c r="BJ47" s="425"/>
      <c r="BK47" s="425"/>
      <c r="BL47" s="425"/>
      <c r="BM47" s="425"/>
      <c r="BN47" s="425"/>
      <c r="BO47" s="425"/>
      <c r="BP47" s="425"/>
      <c r="BQ47" s="425"/>
      <c r="BR47" s="425"/>
      <c r="BS47" s="425"/>
      <c r="BT47" s="425"/>
      <c r="BU47" s="425"/>
      <c r="BV47" s="425"/>
      <c r="BW47" s="425"/>
      <c r="BX47" s="425"/>
      <c r="BY47" s="425"/>
      <c r="BZ47" s="425"/>
      <c r="CA47" s="425"/>
      <c r="CB47" s="425"/>
      <c r="CC47" s="425"/>
      <c r="CD47" s="425"/>
      <c r="CE47" s="425"/>
      <c r="CF47" s="425"/>
      <c r="CG47" s="425"/>
      <c r="CH47" s="425"/>
      <c r="CI47" s="425"/>
      <c r="CJ47" s="425"/>
    </row>
    <row r="48" spans="1:88">
      <c r="A48" s="434"/>
      <c r="B48" s="442"/>
      <c r="C48" s="443"/>
      <c r="D48" s="443"/>
      <c r="E48" s="443"/>
      <c r="F48" s="443"/>
      <c r="G48" s="443"/>
      <c r="H48" s="526"/>
      <c r="I48" s="526"/>
      <c r="J48" s="516"/>
      <c r="K48" s="516"/>
      <c r="L48" s="516"/>
      <c r="M48" s="516"/>
      <c r="N48" s="516"/>
      <c r="O48" s="516"/>
      <c r="P48" s="516"/>
      <c r="Q48" s="516"/>
      <c r="R48" s="516"/>
      <c r="S48" s="516"/>
      <c r="T48" s="516"/>
      <c r="U48" s="424"/>
      <c r="V48" s="425"/>
      <c r="W48" s="425"/>
      <c r="X48" s="425"/>
      <c r="Y48" s="425"/>
      <c r="Z48" s="425"/>
      <c r="AA48" s="425"/>
      <c r="AH48" s="425"/>
      <c r="AI48" s="425"/>
      <c r="AJ48" s="425"/>
      <c r="AK48" s="425"/>
      <c r="AL48" s="425"/>
      <c r="AM48" s="425"/>
      <c r="AN48" s="428"/>
      <c r="AO48" s="425"/>
      <c r="AP48" s="425"/>
      <c r="AQ48" s="425"/>
      <c r="AR48" s="425"/>
      <c r="AS48" s="425"/>
      <c r="AT48" s="425"/>
      <c r="AU48" s="425"/>
      <c r="AV48" s="425"/>
      <c r="AW48" s="425"/>
      <c r="AX48" s="425"/>
      <c r="AY48" s="425"/>
      <c r="AZ48" s="425"/>
      <c r="BA48" s="425"/>
      <c r="BB48" s="425"/>
      <c r="BC48" s="425"/>
      <c r="BD48" s="425"/>
      <c r="BE48" s="425"/>
      <c r="BF48" s="425"/>
      <c r="BG48" s="470"/>
      <c r="BH48" s="425"/>
      <c r="BI48" s="425"/>
      <c r="BJ48" s="425"/>
      <c r="BK48" s="425"/>
      <c r="BL48" s="425"/>
      <c r="BM48" s="425"/>
      <c r="BN48" s="425"/>
      <c r="BO48" s="425"/>
      <c r="BP48" s="425"/>
      <c r="BQ48" s="425"/>
      <c r="BR48" s="425"/>
      <c r="BS48" s="425"/>
      <c r="BT48" s="425"/>
      <c r="BU48" s="425"/>
      <c r="BV48" s="425"/>
      <c r="BW48" s="425"/>
      <c r="BX48" s="425"/>
      <c r="BY48" s="425"/>
      <c r="BZ48" s="425"/>
      <c r="CA48" s="425"/>
      <c r="CB48" s="425"/>
      <c r="CC48" s="425"/>
      <c r="CD48" s="425"/>
      <c r="CE48" s="425"/>
      <c r="CF48" s="425"/>
      <c r="CG48" s="425"/>
      <c r="CH48" s="425"/>
      <c r="CI48" s="425"/>
      <c r="CJ48" s="425"/>
    </row>
    <row r="49" spans="1:88">
      <c r="A49" s="434"/>
      <c r="B49" s="475" t="s">
        <v>450</v>
      </c>
      <c r="C49" s="476" t="s">
        <v>123</v>
      </c>
      <c r="D49" s="477"/>
      <c r="E49" s="477"/>
      <c r="F49" s="477"/>
      <c r="G49" s="477"/>
      <c r="H49" s="526"/>
      <c r="I49" s="526"/>
      <c r="J49" s="516"/>
      <c r="K49" s="516"/>
      <c r="L49" s="516"/>
      <c r="M49" s="516"/>
      <c r="N49" s="516"/>
      <c r="O49" s="516"/>
      <c r="P49" s="516"/>
      <c r="Q49" s="516"/>
      <c r="R49" s="516"/>
      <c r="S49" s="516"/>
      <c r="T49" s="516"/>
      <c r="U49" s="424"/>
      <c r="V49" s="425"/>
      <c r="W49" s="425"/>
      <c r="X49" s="425"/>
      <c r="Y49" s="425"/>
      <c r="Z49" s="425"/>
      <c r="AA49" s="425"/>
      <c r="AH49" s="425"/>
      <c r="AI49" s="425"/>
      <c r="AJ49" s="425"/>
      <c r="AK49" s="425"/>
      <c r="AL49" s="425"/>
      <c r="AM49" s="425"/>
      <c r="AN49" s="428"/>
      <c r="AO49" s="425"/>
      <c r="AP49" s="425"/>
      <c r="AQ49" s="425"/>
      <c r="AR49" s="425"/>
      <c r="AS49" s="425"/>
      <c r="AT49" s="425"/>
      <c r="AU49" s="425"/>
      <c r="AV49" s="425"/>
      <c r="AW49" s="425"/>
      <c r="AX49" s="425"/>
      <c r="AY49" s="425"/>
      <c r="AZ49" s="425"/>
      <c r="BA49" s="425"/>
      <c r="BB49" s="425"/>
      <c r="BC49" s="425"/>
      <c r="BD49" s="425"/>
      <c r="BE49" s="425"/>
      <c r="BF49" s="425"/>
      <c r="BG49" s="481"/>
      <c r="BH49" s="425"/>
      <c r="BI49" s="425"/>
      <c r="BJ49" s="425"/>
      <c r="BK49" s="425"/>
      <c r="BL49" s="425"/>
      <c r="BM49" s="425"/>
      <c r="BN49" s="425"/>
      <c r="BO49" s="425"/>
      <c r="BP49" s="425"/>
      <c r="BQ49" s="425"/>
      <c r="BR49" s="425"/>
      <c r="BS49" s="425"/>
      <c r="BT49" s="425"/>
      <c r="BU49" s="425"/>
      <c r="BV49" s="425"/>
      <c r="BW49" s="425"/>
      <c r="BX49" s="425"/>
      <c r="BY49" s="425"/>
      <c r="BZ49" s="425"/>
      <c r="CA49" s="425"/>
      <c r="CB49" s="425"/>
      <c r="CC49" s="425"/>
      <c r="CD49" s="425"/>
      <c r="CE49" s="425"/>
      <c r="CF49" s="425"/>
      <c r="CG49" s="425"/>
      <c r="CH49" s="425"/>
      <c r="CI49" s="425"/>
      <c r="CJ49" s="425"/>
    </row>
    <row r="50" spans="1:88" ht="7.5" customHeight="1">
      <c r="A50" s="434"/>
      <c r="B50" s="442"/>
      <c r="C50" s="443"/>
      <c r="D50" s="443"/>
      <c r="E50" s="443"/>
      <c r="F50" s="443"/>
      <c r="G50" s="443"/>
      <c r="H50" s="526"/>
      <c r="I50" s="526"/>
      <c r="J50" s="516"/>
      <c r="K50" s="516"/>
      <c r="L50" s="516"/>
      <c r="M50" s="516"/>
      <c r="N50" s="516"/>
      <c r="O50" s="516"/>
      <c r="P50" s="516"/>
      <c r="Q50" s="516"/>
      <c r="R50" s="516"/>
      <c r="S50" s="516"/>
      <c r="T50" s="516"/>
      <c r="U50" s="424"/>
      <c r="V50" s="425"/>
      <c r="W50" s="425"/>
      <c r="X50" s="425"/>
      <c r="Y50" s="425"/>
      <c r="Z50" s="425"/>
      <c r="AA50" s="425"/>
      <c r="AH50" s="425"/>
      <c r="AI50" s="425"/>
      <c r="AJ50" s="425"/>
      <c r="AK50" s="425"/>
      <c r="AL50" s="425"/>
      <c r="AM50" s="425"/>
      <c r="AN50" s="428"/>
      <c r="AO50" s="425"/>
      <c r="AP50" s="425"/>
      <c r="AQ50" s="425"/>
      <c r="AR50" s="425"/>
      <c r="AS50" s="425"/>
      <c r="AT50" s="425"/>
      <c r="AU50" s="425"/>
      <c r="AV50" s="425"/>
      <c r="AW50" s="425"/>
      <c r="AX50" s="425"/>
      <c r="AY50" s="425"/>
      <c r="AZ50" s="425"/>
      <c r="BA50" s="425"/>
      <c r="BB50" s="425"/>
      <c r="BC50" s="425"/>
      <c r="BD50" s="425"/>
      <c r="BE50" s="425"/>
      <c r="BF50" s="425"/>
      <c r="BG50" s="470"/>
      <c r="BH50" s="425"/>
      <c r="BI50" s="425"/>
      <c r="BJ50" s="425"/>
      <c r="BK50" s="425"/>
      <c r="BL50" s="425"/>
      <c r="BM50" s="425"/>
      <c r="BN50" s="425"/>
      <c r="BO50" s="425"/>
      <c r="BP50" s="425"/>
      <c r="BQ50" s="425"/>
      <c r="BR50" s="425"/>
      <c r="BS50" s="425"/>
      <c r="BT50" s="425"/>
      <c r="BU50" s="425"/>
      <c r="BV50" s="425"/>
      <c r="BW50" s="425"/>
      <c r="BX50" s="425"/>
      <c r="BY50" s="425"/>
      <c r="BZ50" s="425"/>
      <c r="CA50" s="425"/>
      <c r="CB50" s="425"/>
      <c r="CC50" s="425"/>
      <c r="CD50" s="425"/>
      <c r="CE50" s="425"/>
      <c r="CF50" s="425"/>
      <c r="CG50" s="425"/>
      <c r="CH50" s="425"/>
      <c r="CI50" s="425"/>
      <c r="CJ50" s="425"/>
    </row>
    <row r="51" spans="1:88">
      <c r="A51" s="434"/>
      <c r="B51" s="442"/>
      <c r="C51" s="499" t="s">
        <v>493</v>
      </c>
      <c r="D51" s="527">
        <f>+D25*(1-D13)</f>
        <v>70.850000000000009</v>
      </c>
      <c r="E51" s="527">
        <f>+E25*(1-E13)</f>
        <v>71.5</v>
      </c>
      <c r="F51" s="527">
        <f>+F25*(1-F13)</f>
        <v>88.4</v>
      </c>
      <c r="G51" s="527">
        <f>+G25*(1-G13)</f>
        <v>96.850000000000009</v>
      </c>
      <c r="H51" s="527">
        <f>+H25*(1-H13)</f>
        <v>124.15</v>
      </c>
      <c r="I51" s="527">
        <f t="shared" ref="I51:T51" si="47">+I25*(1-I13)</f>
        <v>98.8</v>
      </c>
      <c r="J51" s="527">
        <f t="shared" si="47"/>
        <v>103.35000000000001</v>
      </c>
      <c r="K51" s="527">
        <f t="shared" si="47"/>
        <v>65</v>
      </c>
      <c r="L51" s="527">
        <f t="shared" si="47"/>
        <v>35.75</v>
      </c>
      <c r="M51" s="527">
        <f t="shared" si="47"/>
        <v>-3.9000000000000004</v>
      </c>
      <c r="N51" s="527">
        <f t="shared" si="47"/>
        <v>-23.400000000000002</v>
      </c>
      <c r="O51" s="527">
        <f t="shared" si="47"/>
        <v>-2.6</v>
      </c>
      <c r="P51" s="527">
        <f t="shared" si="47"/>
        <v>50.7</v>
      </c>
      <c r="Q51" s="527">
        <f t="shared" si="47"/>
        <v>-1.9776249999999935</v>
      </c>
      <c r="R51" s="527">
        <f t="shared" si="47"/>
        <v>-2.4418428125000093</v>
      </c>
      <c r="S51" s="527">
        <f t="shared" si="47"/>
        <v>-2.7612525382812394</v>
      </c>
      <c r="T51" s="527">
        <f t="shared" si="47"/>
        <v>-2.9384845328769416</v>
      </c>
      <c r="U51" s="424"/>
      <c r="V51" s="425"/>
      <c r="W51" s="425"/>
      <c r="X51" s="425"/>
      <c r="Y51" s="425"/>
      <c r="Z51" s="425"/>
      <c r="AA51" s="425"/>
      <c r="AH51" s="425"/>
      <c r="AI51" s="425"/>
      <c r="AJ51" s="425"/>
      <c r="AK51" s="425"/>
      <c r="AL51" s="425"/>
      <c r="AM51" s="425"/>
      <c r="AN51" s="428"/>
      <c r="AO51" s="425"/>
      <c r="AP51" s="425"/>
      <c r="AQ51" s="425"/>
      <c r="AR51" s="425"/>
      <c r="AS51" s="425"/>
      <c r="AT51" s="425"/>
      <c r="AU51" s="425"/>
      <c r="AV51" s="425"/>
      <c r="AW51" s="425"/>
      <c r="AX51" s="425"/>
      <c r="AY51" s="425"/>
      <c r="AZ51" s="425"/>
      <c r="BA51" s="425"/>
      <c r="BB51" s="425"/>
      <c r="BC51" s="425"/>
      <c r="BD51" s="425"/>
      <c r="BE51" s="425"/>
      <c r="BF51" s="425"/>
      <c r="BG51" s="528"/>
      <c r="BH51" s="425"/>
      <c r="BI51" s="425"/>
      <c r="BJ51" s="425"/>
      <c r="BK51" s="425"/>
      <c r="BL51" s="425"/>
      <c r="BM51" s="425"/>
      <c r="BN51" s="425"/>
      <c r="BO51" s="425"/>
      <c r="BP51" s="425"/>
      <c r="BQ51" s="425"/>
      <c r="BR51" s="425"/>
      <c r="BS51" s="425"/>
      <c r="BT51" s="425"/>
      <c r="BU51" s="425"/>
      <c r="BV51" s="425"/>
      <c r="BW51" s="425"/>
      <c r="BX51" s="425"/>
      <c r="BY51" s="425"/>
      <c r="BZ51" s="425"/>
      <c r="CA51" s="425"/>
      <c r="CB51" s="425"/>
      <c r="CC51" s="425"/>
      <c r="CD51" s="425"/>
      <c r="CE51" s="425"/>
      <c r="CF51" s="425"/>
      <c r="CG51" s="425"/>
      <c r="CH51" s="425"/>
      <c r="CI51" s="425"/>
      <c r="CJ51" s="425"/>
    </row>
    <row r="52" spans="1:88">
      <c r="A52" s="434"/>
      <c r="B52" s="442"/>
      <c r="C52" s="499" t="s">
        <v>323</v>
      </c>
      <c r="D52" s="527">
        <f t="shared" ref="D52:J52" si="48">IF(ISERROR(-D39*(1-D13)),0,(-D39*(1-D13)))</f>
        <v>-213.20000000000002</v>
      </c>
      <c r="E52" s="527">
        <f t="shared" si="48"/>
        <v>-230.75</v>
      </c>
      <c r="F52" s="527">
        <f t="shared" si="48"/>
        <v>-477.1</v>
      </c>
      <c r="G52" s="527">
        <f t="shared" si="48"/>
        <v>-324.35000000000002</v>
      </c>
      <c r="H52" s="527">
        <f t="shared" si="48"/>
        <v>-209.3</v>
      </c>
      <c r="I52" s="527">
        <f t="shared" si="48"/>
        <v>-211.9</v>
      </c>
      <c r="J52" s="527">
        <f t="shared" si="48"/>
        <v>-209.95000000000002</v>
      </c>
      <c r="K52" s="527">
        <f>IF(ISERROR(-K39*(1-K13)),0,(-K39*(1-K13)))</f>
        <v>-254.8</v>
      </c>
      <c r="L52" s="527">
        <f>IF(ISERROR(-L39*(1-L13)),0,(-L39*(1-L13)))</f>
        <v>-172.25</v>
      </c>
      <c r="M52" s="527">
        <f>IF(ISERROR(-M39*(1-M13)),0,(-M39*(1-M13)))</f>
        <v>-25.35</v>
      </c>
      <c r="N52" s="527">
        <f t="shared" ref="N52:T52" si="49">IF(ISERROR(-N39*(1-N13)),0,(-N39*(1-N13)))</f>
        <v>-85.8</v>
      </c>
      <c r="O52" s="527">
        <f t="shared" si="49"/>
        <v>0</v>
      </c>
      <c r="P52" s="527">
        <f t="shared" si="49"/>
        <v>0</v>
      </c>
      <c r="Q52" s="527">
        <f t="shared" si="49"/>
        <v>0</v>
      </c>
      <c r="R52" s="527">
        <f t="shared" si="49"/>
        <v>0</v>
      </c>
      <c r="S52" s="527">
        <f t="shared" si="49"/>
        <v>0</v>
      </c>
      <c r="T52" s="527">
        <f t="shared" si="49"/>
        <v>0</v>
      </c>
      <c r="U52" s="424"/>
      <c r="V52" s="425"/>
      <c r="W52" s="425"/>
      <c r="X52" s="425"/>
      <c r="Y52" s="425"/>
      <c r="Z52" s="425"/>
      <c r="AA52" s="425"/>
      <c r="AH52" s="425"/>
      <c r="AI52" s="425"/>
      <c r="AJ52" s="425"/>
      <c r="AK52" s="425"/>
      <c r="AL52" s="425"/>
      <c r="AM52" s="425"/>
      <c r="AN52" s="428"/>
      <c r="AO52" s="425"/>
      <c r="AP52" s="425"/>
      <c r="AQ52" s="425"/>
      <c r="AR52" s="425"/>
      <c r="AS52" s="425"/>
      <c r="AT52" s="425"/>
      <c r="AU52" s="425"/>
      <c r="AV52" s="425"/>
      <c r="AW52" s="425"/>
      <c r="AX52" s="425"/>
      <c r="AY52" s="425"/>
      <c r="AZ52" s="425"/>
      <c r="BA52" s="425"/>
      <c r="BB52" s="425"/>
      <c r="BC52" s="425"/>
      <c r="BD52" s="425"/>
      <c r="BE52" s="425"/>
      <c r="BF52" s="425"/>
      <c r="BG52" s="528"/>
      <c r="BH52" s="425"/>
      <c r="BI52" s="425"/>
      <c r="BJ52" s="425"/>
      <c r="BK52" s="425"/>
      <c r="BL52" s="425"/>
      <c r="BM52" s="425"/>
      <c r="BN52" s="425"/>
      <c r="BO52" s="425"/>
      <c r="BP52" s="425"/>
      <c r="BQ52" s="425"/>
      <c r="BR52" s="425"/>
      <c r="BS52" s="425"/>
      <c r="BT52" s="425"/>
      <c r="BU52" s="425"/>
      <c r="BV52" s="425"/>
      <c r="BW52" s="425"/>
      <c r="BX52" s="425"/>
      <c r="BY52" s="425"/>
      <c r="BZ52" s="425"/>
      <c r="CA52" s="425"/>
      <c r="CB52" s="425"/>
      <c r="CC52" s="425"/>
      <c r="CD52" s="425"/>
      <c r="CE52" s="425"/>
      <c r="CF52" s="425"/>
      <c r="CG52" s="425"/>
      <c r="CH52" s="425"/>
      <c r="CI52" s="425"/>
      <c r="CJ52" s="425"/>
    </row>
    <row r="53" spans="1:88" ht="7.5" customHeight="1">
      <c r="A53" s="434"/>
      <c r="B53" s="442"/>
      <c r="C53" s="443"/>
      <c r="D53" s="443"/>
      <c r="E53" s="443"/>
      <c r="F53" s="443"/>
      <c r="G53" s="443"/>
      <c r="H53" s="473"/>
      <c r="I53" s="473"/>
      <c r="J53" s="473"/>
      <c r="K53" s="473"/>
      <c r="L53" s="473"/>
      <c r="M53" s="473"/>
      <c r="N53" s="473"/>
      <c r="O53" s="473"/>
      <c r="P53" s="473"/>
      <c r="Q53" s="473"/>
      <c r="R53" s="473"/>
      <c r="S53" s="473"/>
      <c r="T53" s="473"/>
      <c r="U53" s="424"/>
      <c r="V53" s="425"/>
      <c r="W53" s="425"/>
      <c r="X53" s="425"/>
      <c r="Y53" s="425"/>
      <c r="Z53" s="425"/>
      <c r="AA53" s="425"/>
      <c r="AH53" s="425"/>
      <c r="AI53" s="425"/>
      <c r="AJ53" s="425"/>
      <c r="AK53" s="425"/>
      <c r="AL53" s="425"/>
      <c r="AM53" s="425"/>
      <c r="AN53" s="428"/>
      <c r="AO53" s="425"/>
      <c r="AP53" s="425"/>
      <c r="AQ53" s="425"/>
      <c r="AR53" s="425"/>
      <c r="AS53" s="425"/>
      <c r="AT53" s="425"/>
      <c r="AU53" s="425"/>
      <c r="AV53" s="425"/>
      <c r="AW53" s="425"/>
      <c r="AX53" s="425"/>
      <c r="AY53" s="425"/>
      <c r="AZ53" s="425"/>
      <c r="BA53" s="425"/>
      <c r="BB53" s="425"/>
      <c r="BC53" s="425"/>
      <c r="BD53" s="425"/>
      <c r="BE53" s="425"/>
      <c r="BF53" s="425"/>
      <c r="BG53" s="426"/>
      <c r="BH53" s="425"/>
      <c r="BI53" s="425"/>
      <c r="BJ53" s="425"/>
      <c r="BK53" s="425"/>
      <c r="BL53" s="425"/>
      <c r="BM53" s="425"/>
      <c r="BN53" s="425"/>
      <c r="BO53" s="425"/>
      <c r="BP53" s="425"/>
      <c r="BQ53" s="425"/>
      <c r="BR53" s="425"/>
      <c r="BS53" s="425"/>
      <c r="BT53" s="425"/>
      <c r="BU53" s="425"/>
      <c r="BV53" s="425"/>
      <c r="BW53" s="425"/>
      <c r="BX53" s="425"/>
      <c r="BY53" s="425"/>
      <c r="BZ53" s="425"/>
      <c r="CA53" s="425"/>
      <c r="CB53" s="425"/>
      <c r="CC53" s="425"/>
      <c r="CD53" s="425"/>
      <c r="CE53" s="425"/>
      <c r="CF53" s="425"/>
      <c r="CG53" s="425"/>
      <c r="CH53" s="425"/>
      <c r="CI53" s="425"/>
      <c r="CJ53" s="425"/>
    </row>
    <row r="54" spans="1:88">
      <c r="A54" s="434"/>
      <c r="B54" s="422" t="s">
        <v>452</v>
      </c>
      <c r="C54" s="422" t="s">
        <v>453</v>
      </c>
      <c r="D54" s="440">
        <f>+D15</f>
        <v>2005</v>
      </c>
      <c r="E54" s="440">
        <f>+E15</f>
        <v>2006</v>
      </c>
      <c r="F54" s="440">
        <f>+F15</f>
        <v>2007</v>
      </c>
      <c r="G54" s="440">
        <f>+G15</f>
        <v>2008</v>
      </c>
      <c r="H54" s="440">
        <f>+H15</f>
        <v>2009</v>
      </c>
      <c r="I54" s="440">
        <f t="shared" ref="I54:T54" si="50">+I15</f>
        <v>2010</v>
      </c>
      <c r="J54" s="440">
        <f t="shared" si="50"/>
        <v>2011</v>
      </c>
      <c r="K54" s="440">
        <f t="shared" si="50"/>
        <v>2012</v>
      </c>
      <c r="L54" s="440">
        <f t="shared" si="50"/>
        <v>2013</v>
      </c>
      <c r="M54" s="440">
        <f t="shared" si="50"/>
        <v>2014</v>
      </c>
      <c r="N54" s="440">
        <f t="shared" si="50"/>
        <v>2015</v>
      </c>
      <c r="O54" s="440">
        <f t="shared" si="50"/>
        <v>2016</v>
      </c>
      <c r="P54" s="440">
        <f t="shared" si="50"/>
        <v>2017</v>
      </c>
      <c r="Q54" s="440">
        <f t="shared" si="50"/>
        <v>2018</v>
      </c>
      <c r="R54" s="440">
        <f t="shared" si="50"/>
        <v>2019</v>
      </c>
      <c r="S54" s="440">
        <f t="shared" si="50"/>
        <v>2020</v>
      </c>
      <c r="T54" s="440">
        <f t="shared" si="50"/>
        <v>2021</v>
      </c>
      <c r="U54" s="424"/>
      <c r="V54" s="425"/>
      <c r="W54" s="425"/>
      <c r="X54" s="425"/>
      <c r="Y54" s="425"/>
      <c r="Z54" s="425"/>
      <c r="AA54" s="425"/>
      <c r="AH54" s="425"/>
      <c r="AI54" s="425"/>
      <c r="AJ54" s="425"/>
      <c r="AK54" s="425"/>
      <c r="AL54" s="425"/>
      <c r="AM54" s="425"/>
      <c r="AN54" s="428"/>
      <c r="AO54" s="425"/>
      <c r="AP54" s="425"/>
      <c r="AQ54" s="425"/>
      <c r="AR54" s="425"/>
      <c r="AS54" s="425"/>
      <c r="AT54" s="425"/>
      <c r="AU54" s="425"/>
      <c r="AV54" s="425"/>
      <c r="AW54" s="425"/>
      <c r="AX54" s="425"/>
      <c r="AY54" s="425"/>
      <c r="AZ54" s="425"/>
      <c r="BA54" s="425"/>
      <c r="BB54" s="425"/>
      <c r="BC54" s="425"/>
      <c r="BD54" s="425"/>
      <c r="BE54" s="425"/>
      <c r="BF54" s="425"/>
      <c r="BG54" s="426"/>
      <c r="BH54" s="425"/>
      <c r="BI54" s="425"/>
      <c r="BJ54" s="425"/>
      <c r="BK54" s="425"/>
      <c r="BL54" s="425"/>
      <c r="BM54" s="425"/>
      <c r="BN54" s="425"/>
      <c r="BO54" s="425"/>
      <c r="BP54" s="425"/>
      <c r="BQ54" s="425"/>
      <c r="BR54" s="425"/>
      <c r="BS54" s="425"/>
      <c r="BT54" s="425"/>
      <c r="BU54" s="425"/>
      <c r="BV54" s="425"/>
      <c r="BW54" s="425"/>
      <c r="BX54" s="425"/>
      <c r="BY54" s="425"/>
      <c r="BZ54" s="425"/>
      <c r="CA54" s="425"/>
      <c r="CB54" s="425"/>
      <c r="CC54" s="425"/>
      <c r="CD54" s="425"/>
      <c r="CE54" s="425"/>
      <c r="CF54" s="425"/>
      <c r="CG54" s="425"/>
      <c r="CH54" s="425"/>
      <c r="CI54" s="425"/>
      <c r="CJ54" s="425"/>
    </row>
    <row r="55" spans="1:88" ht="27.75" customHeight="1">
      <c r="A55" s="434"/>
      <c r="B55" s="529"/>
      <c r="C55" s="1576" t="s">
        <v>454</v>
      </c>
      <c r="D55" s="1576"/>
      <c r="E55" s="1576"/>
      <c r="F55" s="1576"/>
      <c r="G55" s="1576"/>
      <c r="H55" s="1576"/>
      <c r="I55" s="1576"/>
      <c r="J55" s="1576"/>
      <c r="K55" s="1576"/>
      <c r="L55" s="1576"/>
      <c r="M55" s="1576"/>
      <c r="N55" s="1576"/>
      <c r="O55" s="1576"/>
      <c r="P55" s="1576"/>
      <c r="Q55" s="1576"/>
      <c r="R55" s="1576"/>
      <c r="S55" s="1576"/>
      <c r="T55" s="1576"/>
      <c r="U55" s="424"/>
      <c r="V55" s="425"/>
      <c r="W55" s="425"/>
      <c r="X55" s="425"/>
      <c r="Y55" s="530"/>
      <c r="Z55" s="530"/>
      <c r="AA55" s="530"/>
      <c r="AH55" s="530"/>
      <c r="AI55" s="530"/>
      <c r="AJ55" s="530"/>
      <c r="AK55" s="530"/>
      <c r="AL55" s="530"/>
      <c r="AM55" s="530"/>
      <c r="AN55" s="531"/>
      <c r="AO55" s="530"/>
      <c r="AP55" s="530"/>
      <c r="AQ55" s="530"/>
      <c r="AR55" s="530"/>
      <c r="AS55" s="530"/>
      <c r="AT55" s="530"/>
      <c r="AU55" s="530"/>
      <c r="AV55" s="530"/>
      <c r="AW55" s="530"/>
      <c r="AX55" s="530"/>
      <c r="AY55" s="530"/>
      <c r="AZ55" s="530"/>
      <c r="BA55" s="530"/>
      <c r="BB55" s="530"/>
      <c r="BC55" s="530"/>
      <c r="BD55" s="530"/>
      <c r="BE55" s="530"/>
      <c r="BF55" s="530"/>
      <c r="BG55" s="532"/>
      <c r="BH55" s="530"/>
      <c r="BI55" s="530"/>
      <c r="BJ55" s="530"/>
      <c r="BK55" s="530"/>
      <c r="BL55" s="530"/>
      <c r="BM55" s="530"/>
      <c r="BN55" s="530"/>
      <c r="BO55" s="530"/>
      <c r="BP55" s="530"/>
      <c r="BQ55" s="530"/>
      <c r="BR55" s="530"/>
      <c r="BS55" s="530"/>
      <c r="BT55" s="530"/>
      <c r="BU55" s="530"/>
      <c r="BV55" s="530"/>
      <c r="BW55" s="530"/>
      <c r="BX55" s="530"/>
      <c r="BY55" s="530"/>
      <c r="BZ55" s="530"/>
      <c r="CA55" s="530"/>
      <c r="CB55" s="530"/>
      <c r="CC55" s="530"/>
      <c r="CD55" s="530"/>
      <c r="CE55" s="530"/>
      <c r="CF55" s="530"/>
      <c r="CG55" s="530"/>
      <c r="CH55" s="530"/>
      <c r="CI55" s="530"/>
      <c r="CJ55" s="530"/>
    </row>
    <row r="56" spans="1:88">
      <c r="A56" s="434"/>
      <c r="B56" s="529"/>
      <c r="C56" s="533"/>
      <c r="D56" s="533"/>
      <c r="E56" s="533"/>
      <c r="F56" s="533"/>
      <c r="G56" s="533"/>
      <c r="H56" s="533"/>
      <c r="I56" s="533"/>
      <c r="J56" s="533"/>
      <c r="K56" s="533"/>
      <c r="L56" s="533"/>
      <c r="M56" s="533"/>
      <c r="N56" s="533"/>
      <c r="O56" s="533"/>
      <c r="P56" s="533"/>
      <c r="Q56" s="533"/>
      <c r="R56" s="533"/>
      <c r="S56" s="533"/>
      <c r="T56" s="533"/>
      <c r="U56" s="424"/>
      <c r="V56" s="425"/>
      <c r="W56" s="425"/>
      <c r="X56" s="425"/>
      <c r="Y56" s="530"/>
      <c r="Z56" s="530"/>
      <c r="AA56" s="530"/>
      <c r="AH56" s="530"/>
      <c r="AI56" s="530"/>
      <c r="AJ56" s="530"/>
      <c r="AK56" s="530"/>
      <c r="AL56" s="530"/>
      <c r="AM56" s="530"/>
      <c r="AN56" s="531"/>
      <c r="AO56" s="530"/>
      <c r="AP56" s="530"/>
      <c r="AQ56" s="530"/>
      <c r="AR56" s="530"/>
      <c r="AS56" s="530"/>
      <c r="AT56" s="530"/>
      <c r="AU56" s="530"/>
      <c r="AV56" s="530"/>
      <c r="AW56" s="530"/>
      <c r="AX56" s="530"/>
      <c r="AY56" s="530"/>
      <c r="AZ56" s="530"/>
      <c r="BA56" s="530"/>
      <c r="BB56" s="530"/>
      <c r="BC56" s="530"/>
      <c r="BD56" s="530"/>
      <c r="BE56" s="530"/>
      <c r="BF56" s="530"/>
      <c r="BG56" s="532"/>
      <c r="BH56" s="530"/>
      <c r="BI56" s="530"/>
      <c r="BJ56" s="530"/>
      <c r="BK56" s="530"/>
      <c r="BL56" s="530"/>
      <c r="BM56" s="530"/>
      <c r="BN56" s="530"/>
      <c r="BO56" s="530"/>
      <c r="BP56" s="530"/>
      <c r="BQ56" s="530"/>
      <c r="BR56" s="530"/>
      <c r="BS56" s="530"/>
      <c r="BT56" s="530"/>
      <c r="BU56" s="530"/>
      <c r="BV56" s="530"/>
      <c r="BW56" s="530"/>
      <c r="BX56" s="530"/>
      <c r="BY56" s="530"/>
      <c r="BZ56" s="530"/>
      <c r="CA56" s="530"/>
      <c r="CB56" s="530"/>
      <c r="CC56" s="530"/>
      <c r="CD56" s="530"/>
      <c r="CE56" s="530"/>
      <c r="CF56" s="530"/>
      <c r="CG56" s="530"/>
      <c r="CH56" s="530"/>
      <c r="CI56" s="530"/>
      <c r="CJ56" s="530"/>
    </row>
    <row r="57" spans="1:88">
      <c r="A57" s="434"/>
      <c r="B57" s="534" t="s">
        <v>410</v>
      </c>
      <c r="C57" s="535" t="s">
        <v>455</v>
      </c>
      <c r="D57" s="536"/>
      <c r="E57" s="536"/>
      <c r="F57" s="536"/>
      <c r="G57" s="536"/>
      <c r="H57" s="537"/>
      <c r="I57" s="537"/>
      <c r="J57" s="537"/>
      <c r="K57" s="537"/>
      <c r="L57" s="537"/>
      <c r="M57" s="537"/>
      <c r="N57" s="537"/>
      <c r="O57" s="537"/>
      <c r="P57" s="537"/>
      <c r="Q57" s="537"/>
      <c r="R57" s="537"/>
      <c r="S57" s="537"/>
      <c r="T57" s="537"/>
      <c r="U57" s="424"/>
      <c r="V57" s="425"/>
      <c r="W57" s="425"/>
      <c r="X57" s="425"/>
      <c r="Y57" s="530"/>
      <c r="Z57" s="530"/>
      <c r="AA57" s="530"/>
      <c r="AH57" s="530"/>
      <c r="AI57" s="530"/>
      <c r="AJ57" s="530"/>
      <c r="AK57" s="530"/>
      <c r="AL57" s="530"/>
      <c r="AM57" s="530"/>
      <c r="AN57" s="531"/>
      <c r="AO57" s="530"/>
      <c r="AP57" s="530"/>
      <c r="AQ57" s="530"/>
      <c r="AR57" s="530"/>
      <c r="AS57" s="530"/>
      <c r="AT57" s="530"/>
      <c r="AU57" s="530"/>
      <c r="AV57" s="530"/>
      <c r="AW57" s="530"/>
      <c r="AX57" s="530"/>
      <c r="AY57" s="530"/>
      <c r="AZ57" s="530"/>
      <c r="BA57" s="530"/>
      <c r="BB57" s="530"/>
      <c r="BC57" s="530"/>
      <c r="BD57" s="530"/>
      <c r="BE57" s="530"/>
      <c r="BF57" s="530"/>
      <c r="BG57" s="532"/>
      <c r="BH57" s="530"/>
      <c r="BI57" s="530"/>
      <c r="BJ57" s="530"/>
      <c r="BK57" s="530"/>
      <c r="BL57" s="530"/>
      <c r="BM57" s="530"/>
      <c r="BN57" s="530"/>
      <c r="BO57" s="530"/>
      <c r="BP57" s="530"/>
      <c r="BQ57" s="530"/>
      <c r="BR57" s="530"/>
      <c r="BS57" s="530"/>
      <c r="BT57" s="530"/>
      <c r="BU57" s="530"/>
      <c r="BV57" s="530"/>
      <c r="BW57" s="530"/>
      <c r="BX57" s="530"/>
      <c r="BY57" s="530"/>
      <c r="BZ57" s="530"/>
      <c r="CA57" s="530"/>
      <c r="CB57" s="530"/>
      <c r="CC57" s="530"/>
      <c r="CD57" s="530"/>
      <c r="CE57" s="530"/>
      <c r="CF57" s="530"/>
      <c r="CG57" s="530"/>
      <c r="CH57" s="530"/>
      <c r="CI57" s="530"/>
      <c r="CJ57" s="530"/>
    </row>
    <row r="58" spans="1:88" ht="7.5" customHeight="1">
      <c r="A58" s="434"/>
      <c r="B58" s="442"/>
      <c r="C58" s="443"/>
      <c r="D58" s="443"/>
      <c r="E58" s="443"/>
      <c r="F58" s="443"/>
      <c r="G58" s="443"/>
      <c r="H58" s="526"/>
      <c r="I58" s="526"/>
      <c r="J58" s="516"/>
      <c r="K58" s="516"/>
      <c r="L58" s="516"/>
      <c r="M58" s="537"/>
      <c r="N58" s="516"/>
      <c r="O58" s="516"/>
      <c r="P58" s="516"/>
      <c r="Q58" s="516"/>
      <c r="R58" s="516"/>
      <c r="S58" s="516"/>
      <c r="T58" s="516"/>
      <c r="U58" s="424"/>
      <c r="V58" s="425"/>
      <c r="W58" s="425"/>
      <c r="X58" s="425"/>
      <c r="Y58" s="425"/>
      <c r="Z58" s="425"/>
      <c r="AA58" s="425"/>
      <c r="AH58" s="425"/>
      <c r="AI58" s="425"/>
      <c r="AJ58" s="425"/>
      <c r="AK58" s="425"/>
      <c r="AL58" s="425"/>
      <c r="AM58" s="425"/>
      <c r="AN58" s="428"/>
      <c r="AO58" s="425"/>
      <c r="AP58" s="425"/>
      <c r="AQ58" s="425"/>
      <c r="AR58" s="425"/>
      <c r="AS58" s="425"/>
      <c r="AT58" s="425"/>
      <c r="AU58" s="425"/>
      <c r="AV58" s="425"/>
      <c r="AW58" s="425"/>
      <c r="AX58" s="425"/>
      <c r="AY58" s="425"/>
      <c r="AZ58" s="425"/>
      <c r="BA58" s="425"/>
      <c r="BB58" s="425"/>
      <c r="BC58" s="425"/>
      <c r="BD58" s="425"/>
      <c r="BE58" s="425"/>
      <c r="BF58" s="425"/>
      <c r="BG58" s="426"/>
      <c r="BH58" s="425"/>
      <c r="BI58" s="425"/>
      <c r="BJ58" s="425"/>
      <c r="BK58" s="425"/>
      <c r="BL58" s="425"/>
      <c r="BM58" s="425"/>
      <c r="BN58" s="425"/>
      <c r="BO58" s="425"/>
      <c r="BP58" s="425"/>
      <c r="BQ58" s="425"/>
      <c r="BR58" s="425"/>
      <c r="BS58" s="425"/>
      <c r="BT58" s="425"/>
      <c r="BU58" s="425"/>
      <c r="BV58" s="425"/>
      <c r="BW58" s="425"/>
      <c r="BX58" s="425"/>
      <c r="BY58" s="425"/>
      <c r="BZ58" s="425"/>
      <c r="CA58" s="425"/>
      <c r="CB58" s="425"/>
      <c r="CC58" s="425"/>
      <c r="CD58" s="425"/>
      <c r="CE58" s="425"/>
      <c r="CF58" s="425"/>
      <c r="CG58" s="425"/>
      <c r="CH58" s="425"/>
      <c r="CI58" s="425"/>
      <c r="CJ58" s="425"/>
    </row>
    <row r="59" spans="1:88" ht="15.75" customHeight="1">
      <c r="A59" s="434"/>
      <c r="B59" s="529"/>
      <c r="C59" s="537" t="s">
        <v>494</v>
      </c>
      <c r="D59" s="537"/>
      <c r="E59" s="537"/>
      <c r="F59" s="537"/>
      <c r="G59" s="537"/>
      <c r="H59" s="537"/>
      <c r="I59" s="537"/>
      <c r="J59" s="537"/>
      <c r="K59" s="537"/>
      <c r="L59" s="444"/>
      <c r="M59" s="537"/>
      <c r="N59" s="444">
        <f t="shared" ref="N59:T59" si="51">IF(ISERROR((-N39-N40+N33)*(1-N13)),0,((-N39-N40+N33)*(1-N13)))</f>
        <v>-85.8</v>
      </c>
      <c r="O59" s="444">
        <f t="shared" si="51"/>
        <v>0</v>
      </c>
      <c r="P59" s="444">
        <f t="shared" si="51"/>
        <v>0</v>
      </c>
      <c r="Q59" s="444">
        <f t="shared" si="51"/>
        <v>0</v>
      </c>
      <c r="R59" s="444">
        <f t="shared" si="51"/>
        <v>0</v>
      </c>
      <c r="S59" s="444">
        <f t="shared" si="51"/>
        <v>0</v>
      </c>
      <c r="T59" s="444">
        <f t="shared" si="51"/>
        <v>0</v>
      </c>
      <c r="U59" s="424"/>
      <c r="V59" s="425"/>
      <c r="W59" s="425"/>
      <c r="X59" s="425"/>
      <c r="Y59" s="530"/>
      <c r="Z59" s="530"/>
      <c r="AA59" s="530"/>
      <c r="AH59" s="530"/>
      <c r="AI59" s="530"/>
      <c r="AJ59" s="530"/>
      <c r="AK59" s="530"/>
      <c r="AL59" s="530"/>
      <c r="AM59" s="530"/>
      <c r="AN59" s="531"/>
      <c r="AO59" s="530"/>
      <c r="AP59" s="530"/>
      <c r="AQ59" s="530"/>
      <c r="AR59" s="530"/>
      <c r="AS59" s="530"/>
      <c r="AT59" s="530"/>
      <c r="AU59" s="530"/>
      <c r="AV59" s="530"/>
      <c r="AW59" s="530"/>
      <c r="AX59" s="530"/>
      <c r="AY59" s="530"/>
      <c r="AZ59" s="530"/>
      <c r="BA59" s="530"/>
      <c r="BB59" s="530"/>
      <c r="BC59" s="530"/>
      <c r="BD59" s="530"/>
      <c r="BE59" s="530"/>
      <c r="BF59" s="530"/>
      <c r="BG59" s="532"/>
      <c r="BH59" s="530"/>
      <c r="BI59" s="530"/>
      <c r="BJ59" s="530"/>
      <c r="BK59" s="530"/>
      <c r="BL59" s="530"/>
      <c r="BM59" s="530"/>
      <c r="BN59" s="530"/>
      <c r="BO59" s="530"/>
      <c r="BP59" s="530"/>
      <c r="BQ59" s="530"/>
      <c r="BR59" s="530"/>
      <c r="BS59" s="530"/>
      <c r="BT59" s="530"/>
      <c r="BU59" s="530"/>
      <c r="BV59" s="530"/>
      <c r="BW59" s="530"/>
      <c r="BX59" s="530"/>
      <c r="BY59" s="530"/>
      <c r="BZ59" s="530"/>
      <c r="CA59" s="530"/>
      <c r="CB59" s="530"/>
      <c r="CC59" s="530"/>
      <c r="CD59" s="530"/>
      <c r="CE59" s="530"/>
      <c r="CF59" s="530"/>
      <c r="CG59" s="530"/>
      <c r="CH59" s="530"/>
      <c r="CI59" s="530"/>
      <c r="CJ59" s="530"/>
    </row>
    <row r="60" spans="1:88" ht="15.75" customHeight="1">
      <c r="A60" s="434"/>
      <c r="B60" s="529"/>
      <c r="C60" s="537" t="s">
        <v>495</v>
      </c>
      <c r="D60" s="537"/>
      <c r="E60" s="537"/>
      <c r="F60" s="537"/>
      <c r="G60" s="537"/>
      <c r="H60" s="537"/>
      <c r="I60" s="537"/>
      <c r="J60" s="537"/>
      <c r="K60" s="537"/>
      <c r="L60" s="444"/>
      <c r="M60" s="537"/>
      <c r="N60" s="444">
        <f t="shared" ref="N60:T60" si="52">N25*(1-N13)</f>
        <v>-23.400000000000002</v>
      </c>
      <c r="O60" s="444">
        <f t="shared" si="52"/>
        <v>-2.6</v>
      </c>
      <c r="P60" s="444">
        <f t="shared" si="52"/>
        <v>50.7</v>
      </c>
      <c r="Q60" s="444">
        <f t="shared" si="52"/>
        <v>-1.9776249999999935</v>
      </c>
      <c r="R60" s="444">
        <f t="shared" si="52"/>
        <v>-2.4418428125000093</v>
      </c>
      <c r="S60" s="444">
        <f t="shared" si="52"/>
        <v>-2.7612525382812394</v>
      </c>
      <c r="T60" s="444">
        <f t="shared" si="52"/>
        <v>-2.9384845328769416</v>
      </c>
      <c r="U60" s="424"/>
      <c r="V60" s="425"/>
      <c r="W60" s="425"/>
      <c r="X60" s="425"/>
      <c r="Y60" s="530"/>
      <c r="Z60" s="530"/>
      <c r="AA60" s="530"/>
      <c r="AH60" s="530"/>
      <c r="AI60" s="530"/>
      <c r="AJ60" s="530"/>
      <c r="AK60" s="530"/>
      <c r="AL60" s="530"/>
      <c r="AM60" s="530"/>
      <c r="AN60" s="531"/>
      <c r="AO60" s="530"/>
      <c r="AP60" s="530"/>
      <c r="AQ60" s="530"/>
      <c r="AR60" s="530"/>
      <c r="AS60" s="530"/>
      <c r="AT60" s="530"/>
      <c r="AU60" s="530"/>
      <c r="AV60" s="530"/>
      <c r="AW60" s="530"/>
      <c r="AX60" s="530"/>
      <c r="AY60" s="530"/>
      <c r="AZ60" s="530"/>
      <c r="BA60" s="530"/>
      <c r="BB60" s="530"/>
      <c r="BC60" s="530"/>
      <c r="BD60" s="530"/>
      <c r="BE60" s="530"/>
      <c r="BF60" s="530"/>
      <c r="BG60" s="532"/>
      <c r="BH60" s="530"/>
      <c r="BI60" s="530"/>
      <c r="BJ60" s="530"/>
      <c r="BK60" s="530"/>
      <c r="BL60" s="530"/>
      <c r="BM60" s="530"/>
      <c r="BN60" s="530"/>
      <c r="BO60" s="530"/>
      <c r="BP60" s="530"/>
      <c r="BQ60" s="530"/>
      <c r="BR60" s="530"/>
      <c r="BS60" s="530"/>
      <c r="BT60" s="530"/>
      <c r="BU60" s="530"/>
      <c r="BV60" s="530"/>
      <c r="BW60" s="530"/>
      <c r="BX60" s="530"/>
      <c r="BY60" s="530"/>
      <c r="BZ60" s="530"/>
      <c r="CA60" s="530"/>
      <c r="CB60" s="530"/>
      <c r="CC60" s="530"/>
      <c r="CD60" s="530"/>
      <c r="CE60" s="530"/>
      <c r="CF60" s="530"/>
      <c r="CG60" s="530"/>
      <c r="CH60" s="530"/>
      <c r="CI60" s="530"/>
      <c r="CJ60" s="530"/>
    </row>
    <row r="61" spans="1:88" ht="15.75" customHeight="1">
      <c r="A61" s="434"/>
      <c r="B61" s="529"/>
      <c r="C61" s="537" t="s">
        <v>458</v>
      </c>
      <c r="D61" s="537"/>
      <c r="E61" s="537"/>
      <c r="F61" s="537"/>
      <c r="G61" s="537"/>
      <c r="H61" s="537"/>
      <c r="I61" s="537"/>
      <c r="J61" s="537"/>
      <c r="K61" s="537"/>
      <c r="L61" s="444"/>
      <c r="M61" s="537"/>
      <c r="N61" s="444">
        <f t="shared" ref="N61:T61" si="53">N47-M47</f>
        <v>-96.25</v>
      </c>
      <c r="O61" s="444">
        <f t="shared" si="53"/>
        <v>44.800000000000011</v>
      </c>
      <c r="P61" s="444">
        <f t="shared" si="53"/>
        <v>-38.849999999999994</v>
      </c>
      <c r="Q61" s="444">
        <f t="shared" si="53"/>
        <v>-12.264875000000004</v>
      </c>
      <c r="R61" s="444">
        <f t="shared" si="53"/>
        <v>-12.514838437499975</v>
      </c>
      <c r="S61" s="444">
        <f t="shared" si="53"/>
        <v>-12.686828289843675</v>
      </c>
      <c r="T61" s="444">
        <f t="shared" si="53"/>
        <v>-12.782260902318356</v>
      </c>
      <c r="U61" s="424"/>
      <c r="V61" s="425"/>
      <c r="W61" s="425"/>
      <c r="X61" s="425"/>
      <c r="Y61" s="530"/>
      <c r="Z61" s="530"/>
      <c r="AA61" s="530"/>
      <c r="AH61" s="530"/>
      <c r="AI61" s="530"/>
      <c r="AJ61" s="530"/>
      <c r="AK61" s="530"/>
      <c r="AL61" s="530"/>
      <c r="AM61" s="530"/>
      <c r="AN61" s="531"/>
      <c r="AO61" s="530"/>
      <c r="AP61" s="530"/>
      <c r="AQ61" s="530"/>
      <c r="AR61" s="530"/>
      <c r="AS61" s="530"/>
      <c r="AT61" s="530"/>
      <c r="AU61" s="530"/>
      <c r="AV61" s="530"/>
      <c r="AW61" s="530"/>
      <c r="AX61" s="530"/>
      <c r="AY61" s="530"/>
      <c r="AZ61" s="530"/>
      <c r="BA61" s="530"/>
      <c r="BB61" s="530"/>
      <c r="BC61" s="530"/>
      <c r="BD61" s="530"/>
      <c r="BE61" s="530"/>
      <c r="BF61" s="530"/>
      <c r="BG61" s="532"/>
      <c r="BH61" s="530"/>
      <c r="BI61" s="530"/>
      <c r="BJ61" s="530"/>
      <c r="BK61" s="530"/>
      <c r="BL61" s="530"/>
      <c r="BM61" s="530"/>
      <c r="BN61" s="530"/>
      <c r="BO61" s="530"/>
      <c r="BP61" s="530"/>
      <c r="BQ61" s="530"/>
      <c r="BR61" s="530"/>
      <c r="BS61" s="530"/>
      <c r="BT61" s="530"/>
      <c r="BU61" s="530"/>
      <c r="BV61" s="530"/>
      <c r="BW61" s="530"/>
      <c r="BX61" s="530"/>
      <c r="BY61" s="530"/>
      <c r="BZ61" s="530"/>
      <c r="CA61" s="530"/>
      <c r="CB61" s="530"/>
      <c r="CC61" s="530"/>
      <c r="CD61" s="530"/>
      <c r="CE61" s="530"/>
      <c r="CF61" s="530"/>
      <c r="CG61" s="530"/>
      <c r="CH61" s="530"/>
      <c r="CI61" s="530"/>
      <c r="CJ61" s="530"/>
    </row>
    <row r="62" spans="1:88" ht="15.75" customHeight="1">
      <c r="A62" s="434"/>
      <c r="B62" s="529"/>
      <c r="C62" s="538" t="s">
        <v>459</v>
      </c>
      <c r="D62" s="538"/>
      <c r="E62" s="538"/>
      <c r="F62" s="538"/>
      <c r="G62" s="538"/>
      <c r="H62" s="538"/>
      <c r="I62" s="538"/>
      <c r="J62" s="538"/>
      <c r="K62" s="538"/>
      <c r="L62" s="500"/>
      <c r="M62" s="537"/>
      <c r="N62" s="500">
        <f t="shared" ref="N62:T62" si="54">SUM(N59:N61)</f>
        <v>-205.45</v>
      </c>
      <c r="O62" s="500">
        <f t="shared" si="54"/>
        <v>42.20000000000001</v>
      </c>
      <c r="P62" s="500">
        <f t="shared" si="54"/>
        <v>11.850000000000009</v>
      </c>
      <c r="Q62" s="500">
        <f t="shared" si="54"/>
        <v>-14.242499999999996</v>
      </c>
      <c r="R62" s="500">
        <f t="shared" si="54"/>
        <v>-14.956681249999985</v>
      </c>
      <c r="S62" s="500">
        <f t="shared" si="54"/>
        <v>-15.448080828124914</v>
      </c>
      <c r="T62" s="500">
        <f t="shared" si="54"/>
        <v>-15.720745435195298</v>
      </c>
      <c r="U62" s="514"/>
      <c r="V62" s="425"/>
      <c r="W62" s="425"/>
      <c r="X62" s="425"/>
      <c r="Y62" s="530"/>
      <c r="Z62" s="530"/>
      <c r="AA62" s="530"/>
      <c r="AH62" s="530"/>
      <c r="AI62" s="530"/>
      <c r="AJ62" s="530"/>
      <c r="AK62" s="530"/>
      <c r="AL62" s="530"/>
      <c r="AM62" s="530"/>
      <c r="AN62" s="531"/>
      <c r="AO62" s="530"/>
      <c r="AP62" s="530"/>
      <c r="AQ62" s="530"/>
      <c r="AR62" s="530"/>
      <c r="AS62" s="530"/>
      <c r="AT62" s="530"/>
      <c r="AU62" s="530"/>
      <c r="AV62" s="530"/>
      <c r="AW62" s="530"/>
      <c r="AX62" s="530"/>
      <c r="AY62" s="530"/>
      <c r="AZ62" s="530"/>
      <c r="BA62" s="530"/>
      <c r="BB62" s="530"/>
      <c r="BC62" s="530"/>
      <c r="BD62" s="530"/>
      <c r="BE62" s="530"/>
      <c r="BF62" s="530"/>
      <c r="BG62" s="532"/>
      <c r="BH62" s="530"/>
      <c r="BI62" s="530"/>
      <c r="BJ62" s="530"/>
      <c r="BK62" s="530"/>
      <c r="BL62" s="530"/>
      <c r="BM62" s="530"/>
      <c r="BN62" s="530"/>
      <c r="BO62" s="530"/>
      <c r="BP62" s="530"/>
      <c r="BQ62" s="530"/>
      <c r="BR62" s="530"/>
      <c r="BS62" s="530"/>
      <c r="BT62" s="530"/>
      <c r="BU62" s="530"/>
      <c r="BV62" s="530"/>
      <c r="BW62" s="530"/>
      <c r="BX62" s="530"/>
      <c r="BY62" s="530"/>
      <c r="BZ62" s="530"/>
      <c r="CA62" s="530"/>
      <c r="CB62" s="530"/>
      <c r="CC62" s="530"/>
      <c r="CD62" s="530"/>
      <c r="CE62" s="530"/>
      <c r="CF62" s="530"/>
      <c r="CG62" s="530"/>
      <c r="CH62" s="530"/>
      <c r="CI62" s="530"/>
      <c r="CJ62" s="530"/>
    </row>
    <row r="63" spans="1:88">
      <c r="A63" s="434"/>
      <c r="B63" s="442"/>
      <c r="C63" s="443"/>
      <c r="D63" s="443"/>
      <c r="E63" s="443"/>
      <c r="F63" s="443"/>
      <c r="G63" s="443"/>
      <c r="H63" s="526"/>
      <c r="I63" s="526"/>
      <c r="J63" s="516"/>
      <c r="K63" s="516"/>
      <c r="L63" s="516"/>
      <c r="M63" s="537"/>
      <c r="N63" s="516"/>
      <c r="O63" s="516"/>
      <c r="P63" s="516"/>
      <c r="Q63" s="516"/>
      <c r="R63" s="516"/>
      <c r="S63" s="516"/>
      <c r="T63" s="516"/>
      <c r="U63" s="424"/>
      <c r="V63" s="425"/>
      <c r="W63" s="425"/>
      <c r="X63" s="425"/>
      <c r="Y63" s="425"/>
      <c r="Z63" s="425"/>
      <c r="AA63" s="425"/>
      <c r="AH63" s="425"/>
      <c r="AI63" s="425"/>
      <c r="AJ63" s="425"/>
      <c r="AK63" s="425"/>
      <c r="AL63" s="425"/>
      <c r="AM63" s="425"/>
      <c r="AN63" s="428"/>
      <c r="AO63" s="425"/>
      <c r="AP63" s="425"/>
      <c r="AQ63" s="425"/>
      <c r="AR63" s="425"/>
      <c r="AS63" s="425"/>
      <c r="AT63" s="425"/>
      <c r="AU63" s="425"/>
      <c r="AV63" s="425"/>
      <c r="AW63" s="425"/>
      <c r="AX63" s="425"/>
      <c r="AY63" s="425"/>
      <c r="AZ63" s="425"/>
      <c r="BA63" s="425"/>
      <c r="BB63" s="425"/>
      <c r="BC63" s="425"/>
      <c r="BD63" s="425"/>
      <c r="BE63" s="425"/>
      <c r="BF63" s="425"/>
      <c r="BG63" s="426"/>
      <c r="BH63" s="425"/>
      <c r="BI63" s="425"/>
      <c r="BJ63" s="425"/>
      <c r="BK63" s="425"/>
      <c r="BL63" s="425"/>
      <c r="BM63" s="425"/>
      <c r="BN63" s="425"/>
      <c r="BO63" s="425"/>
      <c r="BP63" s="425"/>
      <c r="BQ63" s="425"/>
      <c r="BR63" s="425"/>
      <c r="BS63" s="425"/>
      <c r="BT63" s="425"/>
      <c r="BU63" s="425"/>
      <c r="BV63" s="425"/>
      <c r="BW63" s="425"/>
      <c r="BX63" s="425"/>
      <c r="BY63" s="425"/>
      <c r="BZ63" s="425"/>
      <c r="CA63" s="425"/>
      <c r="CB63" s="425"/>
      <c r="CC63" s="425"/>
      <c r="CD63" s="425"/>
      <c r="CE63" s="425"/>
      <c r="CF63" s="425"/>
      <c r="CG63" s="425"/>
      <c r="CH63" s="425"/>
      <c r="CI63" s="425"/>
      <c r="CJ63" s="425"/>
    </row>
    <row r="64" spans="1:88">
      <c r="A64" s="434"/>
      <c r="B64" s="534" t="s">
        <v>427</v>
      </c>
      <c r="C64" s="535" t="s">
        <v>460</v>
      </c>
      <c r="D64" s="536"/>
      <c r="E64" s="536"/>
      <c r="F64" s="536"/>
      <c r="G64" s="536"/>
      <c r="H64" s="537"/>
      <c r="I64" s="537"/>
      <c r="J64" s="537"/>
      <c r="K64" s="537"/>
      <c r="L64" s="444"/>
      <c r="M64" s="537"/>
      <c r="N64" s="444"/>
      <c r="O64" s="444"/>
      <c r="P64" s="444"/>
      <c r="Q64" s="444"/>
      <c r="R64" s="444"/>
      <c r="S64" s="444"/>
      <c r="T64" s="444"/>
      <c r="U64" s="424"/>
      <c r="V64" s="425"/>
      <c r="W64" s="425"/>
      <c r="X64" s="425"/>
      <c r="Y64" s="530"/>
      <c r="Z64" s="530"/>
      <c r="AA64" s="530"/>
      <c r="AH64" s="530"/>
      <c r="AI64" s="530"/>
      <c r="AJ64" s="530"/>
      <c r="AK64" s="530"/>
      <c r="AL64" s="530"/>
      <c r="AM64" s="530"/>
      <c r="AN64" s="531"/>
      <c r="AO64" s="530"/>
      <c r="AP64" s="530"/>
      <c r="AQ64" s="530"/>
      <c r="AR64" s="530"/>
      <c r="AS64" s="530"/>
      <c r="AT64" s="530"/>
      <c r="AU64" s="530"/>
      <c r="AV64" s="530"/>
      <c r="AW64" s="530"/>
      <c r="AX64" s="530"/>
      <c r="AY64" s="530"/>
      <c r="AZ64" s="530"/>
      <c r="BA64" s="530"/>
      <c r="BB64" s="530"/>
      <c r="BC64" s="530"/>
      <c r="BD64" s="530"/>
      <c r="BE64" s="530"/>
      <c r="BF64" s="530"/>
      <c r="BG64" s="532"/>
      <c r="BH64" s="530"/>
      <c r="BI64" s="530"/>
      <c r="BJ64" s="530"/>
      <c r="BK64" s="530"/>
      <c r="BL64" s="530"/>
      <c r="BM64" s="530"/>
      <c r="BN64" s="530"/>
      <c r="BO64" s="530"/>
      <c r="BP64" s="530"/>
      <c r="BQ64" s="530"/>
      <c r="BR64" s="530"/>
      <c r="BS64" s="530"/>
      <c r="BT64" s="530"/>
      <c r="BU64" s="530"/>
      <c r="BV64" s="530"/>
      <c r="BW64" s="530"/>
      <c r="BX64" s="530"/>
      <c r="BY64" s="530"/>
      <c r="BZ64" s="530"/>
      <c r="CA64" s="530"/>
      <c r="CB64" s="530"/>
      <c r="CC64" s="530"/>
      <c r="CD64" s="530"/>
      <c r="CE64" s="530"/>
      <c r="CF64" s="530"/>
      <c r="CG64" s="530"/>
      <c r="CH64" s="530"/>
      <c r="CI64" s="530"/>
      <c r="CJ64" s="530"/>
    </row>
    <row r="65" spans="1:88" ht="7.5" customHeight="1">
      <c r="A65" s="434"/>
      <c r="B65" s="442"/>
      <c r="C65" s="443"/>
      <c r="D65" s="443"/>
      <c r="E65" s="443"/>
      <c r="F65" s="443"/>
      <c r="G65" s="443"/>
      <c r="H65" s="526"/>
      <c r="I65" s="526"/>
      <c r="J65" s="516"/>
      <c r="K65" s="516"/>
      <c r="L65" s="516"/>
      <c r="M65" s="537"/>
      <c r="N65" s="516"/>
      <c r="O65" s="516"/>
      <c r="P65" s="516"/>
      <c r="Q65" s="516"/>
      <c r="R65" s="516"/>
      <c r="S65" s="516"/>
      <c r="T65" s="516"/>
      <c r="U65" s="424"/>
      <c r="V65" s="425"/>
      <c r="W65" s="425"/>
      <c r="X65" s="425"/>
      <c r="Y65" s="425"/>
      <c r="Z65" s="425"/>
      <c r="AA65" s="425"/>
      <c r="AH65" s="425"/>
      <c r="AI65" s="425"/>
      <c r="AJ65" s="425"/>
      <c r="AK65" s="425"/>
      <c r="AL65" s="425"/>
      <c r="AM65" s="425"/>
      <c r="AN65" s="428"/>
      <c r="AO65" s="425"/>
      <c r="AP65" s="425"/>
      <c r="AQ65" s="425"/>
      <c r="AR65" s="425"/>
      <c r="AS65" s="425"/>
      <c r="AT65" s="425"/>
      <c r="AU65" s="425"/>
      <c r="AV65" s="425"/>
      <c r="AW65" s="425"/>
      <c r="AX65" s="425"/>
      <c r="AY65" s="425"/>
      <c r="AZ65" s="425"/>
      <c r="BA65" s="425"/>
      <c r="BB65" s="425"/>
      <c r="BC65" s="425"/>
      <c r="BD65" s="425"/>
      <c r="BE65" s="425"/>
      <c r="BF65" s="425"/>
      <c r="BG65" s="426"/>
      <c r="BH65" s="425"/>
      <c r="BI65" s="425"/>
      <c r="BJ65" s="425"/>
      <c r="BK65" s="425"/>
      <c r="BL65" s="425"/>
      <c r="BM65" s="425"/>
      <c r="BN65" s="425"/>
      <c r="BO65" s="425"/>
      <c r="BP65" s="425"/>
      <c r="BQ65" s="425"/>
      <c r="BR65" s="425"/>
      <c r="BS65" s="425"/>
      <c r="BT65" s="425"/>
      <c r="BU65" s="425"/>
      <c r="BV65" s="425"/>
      <c r="BW65" s="425"/>
      <c r="BX65" s="425"/>
      <c r="BY65" s="425"/>
      <c r="BZ65" s="425"/>
      <c r="CA65" s="425"/>
      <c r="CB65" s="425"/>
      <c r="CC65" s="425"/>
      <c r="CD65" s="425"/>
      <c r="CE65" s="425"/>
      <c r="CF65" s="425"/>
      <c r="CG65" s="425"/>
      <c r="CH65" s="425"/>
      <c r="CI65" s="425"/>
      <c r="CJ65" s="425"/>
    </row>
    <row r="66" spans="1:88" ht="15.75" customHeight="1">
      <c r="A66" s="434"/>
      <c r="B66" s="529"/>
      <c r="C66" s="537" t="s">
        <v>496</v>
      </c>
      <c r="D66" s="537"/>
      <c r="E66" s="537"/>
      <c r="F66" s="537"/>
      <c r="G66" s="537"/>
      <c r="H66" s="537"/>
      <c r="I66" s="537"/>
      <c r="J66" s="537"/>
      <c r="K66" s="537"/>
      <c r="L66" s="444"/>
      <c r="M66" s="537"/>
      <c r="N66" s="444">
        <f t="shared" ref="N66:T66" si="55">N44-M44</f>
        <v>-275</v>
      </c>
      <c r="O66" s="444">
        <f t="shared" si="55"/>
        <v>128</v>
      </c>
      <c r="P66" s="444">
        <f t="shared" si="55"/>
        <v>-111</v>
      </c>
      <c r="Q66" s="444">
        <f t="shared" si="55"/>
        <v>-35.042500000000018</v>
      </c>
      <c r="R66" s="444">
        <f t="shared" si="55"/>
        <v>-35.756681249999929</v>
      </c>
      <c r="S66" s="444">
        <f t="shared" si="55"/>
        <v>-36.248080828124785</v>
      </c>
      <c r="T66" s="444">
        <f t="shared" si="55"/>
        <v>-36.520745435195295</v>
      </c>
      <c r="U66" s="424"/>
      <c r="V66" s="425"/>
      <c r="W66" s="425"/>
      <c r="X66" s="425"/>
      <c r="Y66" s="530"/>
      <c r="Z66" s="530"/>
      <c r="AA66" s="530"/>
      <c r="AH66" s="530"/>
      <c r="AI66" s="530"/>
      <c r="AJ66" s="530"/>
      <c r="AK66" s="530"/>
      <c r="AL66" s="530"/>
      <c r="AM66" s="530"/>
      <c r="AN66" s="531"/>
      <c r="AO66" s="530"/>
      <c r="AP66" s="530"/>
      <c r="AQ66" s="530"/>
      <c r="AR66" s="530"/>
      <c r="AS66" s="530"/>
      <c r="AT66" s="530"/>
      <c r="AU66" s="530"/>
      <c r="AV66" s="530"/>
      <c r="AW66" s="530"/>
      <c r="AX66" s="530"/>
      <c r="AY66" s="530"/>
      <c r="AZ66" s="530"/>
      <c r="BA66" s="530"/>
      <c r="BB66" s="530"/>
      <c r="BC66" s="530"/>
      <c r="BD66" s="530"/>
      <c r="BE66" s="530"/>
      <c r="BF66" s="530"/>
      <c r="BG66" s="532"/>
      <c r="BH66" s="530"/>
      <c r="BI66" s="530"/>
      <c r="BJ66" s="530"/>
      <c r="BK66" s="530"/>
      <c r="BL66" s="530"/>
      <c r="BM66" s="530"/>
      <c r="BN66" s="530"/>
      <c r="BO66" s="530"/>
      <c r="BP66" s="530"/>
      <c r="BQ66" s="530"/>
      <c r="BR66" s="530"/>
      <c r="BS66" s="530"/>
      <c r="BT66" s="530"/>
      <c r="BU66" s="530"/>
      <c r="BV66" s="530"/>
      <c r="BW66" s="530"/>
      <c r="BX66" s="530"/>
      <c r="BY66" s="530"/>
      <c r="BZ66" s="530"/>
      <c r="CA66" s="530"/>
      <c r="CB66" s="530"/>
      <c r="CC66" s="530"/>
      <c r="CD66" s="530"/>
      <c r="CE66" s="530"/>
      <c r="CF66" s="530"/>
      <c r="CG66" s="530"/>
      <c r="CH66" s="530"/>
      <c r="CI66" s="530"/>
      <c r="CJ66" s="530"/>
    </row>
    <row r="67" spans="1:88" ht="15.75" customHeight="1">
      <c r="A67" s="434"/>
      <c r="B67" s="529"/>
      <c r="C67" s="537" t="s">
        <v>462</v>
      </c>
      <c r="D67" s="537"/>
      <c r="E67" s="537"/>
      <c r="F67" s="537"/>
      <c r="G67" s="537"/>
      <c r="H67" s="537"/>
      <c r="I67" s="537"/>
      <c r="J67" s="537"/>
      <c r="K67" s="537"/>
      <c r="L67" s="444"/>
      <c r="M67" s="537"/>
      <c r="N67" s="444">
        <f t="shared" ref="N67:T67" si="56">CHOOSE(dropDown2,IF(ISERROR((N22+N38)*(1-N13)+(-N32*(1-N13))+((N24+N20)*(1-N13))),0,(N22+N38)*(1-N13)+(-N32*(1-N13))+((N24+N20)*(1-N13))),IF(ISERROR((N22+N38)*(1-N13)+(-N32*(1-N13))+((N23+N20)*(1-N13))),0,(N22+N38)*(1-N13)+(-N32*(1-N13))+((N23+N20)*(1-N13))))</f>
        <v>101.40000000000002</v>
      </c>
      <c r="O67" s="444">
        <f t="shared" si="56"/>
        <v>-14.300000000000004</v>
      </c>
      <c r="P67" s="444">
        <f t="shared" si="56"/>
        <v>84.5</v>
      </c>
      <c r="Q67" s="444">
        <f t="shared" si="56"/>
        <v>20.8</v>
      </c>
      <c r="R67" s="444">
        <f t="shared" si="56"/>
        <v>20.8</v>
      </c>
      <c r="S67" s="444">
        <f t="shared" si="56"/>
        <v>20.8</v>
      </c>
      <c r="T67" s="444">
        <f t="shared" si="56"/>
        <v>20.8</v>
      </c>
      <c r="U67" s="424"/>
      <c r="V67" s="425"/>
      <c r="W67" s="425"/>
      <c r="X67" s="425"/>
      <c r="Y67" s="530"/>
      <c r="Z67" s="530"/>
      <c r="AA67" s="530"/>
      <c r="AH67" s="530"/>
      <c r="AI67" s="530"/>
      <c r="AJ67" s="530"/>
      <c r="AK67" s="530"/>
      <c r="AL67" s="530"/>
      <c r="AM67" s="530"/>
      <c r="AN67" s="531"/>
      <c r="AO67" s="530"/>
      <c r="AP67" s="530"/>
      <c r="AQ67" s="530"/>
      <c r="AR67" s="530"/>
      <c r="AS67" s="530"/>
      <c r="AT67" s="530"/>
      <c r="AU67" s="530"/>
      <c r="AV67" s="530"/>
      <c r="AW67" s="530"/>
      <c r="AX67" s="530"/>
      <c r="AY67" s="530"/>
      <c r="AZ67" s="530"/>
      <c r="BA67" s="530"/>
      <c r="BB67" s="530"/>
      <c r="BC67" s="530"/>
      <c r="BD67" s="530"/>
      <c r="BE67" s="530"/>
      <c r="BF67" s="530"/>
      <c r="BG67" s="532"/>
      <c r="BH67" s="530"/>
      <c r="BI67" s="530"/>
      <c r="BJ67" s="530"/>
      <c r="BK67" s="530"/>
      <c r="BL67" s="530"/>
      <c r="BM67" s="530"/>
      <c r="BN67" s="530"/>
      <c r="BO67" s="530"/>
      <c r="BP67" s="530"/>
      <c r="BQ67" s="530"/>
      <c r="BR67" s="530"/>
      <c r="BS67" s="530"/>
      <c r="BT67" s="530"/>
      <c r="BU67" s="530"/>
      <c r="BV67" s="530"/>
      <c r="BW67" s="530"/>
      <c r="BX67" s="530"/>
      <c r="BY67" s="530"/>
      <c r="BZ67" s="530"/>
      <c r="CA67" s="530"/>
      <c r="CB67" s="530"/>
      <c r="CC67" s="530"/>
      <c r="CD67" s="530"/>
      <c r="CE67" s="530"/>
      <c r="CF67" s="530"/>
      <c r="CG67" s="530"/>
      <c r="CH67" s="530"/>
      <c r="CI67" s="530"/>
      <c r="CJ67" s="530"/>
    </row>
    <row r="68" spans="1:88" ht="15.75" customHeight="1">
      <c r="A68" s="434"/>
      <c r="B68" s="529"/>
      <c r="C68" s="538" t="s">
        <v>463</v>
      </c>
      <c r="D68" s="538"/>
      <c r="E68" s="538"/>
      <c r="F68" s="538"/>
      <c r="G68" s="538"/>
      <c r="H68" s="538"/>
      <c r="I68" s="538"/>
      <c r="J68" s="538"/>
      <c r="K68" s="538"/>
      <c r="L68" s="500"/>
      <c r="M68" s="537"/>
      <c r="N68" s="500">
        <f t="shared" ref="N68:T68" si="57">SUM(N66:N67)</f>
        <v>-173.59999999999997</v>
      </c>
      <c r="O68" s="500">
        <f t="shared" si="57"/>
        <v>113.69999999999999</v>
      </c>
      <c r="P68" s="500">
        <f t="shared" si="57"/>
        <v>-26.5</v>
      </c>
      <c r="Q68" s="500">
        <f t="shared" si="57"/>
        <v>-14.242500000000017</v>
      </c>
      <c r="R68" s="500">
        <f t="shared" si="57"/>
        <v>-14.956681249999928</v>
      </c>
      <c r="S68" s="500">
        <f t="shared" si="57"/>
        <v>-15.448080828124784</v>
      </c>
      <c r="T68" s="500">
        <f t="shared" si="57"/>
        <v>-15.720745435195294</v>
      </c>
      <c r="U68" s="514"/>
      <c r="V68" s="425"/>
      <c r="W68" s="425"/>
      <c r="X68" s="425"/>
      <c r="Y68" s="530"/>
      <c r="Z68" s="530"/>
      <c r="AA68" s="530"/>
      <c r="AH68" s="530"/>
      <c r="AI68" s="530"/>
      <c r="AJ68" s="530"/>
      <c r="AK68" s="530"/>
      <c r="AL68" s="530"/>
      <c r="AM68" s="530"/>
      <c r="AN68" s="531"/>
      <c r="AO68" s="530"/>
      <c r="AP68" s="530"/>
      <c r="AQ68" s="530"/>
      <c r="AR68" s="530"/>
      <c r="AS68" s="530"/>
      <c r="AT68" s="530"/>
      <c r="AU68" s="530"/>
      <c r="AV68" s="530"/>
      <c r="AW68" s="530"/>
      <c r="AX68" s="530"/>
      <c r="AY68" s="530"/>
      <c r="AZ68" s="530"/>
      <c r="BA68" s="530"/>
      <c r="BB68" s="530"/>
      <c r="BC68" s="530"/>
      <c r="BD68" s="530"/>
      <c r="BE68" s="530"/>
      <c r="BF68" s="530"/>
      <c r="BG68" s="532"/>
      <c r="BH68" s="530"/>
      <c r="BI68" s="530"/>
      <c r="BJ68" s="530"/>
      <c r="BK68" s="530"/>
      <c r="BL68" s="530"/>
      <c r="BM68" s="530"/>
      <c r="BN68" s="530"/>
      <c r="BO68" s="530"/>
      <c r="BP68" s="530"/>
      <c r="BQ68" s="530"/>
      <c r="BR68" s="530"/>
      <c r="BS68" s="530"/>
      <c r="BT68" s="530"/>
      <c r="BU68" s="530"/>
      <c r="BV68" s="530"/>
      <c r="BW68" s="530"/>
      <c r="BX68" s="530"/>
      <c r="BY68" s="530"/>
      <c r="BZ68" s="530"/>
      <c r="CA68" s="530"/>
      <c r="CB68" s="530"/>
      <c r="CC68" s="530"/>
      <c r="CD68" s="530"/>
      <c r="CE68" s="530"/>
      <c r="CF68" s="530"/>
      <c r="CG68" s="530"/>
      <c r="CH68" s="530"/>
      <c r="CI68" s="530"/>
      <c r="CJ68" s="530"/>
    </row>
    <row r="69" spans="1:88" ht="24.75" customHeight="1">
      <c r="A69" s="434"/>
      <c r="B69" s="539"/>
      <c r="C69" s="540" t="s">
        <v>817</v>
      </c>
      <c r="D69" s="541"/>
      <c r="E69" s="541"/>
      <c r="F69" s="541"/>
      <c r="G69" s="541"/>
      <c r="H69" s="542"/>
      <c r="I69" s="542"/>
      <c r="J69" s="542"/>
      <c r="K69" s="542"/>
      <c r="L69" s="543"/>
      <c r="M69" s="537"/>
      <c r="N69" s="543">
        <f t="shared" ref="N69:T69" si="58">ROUND(N62-N68,0)</f>
        <v>-32</v>
      </c>
      <c r="O69" s="543">
        <f t="shared" si="58"/>
        <v>-72</v>
      </c>
      <c r="P69" s="543">
        <f t="shared" si="58"/>
        <v>38</v>
      </c>
      <c r="Q69" s="543">
        <f t="shared" si="58"/>
        <v>0</v>
      </c>
      <c r="R69" s="543">
        <f t="shared" si="58"/>
        <v>0</v>
      </c>
      <c r="S69" s="543">
        <f t="shared" si="58"/>
        <v>0</v>
      </c>
      <c r="T69" s="543">
        <f t="shared" si="58"/>
        <v>0</v>
      </c>
      <c r="U69" s="1574" t="str">
        <f>IF(AND(L69&lt;&gt;0,M69&lt;&gt;0,T69&lt;&gt;0),"Check Failing? : Have you not updated Company Contributions on row 39?","")</f>
        <v/>
      </c>
      <c r="V69" s="1574"/>
      <c r="W69" s="1574"/>
      <c r="X69" s="1574"/>
      <c r="Y69" s="1574"/>
      <c r="Z69" s="544"/>
      <c r="AA69" s="544"/>
      <c r="AH69" s="544"/>
      <c r="AI69" s="544"/>
      <c r="AJ69" s="544"/>
      <c r="AK69" s="544"/>
      <c r="AL69" s="544"/>
      <c r="AM69" s="544"/>
      <c r="AN69" s="544"/>
      <c r="AO69" s="544"/>
      <c r="AP69" s="544"/>
      <c r="AQ69" s="544"/>
      <c r="AR69" s="544"/>
      <c r="AS69" s="544"/>
      <c r="AT69" s="544"/>
      <c r="AU69" s="544"/>
      <c r="AV69" s="544"/>
      <c r="AW69" s="544"/>
      <c r="AX69" s="544"/>
      <c r="AY69" s="544"/>
      <c r="AZ69" s="544"/>
      <c r="BA69" s="544"/>
      <c r="BB69" s="544"/>
      <c r="BC69" s="544"/>
      <c r="BD69" s="544"/>
      <c r="BE69" s="544"/>
      <c r="BF69" s="544"/>
      <c r="BG69" s="546"/>
      <c r="BH69" s="544"/>
      <c r="BI69" s="544"/>
      <c r="BJ69" s="544"/>
      <c r="BK69" s="544"/>
      <c r="BL69" s="544"/>
      <c r="BM69" s="544"/>
      <c r="BN69" s="544"/>
      <c r="BO69" s="544"/>
      <c r="BP69" s="544"/>
      <c r="BQ69" s="544"/>
      <c r="BR69" s="544"/>
      <c r="BS69" s="544"/>
      <c r="BT69" s="544"/>
      <c r="BU69" s="544"/>
      <c r="BV69" s="544"/>
      <c r="BW69" s="544"/>
      <c r="BX69" s="544"/>
      <c r="BY69" s="544"/>
      <c r="BZ69" s="544"/>
      <c r="CA69" s="544"/>
      <c r="CB69" s="544"/>
      <c r="CC69" s="544"/>
      <c r="CD69" s="544"/>
      <c r="CE69" s="544"/>
      <c r="CF69" s="544"/>
      <c r="CG69" s="544"/>
      <c r="CH69" s="544"/>
      <c r="CI69" s="544"/>
      <c r="CJ69" s="544"/>
    </row>
    <row r="70" spans="1:88">
      <c r="A70" s="434"/>
      <c r="B70" s="572"/>
      <c r="C70" s="573"/>
      <c r="D70" s="573"/>
      <c r="E70" s="573"/>
      <c r="F70" s="573"/>
      <c r="G70" s="573"/>
      <c r="H70" s="574"/>
      <c r="I70" s="574"/>
      <c r="J70" s="574"/>
      <c r="K70" s="574"/>
      <c r="L70" s="575"/>
      <c r="M70" s="537"/>
      <c r="N70" s="576"/>
      <c r="O70" s="575"/>
      <c r="P70" s="575"/>
      <c r="Q70" s="575"/>
      <c r="R70" s="575"/>
      <c r="S70" s="575"/>
      <c r="T70" s="547"/>
      <c r="U70" s="548"/>
      <c r="V70" s="544"/>
      <c r="W70" s="544"/>
      <c r="X70" s="544"/>
      <c r="Y70" s="544"/>
      <c r="Z70" s="544"/>
      <c r="AA70" s="544"/>
      <c r="AH70" s="544"/>
      <c r="AI70" s="544"/>
      <c r="AJ70" s="544"/>
      <c r="AK70" s="544"/>
      <c r="AL70" s="544"/>
      <c r="AM70" s="544"/>
      <c r="AN70" s="544"/>
      <c r="AO70" s="544"/>
      <c r="AP70" s="544"/>
      <c r="AQ70" s="544"/>
      <c r="AR70" s="544"/>
      <c r="AS70" s="544"/>
      <c r="AT70" s="544"/>
      <c r="AU70" s="544"/>
      <c r="AV70" s="544"/>
      <c r="AW70" s="544"/>
      <c r="AX70" s="544"/>
      <c r="AY70" s="544"/>
      <c r="AZ70" s="544"/>
      <c r="BA70" s="544"/>
      <c r="BB70" s="544"/>
      <c r="BC70" s="544"/>
      <c r="BD70" s="544"/>
      <c r="BE70" s="544"/>
      <c r="BF70" s="544"/>
      <c r="BG70" s="546"/>
      <c r="BH70" s="544"/>
      <c r="BI70" s="544"/>
      <c r="BJ70" s="544"/>
      <c r="BK70" s="544"/>
      <c r="BL70" s="544"/>
      <c r="BM70" s="544"/>
      <c r="BN70" s="544"/>
      <c r="BO70" s="544"/>
      <c r="BP70" s="544"/>
      <c r="BQ70" s="544"/>
      <c r="BR70" s="544"/>
      <c r="BS70" s="544"/>
      <c r="BT70" s="544"/>
      <c r="BU70" s="544"/>
      <c r="BV70" s="544"/>
      <c r="BW70" s="544"/>
      <c r="BX70" s="544"/>
      <c r="BY70" s="544"/>
      <c r="BZ70" s="544"/>
      <c r="CA70" s="544"/>
      <c r="CB70" s="544"/>
      <c r="CC70" s="544"/>
      <c r="CD70" s="544"/>
      <c r="CE70" s="544"/>
      <c r="CF70" s="544"/>
      <c r="CG70" s="544"/>
      <c r="CH70" s="544"/>
      <c r="CI70" s="544"/>
      <c r="CJ70" s="544"/>
    </row>
    <row r="71" spans="1:88">
      <c r="A71" s="554"/>
      <c r="B71" s="572"/>
      <c r="C71" s="573"/>
      <c r="D71" s="573"/>
      <c r="E71" s="573"/>
      <c r="F71" s="573"/>
      <c r="G71" s="573"/>
      <c r="H71" s="577"/>
      <c r="I71" s="577"/>
      <c r="J71" s="577"/>
      <c r="K71" s="577"/>
      <c r="L71" s="577"/>
      <c r="M71" s="537"/>
      <c r="N71" s="578"/>
      <c r="O71" s="577"/>
      <c r="P71" s="577"/>
      <c r="Q71" s="577"/>
      <c r="R71" s="577"/>
      <c r="S71" s="577"/>
      <c r="T71" s="549"/>
      <c r="U71" s="424"/>
      <c r="V71" s="425"/>
      <c r="W71" s="425"/>
      <c r="X71" s="425"/>
      <c r="Y71" s="425"/>
      <c r="Z71" s="425"/>
      <c r="AA71" s="425"/>
      <c r="AH71" s="425"/>
      <c r="AI71" s="425"/>
      <c r="AJ71" s="425"/>
      <c r="AK71" s="425"/>
      <c r="AL71" s="425"/>
      <c r="AM71" s="425"/>
      <c r="AN71" s="428"/>
      <c r="AO71" s="425"/>
      <c r="AP71" s="425"/>
      <c r="AQ71" s="425"/>
      <c r="AR71" s="425"/>
      <c r="AS71" s="425"/>
      <c r="AT71" s="425"/>
      <c r="AU71" s="425"/>
      <c r="AV71" s="425"/>
      <c r="AW71" s="425"/>
      <c r="AX71" s="425"/>
      <c r="AY71" s="425"/>
      <c r="AZ71" s="425"/>
      <c r="BA71" s="425"/>
      <c r="BB71" s="425"/>
      <c r="BC71" s="425"/>
      <c r="BD71" s="425"/>
      <c r="BE71" s="425"/>
      <c r="BF71" s="425"/>
      <c r="BG71" s="426"/>
      <c r="BH71" s="425"/>
      <c r="BI71" s="425"/>
      <c r="BJ71" s="425"/>
      <c r="BK71" s="425"/>
      <c r="BL71" s="425"/>
      <c r="BM71" s="425"/>
      <c r="BN71" s="425"/>
      <c r="BO71" s="425"/>
      <c r="BP71" s="425"/>
      <c r="BQ71" s="425"/>
      <c r="BR71" s="425"/>
      <c r="BS71" s="425"/>
      <c r="BT71" s="425"/>
      <c r="BU71" s="425"/>
      <c r="BV71" s="425"/>
      <c r="BW71" s="425"/>
      <c r="BX71" s="425"/>
      <c r="BY71" s="425"/>
      <c r="BZ71" s="425"/>
      <c r="CA71" s="425"/>
      <c r="CB71" s="425"/>
      <c r="CC71" s="425"/>
      <c r="CD71" s="425"/>
      <c r="CE71" s="425"/>
      <c r="CF71" s="425"/>
      <c r="CG71" s="425"/>
      <c r="CH71" s="425"/>
      <c r="CI71" s="425"/>
      <c r="CJ71" s="425"/>
    </row>
    <row r="72" spans="1:88">
      <c r="A72" s="554"/>
      <c r="B72" s="579"/>
      <c r="C72" s="580"/>
      <c r="D72" s="580"/>
      <c r="E72" s="580"/>
      <c r="F72" s="580"/>
      <c r="G72" s="580"/>
      <c r="H72" s="577"/>
      <c r="I72" s="577"/>
      <c r="J72" s="577"/>
      <c r="K72" s="577"/>
      <c r="L72" s="577"/>
      <c r="M72" s="537"/>
      <c r="N72" s="578"/>
      <c r="O72" s="577"/>
      <c r="P72" s="577"/>
      <c r="Q72" s="577"/>
      <c r="R72" s="577"/>
      <c r="S72" s="577"/>
      <c r="T72" s="549"/>
      <c r="U72" s="424"/>
      <c r="V72" s="425"/>
      <c r="W72" s="425"/>
      <c r="X72" s="425"/>
      <c r="Y72" s="425"/>
      <c r="Z72" s="425"/>
      <c r="AA72" s="425"/>
      <c r="AH72" s="425"/>
      <c r="AI72" s="425"/>
      <c r="AJ72" s="425"/>
      <c r="AK72" s="425"/>
      <c r="AL72" s="425"/>
      <c r="AM72" s="425"/>
      <c r="AN72" s="428"/>
      <c r="AO72" s="425"/>
      <c r="AP72" s="425"/>
      <c r="AQ72" s="425"/>
      <c r="AR72" s="425"/>
      <c r="AS72" s="425"/>
      <c r="AT72" s="425"/>
      <c r="AU72" s="425"/>
      <c r="AV72" s="425"/>
      <c r="AW72" s="425"/>
      <c r="AX72" s="425"/>
      <c r="AY72" s="425"/>
      <c r="AZ72" s="425"/>
      <c r="BA72" s="425"/>
      <c r="BB72" s="425"/>
      <c r="BC72" s="425"/>
      <c r="BD72" s="425"/>
      <c r="BE72" s="425"/>
      <c r="BF72" s="425"/>
      <c r="BG72" s="426"/>
      <c r="BH72" s="425"/>
      <c r="BI72" s="425"/>
      <c r="BJ72" s="425"/>
      <c r="BK72" s="425"/>
      <c r="BL72" s="425"/>
      <c r="BM72" s="425"/>
      <c r="BN72" s="425"/>
      <c r="BO72" s="425"/>
      <c r="BP72" s="425"/>
      <c r="BQ72" s="425"/>
      <c r="BR72" s="425"/>
      <c r="BS72" s="425"/>
      <c r="BT72" s="425"/>
      <c r="BU72" s="425"/>
      <c r="BV72" s="425"/>
      <c r="BW72" s="425"/>
      <c r="BX72" s="425"/>
      <c r="BY72" s="425"/>
      <c r="BZ72" s="425"/>
      <c r="CA72" s="425"/>
      <c r="CB72" s="425"/>
      <c r="CC72" s="425"/>
      <c r="CD72" s="425"/>
      <c r="CE72" s="425"/>
      <c r="CF72" s="425"/>
      <c r="CG72" s="425"/>
      <c r="CH72" s="425"/>
      <c r="CI72" s="425"/>
      <c r="CJ72" s="425"/>
    </row>
    <row r="73" spans="1:88">
      <c r="A73" s="554"/>
      <c r="B73" s="579"/>
      <c r="C73" s="580"/>
      <c r="D73" s="580"/>
      <c r="E73" s="580"/>
      <c r="F73" s="580"/>
      <c r="G73" s="580"/>
      <c r="H73" s="577"/>
      <c r="I73" s="577"/>
      <c r="J73" s="577"/>
      <c r="K73" s="577"/>
      <c r="L73" s="577"/>
      <c r="M73" s="577"/>
      <c r="N73" s="578"/>
      <c r="O73" s="577"/>
      <c r="P73" s="577"/>
      <c r="Q73" s="577"/>
      <c r="R73" s="577"/>
      <c r="S73" s="577"/>
      <c r="T73" s="549"/>
      <c r="U73" s="424"/>
      <c r="V73" s="425"/>
      <c r="W73" s="425"/>
      <c r="X73" s="425"/>
      <c r="Y73" s="425"/>
      <c r="Z73" s="425"/>
      <c r="AA73" s="425"/>
      <c r="AH73" s="425"/>
      <c r="AI73" s="425"/>
      <c r="AJ73" s="425"/>
      <c r="AK73" s="425"/>
      <c r="AL73" s="425"/>
      <c r="AM73" s="425"/>
      <c r="AN73" s="428"/>
      <c r="AO73" s="425"/>
      <c r="AP73" s="425"/>
      <c r="AQ73" s="425"/>
      <c r="AR73" s="425"/>
      <c r="AS73" s="425"/>
      <c r="AT73" s="425"/>
      <c r="AU73" s="425"/>
      <c r="AV73" s="425"/>
      <c r="AW73" s="425"/>
      <c r="AX73" s="425"/>
      <c r="AY73" s="425"/>
      <c r="AZ73" s="425"/>
      <c r="BA73" s="425"/>
      <c r="BB73" s="425"/>
      <c r="BC73" s="425"/>
      <c r="BD73" s="425"/>
      <c r="BE73" s="425"/>
      <c r="BF73" s="425"/>
      <c r="BG73" s="426"/>
      <c r="BH73" s="425"/>
      <c r="BI73" s="425"/>
      <c r="BJ73" s="425"/>
      <c r="BK73" s="425"/>
      <c r="BL73" s="425"/>
      <c r="BM73" s="425"/>
      <c r="BN73" s="425"/>
      <c r="BO73" s="425"/>
      <c r="BP73" s="425"/>
      <c r="BQ73" s="425"/>
      <c r="BR73" s="425"/>
      <c r="BS73" s="425"/>
      <c r="BT73" s="425"/>
      <c r="BU73" s="425"/>
      <c r="BV73" s="425"/>
      <c r="BW73" s="425"/>
      <c r="BX73" s="425"/>
      <c r="BY73" s="425"/>
      <c r="BZ73" s="425"/>
      <c r="CA73" s="425"/>
      <c r="CB73" s="425"/>
      <c r="CC73" s="425"/>
      <c r="CD73" s="425"/>
      <c r="CE73" s="425"/>
      <c r="CF73" s="425"/>
      <c r="CG73" s="425"/>
      <c r="CH73" s="425"/>
      <c r="CI73" s="425"/>
      <c r="CJ73" s="425"/>
    </row>
    <row r="74" spans="1:88">
      <c r="A74" s="554"/>
      <c r="B74" s="579"/>
      <c r="C74" s="579"/>
      <c r="D74" s="579"/>
      <c r="E74" s="579"/>
      <c r="F74" s="579"/>
      <c r="G74" s="579"/>
      <c r="H74" s="577"/>
      <c r="I74" s="577"/>
      <c r="J74" s="577"/>
      <c r="K74" s="577"/>
      <c r="L74" s="577"/>
      <c r="M74" s="577"/>
      <c r="N74" s="578"/>
      <c r="O74" s="577"/>
      <c r="P74" s="577"/>
      <c r="Q74" s="577"/>
      <c r="R74" s="577"/>
      <c r="S74" s="577"/>
      <c r="T74" s="549"/>
      <c r="U74" s="424"/>
      <c r="V74" s="425"/>
      <c r="W74" s="425"/>
      <c r="X74" s="425"/>
      <c r="Y74" s="425"/>
      <c r="Z74" s="425"/>
      <c r="AA74" s="425"/>
      <c r="AH74" s="425"/>
      <c r="AI74" s="425"/>
      <c r="AJ74" s="425"/>
      <c r="AK74" s="425"/>
      <c r="AL74" s="425"/>
      <c r="AM74" s="425"/>
      <c r="AN74" s="428"/>
      <c r="AO74" s="425"/>
      <c r="AP74" s="425"/>
      <c r="AQ74" s="425"/>
      <c r="AR74" s="425"/>
      <c r="AS74" s="425"/>
      <c r="AT74" s="425"/>
      <c r="AU74" s="425"/>
      <c r="AV74" s="425"/>
      <c r="AW74" s="425"/>
      <c r="AX74" s="425"/>
      <c r="AY74" s="425"/>
      <c r="AZ74" s="425"/>
      <c r="BA74" s="425"/>
      <c r="BB74" s="425"/>
      <c r="BC74" s="425"/>
      <c r="BD74" s="425"/>
      <c r="BE74" s="425"/>
      <c r="BF74" s="425"/>
      <c r="BG74" s="426"/>
      <c r="BH74" s="425"/>
      <c r="BI74" s="425"/>
      <c r="BJ74" s="425"/>
      <c r="BK74" s="425"/>
      <c r="BL74" s="425"/>
      <c r="BM74" s="425"/>
      <c r="BN74" s="425"/>
      <c r="BO74" s="425"/>
      <c r="BP74" s="425"/>
      <c r="BQ74" s="425"/>
      <c r="BR74" s="425"/>
      <c r="BS74" s="425"/>
      <c r="BT74" s="425"/>
      <c r="BU74" s="425"/>
      <c r="BV74" s="425"/>
      <c r="BW74" s="425"/>
      <c r="BX74" s="425"/>
      <c r="BY74" s="425"/>
      <c r="BZ74" s="425"/>
      <c r="CA74" s="425"/>
      <c r="CB74" s="425"/>
      <c r="CC74" s="425"/>
      <c r="CD74" s="425"/>
      <c r="CE74" s="425"/>
      <c r="CF74" s="425"/>
      <c r="CG74" s="425"/>
      <c r="CH74" s="425"/>
      <c r="CI74" s="425"/>
      <c r="CJ74" s="425"/>
    </row>
    <row r="75" spans="1:88">
      <c r="A75" s="554"/>
      <c r="B75" s="579"/>
      <c r="C75" s="579"/>
      <c r="D75" s="579"/>
      <c r="E75" s="579"/>
      <c r="F75" s="579"/>
      <c r="G75" s="579"/>
      <c r="H75" s="577"/>
      <c r="I75" s="577"/>
      <c r="J75" s="577"/>
      <c r="K75" s="577"/>
      <c r="L75" s="577"/>
      <c r="M75" s="577"/>
      <c r="N75" s="578"/>
      <c r="O75" s="577"/>
      <c r="P75" s="577"/>
      <c r="Q75" s="577"/>
      <c r="R75" s="577"/>
      <c r="S75" s="577"/>
      <c r="T75" s="549"/>
      <c r="U75" s="424"/>
      <c r="V75" s="425"/>
      <c r="W75" s="425"/>
      <c r="X75" s="425"/>
      <c r="Y75" s="425"/>
      <c r="Z75" s="425"/>
      <c r="AA75" s="425"/>
      <c r="AH75" s="425"/>
      <c r="AI75" s="425"/>
      <c r="AJ75" s="425"/>
      <c r="AK75" s="425"/>
      <c r="AL75" s="425"/>
      <c r="AM75" s="425"/>
      <c r="AN75" s="428"/>
      <c r="AO75" s="425"/>
      <c r="AP75" s="425"/>
      <c r="AQ75" s="425"/>
      <c r="AR75" s="425"/>
      <c r="AS75" s="425"/>
      <c r="AT75" s="425"/>
      <c r="AU75" s="425"/>
      <c r="AV75" s="425"/>
      <c r="AW75" s="425"/>
      <c r="AX75" s="425"/>
      <c r="AY75" s="425"/>
      <c r="AZ75" s="425"/>
      <c r="BA75" s="425"/>
      <c r="BB75" s="425"/>
      <c r="BC75" s="425"/>
      <c r="BD75" s="425"/>
      <c r="BE75" s="425"/>
      <c r="BF75" s="425"/>
      <c r="BG75" s="426"/>
      <c r="BH75" s="425"/>
      <c r="BI75" s="425"/>
      <c r="BJ75" s="425"/>
      <c r="BK75" s="425"/>
      <c r="BL75" s="425"/>
      <c r="BM75" s="425"/>
      <c r="BN75" s="425"/>
      <c r="BO75" s="425"/>
      <c r="BP75" s="425"/>
      <c r="BQ75" s="425"/>
      <c r="BR75" s="425"/>
      <c r="BS75" s="425"/>
      <c r="BT75" s="425"/>
      <c r="BU75" s="425"/>
      <c r="BV75" s="425"/>
      <c r="BW75" s="425"/>
      <c r="BX75" s="425"/>
      <c r="BY75" s="425"/>
      <c r="BZ75" s="425"/>
      <c r="CA75" s="425"/>
      <c r="CB75" s="425"/>
      <c r="CC75" s="425"/>
      <c r="CD75" s="425"/>
      <c r="CE75" s="425"/>
      <c r="CF75" s="425"/>
      <c r="CG75" s="425"/>
      <c r="CH75" s="425"/>
      <c r="CI75" s="425"/>
      <c r="CJ75" s="425"/>
    </row>
    <row r="76" spans="1:88">
      <c r="A76" s="554"/>
      <c r="B76" s="579"/>
      <c r="C76" s="579"/>
      <c r="D76" s="579"/>
      <c r="E76" s="579"/>
      <c r="F76" s="579"/>
      <c r="G76" s="579"/>
      <c r="H76" s="577"/>
      <c r="I76" s="577"/>
      <c r="J76" s="577"/>
      <c r="K76" s="577"/>
      <c r="L76" s="577"/>
      <c r="M76" s="577"/>
      <c r="N76" s="578"/>
      <c r="O76" s="577"/>
      <c r="P76" s="577"/>
      <c r="Q76" s="577"/>
      <c r="R76" s="577"/>
      <c r="S76" s="577"/>
      <c r="T76" s="549"/>
      <c r="U76" s="424"/>
      <c r="V76" s="425"/>
      <c r="W76" s="425"/>
      <c r="X76" s="425"/>
      <c r="Y76" s="425"/>
      <c r="Z76" s="425"/>
      <c r="AA76" s="425"/>
      <c r="AH76" s="425"/>
      <c r="AI76" s="425"/>
      <c r="AJ76" s="425"/>
      <c r="AK76" s="425"/>
      <c r="AL76" s="425"/>
      <c r="AM76" s="425"/>
      <c r="AN76" s="428"/>
      <c r="AO76" s="425"/>
      <c r="AP76" s="425"/>
      <c r="AQ76" s="425"/>
      <c r="AR76" s="425"/>
      <c r="AS76" s="425"/>
      <c r="AT76" s="425"/>
      <c r="AU76" s="425"/>
      <c r="AV76" s="425"/>
      <c r="AW76" s="425"/>
      <c r="AX76" s="425"/>
      <c r="AY76" s="425"/>
      <c r="AZ76" s="425"/>
      <c r="BA76" s="425"/>
      <c r="BB76" s="425"/>
      <c r="BC76" s="425"/>
      <c r="BD76" s="425"/>
      <c r="BE76" s="425"/>
      <c r="BF76" s="425"/>
      <c r="BG76" s="426"/>
      <c r="BH76" s="425"/>
      <c r="BI76" s="425"/>
      <c r="BJ76" s="425"/>
      <c r="BK76" s="425"/>
      <c r="BL76" s="425"/>
      <c r="BM76" s="425"/>
      <c r="BN76" s="425"/>
      <c r="BO76" s="425"/>
      <c r="BP76" s="425"/>
      <c r="BQ76" s="425"/>
      <c r="BR76" s="425"/>
      <c r="BS76" s="425"/>
      <c r="BT76" s="425"/>
      <c r="BU76" s="425"/>
      <c r="BV76" s="425"/>
      <c r="BW76" s="425"/>
      <c r="BX76" s="425"/>
      <c r="BY76" s="425"/>
      <c r="BZ76" s="425"/>
      <c r="CA76" s="425"/>
      <c r="CB76" s="425"/>
      <c r="CC76" s="425"/>
      <c r="CD76" s="425"/>
      <c r="CE76" s="425"/>
      <c r="CF76" s="425"/>
      <c r="CG76" s="425"/>
      <c r="CH76" s="425"/>
      <c r="CI76" s="425"/>
      <c r="CJ76" s="425"/>
    </row>
    <row r="77" spans="1:88">
      <c r="A77" s="554"/>
      <c r="B77" s="579"/>
      <c r="C77" s="579"/>
      <c r="D77" s="579"/>
      <c r="E77" s="579"/>
      <c r="F77" s="579"/>
      <c r="G77" s="579"/>
      <c r="H77" s="577"/>
      <c r="I77" s="577"/>
      <c r="J77" s="577"/>
      <c r="K77" s="577"/>
      <c r="L77" s="577"/>
      <c r="M77" s="577"/>
      <c r="N77" s="578"/>
      <c r="O77" s="577"/>
      <c r="P77" s="577"/>
      <c r="Q77" s="577"/>
      <c r="R77" s="577"/>
      <c r="S77" s="577"/>
      <c r="T77" s="549"/>
      <c r="U77" s="424"/>
      <c r="V77" s="425"/>
      <c r="W77" s="425"/>
      <c r="X77" s="425"/>
      <c r="Y77" s="425"/>
      <c r="Z77" s="425"/>
      <c r="AA77" s="425"/>
      <c r="AH77" s="425"/>
      <c r="AI77" s="425"/>
      <c r="AJ77" s="425"/>
      <c r="AK77" s="425"/>
      <c r="AL77" s="425"/>
      <c r="AM77" s="425"/>
      <c r="AN77" s="428"/>
      <c r="AO77" s="425"/>
      <c r="AP77" s="425"/>
      <c r="AQ77" s="425"/>
      <c r="AR77" s="425"/>
      <c r="AS77" s="425"/>
      <c r="AT77" s="425"/>
      <c r="AU77" s="425"/>
      <c r="AV77" s="425"/>
      <c r="AW77" s="425"/>
      <c r="AX77" s="425"/>
      <c r="AY77" s="425"/>
      <c r="AZ77" s="425"/>
      <c r="BA77" s="425"/>
      <c r="BB77" s="425"/>
      <c r="BC77" s="425"/>
      <c r="BD77" s="425"/>
      <c r="BE77" s="425"/>
      <c r="BF77" s="425"/>
      <c r="BG77" s="426"/>
      <c r="BH77" s="425"/>
      <c r="BI77" s="425"/>
      <c r="BJ77" s="425"/>
      <c r="BK77" s="425"/>
      <c r="BL77" s="425"/>
      <c r="BM77" s="425"/>
      <c r="BN77" s="425"/>
      <c r="BO77" s="425"/>
      <c r="BP77" s="425"/>
      <c r="BQ77" s="425"/>
      <c r="BR77" s="425"/>
      <c r="BS77" s="425"/>
      <c r="BT77" s="425"/>
      <c r="BU77" s="425"/>
      <c r="BV77" s="425"/>
      <c r="BW77" s="425"/>
      <c r="BX77" s="425"/>
      <c r="BY77" s="425"/>
      <c r="BZ77" s="425"/>
      <c r="CA77" s="425"/>
      <c r="CB77" s="425"/>
      <c r="CC77" s="425"/>
      <c r="CD77" s="425"/>
      <c r="CE77" s="425"/>
      <c r="CF77" s="425"/>
      <c r="CG77" s="425"/>
      <c r="CH77" s="425"/>
      <c r="CI77" s="425"/>
      <c r="CJ77" s="425"/>
    </row>
    <row r="78" spans="1:88">
      <c r="A78" s="554"/>
      <c r="B78" s="579"/>
      <c r="C78" s="579"/>
      <c r="D78" s="579"/>
      <c r="E78" s="579"/>
      <c r="F78" s="579"/>
      <c r="G78" s="579"/>
      <c r="H78" s="577"/>
      <c r="I78" s="577"/>
      <c r="J78" s="577"/>
      <c r="K78" s="577"/>
      <c r="L78" s="577"/>
      <c r="M78" s="577"/>
      <c r="N78" s="578"/>
      <c r="O78" s="577"/>
      <c r="P78" s="577"/>
      <c r="Q78" s="577"/>
      <c r="R78" s="577"/>
      <c r="S78" s="577"/>
      <c r="T78" s="549"/>
      <c r="U78" s="424"/>
      <c r="V78" s="425"/>
      <c r="W78" s="425"/>
      <c r="X78" s="425"/>
      <c r="Y78" s="425"/>
      <c r="Z78" s="425"/>
      <c r="AA78" s="425"/>
      <c r="AH78" s="425"/>
      <c r="AI78" s="425"/>
      <c r="AJ78" s="425"/>
      <c r="AK78" s="425"/>
      <c r="AL78" s="425"/>
      <c r="AM78" s="425"/>
      <c r="AN78" s="428"/>
      <c r="AO78" s="425"/>
      <c r="AP78" s="425"/>
      <c r="AQ78" s="425"/>
      <c r="AR78" s="425"/>
      <c r="AS78" s="425"/>
      <c r="AT78" s="425"/>
      <c r="AU78" s="425"/>
      <c r="AV78" s="425"/>
      <c r="AW78" s="425"/>
      <c r="AX78" s="425"/>
      <c r="AY78" s="425"/>
      <c r="AZ78" s="425"/>
      <c r="BA78" s="425"/>
      <c r="BB78" s="425"/>
      <c r="BC78" s="425"/>
      <c r="BD78" s="425"/>
      <c r="BE78" s="425"/>
      <c r="BF78" s="425"/>
      <c r="BG78" s="426"/>
      <c r="BH78" s="425"/>
      <c r="BI78" s="425"/>
      <c r="BJ78" s="425"/>
      <c r="BK78" s="425"/>
      <c r="BL78" s="425"/>
      <c r="BM78" s="425"/>
      <c r="BN78" s="425"/>
      <c r="BO78" s="425"/>
      <c r="BP78" s="425"/>
      <c r="BQ78" s="425"/>
      <c r="BR78" s="425"/>
      <c r="BS78" s="425"/>
      <c r="BT78" s="425"/>
      <c r="BU78" s="425"/>
      <c r="BV78" s="425"/>
      <c r="BW78" s="425"/>
      <c r="BX78" s="425"/>
      <c r="BY78" s="425"/>
      <c r="BZ78" s="425"/>
      <c r="CA78" s="425"/>
      <c r="CB78" s="425"/>
      <c r="CC78" s="425"/>
      <c r="CD78" s="425"/>
      <c r="CE78" s="425"/>
      <c r="CF78" s="425"/>
      <c r="CG78" s="425"/>
      <c r="CH78" s="425"/>
      <c r="CI78" s="425"/>
      <c r="CJ78" s="425"/>
    </row>
    <row r="79" spans="1:88">
      <c r="A79" s="554"/>
      <c r="B79" s="579"/>
      <c r="C79" s="579"/>
      <c r="D79" s="579"/>
      <c r="E79" s="579"/>
      <c r="F79" s="579"/>
      <c r="G79" s="579"/>
      <c r="H79" s="577"/>
      <c r="I79" s="577"/>
      <c r="J79" s="577"/>
      <c r="K79" s="577"/>
      <c r="L79" s="577"/>
      <c r="M79" s="577"/>
      <c r="N79" s="578"/>
      <c r="O79" s="577"/>
      <c r="P79" s="577"/>
      <c r="Q79" s="577"/>
      <c r="R79" s="577"/>
      <c r="S79" s="577"/>
      <c r="T79" s="549"/>
      <c r="U79" s="424"/>
      <c r="V79" s="425"/>
      <c r="W79" s="425"/>
      <c r="X79" s="425"/>
      <c r="Y79" s="425"/>
      <c r="Z79" s="425"/>
      <c r="AA79" s="425"/>
      <c r="AH79" s="425"/>
      <c r="AI79" s="425"/>
      <c r="AJ79" s="425"/>
      <c r="AK79" s="425"/>
      <c r="AL79" s="425"/>
      <c r="AM79" s="425"/>
      <c r="AN79" s="428"/>
      <c r="AO79" s="425"/>
      <c r="AP79" s="425"/>
      <c r="AQ79" s="425"/>
      <c r="AR79" s="425"/>
      <c r="AS79" s="425"/>
      <c r="AT79" s="425"/>
      <c r="AU79" s="425"/>
      <c r="AV79" s="425"/>
      <c r="AW79" s="425"/>
      <c r="AX79" s="425"/>
      <c r="AY79" s="425"/>
      <c r="AZ79" s="425"/>
      <c r="BA79" s="425"/>
      <c r="BB79" s="425"/>
      <c r="BC79" s="425"/>
      <c r="BD79" s="425"/>
      <c r="BE79" s="425"/>
      <c r="BF79" s="425"/>
      <c r="BG79" s="426"/>
      <c r="BH79" s="425"/>
      <c r="BI79" s="425"/>
      <c r="BJ79" s="425"/>
      <c r="BK79" s="425"/>
      <c r="BL79" s="425"/>
      <c r="BM79" s="425"/>
      <c r="BN79" s="425"/>
      <c r="BO79" s="425"/>
      <c r="BP79" s="425"/>
      <c r="BQ79" s="425"/>
      <c r="BR79" s="425"/>
      <c r="BS79" s="425"/>
      <c r="BT79" s="425"/>
      <c r="BU79" s="425"/>
      <c r="BV79" s="425"/>
      <c r="BW79" s="425"/>
      <c r="BX79" s="425"/>
      <c r="BY79" s="425"/>
      <c r="BZ79" s="425"/>
      <c r="CA79" s="425"/>
      <c r="CB79" s="425"/>
      <c r="CC79" s="425"/>
      <c r="CD79" s="425"/>
      <c r="CE79" s="425"/>
      <c r="CF79" s="425"/>
      <c r="CG79" s="425"/>
      <c r="CH79" s="425"/>
      <c r="CI79" s="425"/>
      <c r="CJ79" s="425"/>
    </row>
    <row r="80" spans="1:88">
      <c r="A80" s="554"/>
      <c r="B80" s="579"/>
      <c r="C80" s="579"/>
      <c r="D80" s="579"/>
      <c r="E80" s="579"/>
      <c r="F80" s="579"/>
      <c r="G80" s="579"/>
      <c r="H80" s="577"/>
      <c r="I80" s="577"/>
      <c r="J80" s="577"/>
      <c r="K80" s="577"/>
      <c r="L80" s="577"/>
      <c r="M80" s="577"/>
      <c r="N80" s="578"/>
      <c r="O80" s="577"/>
      <c r="P80" s="577"/>
      <c r="Q80" s="577"/>
      <c r="R80" s="577"/>
      <c r="S80" s="577"/>
      <c r="T80" s="549"/>
      <c r="U80" s="424"/>
      <c r="V80" s="425"/>
      <c r="W80" s="425"/>
      <c r="X80" s="425"/>
      <c r="Y80" s="425"/>
      <c r="Z80" s="425"/>
      <c r="AA80" s="425"/>
      <c r="AH80" s="425"/>
      <c r="AI80" s="425"/>
      <c r="AJ80" s="425"/>
      <c r="AK80" s="425"/>
      <c r="AL80" s="425"/>
      <c r="AM80" s="425"/>
      <c r="AN80" s="428"/>
      <c r="AO80" s="425"/>
      <c r="AP80" s="425"/>
      <c r="AQ80" s="425"/>
      <c r="AR80" s="425"/>
      <c r="AS80" s="425"/>
      <c r="AT80" s="425"/>
      <c r="AU80" s="425"/>
      <c r="AV80" s="425"/>
      <c r="AW80" s="425"/>
      <c r="AX80" s="425"/>
      <c r="AY80" s="425"/>
      <c r="AZ80" s="425"/>
      <c r="BA80" s="425"/>
      <c r="BB80" s="425"/>
      <c r="BC80" s="425"/>
      <c r="BD80" s="425"/>
      <c r="BE80" s="425"/>
      <c r="BF80" s="425"/>
      <c r="BG80" s="426"/>
      <c r="BH80" s="425"/>
      <c r="BI80" s="425"/>
      <c r="BJ80" s="425"/>
      <c r="BK80" s="425"/>
      <c r="BL80" s="425"/>
      <c r="BM80" s="425"/>
      <c r="BN80" s="425"/>
      <c r="BO80" s="425"/>
      <c r="BP80" s="425"/>
      <c r="BQ80" s="425"/>
      <c r="BR80" s="425"/>
      <c r="BS80" s="425"/>
      <c r="BT80" s="425"/>
      <c r="BU80" s="425"/>
      <c r="BV80" s="425"/>
      <c r="BW80" s="425"/>
      <c r="BX80" s="425"/>
      <c r="BY80" s="425"/>
      <c r="BZ80" s="425"/>
      <c r="CA80" s="425"/>
      <c r="CB80" s="425"/>
      <c r="CC80" s="425"/>
      <c r="CD80" s="425"/>
      <c r="CE80" s="425"/>
      <c r="CF80" s="425"/>
      <c r="CG80" s="425"/>
      <c r="CH80" s="425"/>
      <c r="CI80" s="425"/>
      <c r="CJ80" s="425"/>
    </row>
    <row r="81" spans="1:88">
      <c r="A81" s="554"/>
      <c r="B81" s="579"/>
      <c r="C81" s="579"/>
      <c r="D81" s="579"/>
      <c r="E81" s="579"/>
      <c r="F81" s="579"/>
      <c r="G81" s="579"/>
      <c r="H81" s="577"/>
      <c r="I81" s="577"/>
      <c r="J81" s="577"/>
      <c r="K81" s="577"/>
      <c r="L81" s="577"/>
      <c r="M81" s="577"/>
      <c r="N81" s="578"/>
      <c r="O81" s="577"/>
      <c r="P81" s="577"/>
      <c r="Q81" s="577"/>
      <c r="R81" s="577"/>
      <c r="S81" s="577"/>
      <c r="T81" s="549"/>
      <c r="U81" s="424"/>
      <c r="V81" s="425"/>
      <c r="W81" s="425"/>
      <c r="X81" s="425"/>
      <c r="Y81" s="425"/>
      <c r="Z81" s="425"/>
      <c r="AA81" s="425"/>
      <c r="AH81" s="425"/>
      <c r="AI81" s="425"/>
      <c r="AJ81" s="425"/>
      <c r="AK81" s="425"/>
      <c r="AL81" s="425"/>
      <c r="AM81" s="425"/>
      <c r="AN81" s="428"/>
      <c r="AO81" s="425"/>
      <c r="AP81" s="425"/>
      <c r="AQ81" s="425"/>
      <c r="AR81" s="425"/>
      <c r="AS81" s="425"/>
      <c r="AT81" s="425"/>
      <c r="AU81" s="425"/>
      <c r="AV81" s="425"/>
      <c r="AW81" s="425"/>
      <c r="AX81" s="425"/>
      <c r="AY81" s="425"/>
      <c r="AZ81" s="425"/>
      <c r="BA81" s="425"/>
      <c r="BB81" s="425"/>
      <c r="BC81" s="425"/>
      <c r="BD81" s="425"/>
      <c r="BE81" s="425"/>
      <c r="BF81" s="425"/>
      <c r="BG81" s="426"/>
      <c r="BH81" s="425"/>
      <c r="BI81" s="425"/>
      <c r="BJ81" s="425"/>
      <c r="BK81" s="425"/>
      <c r="BL81" s="425"/>
      <c r="BM81" s="425"/>
      <c r="BN81" s="425"/>
      <c r="BO81" s="425"/>
      <c r="BP81" s="425"/>
      <c r="BQ81" s="425"/>
      <c r="BR81" s="425"/>
      <c r="BS81" s="425"/>
      <c r="BT81" s="425"/>
      <c r="BU81" s="425"/>
      <c r="BV81" s="425"/>
      <c r="BW81" s="425"/>
      <c r="BX81" s="425"/>
      <c r="BY81" s="425"/>
      <c r="BZ81" s="425"/>
      <c r="CA81" s="425"/>
      <c r="CB81" s="425"/>
      <c r="CC81" s="425"/>
      <c r="CD81" s="425"/>
      <c r="CE81" s="425"/>
      <c r="CF81" s="425"/>
      <c r="CG81" s="425"/>
      <c r="CH81" s="425"/>
      <c r="CI81" s="425"/>
      <c r="CJ81" s="425"/>
    </row>
    <row r="82" spans="1:88">
      <c r="A82" s="554"/>
      <c r="B82" s="579"/>
      <c r="C82" s="579"/>
      <c r="D82" s="579"/>
      <c r="E82" s="579"/>
      <c r="F82" s="579"/>
      <c r="G82" s="579"/>
      <c r="H82" s="577"/>
      <c r="I82" s="577"/>
      <c r="J82" s="577"/>
      <c r="K82" s="577"/>
      <c r="L82" s="577"/>
      <c r="M82" s="577"/>
      <c r="N82" s="578"/>
      <c r="O82" s="577"/>
      <c r="P82" s="577"/>
      <c r="Q82" s="577"/>
      <c r="R82" s="577"/>
      <c r="S82" s="577"/>
      <c r="T82" s="549"/>
      <c r="U82" s="424"/>
      <c r="V82" s="425"/>
      <c r="W82" s="425"/>
      <c r="X82" s="425"/>
      <c r="Y82" s="425"/>
      <c r="Z82" s="425"/>
      <c r="AA82" s="425"/>
      <c r="AH82" s="425"/>
      <c r="AI82" s="425"/>
      <c r="AJ82" s="425"/>
      <c r="AK82" s="425"/>
      <c r="AL82" s="425"/>
      <c r="AM82" s="425"/>
      <c r="AN82" s="428"/>
      <c r="AO82" s="425"/>
      <c r="AP82" s="425"/>
      <c r="AQ82" s="425"/>
      <c r="AR82" s="425"/>
      <c r="AS82" s="425"/>
      <c r="AT82" s="425"/>
      <c r="AU82" s="425"/>
      <c r="AV82" s="425"/>
      <c r="AW82" s="425"/>
      <c r="AX82" s="425"/>
      <c r="AY82" s="425"/>
      <c r="AZ82" s="425"/>
      <c r="BA82" s="425"/>
      <c r="BB82" s="425"/>
      <c r="BC82" s="425"/>
      <c r="BD82" s="425"/>
      <c r="BE82" s="425"/>
      <c r="BF82" s="425"/>
      <c r="BG82" s="426"/>
      <c r="BH82" s="425"/>
      <c r="BI82" s="425"/>
      <c r="BJ82" s="425"/>
      <c r="BK82" s="425"/>
      <c r="BL82" s="425"/>
      <c r="BM82" s="425"/>
      <c r="BN82" s="425"/>
      <c r="BO82" s="425"/>
      <c r="BP82" s="425"/>
      <c r="BQ82" s="425"/>
      <c r="BR82" s="425"/>
      <c r="BS82" s="425"/>
      <c r="BT82" s="425"/>
      <c r="BU82" s="425"/>
      <c r="BV82" s="425"/>
      <c r="BW82" s="425"/>
      <c r="BX82" s="425"/>
      <c r="BY82" s="425"/>
      <c r="BZ82" s="425"/>
      <c r="CA82" s="425"/>
      <c r="CB82" s="425"/>
      <c r="CC82" s="425"/>
      <c r="CD82" s="425"/>
      <c r="CE82" s="425"/>
      <c r="CF82" s="425"/>
      <c r="CG82" s="425"/>
      <c r="CH82" s="425"/>
      <c r="CI82" s="425"/>
      <c r="CJ82" s="425"/>
    </row>
    <row r="83" spans="1:88">
      <c r="A83" s="554"/>
      <c r="B83" s="579"/>
      <c r="C83" s="579"/>
      <c r="D83" s="579"/>
      <c r="E83" s="579"/>
      <c r="F83" s="579"/>
      <c r="G83" s="579"/>
      <c r="H83" s="577"/>
      <c r="I83" s="577"/>
      <c r="J83" s="577"/>
      <c r="K83" s="577"/>
      <c r="L83" s="577"/>
      <c r="M83" s="577"/>
      <c r="N83" s="578"/>
      <c r="O83" s="577"/>
      <c r="P83" s="577"/>
      <c r="Q83" s="577"/>
      <c r="R83" s="577"/>
      <c r="S83" s="577"/>
      <c r="T83" s="549"/>
      <c r="U83" s="424"/>
      <c r="V83" s="425"/>
      <c r="W83" s="425"/>
      <c r="X83" s="425"/>
      <c r="Y83" s="425"/>
      <c r="Z83" s="425"/>
      <c r="AA83" s="425"/>
      <c r="AH83" s="425"/>
      <c r="AI83" s="425"/>
      <c r="AJ83" s="425"/>
      <c r="AK83" s="425"/>
      <c r="AL83" s="425"/>
      <c r="AM83" s="425"/>
      <c r="AN83" s="428"/>
      <c r="AO83" s="425"/>
      <c r="AP83" s="425"/>
      <c r="AQ83" s="425"/>
      <c r="AR83" s="425"/>
      <c r="AS83" s="425"/>
      <c r="AT83" s="425"/>
      <c r="AU83" s="425"/>
      <c r="AV83" s="425"/>
      <c r="AW83" s="425"/>
      <c r="AX83" s="425"/>
      <c r="AY83" s="425"/>
      <c r="AZ83" s="425"/>
      <c r="BA83" s="425"/>
      <c r="BB83" s="425"/>
      <c r="BC83" s="425"/>
      <c r="BD83" s="425"/>
      <c r="BE83" s="425"/>
      <c r="BF83" s="425"/>
      <c r="BG83" s="426"/>
      <c r="BH83" s="425"/>
      <c r="BI83" s="425"/>
      <c r="BJ83" s="425"/>
      <c r="BK83" s="425"/>
      <c r="BL83" s="425"/>
      <c r="BM83" s="425"/>
      <c r="BN83" s="425"/>
      <c r="BO83" s="425"/>
      <c r="BP83" s="425"/>
      <c r="BQ83" s="425"/>
      <c r="BR83" s="425"/>
      <c r="BS83" s="425"/>
      <c r="BT83" s="425"/>
      <c r="BU83" s="425"/>
      <c r="BV83" s="425"/>
      <c r="BW83" s="425"/>
      <c r="BX83" s="425"/>
      <c r="BY83" s="425"/>
      <c r="BZ83" s="425"/>
      <c r="CA83" s="425"/>
      <c r="CB83" s="425"/>
      <c r="CC83" s="425"/>
      <c r="CD83" s="425"/>
      <c r="CE83" s="425"/>
      <c r="CF83" s="425"/>
      <c r="CG83" s="425"/>
      <c r="CH83" s="425"/>
      <c r="CI83" s="425"/>
      <c r="CJ83" s="425"/>
    </row>
    <row r="84" spans="1:88">
      <c r="A84" s="554"/>
      <c r="B84" s="579"/>
      <c r="C84" s="579"/>
      <c r="D84" s="579"/>
      <c r="E84" s="579"/>
      <c r="F84" s="579"/>
      <c r="G84" s="579"/>
      <c r="H84" s="577"/>
      <c r="I84" s="577"/>
      <c r="J84" s="577"/>
      <c r="K84" s="577"/>
      <c r="L84" s="577"/>
      <c r="M84" s="577"/>
      <c r="N84" s="578"/>
      <c r="O84" s="577"/>
      <c r="P84" s="577"/>
      <c r="Q84" s="577"/>
      <c r="R84" s="577"/>
      <c r="S84" s="577"/>
      <c r="T84" s="549"/>
      <c r="U84" s="424"/>
      <c r="V84" s="425"/>
      <c r="W84" s="425"/>
      <c r="X84" s="425"/>
      <c r="Y84" s="425"/>
      <c r="Z84" s="425"/>
      <c r="AA84" s="425"/>
      <c r="AH84" s="425"/>
      <c r="AI84" s="425"/>
      <c r="AJ84" s="425"/>
      <c r="AK84" s="425"/>
      <c r="AL84" s="425"/>
      <c r="AM84" s="425"/>
      <c r="AN84" s="428"/>
      <c r="AO84" s="425"/>
      <c r="AP84" s="425"/>
      <c r="AQ84" s="425"/>
      <c r="AR84" s="425"/>
      <c r="AS84" s="425"/>
      <c r="AT84" s="425"/>
      <c r="AU84" s="425"/>
      <c r="AV84" s="425"/>
      <c r="AW84" s="425"/>
      <c r="AX84" s="425"/>
      <c r="AY84" s="425"/>
      <c r="AZ84" s="425"/>
      <c r="BA84" s="425"/>
      <c r="BB84" s="425"/>
      <c r="BC84" s="425"/>
      <c r="BD84" s="425"/>
      <c r="BE84" s="425"/>
      <c r="BF84" s="425"/>
      <c r="BG84" s="426"/>
      <c r="BH84" s="425"/>
      <c r="BI84" s="425"/>
      <c r="BJ84" s="425"/>
      <c r="BK84" s="425"/>
      <c r="BL84" s="425"/>
      <c r="BM84" s="425"/>
      <c r="BN84" s="425"/>
      <c r="BO84" s="425"/>
      <c r="BP84" s="425"/>
      <c r="BQ84" s="425"/>
      <c r="BR84" s="425"/>
      <c r="BS84" s="425"/>
      <c r="BT84" s="425"/>
      <c r="BU84" s="425"/>
      <c r="BV84" s="425"/>
      <c r="BW84" s="425"/>
      <c r="BX84" s="425"/>
      <c r="BY84" s="425"/>
      <c r="BZ84" s="425"/>
      <c r="CA84" s="425"/>
      <c r="CB84" s="425"/>
      <c r="CC84" s="425"/>
      <c r="CD84" s="425"/>
      <c r="CE84" s="425"/>
      <c r="CF84" s="425"/>
      <c r="CG84" s="425"/>
      <c r="CH84" s="425"/>
      <c r="CI84" s="425"/>
      <c r="CJ84" s="425"/>
    </row>
    <row r="85" spans="1:88">
      <c r="A85" s="554"/>
      <c r="B85" s="579"/>
      <c r="C85" s="579"/>
      <c r="D85" s="579"/>
      <c r="E85" s="579"/>
      <c r="F85" s="579"/>
      <c r="G85" s="579"/>
      <c r="H85" s="577"/>
      <c r="I85" s="577"/>
      <c r="J85" s="577"/>
      <c r="K85" s="577"/>
      <c r="L85" s="577"/>
      <c r="M85" s="577"/>
      <c r="N85" s="578"/>
      <c r="O85" s="577"/>
      <c r="P85" s="577"/>
      <c r="Q85" s="577"/>
      <c r="R85" s="577"/>
      <c r="S85" s="549"/>
      <c r="T85" s="549"/>
      <c r="U85" s="424"/>
      <c r="V85" s="425"/>
      <c r="W85" s="425"/>
      <c r="X85" s="425"/>
      <c r="Y85" s="425"/>
      <c r="Z85" s="425"/>
      <c r="AA85" s="425"/>
      <c r="AH85" s="425"/>
      <c r="AI85" s="425"/>
      <c r="AJ85" s="425"/>
      <c r="AK85" s="425"/>
      <c r="AL85" s="425"/>
      <c r="AM85" s="425"/>
      <c r="AN85" s="428"/>
      <c r="AO85" s="425"/>
      <c r="AP85" s="425"/>
      <c r="AQ85" s="425"/>
      <c r="AR85" s="425"/>
      <c r="AS85" s="425"/>
      <c r="AT85" s="425"/>
      <c r="AU85" s="425"/>
      <c r="AV85" s="425"/>
      <c r="AW85" s="425"/>
      <c r="AX85" s="425"/>
      <c r="AY85" s="425"/>
      <c r="AZ85" s="425"/>
      <c r="BA85" s="425"/>
      <c r="BB85" s="425"/>
      <c r="BC85" s="425"/>
      <c r="BD85" s="425"/>
      <c r="BE85" s="425"/>
      <c r="BF85" s="425"/>
      <c r="BG85" s="426"/>
      <c r="BH85" s="425"/>
      <c r="BI85" s="425"/>
      <c r="BJ85" s="425"/>
      <c r="BK85" s="425"/>
      <c r="BL85" s="425"/>
      <c r="BM85" s="425"/>
      <c r="BN85" s="425"/>
      <c r="BO85" s="425"/>
      <c r="BP85" s="425"/>
      <c r="BQ85" s="425"/>
      <c r="BR85" s="425"/>
      <c r="BS85" s="425"/>
      <c r="BT85" s="425"/>
      <c r="BU85" s="425"/>
      <c r="BV85" s="425"/>
      <c r="BW85" s="425"/>
      <c r="BX85" s="425"/>
      <c r="BY85" s="425"/>
      <c r="BZ85" s="425"/>
      <c r="CA85" s="425"/>
      <c r="CB85" s="425"/>
      <c r="CC85" s="425"/>
      <c r="CD85" s="425"/>
      <c r="CE85" s="425"/>
      <c r="CF85" s="425"/>
      <c r="CG85" s="425"/>
      <c r="CH85" s="425"/>
      <c r="CI85" s="425"/>
      <c r="CJ85" s="425"/>
    </row>
    <row r="86" spans="1:88">
      <c r="A86" s="554"/>
      <c r="B86" s="579"/>
      <c r="C86" s="579"/>
      <c r="D86" s="579"/>
      <c r="E86" s="579"/>
      <c r="F86" s="579"/>
      <c r="G86" s="579"/>
      <c r="H86" s="577"/>
      <c r="I86" s="577"/>
      <c r="J86" s="577"/>
      <c r="K86" s="577"/>
      <c r="L86" s="577"/>
      <c r="M86" s="577"/>
      <c r="N86" s="578"/>
      <c r="O86" s="577"/>
      <c r="P86" s="577"/>
      <c r="Q86" s="577"/>
      <c r="R86" s="577"/>
      <c r="S86" s="549"/>
      <c r="T86" s="549"/>
      <c r="U86" s="424"/>
      <c r="V86" s="425"/>
      <c r="W86" s="425"/>
      <c r="X86" s="425"/>
      <c r="Y86" s="425"/>
      <c r="Z86" s="425"/>
      <c r="AA86" s="425"/>
      <c r="AH86" s="425"/>
      <c r="AI86" s="425"/>
      <c r="AJ86" s="425"/>
      <c r="AK86" s="425"/>
      <c r="AL86" s="425"/>
      <c r="AM86" s="425"/>
      <c r="AN86" s="428"/>
      <c r="AO86" s="425"/>
      <c r="AP86" s="425"/>
      <c r="AQ86" s="425"/>
      <c r="AR86" s="425"/>
      <c r="AS86" s="425"/>
      <c r="AT86" s="425"/>
      <c r="AU86" s="425"/>
      <c r="AV86" s="425"/>
      <c r="AW86" s="425"/>
      <c r="AX86" s="425"/>
      <c r="AY86" s="425"/>
      <c r="AZ86" s="425"/>
      <c r="BA86" s="425"/>
      <c r="BB86" s="425"/>
      <c r="BC86" s="425"/>
      <c r="BD86" s="425"/>
      <c r="BE86" s="425"/>
      <c r="BF86" s="425"/>
      <c r="BG86" s="426"/>
      <c r="BH86" s="425"/>
      <c r="BI86" s="425"/>
      <c r="BJ86" s="425"/>
      <c r="BK86" s="425"/>
      <c r="BL86" s="425"/>
      <c r="BM86" s="425"/>
      <c r="BN86" s="425"/>
      <c r="BO86" s="425"/>
      <c r="BP86" s="425"/>
      <c r="BQ86" s="425"/>
      <c r="BR86" s="425"/>
      <c r="BS86" s="425"/>
      <c r="BT86" s="425"/>
      <c r="BU86" s="425"/>
      <c r="BV86" s="425"/>
      <c r="BW86" s="425"/>
      <c r="BX86" s="425"/>
      <c r="BY86" s="425"/>
      <c r="BZ86" s="425"/>
      <c r="CA86" s="425"/>
      <c r="CB86" s="425"/>
      <c r="CC86" s="425"/>
      <c r="CD86" s="425"/>
      <c r="CE86" s="425"/>
      <c r="CF86" s="425"/>
      <c r="CG86" s="425"/>
      <c r="CH86" s="425"/>
      <c r="CI86" s="425"/>
      <c r="CJ86" s="425"/>
    </row>
    <row r="87" spans="1:88">
      <c r="A87" s="554"/>
      <c r="B87" s="579"/>
      <c r="C87" s="579"/>
      <c r="D87" s="579"/>
      <c r="E87" s="579"/>
      <c r="F87" s="579"/>
      <c r="G87" s="579"/>
      <c r="H87" s="577"/>
      <c r="I87" s="577"/>
      <c r="J87" s="577"/>
      <c r="K87" s="577"/>
      <c r="L87" s="577"/>
      <c r="M87" s="577"/>
      <c r="N87" s="578"/>
      <c r="O87" s="577"/>
      <c r="P87" s="577"/>
      <c r="Q87" s="577"/>
      <c r="R87" s="577"/>
      <c r="S87" s="549"/>
      <c r="T87" s="549"/>
      <c r="U87" s="424"/>
      <c r="V87" s="425"/>
      <c r="W87" s="425"/>
      <c r="X87" s="425"/>
      <c r="Y87" s="425"/>
      <c r="Z87" s="425"/>
      <c r="AA87" s="425"/>
      <c r="AH87" s="425"/>
      <c r="AI87" s="425"/>
      <c r="AJ87" s="425"/>
      <c r="AK87" s="425"/>
      <c r="AL87" s="425"/>
      <c r="AM87" s="425"/>
      <c r="AN87" s="428"/>
      <c r="AO87" s="425"/>
      <c r="AP87" s="425"/>
      <c r="AQ87" s="425"/>
      <c r="AR87" s="425"/>
      <c r="AS87" s="425"/>
      <c r="AT87" s="425"/>
      <c r="AU87" s="425"/>
      <c r="AV87" s="425"/>
      <c r="AW87" s="425"/>
      <c r="AX87" s="425"/>
      <c r="AY87" s="425"/>
      <c r="AZ87" s="425"/>
      <c r="BA87" s="425"/>
      <c r="BB87" s="425"/>
      <c r="BC87" s="425"/>
      <c r="BD87" s="425"/>
      <c r="BE87" s="425"/>
      <c r="BF87" s="425"/>
      <c r="BG87" s="426"/>
      <c r="BH87" s="425"/>
      <c r="BI87" s="425"/>
      <c r="BJ87" s="425"/>
      <c r="BK87" s="425"/>
      <c r="BL87" s="425"/>
      <c r="BM87" s="425"/>
      <c r="BN87" s="425"/>
      <c r="BO87" s="425"/>
      <c r="BP87" s="425"/>
      <c r="BQ87" s="425"/>
      <c r="BR87" s="425"/>
      <c r="BS87" s="425"/>
      <c r="BT87" s="425"/>
      <c r="BU87" s="425"/>
      <c r="BV87" s="425"/>
      <c r="BW87" s="425"/>
      <c r="BX87" s="425"/>
      <c r="BY87" s="425"/>
      <c r="BZ87" s="425"/>
      <c r="CA87" s="425"/>
      <c r="CB87" s="425"/>
      <c r="CC87" s="425"/>
      <c r="CD87" s="425"/>
      <c r="CE87" s="425"/>
      <c r="CF87" s="425"/>
      <c r="CG87" s="425"/>
      <c r="CH87" s="425"/>
      <c r="CI87" s="425"/>
      <c r="CJ87" s="425"/>
    </row>
    <row r="88" spans="1:88">
      <c r="A88" s="554"/>
      <c r="B88" s="579"/>
      <c r="C88" s="579"/>
      <c r="D88" s="579"/>
      <c r="E88" s="579"/>
      <c r="F88" s="579"/>
      <c r="G88" s="579"/>
      <c r="H88" s="577"/>
      <c r="I88" s="577"/>
      <c r="J88" s="577"/>
      <c r="K88" s="577"/>
      <c r="L88" s="577"/>
      <c r="M88" s="577"/>
      <c r="N88" s="578"/>
      <c r="O88" s="577"/>
      <c r="P88" s="577"/>
      <c r="Q88" s="577"/>
      <c r="R88" s="577"/>
      <c r="S88" s="549"/>
      <c r="T88" s="549"/>
      <c r="U88" s="424"/>
      <c r="V88" s="425"/>
      <c r="W88" s="425"/>
      <c r="X88" s="425"/>
      <c r="Y88" s="425"/>
      <c r="Z88" s="425"/>
      <c r="AA88" s="425"/>
      <c r="AH88" s="425"/>
      <c r="AI88" s="425"/>
      <c r="AJ88" s="425"/>
      <c r="AK88" s="425"/>
      <c r="AL88" s="425"/>
      <c r="AM88" s="425"/>
      <c r="AN88" s="428"/>
      <c r="AO88" s="425"/>
      <c r="AP88" s="425"/>
      <c r="AQ88" s="425"/>
      <c r="AR88" s="425"/>
      <c r="AS88" s="425"/>
      <c r="AT88" s="425"/>
      <c r="AU88" s="425"/>
      <c r="AV88" s="425"/>
      <c r="AW88" s="425"/>
      <c r="AX88" s="425"/>
      <c r="AY88" s="425"/>
      <c r="AZ88" s="425"/>
      <c r="BA88" s="425"/>
      <c r="BB88" s="425"/>
      <c r="BC88" s="425"/>
      <c r="BD88" s="425"/>
      <c r="BE88" s="425"/>
      <c r="BF88" s="425"/>
      <c r="BG88" s="426"/>
      <c r="BH88" s="425"/>
      <c r="BI88" s="425"/>
      <c r="BJ88" s="425"/>
      <c r="BK88" s="425"/>
      <c r="BL88" s="425"/>
      <c r="BM88" s="425"/>
      <c r="BN88" s="425"/>
      <c r="BO88" s="425"/>
      <c r="BP88" s="425"/>
      <c r="BQ88" s="425"/>
      <c r="BR88" s="425"/>
      <c r="BS88" s="425"/>
      <c r="BT88" s="425"/>
      <c r="BU88" s="425"/>
      <c r="BV88" s="425"/>
      <c r="BW88" s="425"/>
      <c r="BX88" s="425"/>
      <c r="BY88" s="425"/>
      <c r="BZ88" s="425"/>
      <c r="CA88" s="425"/>
      <c r="CB88" s="425"/>
      <c r="CC88" s="425"/>
      <c r="CD88" s="425"/>
      <c r="CE88" s="425"/>
      <c r="CF88" s="425"/>
      <c r="CG88" s="425"/>
      <c r="CH88" s="425"/>
      <c r="CI88" s="425"/>
      <c r="CJ88" s="425"/>
    </row>
    <row r="89" spans="1:88">
      <c r="A89" s="554"/>
      <c r="B89" s="579"/>
      <c r="C89" s="579"/>
      <c r="D89" s="579"/>
      <c r="E89" s="579"/>
      <c r="F89" s="579"/>
      <c r="G89" s="579"/>
      <c r="H89" s="577"/>
      <c r="I89" s="577"/>
      <c r="J89" s="577"/>
      <c r="K89" s="577"/>
      <c r="L89" s="577"/>
      <c r="M89" s="577"/>
      <c r="N89" s="578"/>
      <c r="O89" s="577"/>
      <c r="P89" s="577"/>
      <c r="Q89" s="577"/>
      <c r="R89" s="577"/>
      <c r="S89" s="549"/>
      <c r="T89" s="549"/>
      <c r="U89" s="424"/>
      <c r="V89" s="425"/>
      <c r="W89" s="425"/>
      <c r="X89" s="425"/>
      <c r="Y89" s="425"/>
      <c r="Z89" s="425"/>
      <c r="AA89" s="425"/>
      <c r="AH89" s="425"/>
      <c r="AI89" s="425"/>
      <c r="AJ89" s="425"/>
      <c r="AK89" s="425"/>
      <c r="AL89" s="425"/>
      <c r="AM89" s="425"/>
      <c r="AN89" s="428"/>
      <c r="AO89" s="425"/>
      <c r="AP89" s="425"/>
      <c r="AQ89" s="425"/>
      <c r="AR89" s="425"/>
      <c r="AS89" s="425"/>
      <c r="AT89" s="425"/>
      <c r="AU89" s="425"/>
      <c r="AV89" s="425"/>
      <c r="AW89" s="425"/>
      <c r="AX89" s="425"/>
      <c r="AY89" s="425"/>
      <c r="AZ89" s="425"/>
      <c r="BA89" s="425"/>
      <c r="BB89" s="425"/>
      <c r="BC89" s="425"/>
      <c r="BD89" s="425"/>
      <c r="BE89" s="425"/>
      <c r="BF89" s="425"/>
      <c r="BG89" s="426"/>
      <c r="BH89" s="425"/>
      <c r="BI89" s="425"/>
      <c r="BJ89" s="425"/>
      <c r="BK89" s="425"/>
      <c r="BL89" s="425"/>
      <c r="BM89" s="425"/>
      <c r="BN89" s="425"/>
      <c r="BO89" s="425"/>
      <c r="BP89" s="425"/>
      <c r="BQ89" s="425"/>
      <c r="BR89" s="425"/>
      <c r="BS89" s="425"/>
      <c r="BT89" s="425"/>
      <c r="BU89" s="425"/>
      <c r="BV89" s="425"/>
      <c r="BW89" s="425"/>
      <c r="BX89" s="425"/>
      <c r="BY89" s="425"/>
      <c r="BZ89" s="425"/>
      <c r="CA89" s="425"/>
      <c r="CB89" s="425"/>
      <c r="CC89" s="425"/>
      <c r="CD89" s="425"/>
      <c r="CE89" s="425"/>
      <c r="CF89" s="425"/>
      <c r="CG89" s="425"/>
      <c r="CH89" s="425"/>
      <c r="CI89" s="425"/>
      <c r="CJ89" s="425"/>
    </row>
    <row r="90" spans="1:88">
      <c r="A90" s="554"/>
      <c r="B90" s="579"/>
      <c r="C90" s="579"/>
      <c r="D90" s="579"/>
      <c r="E90" s="579"/>
      <c r="F90" s="579"/>
      <c r="G90" s="579"/>
      <c r="H90" s="577"/>
      <c r="I90" s="577"/>
      <c r="J90" s="577"/>
      <c r="K90" s="577"/>
      <c r="L90" s="577"/>
      <c r="M90" s="577"/>
      <c r="N90" s="578"/>
      <c r="O90" s="577"/>
      <c r="P90" s="577"/>
      <c r="Q90" s="577"/>
      <c r="R90" s="577"/>
      <c r="S90" s="549"/>
      <c r="T90" s="549"/>
      <c r="U90" s="424"/>
      <c r="V90" s="425"/>
      <c r="W90" s="425"/>
      <c r="X90" s="425"/>
      <c r="Y90" s="425"/>
      <c r="Z90" s="425"/>
      <c r="AA90" s="425"/>
      <c r="AH90" s="425"/>
      <c r="AI90" s="425"/>
      <c r="AJ90" s="425"/>
      <c r="AK90" s="425"/>
      <c r="AL90" s="425"/>
      <c r="AM90" s="425"/>
      <c r="AN90" s="428"/>
      <c r="AO90" s="425"/>
      <c r="AP90" s="425"/>
      <c r="AQ90" s="425"/>
      <c r="AR90" s="425"/>
      <c r="AS90" s="425"/>
      <c r="AT90" s="425"/>
      <c r="AU90" s="425"/>
      <c r="AV90" s="425"/>
      <c r="AW90" s="425"/>
      <c r="AX90" s="425"/>
      <c r="AY90" s="425"/>
      <c r="AZ90" s="425"/>
      <c r="BA90" s="425"/>
      <c r="BB90" s="425"/>
      <c r="BC90" s="425"/>
      <c r="BD90" s="425"/>
      <c r="BE90" s="425"/>
      <c r="BF90" s="425"/>
      <c r="BG90" s="426"/>
      <c r="BH90" s="425"/>
      <c r="BI90" s="425"/>
      <c r="BJ90" s="425"/>
      <c r="BK90" s="425"/>
      <c r="BL90" s="425"/>
      <c r="BM90" s="425"/>
      <c r="BN90" s="425"/>
      <c r="BO90" s="425"/>
      <c r="BP90" s="425"/>
      <c r="BQ90" s="425"/>
      <c r="BR90" s="425"/>
      <c r="BS90" s="425"/>
      <c r="BT90" s="425"/>
      <c r="BU90" s="425"/>
      <c r="BV90" s="425"/>
      <c r="BW90" s="425"/>
      <c r="BX90" s="425"/>
      <c r="BY90" s="425"/>
      <c r="BZ90" s="425"/>
      <c r="CA90" s="425"/>
      <c r="CB90" s="425"/>
      <c r="CC90" s="425"/>
      <c r="CD90" s="425"/>
      <c r="CE90" s="425"/>
      <c r="CF90" s="425"/>
      <c r="CG90" s="425"/>
      <c r="CH90" s="425"/>
      <c r="CI90" s="425"/>
      <c r="CJ90" s="425"/>
    </row>
    <row r="91" spans="1:88">
      <c r="A91" s="554"/>
      <c r="B91" s="579"/>
      <c r="C91" s="579"/>
      <c r="D91" s="579"/>
      <c r="E91" s="579"/>
      <c r="F91" s="579"/>
      <c r="G91" s="579"/>
      <c r="H91" s="577"/>
      <c r="I91" s="577"/>
      <c r="J91" s="577"/>
      <c r="K91" s="577"/>
      <c r="L91" s="577"/>
      <c r="M91" s="577"/>
      <c r="N91" s="578"/>
      <c r="O91" s="577"/>
      <c r="P91" s="577"/>
      <c r="Q91" s="577"/>
      <c r="R91" s="577"/>
      <c r="S91" s="549"/>
      <c r="T91" s="549"/>
      <c r="U91" s="424"/>
      <c r="V91" s="425"/>
      <c r="W91" s="425"/>
      <c r="X91" s="425"/>
      <c r="Y91" s="425"/>
      <c r="Z91" s="425"/>
      <c r="AA91" s="425"/>
      <c r="AH91" s="425"/>
      <c r="AI91" s="425"/>
      <c r="AJ91" s="425"/>
      <c r="AK91" s="425"/>
      <c r="AL91" s="425"/>
      <c r="AM91" s="425"/>
      <c r="AN91" s="428"/>
      <c r="AO91" s="425"/>
      <c r="AP91" s="425"/>
      <c r="AQ91" s="425"/>
      <c r="AR91" s="425"/>
      <c r="AS91" s="425"/>
      <c r="AT91" s="425"/>
      <c r="AU91" s="425"/>
      <c r="AV91" s="425"/>
      <c r="AW91" s="425"/>
      <c r="AX91" s="425"/>
      <c r="AY91" s="425"/>
      <c r="AZ91" s="425"/>
      <c r="BA91" s="425"/>
      <c r="BB91" s="425"/>
      <c r="BC91" s="425"/>
      <c r="BD91" s="425"/>
      <c r="BE91" s="425"/>
      <c r="BF91" s="425"/>
      <c r="BG91" s="426"/>
      <c r="BH91" s="425"/>
      <c r="BI91" s="425"/>
      <c r="BJ91" s="425"/>
      <c r="BK91" s="425"/>
      <c r="BL91" s="425"/>
      <c r="BM91" s="425"/>
      <c r="BN91" s="425"/>
      <c r="BO91" s="425"/>
      <c r="BP91" s="425"/>
      <c r="BQ91" s="425"/>
      <c r="BR91" s="425"/>
      <c r="BS91" s="425"/>
      <c r="BT91" s="425"/>
      <c r="BU91" s="425"/>
      <c r="BV91" s="425"/>
      <c r="BW91" s="425"/>
      <c r="BX91" s="425"/>
      <c r="BY91" s="425"/>
      <c r="BZ91" s="425"/>
      <c r="CA91" s="425"/>
      <c r="CB91" s="425"/>
      <c r="CC91" s="425"/>
      <c r="CD91" s="425"/>
      <c r="CE91" s="425"/>
      <c r="CF91" s="425"/>
      <c r="CG91" s="425"/>
      <c r="CH91" s="425"/>
      <c r="CI91" s="425"/>
      <c r="CJ91" s="425"/>
    </row>
    <row r="92" spans="1:88">
      <c r="A92" s="554"/>
      <c r="B92" s="579"/>
      <c r="C92" s="579"/>
      <c r="D92" s="579"/>
      <c r="E92" s="579"/>
      <c r="F92" s="579"/>
      <c r="G92" s="579"/>
      <c r="H92" s="577"/>
      <c r="I92" s="577"/>
      <c r="J92" s="577"/>
      <c r="K92" s="577"/>
      <c r="L92" s="577"/>
      <c r="M92" s="577"/>
      <c r="N92" s="578"/>
      <c r="O92" s="577"/>
      <c r="P92" s="577"/>
      <c r="Q92" s="577"/>
      <c r="R92" s="577"/>
      <c r="S92" s="549"/>
      <c r="T92" s="549"/>
      <c r="U92" s="424"/>
      <c r="V92" s="425"/>
      <c r="W92" s="425"/>
      <c r="X92" s="425"/>
      <c r="Y92" s="425"/>
      <c r="Z92" s="425"/>
      <c r="AA92" s="425"/>
      <c r="AH92" s="425"/>
      <c r="AI92" s="425"/>
      <c r="AJ92" s="425"/>
      <c r="AK92" s="425"/>
      <c r="AL92" s="425"/>
      <c r="AM92" s="425"/>
      <c r="AN92" s="428"/>
      <c r="AO92" s="425"/>
      <c r="AP92" s="425"/>
      <c r="AQ92" s="425"/>
      <c r="AR92" s="425"/>
      <c r="AS92" s="425"/>
      <c r="AT92" s="425"/>
      <c r="AU92" s="425"/>
      <c r="AV92" s="425"/>
      <c r="AW92" s="425"/>
      <c r="AX92" s="425"/>
      <c r="AY92" s="425"/>
      <c r="AZ92" s="425"/>
      <c r="BA92" s="425"/>
      <c r="BB92" s="425"/>
      <c r="BC92" s="425"/>
      <c r="BD92" s="425"/>
      <c r="BE92" s="425"/>
      <c r="BF92" s="425"/>
      <c r="BG92" s="426"/>
      <c r="BH92" s="425"/>
      <c r="BI92" s="425"/>
      <c r="BJ92" s="425"/>
      <c r="BK92" s="425"/>
      <c r="BL92" s="425"/>
      <c r="BM92" s="425"/>
      <c r="BN92" s="425"/>
      <c r="BO92" s="425"/>
      <c r="BP92" s="425"/>
      <c r="BQ92" s="425"/>
      <c r="BR92" s="425"/>
      <c r="BS92" s="425"/>
      <c r="BT92" s="425"/>
      <c r="BU92" s="425"/>
      <c r="BV92" s="425"/>
      <c r="BW92" s="425"/>
      <c r="BX92" s="425"/>
      <c r="BY92" s="425"/>
      <c r="BZ92" s="425"/>
      <c r="CA92" s="425"/>
      <c r="CB92" s="425"/>
      <c r="CC92" s="425"/>
      <c r="CD92" s="425"/>
      <c r="CE92" s="425"/>
      <c r="CF92" s="425"/>
      <c r="CG92" s="425"/>
      <c r="CH92" s="425"/>
      <c r="CI92" s="425"/>
      <c r="CJ92" s="425"/>
    </row>
    <row r="93" spans="1:88">
      <c r="A93" s="554"/>
      <c r="B93" s="579"/>
      <c r="C93" s="579"/>
      <c r="D93" s="579"/>
      <c r="E93" s="579"/>
      <c r="F93" s="579"/>
      <c r="G93" s="579"/>
      <c r="H93" s="577"/>
      <c r="I93" s="577"/>
      <c r="J93" s="577"/>
      <c r="K93" s="577"/>
      <c r="L93" s="577"/>
      <c r="M93" s="577"/>
      <c r="N93" s="578"/>
      <c r="O93" s="577"/>
      <c r="P93" s="577"/>
      <c r="Q93" s="577"/>
      <c r="R93" s="577"/>
      <c r="S93" s="549"/>
      <c r="T93" s="549"/>
      <c r="U93" s="424"/>
      <c r="V93" s="425"/>
      <c r="W93" s="425"/>
      <c r="X93" s="425"/>
      <c r="Y93" s="425"/>
      <c r="Z93" s="425"/>
      <c r="AA93" s="425"/>
      <c r="AH93" s="425"/>
      <c r="AI93" s="425"/>
      <c r="AJ93" s="425"/>
      <c r="AK93" s="425"/>
      <c r="AL93" s="425"/>
      <c r="AM93" s="425"/>
      <c r="AN93" s="428"/>
      <c r="AO93" s="425"/>
      <c r="AP93" s="425"/>
      <c r="AQ93" s="425"/>
      <c r="AR93" s="425"/>
      <c r="AS93" s="425"/>
      <c r="AT93" s="425"/>
      <c r="AU93" s="425"/>
      <c r="AV93" s="425"/>
      <c r="AW93" s="425"/>
      <c r="AX93" s="425"/>
      <c r="AY93" s="425"/>
      <c r="AZ93" s="425"/>
      <c r="BA93" s="425"/>
      <c r="BB93" s="425"/>
      <c r="BC93" s="425"/>
      <c r="BD93" s="425"/>
      <c r="BE93" s="425"/>
      <c r="BF93" s="425"/>
      <c r="BG93" s="426"/>
      <c r="BH93" s="425"/>
      <c r="BI93" s="425"/>
      <c r="BJ93" s="425"/>
      <c r="BK93" s="425"/>
      <c r="BL93" s="425"/>
      <c r="BM93" s="425"/>
      <c r="BN93" s="425"/>
      <c r="BO93" s="425"/>
      <c r="BP93" s="425"/>
      <c r="BQ93" s="425"/>
      <c r="BR93" s="425"/>
      <c r="BS93" s="425"/>
      <c r="BT93" s="425"/>
      <c r="BU93" s="425"/>
      <c r="BV93" s="425"/>
      <c r="BW93" s="425"/>
      <c r="BX93" s="425"/>
      <c r="BY93" s="425"/>
      <c r="BZ93" s="425"/>
      <c r="CA93" s="425"/>
      <c r="CB93" s="425"/>
      <c r="CC93" s="425"/>
      <c r="CD93" s="425"/>
      <c r="CE93" s="425"/>
      <c r="CF93" s="425"/>
      <c r="CG93" s="425"/>
      <c r="CH93" s="425"/>
      <c r="CI93" s="425"/>
      <c r="CJ93" s="425"/>
    </row>
    <row r="94" spans="1:88">
      <c r="A94" s="554"/>
      <c r="B94" s="579"/>
      <c r="C94" s="579"/>
      <c r="D94" s="579"/>
      <c r="E94" s="579"/>
      <c r="F94" s="579"/>
      <c r="G94" s="579"/>
      <c r="H94" s="577"/>
      <c r="I94" s="577"/>
      <c r="J94" s="577"/>
      <c r="K94" s="577"/>
      <c r="L94" s="577"/>
      <c r="M94" s="577"/>
      <c r="N94" s="578"/>
      <c r="O94" s="577"/>
      <c r="P94" s="577"/>
      <c r="Q94" s="577"/>
      <c r="R94" s="577"/>
      <c r="S94" s="549"/>
      <c r="T94" s="549"/>
      <c r="U94" s="424"/>
      <c r="V94" s="425"/>
      <c r="W94" s="425"/>
      <c r="X94" s="425"/>
      <c r="Y94" s="425"/>
      <c r="Z94" s="425"/>
      <c r="AA94" s="425"/>
      <c r="AH94" s="425"/>
      <c r="AI94" s="425"/>
      <c r="AJ94" s="425"/>
      <c r="AK94" s="425"/>
      <c r="AL94" s="425"/>
      <c r="AM94" s="425"/>
      <c r="AN94" s="428"/>
      <c r="AO94" s="425"/>
      <c r="AP94" s="425"/>
      <c r="AQ94" s="425"/>
      <c r="AR94" s="425"/>
      <c r="AS94" s="425"/>
      <c r="AT94" s="425"/>
      <c r="AU94" s="425"/>
      <c r="AV94" s="425"/>
      <c r="AW94" s="425"/>
      <c r="AX94" s="425"/>
      <c r="AY94" s="425"/>
      <c r="AZ94" s="425"/>
      <c r="BA94" s="425"/>
      <c r="BB94" s="425"/>
      <c r="BC94" s="425"/>
      <c r="BD94" s="425"/>
      <c r="BE94" s="425"/>
      <c r="BF94" s="425"/>
      <c r="BG94" s="426"/>
      <c r="BH94" s="425"/>
      <c r="BI94" s="425"/>
      <c r="BJ94" s="425"/>
      <c r="BK94" s="425"/>
      <c r="BL94" s="425"/>
      <c r="BM94" s="425"/>
      <c r="BN94" s="425"/>
      <c r="BO94" s="425"/>
      <c r="BP94" s="425"/>
      <c r="BQ94" s="425"/>
      <c r="BR94" s="425"/>
      <c r="BS94" s="425"/>
      <c r="BT94" s="425"/>
      <c r="BU94" s="425"/>
      <c r="BV94" s="425"/>
      <c r="BW94" s="425"/>
      <c r="BX94" s="425"/>
      <c r="BY94" s="425"/>
      <c r="BZ94" s="425"/>
      <c r="CA94" s="425"/>
      <c r="CB94" s="425"/>
      <c r="CC94" s="425"/>
      <c r="CD94" s="425"/>
      <c r="CE94" s="425"/>
      <c r="CF94" s="425"/>
      <c r="CG94" s="425"/>
      <c r="CH94" s="425"/>
      <c r="CI94" s="425"/>
      <c r="CJ94" s="425"/>
    </row>
    <row r="95" spans="1:88">
      <c r="A95" s="554"/>
      <c r="B95" s="579"/>
      <c r="C95" s="579"/>
      <c r="D95" s="579"/>
      <c r="E95" s="579"/>
      <c r="F95" s="579"/>
      <c r="G95" s="579"/>
      <c r="H95" s="577"/>
      <c r="I95" s="577"/>
      <c r="J95" s="577"/>
      <c r="K95" s="577"/>
      <c r="L95" s="577"/>
      <c r="M95" s="577"/>
      <c r="N95" s="578"/>
      <c r="O95" s="577"/>
      <c r="P95" s="577"/>
      <c r="Q95" s="577"/>
      <c r="R95" s="577"/>
      <c r="S95" s="549"/>
      <c r="T95" s="549"/>
      <c r="U95" s="424"/>
      <c r="V95" s="425"/>
      <c r="W95" s="425"/>
      <c r="X95" s="425"/>
      <c r="Y95" s="425"/>
      <c r="Z95" s="425"/>
      <c r="AA95" s="425"/>
      <c r="AH95" s="425"/>
      <c r="AI95" s="425"/>
      <c r="AJ95" s="425"/>
      <c r="AK95" s="425"/>
      <c r="AL95" s="425"/>
      <c r="AM95" s="425"/>
      <c r="AN95" s="428"/>
      <c r="AO95" s="425"/>
      <c r="AP95" s="425"/>
      <c r="AQ95" s="425"/>
      <c r="AR95" s="425"/>
      <c r="AS95" s="425"/>
      <c r="AT95" s="425"/>
      <c r="AU95" s="425"/>
      <c r="AV95" s="425"/>
      <c r="AW95" s="425"/>
      <c r="AX95" s="425"/>
      <c r="AY95" s="425"/>
      <c r="AZ95" s="425"/>
      <c r="BA95" s="425"/>
      <c r="BB95" s="425"/>
      <c r="BC95" s="425"/>
      <c r="BD95" s="425"/>
      <c r="BE95" s="425"/>
      <c r="BF95" s="425"/>
      <c r="BG95" s="426"/>
      <c r="BH95" s="425"/>
      <c r="BI95" s="425"/>
      <c r="BJ95" s="425"/>
      <c r="BK95" s="425"/>
      <c r="BL95" s="425"/>
      <c r="BM95" s="425"/>
      <c r="BN95" s="425"/>
      <c r="BO95" s="425"/>
      <c r="BP95" s="425"/>
      <c r="BQ95" s="425"/>
      <c r="BR95" s="425"/>
      <c r="BS95" s="425"/>
      <c r="BT95" s="425"/>
      <c r="BU95" s="425"/>
      <c r="BV95" s="425"/>
      <c r="BW95" s="425"/>
      <c r="BX95" s="425"/>
      <c r="BY95" s="425"/>
      <c r="BZ95" s="425"/>
      <c r="CA95" s="425"/>
      <c r="CB95" s="425"/>
      <c r="CC95" s="425"/>
      <c r="CD95" s="425"/>
      <c r="CE95" s="425"/>
      <c r="CF95" s="425"/>
      <c r="CG95" s="425"/>
      <c r="CH95" s="425"/>
      <c r="CI95" s="425"/>
      <c r="CJ95" s="425"/>
    </row>
    <row r="96" spans="1:88">
      <c r="A96" s="554"/>
      <c r="B96" s="579"/>
      <c r="C96" s="579"/>
      <c r="D96" s="579"/>
      <c r="E96" s="579"/>
      <c r="F96" s="579"/>
      <c r="G96" s="579"/>
      <c r="H96" s="577"/>
      <c r="I96" s="577"/>
      <c r="J96" s="577"/>
      <c r="K96" s="577"/>
      <c r="L96" s="577"/>
      <c r="M96" s="577"/>
      <c r="N96" s="578"/>
      <c r="O96" s="577"/>
      <c r="P96" s="577"/>
      <c r="Q96" s="577"/>
      <c r="R96" s="577"/>
      <c r="S96" s="549"/>
      <c r="T96" s="549"/>
      <c r="U96" s="424"/>
      <c r="V96" s="425"/>
      <c r="W96" s="425"/>
      <c r="X96" s="425"/>
      <c r="Y96" s="425"/>
      <c r="Z96" s="425"/>
      <c r="AA96" s="425"/>
      <c r="AH96" s="425"/>
      <c r="AI96" s="425"/>
      <c r="AJ96" s="425"/>
      <c r="AK96" s="425"/>
      <c r="AL96" s="425"/>
      <c r="AM96" s="425"/>
      <c r="AN96" s="428"/>
      <c r="AO96" s="425"/>
      <c r="AP96" s="425"/>
      <c r="AQ96" s="425"/>
      <c r="AR96" s="425"/>
      <c r="AS96" s="425"/>
      <c r="AT96" s="425"/>
      <c r="AU96" s="425"/>
      <c r="AV96" s="425"/>
      <c r="AW96" s="425"/>
      <c r="AX96" s="425"/>
      <c r="AY96" s="425"/>
      <c r="AZ96" s="425"/>
      <c r="BA96" s="425"/>
      <c r="BB96" s="425"/>
      <c r="BC96" s="425"/>
      <c r="BD96" s="425"/>
      <c r="BE96" s="425"/>
      <c r="BF96" s="425"/>
      <c r="BG96" s="426"/>
      <c r="BH96" s="425"/>
      <c r="BI96" s="425"/>
      <c r="BJ96" s="425"/>
      <c r="BK96" s="425"/>
      <c r="BL96" s="425"/>
      <c r="BM96" s="425"/>
      <c r="BN96" s="425"/>
      <c r="BO96" s="425"/>
      <c r="BP96" s="425"/>
      <c r="BQ96" s="425"/>
      <c r="BR96" s="425"/>
      <c r="BS96" s="425"/>
      <c r="BT96" s="425"/>
      <c r="BU96" s="425"/>
      <c r="BV96" s="425"/>
      <c r="BW96" s="425"/>
      <c r="BX96" s="425"/>
      <c r="BY96" s="425"/>
      <c r="BZ96" s="425"/>
      <c r="CA96" s="425"/>
      <c r="CB96" s="425"/>
      <c r="CC96" s="425"/>
      <c r="CD96" s="425"/>
      <c r="CE96" s="425"/>
      <c r="CF96" s="425"/>
      <c r="CG96" s="425"/>
      <c r="CH96" s="425"/>
      <c r="CI96" s="425"/>
      <c r="CJ96" s="425"/>
    </row>
    <row r="97" spans="1:88">
      <c r="A97" s="554"/>
      <c r="B97" s="579"/>
      <c r="C97" s="579"/>
      <c r="D97" s="579"/>
      <c r="E97" s="579"/>
      <c r="F97" s="579"/>
      <c r="G97" s="579"/>
      <c r="H97" s="577"/>
      <c r="I97" s="577"/>
      <c r="J97" s="577"/>
      <c r="K97" s="577"/>
      <c r="L97" s="577"/>
      <c r="M97" s="577"/>
      <c r="N97" s="578"/>
      <c r="O97" s="577"/>
      <c r="P97" s="577"/>
      <c r="Q97" s="577"/>
      <c r="R97" s="577"/>
      <c r="S97" s="549"/>
      <c r="T97" s="549"/>
      <c r="U97" s="424"/>
      <c r="V97" s="425"/>
      <c r="W97" s="425"/>
      <c r="X97" s="425"/>
      <c r="Y97" s="425"/>
      <c r="Z97" s="425"/>
      <c r="AA97" s="425"/>
      <c r="AH97" s="425"/>
      <c r="AI97" s="425"/>
      <c r="AJ97" s="425"/>
      <c r="AK97" s="425"/>
      <c r="AL97" s="425"/>
      <c r="AM97" s="425"/>
      <c r="AN97" s="428"/>
      <c r="AO97" s="425"/>
      <c r="AP97" s="425"/>
      <c r="AQ97" s="425"/>
      <c r="AR97" s="425"/>
      <c r="AS97" s="425"/>
      <c r="AT97" s="425"/>
      <c r="AU97" s="425"/>
      <c r="AV97" s="425"/>
      <c r="AW97" s="425"/>
      <c r="AX97" s="425"/>
      <c r="AY97" s="425"/>
      <c r="AZ97" s="425"/>
      <c r="BA97" s="425"/>
      <c r="BB97" s="425"/>
      <c r="BC97" s="425"/>
      <c r="BD97" s="425"/>
      <c r="BE97" s="425"/>
      <c r="BF97" s="425"/>
      <c r="BG97" s="426"/>
      <c r="BH97" s="425"/>
      <c r="BI97" s="425"/>
      <c r="BJ97" s="425"/>
      <c r="BK97" s="425"/>
      <c r="BL97" s="425"/>
      <c r="BM97" s="425"/>
      <c r="BN97" s="425"/>
      <c r="BO97" s="425"/>
      <c r="BP97" s="425"/>
      <c r="BQ97" s="425"/>
      <c r="BR97" s="425"/>
      <c r="BS97" s="425"/>
      <c r="BT97" s="425"/>
      <c r="BU97" s="425"/>
      <c r="BV97" s="425"/>
      <c r="BW97" s="425"/>
      <c r="BX97" s="425"/>
      <c r="BY97" s="425"/>
      <c r="BZ97" s="425"/>
      <c r="CA97" s="425"/>
      <c r="CB97" s="425"/>
      <c r="CC97" s="425"/>
      <c r="CD97" s="425"/>
      <c r="CE97" s="425"/>
      <c r="CF97" s="425"/>
      <c r="CG97" s="425"/>
      <c r="CH97" s="425"/>
      <c r="CI97" s="425"/>
      <c r="CJ97" s="425"/>
    </row>
    <row r="98" spans="1:88">
      <c r="A98" s="554"/>
      <c r="B98" s="579"/>
      <c r="C98" s="579"/>
      <c r="D98" s="579"/>
      <c r="E98" s="579"/>
      <c r="F98" s="579"/>
      <c r="G98" s="579"/>
      <c r="H98" s="577"/>
      <c r="I98" s="577"/>
      <c r="J98" s="577"/>
      <c r="K98" s="577"/>
      <c r="L98" s="577"/>
      <c r="M98" s="577"/>
      <c r="N98" s="578"/>
      <c r="O98" s="577"/>
      <c r="P98" s="577"/>
      <c r="Q98" s="577"/>
      <c r="R98" s="577"/>
      <c r="S98" s="549"/>
      <c r="T98" s="549"/>
      <c r="U98" s="424"/>
      <c r="V98" s="425"/>
      <c r="W98" s="425"/>
      <c r="X98" s="425"/>
      <c r="Y98" s="425"/>
      <c r="Z98" s="425"/>
      <c r="AA98" s="425"/>
      <c r="AH98" s="425"/>
      <c r="AI98" s="425"/>
      <c r="AJ98" s="425"/>
      <c r="AK98" s="425"/>
      <c r="AL98" s="425"/>
      <c r="AM98" s="425"/>
      <c r="AN98" s="428"/>
      <c r="AO98" s="425"/>
      <c r="AP98" s="425"/>
      <c r="AQ98" s="425"/>
      <c r="AR98" s="425"/>
      <c r="AS98" s="425"/>
      <c r="AT98" s="425"/>
      <c r="AU98" s="425"/>
      <c r="AV98" s="425"/>
      <c r="AW98" s="425"/>
      <c r="AX98" s="425"/>
      <c r="AY98" s="425"/>
      <c r="AZ98" s="425"/>
      <c r="BA98" s="425"/>
      <c r="BB98" s="425"/>
      <c r="BC98" s="425"/>
      <c r="BD98" s="425"/>
      <c r="BE98" s="425"/>
      <c r="BF98" s="425"/>
      <c r="BG98" s="426"/>
      <c r="BH98" s="425"/>
      <c r="BI98" s="425"/>
      <c r="BJ98" s="425"/>
      <c r="BK98" s="425"/>
      <c r="BL98" s="425"/>
      <c r="BM98" s="425"/>
      <c r="BN98" s="425"/>
      <c r="BO98" s="425"/>
      <c r="BP98" s="425"/>
      <c r="BQ98" s="425"/>
      <c r="BR98" s="425"/>
      <c r="BS98" s="425"/>
      <c r="BT98" s="425"/>
      <c r="BU98" s="425"/>
      <c r="BV98" s="425"/>
      <c r="BW98" s="425"/>
      <c r="BX98" s="425"/>
      <c r="BY98" s="425"/>
      <c r="BZ98" s="425"/>
      <c r="CA98" s="425"/>
      <c r="CB98" s="425"/>
      <c r="CC98" s="425"/>
      <c r="CD98" s="425"/>
      <c r="CE98" s="425"/>
      <c r="CF98" s="425"/>
      <c r="CG98" s="425"/>
      <c r="CH98" s="425"/>
      <c r="CI98" s="425"/>
      <c r="CJ98" s="425"/>
    </row>
    <row r="99" spans="1:88">
      <c r="A99" s="554"/>
      <c r="B99" s="579"/>
      <c r="C99" s="579"/>
      <c r="D99" s="579"/>
      <c r="E99" s="579"/>
      <c r="F99" s="579"/>
      <c r="G99" s="579"/>
      <c r="H99" s="577"/>
      <c r="I99" s="577"/>
      <c r="J99" s="577"/>
      <c r="K99" s="577"/>
      <c r="L99" s="577"/>
      <c r="M99" s="577"/>
      <c r="N99" s="578"/>
      <c r="O99" s="577"/>
      <c r="P99" s="577"/>
      <c r="Q99" s="577"/>
      <c r="R99" s="577"/>
      <c r="S99" s="549"/>
      <c r="T99" s="549"/>
      <c r="U99" s="424"/>
      <c r="V99" s="425"/>
      <c r="W99" s="425"/>
      <c r="X99" s="425"/>
      <c r="Y99" s="425"/>
      <c r="Z99" s="425"/>
      <c r="AA99" s="425"/>
      <c r="AH99" s="425"/>
      <c r="AI99" s="425"/>
      <c r="AJ99" s="425"/>
      <c r="AK99" s="425"/>
      <c r="AL99" s="425"/>
      <c r="AM99" s="425"/>
      <c r="AN99" s="428"/>
      <c r="AO99" s="425"/>
      <c r="AP99" s="425"/>
      <c r="AQ99" s="425"/>
      <c r="AR99" s="425"/>
      <c r="AS99" s="425"/>
      <c r="AT99" s="425"/>
      <c r="AU99" s="425"/>
      <c r="AV99" s="425"/>
      <c r="AW99" s="425"/>
      <c r="AX99" s="425"/>
      <c r="AY99" s="425"/>
      <c r="AZ99" s="425"/>
      <c r="BA99" s="425"/>
      <c r="BB99" s="425"/>
      <c r="BC99" s="425"/>
      <c r="BD99" s="425"/>
      <c r="BE99" s="425"/>
      <c r="BF99" s="425"/>
      <c r="BG99" s="426"/>
      <c r="BH99" s="425"/>
      <c r="BI99" s="425"/>
      <c r="BJ99" s="425"/>
      <c r="BK99" s="425"/>
      <c r="BL99" s="425"/>
      <c r="BM99" s="425"/>
      <c r="BN99" s="425"/>
      <c r="BO99" s="425"/>
      <c r="BP99" s="425"/>
      <c r="BQ99" s="425"/>
      <c r="BR99" s="425"/>
      <c r="BS99" s="425"/>
      <c r="BT99" s="425"/>
      <c r="BU99" s="425"/>
      <c r="BV99" s="425"/>
      <c r="BW99" s="425"/>
      <c r="BX99" s="425"/>
      <c r="BY99" s="425"/>
      <c r="BZ99" s="425"/>
      <c r="CA99" s="425"/>
      <c r="CB99" s="425"/>
      <c r="CC99" s="425"/>
      <c r="CD99" s="425"/>
      <c r="CE99" s="425"/>
      <c r="CF99" s="425"/>
      <c r="CG99" s="425"/>
      <c r="CH99" s="425"/>
      <c r="CI99" s="425"/>
      <c r="CJ99" s="425"/>
    </row>
    <row r="100" spans="1:88">
      <c r="A100" s="554"/>
      <c r="B100" s="579"/>
      <c r="C100" s="579"/>
      <c r="D100" s="579"/>
      <c r="E100" s="579"/>
      <c r="F100" s="579"/>
      <c r="G100" s="579"/>
      <c r="H100" s="577"/>
      <c r="I100" s="577"/>
      <c r="J100" s="577"/>
      <c r="K100" s="577"/>
      <c r="L100" s="577"/>
      <c r="M100" s="577"/>
      <c r="N100" s="578"/>
      <c r="O100" s="577"/>
      <c r="P100" s="577"/>
      <c r="Q100" s="577"/>
      <c r="R100" s="577"/>
      <c r="S100" s="549"/>
      <c r="T100" s="549"/>
      <c r="U100" s="424"/>
      <c r="V100" s="425"/>
      <c r="W100" s="425"/>
      <c r="X100" s="425"/>
      <c r="Y100" s="425"/>
      <c r="Z100" s="425"/>
      <c r="AA100" s="425"/>
      <c r="AH100" s="425"/>
      <c r="AI100" s="425"/>
      <c r="AJ100" s="425"/>
      <c r="AK100" s="425"/>
      <c r="AL100" s="425"/>
      <c r="AM100" s="425"/>
      <c r="AN100" s="428"/>
      <c r="AO100" s="425"/>
      <c r="AP100" s="425"/>
      <c r="AQ100" s="425"/>
      <c r="AR100" s="425"/>
      <c r="AS100" s="425"/>
      <c r="AT100" s="425"/>
      <c r="AU100" s="425"/>
      <c r="AV100" s="425"/>
      <c r="AW100" s="425"/>
      <c r="AX100" s="425"/>
      <c r="AY100" s="425"/>
      <c r="AZ100" s="425"/>
      <c r="BA100" s="425"/>
      <c r="BB100" s="425"/>
      <c r="BC100" s="425"/>
      <c r="BD100" s="425"/>
      <c r="BE100" s="425"/>
      <c r="BF100" s="425"/>
      <c r="BG100" s="426"/>
      <c r="BH100" s="425"/>
      <c r="BI100" s="425"/>
      <c r="BJ100" s="425"/>
      <c r="BK100" s="425"/>
      <c r="BL100" s="425"/>
      <c r="BM100" s="425"/>
      <c r="BN100" s="425"/>
      <c r="BO100" s="425"/>
      <c r="BP100" s="425"/>
      <c r="BQ100" s="425"/>
      <c r="BR100" s="425"/>
      <c r="BS100" s="425"/>
      <c r="BT100" s="425"/>
      <c r="BU100" s="425"/>
      <c r="BV100" s="425"/>
      <c r="BW100" s="425"/>
      <c r="BX100" s="425"/>
      <c r="BY100" s="425"/>
      <c r="BZ100" s="425"/>
      <c r="CA100" s="425"/>
      <c r="CB100" s="425"/>
      <c r="CC100" s="425"/>
      <c r="CD100" s="425"/>
      <c r="CE100" s="425"/>
      <c r="CF100" s="425"/>
      <c r="CG100" s="425"/>
      <c r="CH100" s="425"/>
      <c r="CI100" s="425"/>
      <c r="CJ100" s="425"/>
    </row>
    <row r="101" spans="1:88">
      <c r="A101" s="554"/>
      <c r="B101" s="579"/>
      <c r="C101" s="579"/>
      <c r="D101" s="579"/>
      <c r="E101" s="579"/>
      <c r="F101" s="579"/>
      <c r="G101" s="579"/>
      <c r="H101" s="577"/>
      <c r="I101" s="577"/>
      <c r="J101" s="577"/>
      <c r="K101" s="577"/>
      <c r="L101" s="577"/>
      <c r="M101" s="577"/>
      <c r="N101" s="578"/>
      <c r="O101" s="577"/>
      <c r="P101" s="577"/>
      <c r="Q101" s="577"/>
      <c r="R101" s="577"/>
      <c r="S101" s="549"/>
      <c r="T101" s="549"/>
      <c r="U101" s="424"/>
      <c r="V101" s="425"/>
      <c r="W101" s="425"/>
      <c r="X101" s="425"/>
      <c r="Y101" s="425"/>
      <c r="Z101" s="425"/>
      <c r="AA101" s="425"/>
      <c r="AH101" s="425"/>
      <c r="AI101" s="425"/>
      <c r="AJ101" s="425"/>
      <c r="AK101" s="425"/>
      <c r="AL101" s="425"/>
      <c r="AM101" s="425"/>
      <c r="AN101" s="428"/>
      <c r="AO101" s="425"/>
      <c r="AP101" s="425"/>
      <c r="AQ101" s="425"/>
      <c r="AR101" s="425"/>
      <c r="AS101" s="425"/>
      <c r="AT101" s="425"/>
      <c r="AU101" s="425"/>
      <c r="AV101" s="425"/>
      <c r="AW101" s="425"/>
      <c r="AX101" s="425"/>
      <c r="AY101" s="425"/>
      <c r="AZ101" s="425"/>
      <c r="BA101" s="425"/>
      <c r="BB101" s="425"/>
      <c r="BC101" s="425"/>
      <c r="BD101" s="425"/>
      <c r="BE101" s="425"/>
      <c r="BF101" s="425"/>
      <c r="BG101" s="426"/>
      <c r="BH101" s="425"/>
      <c r="BI101" s="425"/>
      <c r="BJ101" s="425"/>
      <c r="BK101" s="425"/>
      <c r="BL101" s="425"/>
      <c r="BM101" s="425"/>
      <c r="BN101" s="425"/>
      <c r="BO101" s="425"/>
      <c r="BP101" s="425"/>
      <c r="BQ101" s="425"/>
      <c r="BR101" s="425"/>
      <c r="BS101" s="425"/>
      <c r="BT101" s="425"/>
      <c r="BU101" s="425"/>
      <c r="BV101" s="425"/>
      <c r="BW101" s="425"/>
      <c r="BX101" s="425"/>
      <c r="BY101" s="425"/>
      <c r="BZ101" s="425"/>
      <c r="CA101" s="425"/>
      <c r="CB101" s="425"/>
      <c r="CC101" s="425"/>
      <c r="CD101" s="425"/>
      <c r="CE101" s="425"/>
      <c r="CF101" s="425"/>
      <c r="CG101" s="425"/>
      <c r="CH101" s="425"/>
      <c r="CI101" s="425"/>
      <c r="CJ101" s="425"/>
    </row>
    <row r="102" spans="1:88">
      <c r="A102" s="554"/>
      <c r="B102" s="579"/>
      <c r="C102" s="579"/>
      <c r="D102" s="579"/>
      <c r="E102" s="579"/>
      <c r="F102" s="579"/>
      <c r="G102" s="579"/>
      <c r="H102" s="577"/>
      <c r="I102" s="577"/>
      <c r="J102" s="577"/>
      <c r="K102" s="577"/>
      <c r="L102" s="577"/>
      <c r="M102" s="577"/>
      <c r="N102" s="578"/>
      <c r="O102" s="577"/>
      <c r="P102" s="577"/>
      <c r="Q102" s="577"/>
      <c r="R102" s="577"/>
      <c r="S102" s="549"/>
      <c r="T102" s="549"/>
      <c r="U102" s="424"/>
      <c r="V102" s="425"/>
      <c r="W102" s="425"/>
      <c r="X102" s="425"/>
      <c r="Y102" s="425"/>
      <c r="Z102" s="425"/>
      <c r="AA102" s="425"/>
      <c r="AH102" s="425"/>
      <c r="AI102" s="425"/>
      <c r="AJ102" s="425"/>
      <c r="AK102" s="425"/>
      <c r="AL102" s="425"/>
      <c r="AM102" s="425"/>
      <c r="AN102" s="428"/>
      <c r="AO102" s="425"/>
      <c r="AP102" s="425"/>
      <c r="AQ102" s="425"/>
      <c r="AR102" s="425"/>
      <c r="AS102" s="425"/>
      <c r="AT102" s="425"/>
      <c r="AU102" s="425"/>
      <c r="AV102" s="425"/>
      <c r="AW102" s="425"/>
      <c r="AX102" s="425"/>
      <c r="AY102" s="425"/>
      <c r="AZ102" s="425"/>
      <c r="BA102" s="425"/>
      <c r="BB102" s="425"/>
      <c r="BC102" s="425"/>
      <c r="BD102" s="425"/>
      <c r="BE102" s="425"/>
      <c r="BF102" s="425"/>
      <c r="BG102" s="426"/>
      <c r="BH102" s="425"/>
      <c r="BI102" s="425"/>
      <c r="BJ102" s="425"/>
      <c r="BK102" s="425"/>
      <c r="BL102" s="425"/>
      <c r="BM102" s="425"/>
      <c r="BN102" s="425"/>
      <c r="BO102" s="425"/>
      <c r="BP102" s="425"/>
      <c r="BQ102" s="425"/>
      <c r="BR102" s="425"/>
      <c r="BS102" s="425"/>
      <c r="BT102" s="425"/>
      <c r="BU102" s="425"/>
      <c r="BV102" s="425"/>
      <c r="BW102" s="425"/>
      <c r="BX102" s="425"/>
      <c r="BY102" s="425"/>
      <c r="BZ102" s="425"/>
      <c r="CA102" s="425"/>
      <c r="CB102" s="425"/>
      <c r="CC102" s="425"/>
      <c r="CD102" s="425"/>
      <c r="CE102" s="425"/>
      <c r="CF102" s="425"/>
      <c r="CG102" s="425"/>
      <c r="CH102" s="425"/>
      <c r="CI102" s="425"/>
      <c r="CJ102" s="425"/>
    </row>
    <row r="103" spans="1:88">
      <c r="A103" s="554"/>
      <c r="B103" s="579"/>
      <c r="C103" s="579"/>
      <c r="D103" s="579"/>
      <c r="E103" s="579"/>
      <c r="F103" s="579"/>
      <c r="G103" s="579"/>
      <c r="H103" s="577"/>
      <c r="I103" s="577"/>
      <c r="J103" s="577"/>
      <c r="K103" s="577"/>
      <c r="L103" s="577"/>
      <c r="M103" s="577"/>
      <c r="N103" s="578"/>
      <c r="O103" s="577"/>
      <c r="P103" s="577"/>
      <c r="Q103" s="577"/>
      <c r="R103" s="577"/>
      <c r="S103" s="549"/>
      <c r="T103" s="549"/>
      <c r="U103" s="424"/>
      <c r="V103" s="425"/>
      <c r="W103" s="425"/>
      <c r="X103" s="425"/>
      <c r="Y103" s="425"/>
      <c r="Z103" s="425"/>
      <c r="AA103" s="425"/>
      <c r="AH103" s="425"/>
      <c r="AI103" s="425"/>
      <c r="AJ103" s="425"/>
      <c r="AK103" s="425"/>
      <c r="AL103" s="425"/>
      <c r="AM103" s="425"/>
      <c r="AN103" s="428"/>
      <c r="AO103" s="425"/>
      <c r="AP103" s="425"/>
      <c r="AQ103" s="425"/>
      <c r="AR103" s="425"/>
      <c r="AS103" s="425"/>
      <c r="AT103" s="425"/>
      <c r="AU103" s="425"/>
      <c r="AV103" s="425"/>
      <c r="AW103" s="425"/>
      <c r="AX103" s="425"/>
      <c r="AY103" s="425"/>
      <c r="AZ103" s="425"/>
      <c r="BA103" s="425"/>
      <c r="BB103" s="425"/>
      <c r="BC103" s="425"/>
      <c r="BD103" s="425"/>
      <c r="BE103" s="425"/>
      <c r="BF103" s="425"/>
      <c r="BG103" s="426"/>
      <c r="BH103" s="425"/>
      <c r="BI103" s="425"/>
      <c r="BJ103" s="425"/>
      <c r="BK103" s="425"/>
      <c r="BL103" s="425"/>
      <c r="BM103" s="425"/>
      <c r="BN103" s="425"/>
      <c r="BO103" s="425"/>
      <c r="BP103" s="425"/>
      <c r="BQ103" s="425"/>
      <c r="BR103" s="425"/>
      <c r="BS103" s="425"/>
      <c r="BT103" s="425"/>
      <c r="BU103" s="425"/>
      <c r="BV103" s="425"/>
      <c r="BW103" s="425"/>
      <c r="BX103" s="425"/>
      <c r="BY103" s="425"/>
      <c r="BZ103" s="425"/>
      <c r="CA103" s="425"/>
      <c r="CB103" s="425"/>
      <c r="CC103" s="425"/>
      <c r="CD103" s="425"/>
      <c r="CE103" s="425"/>
      <c r="CF103" s="425"/>
      <c r="CG103" s="425"/>
      <c r="CH103" s="425"/>
      <c r="CI103" s="425"/>
      <c r="CJ103" s="425"/>
    </row>
    <row r="104" spans="1:88">
      <c r="A104" s="554"/>
      <c r="B104" s="579"/>
      <c r="C104" s="579"/>
      <c r="D104" s="579"/>
      <c r="E104" s="579"/>
      <c r="F104" s="579"/>
      <c r="G104" s="579"/>
      <c r="H104" s="577"/>
      <c r="I104" s="577"/>
      <c r="J104" s="577"/>
      <c r="K104" s="577"/>
      <c r="L104" s="577"/>
      <c r="M104" s="577"/>
      <c r="N104" s="578"/>
      <c r="O104" s="577"/>
      <c r="P104" s="577"/>
      <c r="Q104" s="577"/>
      <c r="R104" s="577"/>
      <c r="S104" s="549"/>
      <c r="T104" s="549"/>
      <c r="U104" s="424"/>
      <c r="V104" s="425"/>
      <c r="W104" s="425"/>
      <c r="X104" s="425"/>
      <c r="Y104" s="425"/>
      <c r="Z104" s="425"/>
      <c r="AA104" s="425"/>
      <c r="AH104" s="425"/>
      <c r="AI104" s="425"/>
      <c r="AJ104" s="425"/>
      <c r="AK104" s="425"/>
      <c r="AL104" s="425"/>
      <c r="AM104" s="425"/>
      <c r="AN104" s="428"/>
      <c r="AO104" s="425"/>
      <c r="AP104" s="425"/>
      <c r="AQ104" s="425"/>
      <c r="AR104" s="425"/>
      <c r="AS104" s="425"/>
      <c r="AT104" s="425"/>
      <c r="AU104" s="425"/>
      <c r="AV104" s="425"/>
      <c r="AW104" s="425"/>
      <c r="AX104" s="425"/>
      <c r="AY104" s="425"/>
      <c r="AZ104" s="425"/>
      <c r="BA104" s="425"/>
      <c r="BB104" s="425"/>
      <c r="BC104" s="425"/>
      <c r="BD104" s="425"/>
      <c r="BE104" s="425"/>
      <c r="BF104" s="425"/>
      <c r="BG104" s="426"/>
      <c r="BH104" s="425"/>
      <c r="BI104" s="425"/>
      <c r="BJ104" s="425"/>
      <c r="BK104" s="425"/>
      <c r="BL104" s="425"/>
      <c r="BM104" s="425"/>
      <c r="BN104" s="425"/>
      <c r="BO104" s="425"/>
      <c r="BP104" s="425"/>
      <c r="BQ104" s="425"/>
      <c r="BR104" s="425"/>
      <c r="BS104" s="425"/>
      <c r="BT104" s="425"/>
      <c r="BU104" s="425"/>
      <c r="BV104" s="425"/>
      <c r="BW104" s="425"/>
      <c r="BX104" s="425"/>
      <c r="BY104" s="425"/>
      <c r="BZ104" s="425"/>
      <c r="CA104" s="425"/>
      <c r="CB104" s="425"/>
      <c r="CC104" s="425"/>
      <c r="CD104" s="425"/>
      <c r="CE104" s="425"/>
      <c r="CF104" s="425"/>
      <c r="CG104" s="425"/>
      <c r="CH104" s="425"/>
      <c r="CI104" s="425"/>
      <c r="CJ104" s="425"/>
    </row>
    <row r="105" spans="1:88">
      <c r="A105" s="554"/>
      <c r="B105" s="579"/>
      <c r="C105" s="579"/>
      <c r="D105" s="579"/>
      <c r="E105" s="579"/>
      <c r="F105" s="579"/>
      <c r="G105" s="579"/>
      <c r="H105" s="577"/>
      <c r="I105" s="577"/>
      <c r="J105" s="577"/>
      <c r="K105" s="577"/>
      <c r="L105" s="577"/>
      <c r="M105" s="577"/>
      <c r="N105" s="578"/>
      <c r="O105" s="577"/>
      <c r="P105" s="577"/>
      <c r="Q105" s="577"/>
      <c r="R105" s="577"/>
      <c r="S105" s="549"/>
      <c r="T105" s="549"/>
      <c r="U105" s="424"/>
      <c r="V105" s="425"/>
      <c r="W105" s="425"/>
      <c r="X105" s="425"/>
      <c r="Y105" s="425"/>
      <c r="Z105" s="425"/>
      <c r="AA105" s="425"/>
      <c r="AH105" s="425"/>
      <c r="AI105" s="425"/>
      <c r="AJ105" s="425"/>
      <c r="AK105" s="425"/>
      <c r="AL105" s="425"/>
      <c r="AM105" s="425"/>
      <c r="AN105" s="428"/>
      <c r="AO105" s="425"/>
      <c r="AP105" s="425"/>
      <c r="AQ105" s="425"/>
      <c r="AR105" s="425"/>
      <c r="AS105" s="425"/>
      <c r="AT105" s="425"/>
      <c r="AU105" s="425"/>
      <c r="AV105" s="425"/>
      <c r="AW105" s="425"/>
      <c r="AX105" s="425"/>
      <c r="AY105" s="425"/>
      <c r="AZ105" s="425"/>
      <c r="BA105" s="425"/>
      <c r="BB105" s="425"/>
      <c r="BC105" s="425"/>
      <c r="BD105" s="425"/>
      <c r="BE105" s="425"/>
      <c r="BF105" s="425"/>
      <c r="BG105" s="426"/>
      <c r="BH105" s="425"/>
      <c r="BI105" s="425"/>
      <c r="BJ105" s="425"/>
      <c r="BK105" s="425"/>
      <c r="BL105" s="425"/>
      <c r="BM105" s="425"/>
      <c r="BN105" s="425"/>
      <c r="BO105" s="425"/>
      <c r="BP105" s="425"/>
      <c r="BQ105" s="425"/>
      <c r="BR105" s="425"/>
      <c r="BS105" s="425"/>
      <c r="BT105" s="425"/>
      <c r="BU105" s="425"/>
      <c r="BV105" s="425"/>
      <c r="BW105" s="425"/>
      <c r="BX105" s="425"/>
      <c r="BY105" s="425"/>
      <c r="BZ105" s="425"/>
      <c r="CA105" s="425"/>
      <c r="CB105" s="425"/>
      <c r="CC105" s="425"/>
      <c r="CD105" s="425"/>
      <c r="CE105" s="425"/>
      <c r="CF105" s="425"/>
      <c r="CG105" s="425"/>
      <c r="CH105" s="425"/>
      <c r="CI105" s="425"/>
      <c r="CJ105" s="425"/>
    </row>
    <row r="106" spans="1:88">
      <c r="A106" s="554"/>
      <c r="B106" s="579"/>
      <c r="C106" s="579"/>
      <c r="D106" s="579"/>
      <c r="E106" s="579"/>
      <c r="F106" s="579"/>
      <c r="G106" s="579"/>
      <c r="H106" s="577"/>
      <c r="I106" s="577"/>
      <c r="J106" s="577"/>
      <c r="K106" s="577"/>
      <c r="L106" s="577"/>
      <c r="M106" s="577"/>
      <c r="N106" s="578"/>
      <c r="O106" s="577"/>
      <c r="P106" s="577"/>
      <c r="Q106" s="577"/>
      <c r="R106" s="577"/>
      <c r="S106" s="549"/>
      <c r="T106" s="549"/>
      <c r="U106" s="424"/>
      <c r="V106" s="425"/>
      <c r="W106" s="425"/>
      <c r="X106" s="425"/>
      <c r="Y106" s="425"/>
      <c r="Z106" s="425"/>
      <c r="AA106" s="425"/>
      <c r="AH106" s="425"/>
      <c r="AI106" s="425"/>
      <c r="AJ106" s="425"/>
      <c r="AK106" s="425"/>
      <c r="AL106" s="425"/>
      <c r="AM106" s="425"/>
      <c r="AN106" s="428"/>
      <c r="AO106" s="425"/>
      <c r="AP106" s="425"/>
      <c r="AQ106" s="425"/>
      <c r="AR106" s="425"/>
      <c r="AS106" s="425"/>
      <c r="AT106" s="425"/>
      <c r="AU106" s="425"/>
      <c r="AV106" s="425"/>
      <c r="AW106" s="425"/>
      <c r="AX106" s="425"/>
      <c r="AY106" s="425"/>
      <c r="AZ106" s="425"/>
      <c r="BA106" s="425"/>
      <c r="BB106" s="425"/>
      <c r="BC106" s="425"/>
      <c r="BD106" s="425"/>
      <c r="BE106" s="425"/>
      <c r="BF106" s="425"/>
      <c r="BG106" s="426"/>
      <c r="BH106" s="425"/>
      <c r="BI106" s="425"/>
      <c r="BJ106" s="425"/>
      <c r="BK106" s="425"/>
      <c r="BL106" s="425"/>
      <c r="BM106" s="425"/>
      <c r="BN106" s="425"/>
      <c r="BO106" s="425"/>
      <c r="BP106" s="425"/>
      <c r="BQ106" s="425"/>
      <c r="BR106" s="425"/>
      <c r="BS106" s="425"/>
      <c r="BT106" s="425"/>
      <c r="BU106" s="425"/>
      <c r="BV106" s="425"/>
      <c r="BW106" s="425"/>
      <c r="BX106" s="425"/>
      <c r="BY106" s="425"/>
      <c r="BZ106" s="425"/>
      <c r="CA106" s="425"/>
      <c r="CB106" s="425"/>
      <c r="CC106" s="425"/>
      <c r="CD106" s="425"/>
      <c r="CE106" s="425"/>
      <c r="CF106" s="425"/>
      <c r="CG106" s="425"/>
      <c r="CH106" s="425"/>
      <c r="CI106" s="425"/>
      <c r="CJ106" s="425"/>
    </row>
    <row r="107" spans="1:88">
      <c r="A107" s="554"/>
      <c r="B107" s="579"/>
      <c r="C107" s="579"/>
      <c r="D107" s="579"/>
      <c r="E107" s="579"/>
      <c r="F107" s="579"/>
      <c r="G107" s="579"/>
      <c r="H107" s="577"/>
      <c r="I107" s="577"/>
      <c r="J107" s="577"/>
      <c r="K107" s="577"/>
      <c r="L107" s="577"/>
      <c r="M107" s="577"/>
      <c r="N107" s="578"/>
      <c r="O107" s="577"/>
      <c r="P107" s="577"/>
      <c r="Q107" s="577"/>
      <c r="R107" s="577"/>
      <c r="S107" s="549"/>
      <c r="T107" s="549"/>
      <c r="U107" s="424"/>
      <c r="V107" s="425"/>
      <c r="W107" s="425"/>
      <c r="X107" s="425"/>
      <c r="Y107" s="425"/>
      <c r="Z107" s="425"/>
      <c r="AA107" s="425"/>
      <c r="AH107" s="425"/>
      <c r="AI107" s="425"/>
      <c r="AJ107" s="425"/>
      <c r="AK107" s="425"/>
      <c r="AL107" s="425"/>
      <c r="AM107" s="425"/>
      <c r="AN107" s="428"/>
      <c r="AO107" s="425"/>
      <c r="AP107" s="425"/>
      <c r="AQ107" s="425"/>
      <c r="AR107" s="425"/>
      <c r="AS107" s="425"/>
      <c r="AT107" s="425"/>
      <c r="AU107" s="425"/>
      <c r="AV107" s="425"/>
      <c r="AW107" s="425"/>
      <c r="AX107" s="425"/>
      <c r="AY107" s="425"/>
      <c r="AZ107" s="425"/>
      <c r="BA107" s="425"/>
      <c r="BB107" s="425"/>
      <c r="BC107" s="425"/>
      <c r="BD107" s="425"/>
      <c r="BE107" s="425"/>
      <c r="BF107" s="425"/>
      <c r="BG107" s="426"/>
      <c r="BH107" s="425"/>
      <c r="BI107" s="425"/>
      <c r="BJ107" s="425"/>
      <c r="BK107" s="425"/>
      <c r="BL107" s="425"/>
      <c r="BM107" s="425"/>
      <c r="BN107" s="425"/>
      <c r="BO107" s="425"/>
      <c r="BP107" s="425"/>
      <c r="BQ107" s="425"/>
      <c r="BR107" s="425"/>
      <c r="BS107" s="425"/>
      <c r="BT107" s="425"/>
      <c r="BU107" s="425"/>
      <c r="BV107" s="425"/>
      <c r="BW107" s="425"/>
      <c r="BX107" s="425"/>
      <c r="BY107" s="425"/>
      <c r="BZ107" s="425"/>
      <c r="CA107" s="425"/>
      <c r="CB107" s="425"/>
      <c r="CC107" s="425"/>
      <c r="CD107" s="425"/>
      <c r="CE107" s="425"/>
      <c r="CF107" s="425"/>
      <c r="CG107" s="425"/>
      <c r="CH107" s="425"/>
      <c r="CI107" s="425"/>
      <c r="CJ107" s="425"/>
    </row>
    <row r="108" spans="1:88">
      <c r="A108" s="554"/>
      <c r="B108" s="579"/>
      <c r="C108" s="579"/>
      <c r="D108" s="579"/>
      <c r="E108" s="579"/>
      <c r="F108" s="579"/>
      <c r="G108" s="579"/>
      <c r="H108" s="577"/>
      <c r="I108" s="577"/>
      <c r="J108" s="577"/>
      <c r="K108" s="577"/>
      <c r="L108" s="577"/>
      <c r="M108" s="577"/>
      <c r="N108" s="578"/>
      <c r="O108" s="577"/>
      <c r="P108" s="577"/>
      <c r="Q108" s="577"/>
      <c r="R108" s="577"/>
      <c r="S108" s="549"/>
      <c r="T108" s="549"/>
      <c r="U108" s="424"/>
      <c r="V108" s="425"/>
      <c r="W108" s="425"/>
      <c r="X108" s="425"/>
      <c r="Y108" s="425"/>
      <c r="Z108" s="425"/>
      <c r="AA108" s="425"/>
      <c r="AH108" s="425"/>
      <c r="AI108" s="425"/>
      <c r="AJ108" s="425"/>
      <c r="AK108" s="425"/>
      <c r="AL108" s="425"/>
      <c r="AM108" s="425"/>
      <c r="AN108" s="428"/>
      <c r="AO108" s="425"/>
      <c r="AP108" s="425"/>
      <c r="AQ108" s="425"/>
      <c r="AR108" s="425"/>
      <c r="AS108" s="425"/>
      <c r="AT108" s="425"/>
      <c r="AU108" s="425"/>
      <c r="AV108" s="425"/>
      <c r="AW108" s="425"/>
      <c r="AX108" s="425"/>
      <c r="AY108" s="425"/>
      <c r="AZ108" s="425"/>
      <c r="BA108" s="425"/>
      <c r="BB108" s="425"/>
      <c r="BC108" s="425"/>
      <c r="BD108" s="425"/>
      <c r="BE108" s="425"/>
      <c r="BF108" s="425"/>
      <c r="BG108" s="426"/>
      <c r="BH108" s="425"/>
      <c r="BI108" s="425"/>
      <c r="BJ108" s="425"/>
      <c r="BK108" s="425"/>
      <c r="BL108" s="425"/>
      <c r="BM108" s="425"/>
      <c r="BN108" s="425"/>
      <c r="BO108" s="425"/>
      <c r="BP108" s="425"/>
      <c r="BQ108" s="425"/>
      <c r="BR108" s="425"/>
      <c r="BS108" s="425"/>
      <c r="BT108" s="425"/>
      <c r="BU108" s="425"/>
      <c r="BV108" s="425"/>
      <c r="BW108" s="425"/>
      <c r="BX108" s="425"/>
      <c r="BY108" s="425"/>
      <c r="BZ108" s="425"/>
      <c r="CA108" s="425"/>
      <c r="CB108" s="425"/>
      <c r="CC108" s="425"/>
      <c r="CD108" s="425"/>
      <c r="CE108" s="425"/>
      <c r="CF108" s="425"/>
      <c r="CG108" s="425"/>
      <c r="CH108" s="425"/>
      <c r="CI108" s="425"/>
      <c r="CJ108" s="425"/>
    </row>
    <row r="109" spans="1:88">
      <c r="A109" s="554"/>
      <c r="B109" s="579"/>
      <c r="C109" s="579"/>
      <c r="D109" s="579"/>
      <c r="E109" s="579"/>
      <c r="F109" s="579"/>
      <c r="G109" s="579"/>
      <c r="H109" s="577"/>
      <c r="I109" s="577"/>
      <c r="J109" s="577"/>
      <c r="K109" s="577"/>
      <c r="L109" s="577"/>
      <c r="M109" s="577"/>
      <c r="N109" s="578"/>
      <c r="O109" s="577"/>
      <c r="P109" s="577"/>
      <c r="Q109" s="577"/>
      <c r="R109" s="577"/>
      <c r="S109" s="549"/>
      <c r="T109" s="549"/>
      <c r="U109" s="424"/>
      <c r="V109" s="425"/>
      <c r="W109" s="425"/>
      <c r="X109" s="425"/>
      <c r="Y109" s="425"/>
      <c r="Z109" s="425"/>
      <c r="AA109" s="425"/>
      <c r="AH109" s="425"/>
      <c r="AI109" s="425"/>
      <c r="AJ109" s="425"/>
      <c r="AK109" s="425"/>
      <c r="AL109" s="425"/>
      <c r="AM109" s="425"/>
      <c r="AN109" s="428"/>
      <c r="AO109" s="425"/>
      <c r="AP109" s="425"/>
      <c r="AQ109" s="425"/>
      <c r="AR109" s="425"/>
      <c r="AS109" s="425"/>
      <c r="AT109" s="425"/>
      <c r="AU109" s="425"/>
      <c r="AV109" s="425"/>
      <c r="AW109" s="425"/>
      <c r="AX109" s="425"/>
      <c r="AY109" s="425"/>
      <c r="AZ109" s="425"/>
      <c r="BA109" s="425"/>
      <c r="BB109" s="425"/>
      <c r="BC109" s="425"/>
      <c r="BD109" s="425"/>
      <c r="BE109" s="425"/>
      <c r="BF109" s="425"/>
      <c r="BG109" s="426"/>
      <c r="BH109" s="425"/>
      <c r="BI109" s="425"/>
      <c r="BJ109" s="425"/>
      <c r="BK109" s="425"/>
      <c r="BL109" s="425"/>
      <c r="BM109" s="425"/>
      <c r="BN109" s="425"/>
      <c r="BO109" s="425"/>
      <c r="BP109" s="425"/>
      <c r="BQ109" s="425"/>
      <c r="BR109" s="425"/>
      <c r="BS109" s="425"/>
      <c r="BT109" s="425"/>
      <c r="BU109" s="425"/>
      <c r="BV109" s="425"/>
      <c r="BW109" s="425"/>
      <c r="BX109" s="425"/>
      <c r="BY109" s="425"/>
      <c r="BZ109" s="425"/>
      <c r="CA109" s="425"/>
      <c r="CB109" s="425"/>
      <c r="CC109" s="425"/>
      <c r="CD109" s="425"/>
      <c r="CE109" s="425"/>
      <c r="CF109" s="425"/>
      <c r="CG109" s="425"/>
      <c r="CH109" s="425"/>
      <c r="CI109" s="425"/>
      <c r="CJ109" s="425"/>
    </row>
    <row r="110" spans="1:88">
      <c r="A110" s="554"/>
      <c r="B110" s="579"/>
      <c r="C110" s="579"/>
      <c r="D110" s="579"/>
      <c r="E110" s="579"/>
      <c r="F110" s="579"/>
      <c r="G110" s="579"/>
      <c r="H110" s="577"/>
      <c r="I110" s="577"/>
      <c r="J110" s="577"/>
      <c r="K110" s="577"/>
      <c r="L110" s="577"/>
      <c r="M110" s="577"/>
      <c r="N110" s="578"/>
      <c r="O110" s="577"/>
      <c r="P110" s="577"/>
      <c r="Q110" s="577"/>
      <c r="R110" s="577"/>
      <c r="S110" s="549"/>
      <c r="T110" s="549"/>
      <c r="U110" s="424"/>
      <c r="V110" s="425"/>
      <c r="W110" s="425"/>
      <c r="X110" s="425"/>
      <c r="Y110" s="425"/>
      <c r="Z110" s="425"/>
      <c r="AA110" s="425"/>
      <c r="AH110" s="425"/>
      <c r="AI110" s="425"/>
      <c r="AJ110" s="425"/>
      <c r="AK110" s="425"/>
      <c r="AL110" s="425"/>
      <c r="AM110" s="425"/>
      <c r="AN110" s="428"/>
      <c r="AO110" s="425"/>
      <c r="AP110" s="425"/>
      <c r="AQ110" s="425"/>
      <c r="AR110" s="425"/>
      <c r="AS110" s="425"/>
      <c r="AT110" s="425"/>
      <c r="AU110" s="425"/>
      <c r="AV110" s="425"/>
      <c r="AW110" s="425"/>
      <c r="AX110" s="425"/>
      <c r="AY110" s="425"/>
      <c r="AZ110" s="425"/>
      <c r="BA110" s="425"/>
      <c r="BB110" s="425"/>
      <c r="BC110" s="425"/>
      <c r="BD110" s="425"/>
      <c r="BE110" s="425"/>
      <c r="BF110" s="425"/>
      <c r="BG110" s="426"/>
      <c r="BH110" s="425"/>
      <c r="BI110" s="425"/>
      <c r="BJ110" s="425"/>
      <c r="BK110" s="425"/>
      <c r="BL110" s="425"/>
      <c r="BM110" s="425"/>
      <c r="BN110" s="425"/>
      <c r="BO110" s="425"/>
      <c r="BP110" s="425"/>
      <c r="BQ110" s="425"/>
      <c r="BR110" s="425"/>
      <c r="BS110" s="425"/>
      <c r="BT110" s="425"/>
      <c r="BU110" s="425"/>
      <c r="BV110" s="425"/>
      <c r="BW110" s="425"/>
      <c r="BX110" s="425"/>
      <c r="BY110" s="425"/>
      <c r="BZ110" s="425"/>
      <c r="CA110" s="425"/>
      <c r="CB110" s="425"/>
      <c r="CC110" s="425"/>
      <c r="CD110" s="425"/>
      <c r="CE110" s="425"/>
      <c r="CF110" s="425"/>
      <c r="CG110" s="425"/>
      <c r="CH110" s="425"/>
      <c r="CI110" s="425"/>
      <c r="CJ110" s="425"/>
    </row>
    <row r="111" spans="1:88">
      <c r="A111" s="554"/>
      <c r="B111" s="579"/>
      <c r="C111" s="579"/>
      <c r="D111" s="579"/>
      <c r="E111" s="579"/>
      <c r="F111" s="579"/>
      <c r="G111" s="579"/>
      <c r="H111" s="577"/>
      <c r="I111" s="577"/>
      <c r="J111" s="577"/>
      <c r="K111" s="577"/>
      <c r="L111" s="577"/>
      <c r="M111" s="577"/>
      <c r="N111" s="578"/>
      <c r="O111" s="577"/>
      <c r="P111" s="577"/>
      <c r="Q111" s="577"/>
      <c r="R111" s="577"/>
      <c r="S111" s="549"/>
      <c r="T111" s="549"/>
      <c r="U111" s="424"/>
      <c r="V111" s="425"/>
      <c r="W111" s="425"/>
      <c r="X111" s="425"/>
      <c r="Y111" s="425"/>
      <c r="Z111" s="425"/>
      <c r="AA111" s="425"/>
      <c r="AH111" s="425"/>
      <c r="AI111" s="425"/>
      <c r="AJ111" s="425"/>
      <c r="AK111" s="425"/>
      <c r="AL111" s="425"/>
      <c r="AM111" s="425"/>
      <c r="AN111" s="428"/>
      <c r="AO111" s="425"/>
      <c r="AP111" s="425"/>
      <c r="AQ111" s="425"/>
      <c r="AR111" s="425"/>
      <c r="AS111" s="425"/>
      <c r="AT111" s="425"/>
      <c r="AU111" s="425"/>
      <c r="AV111" s="425"/>
      <c r="AW111" s="425"/>
      <c r="AX111" s="425"/>
      <c r="AY111" s="425"/>
      <c r="AZ111" s="425"/>
      <c r="BA111" s="425"/>
      <c r="BB111" s="425"/>
      <c r="BC111" s="425"/>
      <c r="BD111" s="425"/>
      <c r="BE111" s="425"/>
      <c r="BF111" s="425"/>
      <c r="BG111" s="426"/>
      <c r="BH111" s="425"/>
      <c r="BI111" s="425"/>
      <c r="BJ111" s="425"/>
      <c r="BK111" s="425"/>
      <c r="BL111" s="425"/>
      <c r="BM111" s="425"/>
      <c r="BN111" s="425"/>
      <c r="BO111" s="425"/>
      <c r="BP111" s="425"/>
      <c r="BQ111" s="425"/>
      <c r="BR111" s="425"/>
      <c r="BS111" s="425"/>
      <c r="BT111" s="425"/>
      <c r="BU111" s="425"/>
      <c r="BV111" s="425"/>
      <c r="BW111" s="425"/>
      <c r="BX111" s="425"/>
      <c r="BY111" s="425"/>
      <c r="BZ111" s="425"/>
      <c r="CA111" s="425"/>
      <c r="CB111" s="425"/>
      <c r="CC111" s="425"/>
      <c r="CD111" s="425"/>
      <c r="CE111" s="425"/>
      <c r="CF111" s="425"/>
      <c r="CG111" s="425"/>
      <c r="CH111" s="425"/>
      <c r="CI111" s="425"/>
      <c r="CJ111" s="425"/>
    </row>
    <row r="112" spans="1:88">
      <c r="A112" s="554"/>
      <c r="B112" s="579"/>
      <c r="C112" s="579"/>
      <c r="D112" s="579"/>
      <c r="E112" s="579"/>
      <c r="F112" s="579"/>
      <c r="G112" s="579"/>
      <c r="H112" s="577"/>
      <c r="I112" s="577"/>
      <c r="J112" s="577"/>
      <c r="K112" s="577"/>
      <c r="L112" s="577"/>
      <c r="M112" s="577"/>
      <c r="N112" s="578"/>
      <c r="O112" s="577"/>
      <c r="P112" s="577"/>
      <c r="Q112" s="577"/>
      <c r="R112" s="577"/>
      <c r="S112" s="549"/>
      <c r="T112" s="549"/>
      <c r="U112" s="424"/>
      <c r="V112" s="425"/>
      <c r="W112" s="425"/>
      <c r="X112" s="425"/>
      <c r="Y112" s="425"/>
      <c r="Z112" s="425"/>
      <c r="AA112" s="425"/>
      <c r="AH112" s="425"/>
      <c r="AI112" s="425"/>
      <c r="AJ112" s="425"/>
      <c r="AK112" s="425"/>
      <c r="AL112" s="425"/>
      <c r="AM112" s="425"/>
      <c r="AN112" s="428"/>
      <c r="AO112" s="425"/>
      <c r="AP112" s="425"/>
      <c r="AQ112" s="425"/>
      <c r="AR112" s="425"/>
      <c r="AS112" s="425"/>
      <c r="AT112" s="425"/>
      <c r="AU112" s="425"/>
      <c r="AV112" s="425"/>
      <c r="AW112" s="425"/>
      <c r="AX112" s="425"/>
      <c r="AY112" s="425"/>
      <c r="AZ112" s="425"/>
      <c r="BA112" s="425"/>
      <c r="BB112" s="425"/>
      <c r="BC112" s="425"/>
      <c r="BD112" s="425"/>
      <c r="BE112" s="425"/>
      <c r="BF112" s="425"/>
      <c r="BG112" s="426"/>
      <c r="BH112" s="425"/>
      <c r="BI112" s="425"/>
      <c r="BJ112" s="425"/>
      <c r="BK112" s="425"/>
      <c r="BL112" s="425"/>
      <c r="BM112" s="425"/>
      <c r="BN112" s="425"/>
      <c r="BO112" s="425"/>
      <c r="BP112" s="425"/>
      <c r="BQ112" s="425"/>
      <c r="BR112" s="425"/>
      <c r="BS112" s="425"/>
      <c r="BT112" s="425"/>
      <c r="BU112" s="425"/>
      <c r="BV112" s="425"/>
      <c r="BW112" s="425"/>
      <c r="BX112" s="425"/>
      <c r="BY112" s="425"/>
      <c r="BZ112" s="425"/>
      <c r="CA112" s="425"/>
      <c r="CB112" s="425"/>
      <c r="CC112" s="425"/>
      <c r="CD112" s="425"/>
      <c r="CE112" s="425"/>
      <c r="CF112" s="425"/>
      <c r="CG112" s="425"/>
      <c r="CH112" s="425"/>
      <c r="CI112" s="425"/>
      <c r="CJ112" s="425"/>
    </row>
    <row r="113" spans="1:88">
      <c r="A113" s="554"/>
      <c r="B113" s="579"/>
      <c r="C113" s="579"/>
      <c r="D113" s="579"/>
      <c r="E113" s="579"/>
      <c r="F113" s="579"/>
      <c r="G113" s="579"/>
      <c r="H113" s="577"/>
      <c r="I113" s="577"/>
      <c r="J113" s="577"/>
      <c r="K113" s="577"/>
      <c r="L113" s="577"/>
      <c r="M113" s="577"/>
      <c r="N113" s="578"/>
      <c r="O113" s="577"/>
      <c r="P113" s="577"/>
      <c r="Q113" s="577"/>
      <c r="R113" s="577"/>
      <c r="S113" s="549"/>
      <c r="T113" s="549"/>
      <c r="U113" s="424"/>
      <c r="V113" s="425"/>
      <c r="W113" s="425"/>
      <c r="X113" s="425"/>
      <c r="Y113" s="425"/>
      <c r="Z113" s="425"/>
      <c r="AA113" s="425"/>
      <c r="AH113" s="425"/>
      <c r="AI113" s="425"/>
      <c r="AJ113" s="425"/>
      <c r="AK113" s="425"/>
      <c r="AL113" s="425"/>
      <c r="AM113" s="425"/>
      <c r="AN113" s="428"/>
      <c r="AO113" s="425"/>
      <c r="AP113" s="425"/>
      <c r="AQ113" s="425"/>
      <c r="AR113" s="425"/>
      <c r="AS113" s="425"/>
      <c r="AT113" s="425"/>
      <c r="AU113" s="425"/>
      <c r="AV113" s="425"/>
      <c r="AW113" s="425"/>
      <c r="AX113" s="425"/>
      <c r="AY113" s="425"/>
      <c r="AZ113" s="425"/>
      <c r="BA113" s="425"/>
      <c r="BB113" s="425"/>
      <c r="BC113" s="425"/>
      <c r="BD113" s="425"/>
      <c r="BE113" s="425"/>
      <c r="BF113" s="425"/>
      <c r="BG113" s="426"/>
      <c r="BH113" s="425"/>
      <c r="BI113" s="425"/>
      <c r="BJ113" s="425"/>
      <c r="BK113" s="425"/>
      <c r="BL113" s="425"/>
      <c r="BM113" s="425"/>
      <c r="BN113" s="425"/>
      <c r="BO113" s="425"/>
      <c r="BP113" s="425"/>
      <c r="BQ113" s="425"/>
      <c r="BR113" s="425"/>
      <c r="BS113" s="425"/>
      <c r="BT113" s="425"/>
      <c r="BU113" s="425"/>
      <c r="BV113" s="425"/>
      <c r="BW113" s="425"/>
      <c r="BX113" s="425"/>
      <c r="BY113" s="425"/>
      <c r="BZ113" s="425"/>
      <c r="CA113" s="425"/>
      <c r="CB113" s="425"/>
      <c r="CC113" s="425"/>
      <c r="CD113" s="425"/>
      <c r="CE113" s="425"/>
      <c r="CF113" s="425"/>
      <c r="CG113" s="425"/>
      <c r="CH113" s="425"/>
      <c r="CI113" s="425"/>
      <c r="CJ113" s="425"/>
    </row>
    <row r="114" spans="1:88">
      <c r="A114" s="554"/>
      <c r="B114" s="579"/>
      <c r="C114" s="579"/>
      <c r="D114" s="579"/>
      <c r="E114" s="579"/>
      <c r="F114" s="579"/>
      <c r="G114" s="579"/>
      <c r="H114" s="577"/>
      <c r="I114" s="577"/>
      <c r="J114" s="577"/>
      <c r="K114" s="577"/>
      <c r="L114" s="577"/>
      <c r="M114" s="577"/>
      <c r="N114" s="578"/>
      <c r="O114" s="577"/>
      <c r="P114" s="577"/>
      <c r="Q114" s="577"/>
      <c r="R114" s="577"/>
      <c r="S114" s="549"/>
      <c r="T114" s="549"/>
      <c r="U114" s="424"/>
      <c r="V114" s="425"/>
      <c r="W114" s="425"/>
      <c r="X114" s="425"/>
      <c r="Y114" s="425"/>
      <c r="Z114" s="425"/>
      <c r="AA114" s="425"/>
      <c r="AH114" s="425"/>
      <c r="AI114" s="425"/>
      <c r="AJ114" s="425"/>
      <c r="AK114" s="425"/>
      <c r="AL114" s="425"/>
      <c r="AM114" s="425"/>
      <c r="AN114" s="428"/>
      <c r="AO114" s="425"/>
      <c r="AP114" s="425"/>
      <c r="AQ114" s="425"/>
      <c r="AR114" s="425"/>
      <c r="AS114" s="425"/>
      <c r="AT114" s="425"/>
      <c r="AU114" s="425"/>
      <c r="AV114" s="425"/>
      <c r="AW114" s="425"/>
      <c r="AX114" s="425"/>
      <c r="AY114" s="425"/>
      <c r="AZ114" s="425"/>
      <c r="BA114" s="425"/>
      <c r="BB114" s="425"/>
      <c r="BC114" s="425"/>
      <c r="BD114" s="425"/>
      <c r="BE114" s="425"/>
      <c r="BF114" s="425"/>
      <c r="BG114" s="426"/>
      <c r="BH114" s="425"/>
      <c r="BI114" s="425"/>
      <c r="BJ114" s="425"/>
      <c r="BK114" s="425"/>
      <c r="BL114" s="425"/>
      <c r="BM114" s="425"/>
      <c r="BN114" s="425"/>
      <c r="BO114" s="425"/>
      <c r="BP114" s="425"/>
      <c r="BQ114" s="425"/>
      <c r="BR114" s="425"/>
      <c r="BS114" s="425"/>
      <c r="BT114" s="425"/>
      <c r="BU114" s="425"/>
      <c r="BV114" s="425"/>
      <c r="BW114" s="425"/>
      <c r="BX114" s="425"/>
      <c r="BY114" s="425"/>
      <c r="BZ114" s="425"/>
      <c r="CA114" s="425"/>
      <c r="CB114" s="425"/>
      <c r="CC114" s="425"/>
      <c r="CD114" s="425"/>
      <c r="CE114" s="425"/>
      <c r="CF114" s="425"/>
      <c r="CG114" s="425"/>
      <c r="CH114" s="425"/>
      <c r="CI114" s="425"/>
      <c r="CJ114" s="425"/>
    </row>
    <row r="115" spans="1:88">
      <c r="A115" s="554"/>
      <c r="B115" s="579"/>
      <c r="C115" s="579"/>
      <c r="D115" s="579"/>
      <c r="E115" s="579"/>
      <c r="F115" s="579"/>
      <c r="G115" s="579"/>
      <c r="H115" s="577"/>
      <c r="I115" s="577"/>
      <c r="J115" s="577"/>
      <c r="K115" s="577"/>
      <c r="L115" s="577"/>
      <c r="M115" s="577"/>
      <c r="N115" s="578"/>
      <c r="O115" s="577"/>
      <c r="P115" s="577"/>
      <c r="Q115" s="577"/>
      <c r="R115" s="577"/>
      <c r="S115" s="549"/>
      <c r="T115" s="549"/>
      <c r="U115" s="424"/>
      <c r="V115" s="425"/>
      <c r="W115" s="425"/>
      <c r="X115" s="425"/>
      <c r="Y115" s="425"/>
      <c r="Z115" s="425"/>
      <c r="AA115" s="425"/>
      <c r="AH115" s="425"/>
      <c r="AI115" s="425"/>
      <c r="AJ115" s="425"/>
      <c r="AK115" s="425"/>
      <c r="AL115" s="425"/>
      <c r="AM115" s="425"/>
      <c r="AN115" s="428"/>
      <c r="AO115" s="425"/>
      <c r="AP115" s="425"/>
      <c r="AQ115" s="425"/>
      <c r="AR115" s="425"/>
      <c r="AS115" s="425"/>
      <c r="AT115" s="425"/>
      <c r="AU115" s="425"/>
      <c r="AV115" s="425"/>
      <c r="AW115" s="425"/>
      <c r="AX115" s="425"/>
      <c r="AY115" s="425"/>
      <c r="AZ115" s="425"/>
      <c r="BA115" s="425"/>
      <c r="BB115" s="425"/>
      <c r="BC115" s="425"/>
      <c r="BD115" s="425"/>
      <c r="BE115" s="425"/>
      <c r="BF115" s="425"/>
      <c r="BG115" s="426"/>
      <c r="BH115" s="425"/>
      <c r="BI115" s="425"/>
      <c r="BJ115" s="425"/>
      <c r="BK115" s="425"/>
      <c r="BL115" s="425"/>
      <c r="BM115" s="425"/>
      <c r="BN115" s="425"/>
      <c r="BO115" s="425"/>
      <c r="BP115" s="425"/>
      <c r="BQ115" s="425"/>
      <c r="BR115" s="425"/>
      <c r="BS115" s="425"/>
      <c r="BT115" s="425"/>
      <c r="BU115" s="425"/>
      <c r="BV115" s="425"/>
      <c r="BW115" s="425"/>
      <c r="BX115" s="425"/>
      <c r="BY115" s="425"/>
      <c r="BZ115" s="425"/>
      <c r="CA115" s="425"/>
      <c r="CB115" s="425"/>
      <c r="CC115" s="425"/>
      <c r="CD115" s="425"/>
      <c r="CE115" s="425"/>
      <c r="CF115" s="425"/>
      <c r="CG115" s="425"/>
      <c r="CH115" s="425"/>
      <c r="CI115" s="425"/>
      <c r="CJ115" s="425"/>
    </row>
    <row r="116" spans="1:88">
      <c r="A116" s="554"/>
      <c r="B116" s="579"/>
      <c r="C116" s="579"/>
      <c r="D116" s="579"/>
      <c r="E116" s="579"/>
      <c r="F116" s="579"/>
      <c r="G116" s="579"/>
      <c r="H116" s="577"/>
      <c r="I116" s="577"/>
      <c r="J116" s="577"/>
      <c r="K116" s="577"/>
      <c r="L116" s="577"/>
      <c r="M116" s="577"/>
      <c r="N116" s="578"/>
      <c r="O116" s="577"/>
      <c r="P116" s="577"/>
      <c r="Q116" s="577"/>
      <c r="R116" s="577"/>
      <c r="S116" s="549"/>
      <c r="T116" s="549"/>
      <c r="U116" s="424"/>
      <c r="V116" s="425"/>
      <c r="W116" s="425"/>
      <c r="X116" s="425"/>
      <c r="Y116" s="425"/>
      <c r="Z116" s="425"/>
      <c r="AA116" s="425"/>
      <c r="AH116" s="425"/>
      <c r="AI116" s="425"/>
      <c r="AJ116" s="425"/>
      <c r="AK116" s="425"/>
      <c r="AL116" s="425"/>
      <c r="AM116" s="425"/>
      <c r="AN116" s="428"/>
      <c r="AO116" s="425"/>
      <c r="AP116" s="425"/>
      <c r="AQ116" s="425"/>
      <c r="AR116" s="425"/>
      <c r="AS116" s="425"/>
      <c r="AT116" s="425"/>
      <c r="AU116" s="425"/>
      <c r="AV116" s="425"/>
      <c r="AW116" s="425"/>
      <c r="AX116" s="425"/>
      <c r="AY116" s="425"/>
      <c r="AZ116" s="425"/>
      <c r="BA116" s="425"/>
      <c r="BB116" s="425"/>
      <c r="BC116" s="425"/>
      <c r="BD116" s="425"/>
      <c r="BE116" s="425"/>
      <c r="BF116" s="425"/>
      <c r="BG116" s="426"/>
      <c r="BH116" s="425"/>
      <c r="BI116" s="425"/>
      <c r="BJ116" s="425"/>
      <c r="BK116" s="425"/>
      <c r="BL116" s="425"/>
      <c r="BM116" s="425"/>
      <c r="BN116" s="425"/>
      <c r="BO116" s="425"/>
      <c r="BP116" s="425"/>
      <c r="BQ116" s="425"/>
      <c r="BR116" s="425"/>
      <c r="BS116" s="425"/>
      <c r="BT116" s="425"/>
      <c r="BU116" s="425"/>
      <c r="BV116" s="425"/>
      <c r="BW116" s="425"/>
      <c r="BX116" s="425"/>
      <c r="BY116" s="425"/>
      <c r="BZ116" s="425"/>
      <c r="CA116" s="425"/>
      <c r="CB116" s="425"/>
      <c r="CC116" s="425"/>
      <c r="CD116" s="425"/>
      <c r="CE116" s="425"/>
      <c r="CF116" s="425"/>
      <c r="CG116" s="425"/>
      <c r="CH116" s="425"/>
      <c r="CI116" s="425"/>
      <c r="CJ116" s="425"/>
    </row>
    <row r="117" spans="1:88">
      <c r="A117" s="554"/>
      <c r="B117" s="579"/>
      <c r="C117" s="579"/>
      <c r="D117" s="579"/>
      <c r="E117" s="579"/>
      <c r="F117" s="579"/>
      <c r="G117" s="579"/>
      <c r="H117" s="577"/>
      <c r="I117" s="577"/>
      <c r="J117" s="577"/>
      <c r="K117" s="577"/>
      <c r="L117" s="577"/>
      <c r="M117" s="577"/>
      <c r="N117" s="578"/>
      <c r="O117" s="577"/>
      <c r="P117" s="577"/>
      <c r="Q117" s="577"/>
      <c r="R117" s="577"/>
      <c r="S117" s="549"/>
      <c r="T117" s="549"/>
      <c r="U117" s="424"/>
      <c r="V117" s="425"/>
      <c r="W117" s="425"/>
      <c r="X117" s="425"/>
      <c r="Y117" s="425"/>
      <c r="Z117" s="425"/>
      <c r="AA117" s="425"/>
      <c r="AH117" s="425"/>
      <c r="AI117" s="425"/>
      <c r="AJ117" s="425"/>
      <c r="AK117" s="425"/>
      <c r="AL117" s="425"/>
      <c r="AM117" s="425"/>
      <c r="AN117" s="428"/>
      <c r="AO117" s="425"/>
      <c r="AP117" s="425"/>
      <c r="AQ117" s="425"/>
      <c r="AR117" s="425"/>
      <c r="AS117" s="425"/>
      <c r="AT117" s="425"/>
      <c r="AU117" s="425"/>
      <c r="AV117" s="425"/>
      <c r="AW117" s="425"/>
      <c r="AX117" s="425"/>
      <c r="AY117" s="425"/>
      <c r="AZ117" s="425"/>
      <c r="BA117" s="425"/>
      <c r="BB117" s="425"/>
      <c r="BC117" s="425"/>
      <c r="BD117" s="425"/>
      <c r="BE117" s="425"/>
      <c r="BF117" s="425"/>
      <c r="BG117" s="426"/>
      <c r="BH117" s="425"/>
      <c r="BI117" s="425"/>
      <c r="BJ117" s="425"/>
      <c r="BK117" s="425"/>
      <c r="BL117" s="425"/>
      <c r="BM117" s="425"/>
      <c r="BN117" s="425"/>
      <c r="BO117" s="425"/>
      <c r="BP117" s="425"/>
      <c r="BQ117" s="425"/>
      <c r="BR117" s="425"/>
      <c r="BS117" s="425"/>
      <c r="BT117" s="425"/>
      <c r="BU117" s="425"/>
      <c r="BV117" s="425"/>
      <c r="BW117" s="425"/>
      <c r="BX117" s="425"/>
      <c r="BY117" s="425"/>
      <c r="BZ117" s="425"/>
      <c r="CA117" s="425"/>
      <c r="CB117" s="425"/>
      <c r="CC117" s="425"/>
      <c r="CD117" s="425"/>
      <c r="CE117" s="425"/>
      <c r="CF117" s="425"/>
      <c r="CG117" s="425"/>
      <c r="CH117" s="425"/>
      <c r="CI117" s="425"/>
      <c r="CJ117" s="425"/>
    </row>
    <row r="118" spans="1:88">
      <c r="A118" s="554"/>
      <c r="B118" s="579"/>
      <c r="C118" s="579"/>
      <c r="D118" s="579"/>
      <c r="E118" s="579"/>
      <c r="F118" s="579"/>
      <c r="G118" s="579"/>
      <c r="H118" s="577"/>
      <c r="I118" s="577"/>
      <c r="J118" s="577"/>
      <c r="K118" s="577"/>
      <c r="L118" s="577"/>
      <c r="M118" s="577"/>
      <c r="N118" s="578"/>
      <c r="O118" s="577"/>
      <c r="P118" s="577"/>
      <c r="Q118" s="577"/>
      <c r="R118" s="577"/>
      <c r="S118" s="549"/>
      <c r="T118" s="549"/>
      <c r="U118" s="424"/>
      <c r="V118" s="425"/>
      <c r="W118" s="425"/>
      <c r="X118" s="425"/>
      <c r="Y118" s="425"/>
      <c r="Z118" s="425"/>
      <c r="AA118" s="425"/>
      <c r="AH118" s="425"/>
      <c r="AI118" s="425"/>
      <c r="AJ118" s="425"/>
      <c r="AK118" s="425"/>
      <c r="AL118" s="425"/>
      <c r="AM118" s="425"/>
      <c r="AN118" s="428"/>
      <c r="AO118" s="425"/>
      <c r="AP118" s="425"/>
      <c r="AQ118" s="425"/>
      <c r="AR118" s="425"/>
      <c r="AS118" s="425"/>
      <c r="AT118" s="425"/>
      <c r="AU118" s="425"/>
      <c r="AV118" s="425"/>
      <c r="AW118" s="425"/>
      <c r="AX118" s="425"/>
      <c r="AY118" s="425"/>
      <c r="AZ118" s="425"/>
      <c r="BA118" s="425"/>
      <c r="BB118" s="425"/>
      <c r="BC118" s="425"/>
      <c r="BD118" s="425"/>
      <c r="BE118" s="425"/>
      <c r="BF118" s="425"/>
      <c r="BG118" s="426"/>
      <c r="BH118" s="425"/>
      <c r="BI118" s="425"/>
      <c r="BJ118" s="425"/>
      <c r="BK118" s="425"/>
      <c r="BL118" s="425"/>
      <c r="BM118" s="425"/>
      <c r="BN118" s="425"/>
      <c r="BO118" s="425"/>
      <c r="BP118" s="425"/>
      <c r="BQ118" s="425"/>
      <c r="BR118" s="425"/>
      <c r="BS118" s="425"/>
      <c r="BT118" s="425"/>
      <c r="BU118" s="425"/>
      <c r="BV118" s="425"/>
      <c r="BW118" s="425"/>
      <c r="BX118" s="425"/>
      <c r="BY118" s="425"/>
      <c r="BZ118" s="425"/>
      <c r="CA118" s="425"/>
      <c r="CB118" s="425"/>
      <c r="CC118" s="425"/>
      <c r="CD118" s="425"/>
      <c r="CE118" s="425"/>
      <c r="CF118" s="425"/>
      <c r="CG118" s="425"/>
      <c r="CH118" s="425"/>
      <c r="CI118" s="425"/>
      <c r="CJ118" s="425"/>
    </row>
    <row r="119" spans="1:88">
      <c r="A119" s="554"/>
      <c r="B119" s="579"/>
      <c r="C119" s="579"/>
      <c r="D119" s="579"/>
      <c r="E119" s="579"/>
      <c r="F119" s="579"/>
      <c r="G119" s="579"/>
      <c r="H119" s="577"/>
      <c r="I119" s="577"/>
      <c r="J119" s="577"/>
      <c r="K119" s="577"/>
      <c r="L119" s="577"/>
      <c r="M119" s="577"/>
      <c r="N119" s="578"/>
      <c r="O119" s="577"/>
      <c r="P119" s="577"/>
      <c r="Q119" s="577"/>
      <c r="R119" s="577"/>
      <c r="S119" s="549"/>
      <c r="T119" s="549"/>
      <c r="U119" s="424"/>
      <c r="V119" s="425"/>
      <c r="W119" s="425"/>
      <c r="X119" s="425"/>
      <c r="Y119" s="425"/>
      <c r="Z119" s="425"/>
      <c r="AA119" s="425"/>
      <c r="AH119" s="425"/>
      <c r="AI119" s="425"/>
      <c r="AJ119" s="425"/>
      <c r="AK119" s="425"/>
      <c r="AL119" s="425"/>
      <c r="AM119" s="425"/>
      <c r="AN119" s="428"/>
      <c r="AO119" s="425"/>
      <c r="AP119" s="425"/>
      <c r="AQ119" s="425"/>
      <c r="AR119" s="425"/>
      <c r="AS119" s="425"/>
      <c r="AT119" s="425"/>
      <c r="AU119" s="425"/>
      <c r="AV119" s="425"/>
      <c r="AW119" s="425"/>
      <c r="AX119" s="425"/>
      <c r="AY119" s="425"/>
      <c r="AZ119" s="425"/>
      <c r="BA119" s="425"/>
      <c r="BB119" s="425"/>
      <c r="BC119" s="425"/>
      <c r="BD119" s="425"/>
      <c r="BE119" s="425"/>
      <c r="BF119" s="425"/>
      <c r="BG119" s="426"/>
      <c r="BH119" s="425"/>
      <c r="BI119" s="425"/>
      <c r="BJ119" s="425"/>
      <c r="BK119" s="425"/>
      <c r="BL119" s="425"/>
      <c r="BM119" s="425"/>
      <c r="BN119" s="425"/>
      <c r="BO119" s="425"/>
      <c r="BP119" s="425"/>
      <c r="BQ119" s="425"/>
      <c r="BR119" s="425"/>
      <c r="BS119" s="425"/>
      <c r="BT119" s="425"/>
      <c r="BU119" s="425"/>
      <c r="BV119" s="425"/>
      <c r="BW119" s="425"/>
      <c r="BX119" s="425"/>
      <c r="BY119" s="425"/>
      <c r="BZ119" s="425"/>
      <c r="CA119" s="425"/>
      <c r="CB119" s="425"/>
      <c r="CC119" s="425"/>
      <c r="CD119" s="425"/>
      <c r="CE119" s="425"/>
      <c r="CF119" s="425"/>
      <c r="CG119" s="425"/>
      <c r="CH119" s="425"/>
      <c r="CI119" s="425"/>
      <c r="CJ119" s="425"/>
    </row>
    <row r="120" spans="1:88">
      <c r="A120" s="554"/>
      <c r="B120" s="579"/>
      <c r="C120" s="579"/>
      <c r="D120" s="579"/>
      <c r="E120" s="579"/>
      <c r="F120" s="579"/>
      <c r="G120" s="579"/>
      <c r="H120" s="577"/>
      <c r="I120" s="577"/>
      <c r="J120" s="577"/>
      <c r="K120" s="577"/>
      <c r="L120" s="577"/>
      <c r="M120" s="577"/>
      <c r="N120" s="578"/>
      <c r="O120" s="577"/>
      <c r="P120" s="577"/>
      <c r="Q120" s="577"/>
      <c r="R120" s="577"/>
      <c r="S120" s="549"/>
      <c r="T120" s="549"/>
      <c r="U120" s="424"/>
      <c r="V120" s="425"/>
      <c r="W120" s="425"/>
      <c r="X120" s="425"/>
      <c r="Y120" s="425"/>
      <c r="Z120" s="425"/>
      <c r="AA120" s="425"/>
      <c r="AH120" s="425"/>
      <c r="AI120" s="425"/>
      <c r="AJ120" s="425"/>
      <c r="AK120" s="425"/>
      <c r="AL120" s="425"/>
      <c r="AM120" s="425"/>
      <c r="AN120" s="428"/>
      <c r="AO120" s="425"/>
      <c r="AP120" s="425"/>
      <c r="AQ120" s="425"/>
      <c r="AR120" s="425"/>
      <c r="AS120" s="425"/>
      <c r="AT120" s="425"/>
      <c r="AU120" s="425"/>
      <c r="AV120" s="425"/>
      <c r="AW120" s="425"/>
      <c r="AX120" s="425"/>
      <c r="AY120" s="425"/>
      <c r="AZ120" s="425"/>
      <c r="BA120" s="425"/>
      <c r="BB120" s="425"/>
      <c r="BC120" s="425"/>
      <c r="BD120" s="425"/>
      <c r="BE120" s="425"/>
      <c r="BF120" s="425"/>
      <c r="BG120" s="426"/>
      <c r="BH120" s="425"/>
      <c r="BI120" s="425"/>
      <c r="BJ120" s="425"/>
      <c r="BK120" s="425"/>
      <c r="BL120" s="425"/>
      <c r="BM120" s="425"/>
      <c r="BN120" s="425"/>
      <c r="BO120" s="425"/>
      <c r="BP120" s="425"/>
      <c r="BQ120" s="425"/>
      <c r="BR120" s="425"/>
      <c r="BS120" s="425"/>
      <c r="BT120" s="425"/>
      <c r="BU120" s="425"/>
      <c r="BV120" s="425"/>
      <c r="BW120" s="425"/>
      <c r="BX120" s="425"/>
      <c r="BY120" s="425"/>
      <c r="BZ120" s="425"/>
      <c r="CA120" s="425"/>
      <c r="CB120" s="425"/>
      <c r="CC120" s="425"/>
      <c r="CD120" s="425"/>
      <c r="CE120" s="425"/>
      <c r="CF120" s="425"/>
      <c r="CG120" s="425"/>
      <c r="CH120" s="425"/>
      <c r="CI120" s="425"/>
      <c r="CJ120" s="425"/>
    </row>
    <row r="121" spans="1:88">
      <c r="A121" s="554"/>
      <c r="B121" s="579"/>
      <c r="C121" s="579"/>
      <c r="D121" s="579"/>
      <c r="E121" s="579"/>
      <c r="F121" s="579"/>
      <c r="G121" s="579"/>
      <c r="H121" s="577"/>
      <c r="I121" s="577"/>
      <c r="J121" s="577"/>
      <c r="K121" s="577"/>
      <c r="L121" s="577"/>
      <c r="M121" s="577"/>
      <c r="N121" s="578"/>
      <c r="O121" s="577"/>
      <c r="P121" s="577"/>
      <c r="Q121" s="577"/>
      <c r="R121" s="577"/>
      <c r="S121" s="549"/>
      <c r="T121" s="549"/>
      <c r="U121" s="424"/>
      <c r="V121" s="425"/>
      <c r="W121" s="425"/>
      <c r="X121" s="425"/>
      <c r="Y121" s="425"/>
      <c r="Z121" s="425"/>
      <c r="AA121" s="425"/>
      <c r="AH121" s="425"/>
      <c r="AI121" s="425"/>
      <c r="AJ121" s="425"/>
      <c r="AK121" s="425"/>
      <c r="AL121" s="425"/>
      <c r="AM121" s="425"/>
      <c r="AN121" s="428"/>
      <c r="AO121" s="425"/>
      <c r="AP121" s="425"/>
      <c r="AQ121" s="425"/>
      <c r="AR121" s="425"/>
      <c r="AS121" s="425"/>
      <c r="AT121" s="425"/>
      <c r="AU121" s="425"/>
      <c r="AV121" s="425"/>
      <c r="AW121" s="425"/>
      <c r="AX121" s="425"/>
      <c r="AY121" s="425"/>
      <c r="AZ121" s="425"/>
      <c r="BA121" s="425"/>
      <c r="BB121" s="425"/>
      <c r="BC121" s="425"/>
      <c r="BD121" s="425"/>
      <c r="BE121" s="425"/>
      <c r="BF121" s="425"/>
      <c r="BG121" s="426"/>
      <c r="BH121" s="425"/>
      <c r="BI121" s="425"/>
      <c r="BJ121" s="425"/>
      <c r="BK121" s="425"/>
      <c r="BL121" s="425"/>
      <c r="BM121" s="425"/>
      <c r="BN121" s="425"/>
      <c r="BO121" s="425"/>
      <c r="BP121" s="425"/>
      <c r="BQ121" s="425"/>
      <c r="BR121" s="425"/>
      <c r="BS121" s="425"/>
      <c r="BT121" s="425"/>
      <c r="BU121" s="425"/>
      <c r="BV121" s="425"/>
      <c r="BW121" s="425"/>
      <c r="BX121" s="425"/>
      <c r="BY121" s="425"/>
      <c r="BZ121" s="425"/>
      <c r="CA121" s="425"/>
      <c r="CB121" s="425"/>
      <c r="CC121" s="425"/>
      <c r="CD121" s="425"/>
      <c r="CE121" s="425"/>
      <c r="CF121" s="425"/>
      <c r="CG121" s="425"/>
      <c r="CH121" s="425"/>
      <c r="CI121" s="425"/>
      <c r="CJ121" s="425"/>
    </row>
    <row r="122" spans="1:88">
      <c r="A122" s="554"/>
      <c r="B122" s="579"/>
      <c r="C122" s="579"/>
      <c r="D122" s="579"/>
      <c r="E122" s="579"/>
      <c r="F122" s="579"/>
      <c r="G122" s="579"/>
      <c r="H122" s="577"/>
      <c r="I122" s="577"/>
      <c r="J122" s="577"/>
      <c r="K122" s="577"/>
      <c r="L122" s="577"/>
      <c r="M122" s="577"/>
      <c r="N122" s="578"/>
      <c r="O122" s="577"/>
      <c r="P122" s="577"/>
      <c r="Q122" s="577"/>
      <c r="R122" s="577"/>
      <c r="S122" s="549"/>
      <c r="T122" s="549"/>
      <c r="U122" s="424"/>
      <c r="V122" s="425"/>
      <c r="W122" s="425"/>
      <c r="X122" s="425"/>
      <c r="Y122" s="425"/>
      <c r="Z122" s="425"/>
      <c r="AA122" s="425"/>
      <c r="AH122" s="425"/>
      <c r="AI122" s="425"/>
      <c r="AJ122" s="425"/>
      <c r="AK122" s="425"/>
      <c r="AL122" s="425"/>
      <c r="AM122" s="425"/>
      <c r="AN122" s="428"/>
      <c r="AO122" s="425"/>
      <c r="AP122" s="425"/>
      <c r="AQ122" s="425"/>
      <c r="AR122" s="425"/>
      <c r="AS122" s="425"/>
      <c r="AT122" s="425"/>
      <c r="AU122" s="425"/>
      <c r="AV122" s="425"/>
      <c r="AW122" s="425"/>
      <c r="AX122" s="425"/>
      <c r="AY122" s="425"/>
      <c r="AZ122" s="425"/>
      <c r="BA122" s="425"/>
      <c r="BB122" s="425"/>
      <c r="BC122" s="425"/>
      <c r="BD122" s="425"/>
      <c r="BE122" s="425"/>
      <c r="BF122" s="425"/>
      <c r="BG122" s="426"/>
      <c r="BH122" s="425"/>
      <c r="BI122" s="425"/>
      <c r="BJ122" s="425"/>
      <c r="BK122" s="425"/>
      <c r="BL122" s="425"/>
      <c r="BM122" s="425"/>
      <c r="BN122" s="425"/>
      <c r="BO122" s="425"/>
      <c r="BP122" s="425"/>
      <c r="BQ122" s="425"/>
      <c r="BR122" s="425"/>
      <c r="BS122" s="425"/>
      <c r="BT122" s="425"/>
      <c r="BU122" s="425"/>
      <c r="BV122" s="425"/>
      <c r="BW122" s="425"/>
      <c r="BX122" s="425"/>
      <c r="BY122" s="425"/>
      <c r="BZ122" s="425"/>
      <c r="CA122" s="425"/>
      <c r="CB122" s="425"/>
      <c r="CC122" s="425"/>
      <c r="CD122" s="425"/>
      <c r="CE122" s="425"/>
      <c r="CF122" s="425"/>
      <c r="CG122" s="425"/>
      <c r="CH122" s="425"/>
      <c r="CI122" s="425"/>
      <c r="CJ122" s="425"/>
    </row>
    <row r="123" spans="1:88">
      <c r="A123" s="554"/>
      <c r="B123" s="579"/>
      <c r="C123" s="579"/>
      <c r="D123" s="579"/>
      <c r="E123" s="579"/>
      <c r="F123" s="579"/>
      <c r="G123" s="579"/>
      <c r="H123" s="577"/>
      <c r="I123" s="577"/>
      <c r="J123" s="577"/>
      <c r="K123" s="577"/>
      <c r="L123" s="577"/>
      <c r="M123" s="577"/>
      <c r="N123" s="578"/>
      <c r="O123" s="577"/>
      <c r="P123" s="577"/>
      <c r="Q123" s="577"/>
      <c r="R123" s="577"/>
      <c r="S123" s="549"/>
      <c r="T123" s="549"/>
      <c r="U123" s="424"/>
      <c r="V123" s="425"/>
      <c r="W123" s="425"/>
      <c r="X123" s="425"/>
      <c r="Y123" s="425"/>
      <c r="Z123" s="425"/>
      <c r="AA123" s="425"/>
      <c r="AH123" s="425"/>
      <c r="AI123" s="425"/>
      <c r="AJ123" s="425"/>
      <c r="AK123" s="425"/>
      <c r="AL123" s="425"/>
      <c r="AM123" s="425"/>
      <c r="AN123" s="428"/>
      <c r="AO123" s="425"/>
      <c r="AP123" s="425"/>
      <c r="AQ123" s="425"/>
      <c r="AR123" s="425"/>
      <c r="AS123" s="425"/>
      <c r="AT123" s="425"/>
      <c r="AU123" s="425"/>
      <c r="AV123" s="425"/>
      <c r="AW123" s="425"/>
      <c r="AX123" s="425"/>
      <c r="AY123" s="425"/>
      <c r="AZ123" s="425"/>
      <c r="BA123" s="425"/>
      <c r="BB123" s="425"/>
      <c r="BC123" s="425"/>
      <c r="BD123" s="425"/>
      <c r="BE123" s="425"/>
      <c r="BF123" s="425"/>
      <c r="BG123" s="426"/>
      <c r="BH123" s="425"/>
      <c r="BI123" s="425"/>
      <c r="BJ123" s="425"/>
      <c r="BK123" s="425"/>
      <c r="BL123" s="425"/>
      <c r="BM123" s="425"/>
      <c r="BN123" s="425"/>
      <c r="BO123" s="425"/>
      <c r="BP123" s="425"/>
      <c r="BQ123" s="425"/>
      <c r="BR123" s="425"/>
      <c r="BS123" s="425"/>
      <c r="BT123" s="425"/>
      <c r="BU123" s="425"/>
      <c r="BV123" s="425"/>
      <c r="BW123" s="425"/>
      <c r="BX123" s="425"/>
      <c r="BY123" s="425"/>
      <c r="BZ123" s="425"/>
      <c r="CA123" s="425"/>
      <c r="CB123" s="425"/>
      <c r="CC123" s="425"/>
      <c r="CD123" s="425"/>
      <c r="CE123" s="425"/>
      <c r="CF123" s="425"/>
      <c r="CG123" s="425"/>
      <c r="CH123" s="425"/>
      <c r="CI123" s="425"/>
      <c r="CJ123" s="425"/>
    </row>
    <row r="124" spans="1:88">
      <c r="A124" s="554"/>
      <c r="B124" s="579"/>
      <c r="C124" s="579"/>
      <c r="D124" s="579"/>
      <c r="E124" s="579"/>
      <c r="F124" s="579"/>
      <c r="G124" s="579"/>
      <c r="H124" s="577"/>
      <c r="I124" s="577"/>
      <c r="J124" s="577"/>
      <c r="K124" s="577"/>
      <c r="L124" s="577"/>
      <c r="M124" s="577"/>
      <c r="N124" s="578"/>
      <c r="O124" s="577"/>
      <c r="P124" s="577"/>
      <c r="Q124" s="577"/>
      <c r="R124" s="577"/>
      <c r="S124" s="549"/>
      <c r="T124" s="549"/>
      <c r="U124" s="424"/>
      <c r="V124" s="425"/>
      <c r="W124" s="425"/>
      <c r="X124" s="425"/>
      <c r="Y124" s="425"/>
      <c r="Z124" s="425"/>
      <c r="AA124" s="425"/>
      <c r="AH124" s="425"/>
      <c r="AI124" s="425"/>
      <c r="AJ124" s="425"/>
      <c r="AK124" s="425"/>
      <c r="AL124" s="425"/>
      <c r="AM124" s="425"/>
      <c r="AN124" s="428"/>
      <c r="AO124" s="425"/>
      <c r="AP124" s="425"/>
      <c r="AQ124" s="425"/>
      <c r="AR124" s="425"/>
      <c r="AS124" s="425"/>
      <c r="AT124" s="425"/>
      <c r="AU124" s="425"/>
      <c r="AV124" s="425"/>
      <c r="AW124" s="425"/>
      <c r="AX124" s="425"/>
      <c r="AY124" s="425"/>
      <c r="AZ124" s="425"/>
      <c r="BA124" s="425"/>
      <c r="BB124" s="425"/>
      <c r="BC124" s="425"/>
      <c r="BD124" s="425"/>
      <c r="BE124" s="425"/>
      <c r="BF124" s="425"/>
      <c r="BG124" s="426"/>
      <c r="BH124" s="425"/>
      <c r="BI124" s="425"/>
      <c r="BJ124" s="425"/>
      <c r="BK124" s="425"/>
      <c r="BL124" s="425"/>
      <c r="BM124" s="425"/>
      <c r="BN124" s="425"/>
      <c r="BO124" s="425"/>
      <c r="BP124" s="425"/>
      <c r="BQ124" s="425"/>
      <c r="BR124" s="425"/>
      <c r="BS124" s="425"/>
      <c r="BT124" s="425"/>
      <c r="BU124" s="425"/>
      <c r="BV124" s="425"/>
      <c r="BW124" s="425"/>
      <c r="BX124" s="425"/>
      <c r="BY124" s="425"/>
      <c r="BZ124" s="425"/>
      <c r="CA124" s="425"/>
      <c r="CB124" s="425"/>
      <c r="CC124" s="425"/>
      <c r="CD124" s="425"/>
      <c r="CE124" s="425"/>
      <c r="CF124" s="425"/>
      <c r="CG124" s="425"/>
      <c r="CH124" s="425"/>
      <c r="CI124" s="425"/>
      <c r="CJ124" s="425"/>
    </row>
    <row r="125" spans="1:88">
      <c r="A125" s="554"/>
      <c r="B125" s="579"/>
      <c r="C125" s="579"/>
      <c r="D125" s="579"/>
      <c r="E125" s="579"/>
      <c r="F125" s="579"/>
      <c r="G125" s="579"/>
      <c r="H125" s="577"/>
      <c r="I125" s="577"/>
      <c r="J125" s="577"/>
      <c r="K125" s="577"/>
      <c r="L125" s="577"/>
      <c r="M125" s="577"/>
      <c r="N125" s="578"/>
      <c r="O125" s="577"/>
      <c r="P125" s="577"/>
      <c r="Q125" s="577"/>
      <c r="R125" s="577"/>
      <c r="S125" s="549"/>
      <c r="T125" s="549"/>
      <c r="U125" s="424"/>
      <c r="V125" s="425"/>
      <c r="W125" s="425"/>
      <c r="X125" s="425"/>
      <c r="Y125" s="425"/>
      <c r="Z125" s="425"/>
      <c r="AA125" s="425"/>
      <c r="AH125" s="425"/>
      <c r="AI125" s="425"/>
      <c r="AJ125" s="425"/>
      <c r="AK125" s="425"/>
      <c r="AL125" s="425"/>
      <c r="AM125" s="425"/>
      <c r="AN125" s="428"/>
      <c r="AO125" s="425"/>
      <c r="AP125" s="425"/>
      <c r="AQ125" s="425"/>
      <c r="AR125" s="425"/>
      <c r="AS125" s="425"/>
      <c r="AT125" s="425"/>
      <c r="AU125" s="425"/>
      <c r="AV125" s="425"/>
      <c r="AW125" s="425"/>
      <c r="AX125" s="425"/>
      <c r="AY125" s="425"/>
      <c r="AZ125" s="425"/>
      <c r="BA125" s="425"/>
      <c r="BB125" s="425"/>
      <c r="BC125" s="425"/>
      <c r="BD125" s="425"/>
      <c r="BE125" s="425"/>
      <c r="BF125" s="425"/>
      <c r="BG125" s="426"/>
      <c r="BH125" s="425"/>
      <c r="BI125" s="425"/>
      <c r="BJ125" s="425"/>
      <c r="BK125" s="425"/>
      <c r="BL125" s="425"/>
      <c r="BM125" s="425"/>
      <c r="BN125" s="425"/>
      <c r="BO125" s="425"/>
      <c r="BP125" s="425"/>
      <c r="BQ125" s="425"/>
      <c r="BR125" s="425"/>
      <c r="BS125" s="425"/>
      <c r="BT125" s="425"/>
      <c r="BU125" s="425"/>
      <c r="BV125" s="425"/>
      <c r="BW125" s="425"/>
      <c r="BX125" s="425"/>
      <c r="BY125" s="425"/>
      <c r="BZ125" s="425"/>
      <c r="CA125" s="425"/>
      <c r="CB125" s="425"/>
      <c r="CC125" s="425"/>
      <c r="CD125" s="425"/>
      <c r="CE125" s="425"/>
      <c r="CF125" s="425"/>
      <c r="CG125" s="425"/>
      <c r="CH125" s="425"/>
      <c r="CI125" s="425"/>
      <c r="CJ125" s="425"/>
    </row>
    <row r="126" spans="1:88">
      <c r="A126" s="554"/>
      <c r="B126" s="579"/>
      <c r="C126" s="579"/>
      <c r="D126" s="579"/>
      <c r="E126" s="579"/>
      <c r="F126" s="579"/>
      <c r="G126" s="579"/>
      <c r="H126" s="577"/>
      <c r="I126" s="577"/>
      <c r="J126" s="577"/>
      <c r="K126" s="577"/>
      <c r="L126" s="577"/>
      <c r="M126" s="577"/>
      <c r="N126" s="578"/>
      <c r="O126" s="577"/>
      <c r="P126" s="577"/>
      <c r="Q126" s="577"/>
      <c r="R126" s="577"/>
      <c r="S126" s="549"/>
      <c r="T126" s="549"/>
      <c r="U126" s="424"/>
      <c r="V126" s="425"/>
      <c r="W126" s="425"/>
      <c r="X126" s="425"/>
      <c r="Y126" s="425"/>
      <c r="Z126" s="425"/>
      <c r="AA126" s="425"/>
      <c r="AH126" s="425"/>
      <c r="AI126" s="425"/>
      <c r="AJ126" s="425"/>
      <c r="AK126" s="425"/>
      <c r="AL126" s="425"/>
      <c r="AM126" s="425"/>
      <c r="AN126" s="428"/>
      <c r="AO126" s="425"/>
      <c r="AP126" s="425"/>
      <c r="AQ126" s="425"/>
      <c r="AR126" s="425"/>
      <c r="AS126" s="425"/>
      <c r="AT126" s="425"/>
      <c r="AU126" s="425"/>
      <c r="AV126" s="425"/>
      <c r="AW126" s="425"/>
      <c r="AX126" s="425"/>
      <c r="AY126" s="425"/>
      <c r="AZ126" s="425"/>
      <c r="BA126" s="425"/>
      <c r="BB126" s="425"/>
      <c r="BC126" s="425"/>
      <c r="BD126" s="425"/>
      <c r="BE126" s="425"/>
      <c r="BF126" s="425"/>
      <c r="BG126" s="426"/>
      <c r="BH126" s="425"/>
      <c r="BI126" s="425"/>
      <c r="BJ126" s="425"/>
      <c r="BK126" s="425"/>
      <c r="BL126" s="425"/>
      <c r="BM126" s="425"/>
      <c r="BN126" s="425"/>
      <c r="BO126" s="425"/>
      <c r="BP126" s="425"/>
      <c r="BQ126" s="425"/>
      <c r="BR126" s="425"/>
      <c r="BS126" s="425"/>
      <c r="BT126" s="425"/>
      <c r="BU126" s="425"/>
      <c r="BV126" s="425"/>
      <c r="BW126" s="425"/>
      <c r="BX126" s="425"/>
      <c r="BY126" s="425"/>
      <c r="BZ126" s="425"/>
      <c r="CA126" s="425"/>
      <c r="CB126" s="425"/>
      <c r="CC126" s="425"/>
      <c r="CD126" s="425"/>
      <c r="CE126" s="425"/>
      <c r="CF126" s="425"/>
      <c r="CG126" s="425"/>
      <c r="CH126" s="425"/>
      <c r="CI126" s="425"/>
      <c r="CJ126" s="425"/>
    </row>
    <row r="127" spans="1:88">
      <c r="A127" s="554"/>
      <c r="B127" s="579"/>
      <c r="C127" s="579"/>
      <c r="D127" s="579"/>
      <c r="E127" s="579"/>
      <c r="F127" s="579"/>
      <c r="G127" s="579"/>
      <c r="H127" s="577"/>
      <c r="I127" s="577"/>
      <c r="J127" s="577"/>
      <c r="K127" s="577"/>
      <c r="L127" s="577"/>
      <c r="M127" s="577"/>
      <c r="N127" s="578"/>
      <c r="O127" s="577"/>
      <c r="P127" s="577"/>
      <c r="Q127" s="577"/>
      <c r="R127" s="577"/>
      <c r="S127" s="549"/>
      <c r="T127" s="549"/>
      <c r="U127" s="424"/>
      <c r="V127" s="425"/>
      <c r="W127" s="425"/>
      <c r="X127" s="425"/>
      <c r="Y127" s="425"/>
      <c r="Z127" s="425"/>
      <c r="AA127" s="425"/>
      <c r="AH127" s="425"/>
      <c r="AI127" s="425"/>
      <c r="AJ127" s="425"/>
      <c r="AK127" s="425"/>
      <c r="AL127" s="425"/>
      <c r="AM127" s="425"/>
      <c r="AN127" s="428"/>
      <c r="AO127" s="425"/>
      <c r="AP127" s="425"/>
      <c r="AQ127" s="425"/>
      <c r="AR127" s="425"/>
      <c r="AS127" s="425"/>
      <c r="AT127" s="425"/>
      <c r="AU127" s="425"/>
      <c r="AV127" s="425"/>
      <c r="AW127" s="425"/>
      <c r="AX127" s="425"/>
      <c r="AY127" s="425"/>
      <c r="AZ127" s="425"/>
      <c r="BA127" s="425"/>
      <c r="BB127" s="425"/>
      <c r="BC127" s="425"/>
      <c r="BD127" s="425"/>
      <c r="BE127" s="425"/>
      <c r="BF127" s="425"/>
      <c r="BG127" s="426"/>
      <c r="BH127" s="425"/>
      <c r="BI127" s="425"/>
      <c r="BJ127" s="425"/>
      <c r="BK127" s="425"/>
      <c r="BL127" s="425"/>
      <c r="BM127" s="425"/>
      <c r="BN127" s="425"/>
      <c r="BO127" s="425"/>
      <c r="BP127" s="425"/>
      <c r="BQ127" s="425"/>
      <c r="BR127" s="425"/>
      <c r="BS127" s="425"/>
      <c r="BT127" s="425"/>
      <c r="BU127" s="425"/>
      <c r="BV127" s="425"/>
      <c r="BW127" s="425"/>
      <c r="BX127" s="425"/>
      <c r="BY127" s="425"/>
      <c r="BZ127" s="425"/>
      <c r="CA127" s="425"/>
      <c r="CB127" s="425"/>
      <c r="CC127" s="425"/>
      <c r="CD127" s="425"/>
      <c r="CE127" s="425"/>
      <c r="CF127" s="425"/>
      <c r="CG127" s="425"/>
      <c r="CH127" s="425"/>
      <c r="CI127" s="425"/>
      <c r="CJ127" s="425"/>
    </row>
    <row r="128" spans="1:88">
      <c r="A128" s="554"/>
      <c r="B128" s="579"/>
      <c r="C128" s="579"/>
      <c r="D128" s="579"/>
      <c r="E128" s="579"/>
      <c r="F128" s="579"/>
      <c r="G128" s="579"/>
      <c r="H128" s="577"/>
      <c r="I128" s="577"/>
      <c r="J128" s="577"/>
      <c r="K128" s="577"/>
      <c r="L128" s="577"/>
      <c r="M128" s="577"/>
      <c r="N128" s="578"/>
      <c r="O128" s="577"/>
      <c r="P128" s="577"/>
      <c r="Q128" s="577"/>
      <c r="R128" s="577"/>
      <c r="S128" s="549"/>
      <c r="T128" s="549"/>
      <c r="U128" s="424"/>
      <c r="V128" s="425"/>
      <c r="W128" s="425"/>
      <c r="X128" s="425"/>
      <c r="Y128" s="425"/>
      <c r="Z128" s="425"/>
      <c r="AA128" s="425"/>
      <c r="AH128" s="425"/>
      <c r="AI128" s="425"/>
      <c r="AJ128" s="425"/>
      <c r="AK128" s="425"/>
      <c r="AL128" s="425"/>
      <c r="AM128" s="425"/>
      <c r="AN128" s="428"/>
      <c r="AO128" s="425"/>
      <c r="AP128" s="425"/>
      <c r="AQ128" s="425"/>
      <c r="AR128" s="425"/>
      <c r="AS128" s="425"/>
      <c r="AT128" s="425"/>
      <c r="AU128" s="425"/>
      <c r="AV128" s="425"/>
      <c r="AW128" s="425"/>
      <c r="AX128" s="425"/>
      <c r="AY128" s="425"/>
      <c r="AZ128" s="425"/>
      <c r="BA128" s="425"/>
      <c r="BB128" s="425"/>
      <c r="BC128" s="425"/>
      <c r="BD128" s="425"/>
      <c r="BE128" s="425"/>
      <c r="BF128" s="425"/>
      <c r="BG128" s="426"/>
      <c r="BH128" s="425"/>
      <c r="BI128" s="425"/>
      <c r="BJ128" s="425"/>
      <c r="BK128" s="425"/>
      <c r="BL128" s="425"/>
      <c r="BM128" s="425"/>
      <c r="BN128" s="425"/>
      <c r="BO128" s="425"/>
      <c r="BP128" s="425"/>
      <c r="BQ128" s="425"/>
      <c r="BR128" s="425"/>
      <c r="BS128" s="425"/>
      <c r="BT128" s="425"/>
      <c r="BU128" s="425"/>
      <c r="BV128" s="425"/>
      <c r="BW128" s="425"/>
      <c r="BX128" s="425"/>
      <c r="BY128" s="425"/>
      <c r="BZ128" s="425"/>
      <c r="CA128" s="425"/>
      <c r="CB128" s="425"/>
      <c r="CC128" s="425"/>
      <c r="CD128" s="425"/>
      <c r="CE128" s="425"/>
      <c r="CF128" s="425"/>
      <c r="CG128" s="425"/>
      <c r="CH128" s="425"/>
      <c r="CI128" s="425"/>
      <c r="CJ128" s="425"/>
    </row>
    <row r="129" spans="1:88">
      <c r="A129" s="554"/>
      <c r="B129" s="579"/>
      <c r="C129" s="579"/>
      <c r="D129" s="579"/>
      <c r="E129" s="579"/>
      <c r="F129" s="579"/>
      <c r="G129" s="579"/>
      <c r="H129" s="577"/>
      <c r="I129" s="577"/>
      <c r="J129" s="577"/>
      <c r="K129" s="577"/>
      <c r="L129" s="577"/>
      <c r="M129" s="577"/>
      <c r="N129" s="578"/>
      <c r="O129" s="577"/>
      <c r="P129" s="577"/>
      <c r="Q129" s="577"/>
      <c r="R129" s="577"/>
      <c r="S129" s="549"/>
      <c r="T129" s="549"/>
      <c r="U129" s="424"/>
      <c r="V129" s="425"/>
      <c r="W129" s="425"/>
      <c r="X129" s="425"/>
      <c r="Y129" s="425"/>
      <c r="Z129" s="425"/>
      <c r="AA129" s="425"/>
      <c r="AH129" s="425"/>
      <c r="AI129" s="425"/>
      <c r="AJ129" s="425"/>
      <c r="AK129" s="425"/>
      <c r="AL129" s="425"/>
      <c r="AM129" s="425"/>
      <c r="AN129" s="428"/>
      <c r="AO129" s="425"/>
      <c r="AP129" s="425"/>
      <c r="AQ129" s="425"/>
      <c r="AR129" s="425"/>
      <c r="AS129" s="425"/>
      <c r="AT129" s="425"/>
      <c r="AU129" s="425"/>
      <c r="AV129" s="425"/>
      <c r="AW129" s="425"/>
      <c r="AX129" s="425"/>
      <c r="AY129" s="425"/>
      <c r="AZ129" s="425"/>
      <c r="BA129" s="425"/>
      <c r="BB129" s="425"/>
      <c r="BC129" s="425"/>
      <c r="BD129" s="425"/>
      <c r="BE129" s="425"/>
      <c r="BF129" s="425"/>
      <c r="BG129" s="426"/>
      <c r="BH129" s="425"/>
      <c r="BI129" s="425"/>
      <c r="BJ129" s="425"/>
      <c r="BK129" s="425"/>
      <c r="BL129" s="425"/>
      <c r="BM129" s="425"/>
      <c r="BN129" s="425"/>
      <c r="BO129" s="425"/>
      <c r="BP129" s="425"/>
      <c r="BQ129" s="425"/>
      <c r="BR129" s="425"/>
      <c r="BS129" s="425"/>
      <c r="BT129" s="425"/>
      <c r="BU129" s="425"/>
      <c r="BV129" s="425"/>
      <c r="BW129" s="425"/>
      <c r="BX129" s="425"/>
      <c r="BY129" s="425"/>
      <c r="BZ129" s="425"/>
      <c r="CA129" s="425"/>
      <c r="CB129" s="425"/>
      <c r="CC129" s="425"/>
      <c r="CD129" s="425"/>
      <c r="CE129" s="425"/>
      <c r="CF129" s="425"/>
      <c r="CG129" s="425"/>
      <c r="CH129" s="425"/>
      <c r="CI129" s="425"/>
      <c r="CJ129" s="425"/>
    </row>
    <row r="130" spans="1:88">
      <c r="A130" s="554"/>
      <c r="B130" s="579"/>
      <c r="C130" s="579"/>
      <c r="D130" s="579"/>
      <c r="E130" s="579"/>
      <c r="F130" s="579"/>
      <c r="G130" s="579"/>
      <c r="H130" s="577"/>
      <c r="I130" s="577"/>
      <c r="J130" s="577"/>
      <c r="K130" s="577"/>
      <c r="L130" s="577"/>
      <c r="M130" s="577"/>
      <c r="N130" s="578"/>
      <c r="O130" s="577"/>
      <c r="P130" s="577"/>
      <c r="Q130" s="577"/>
      <c r="R130" s="577"/>
      <c r="S130" s="549"/>
      <c r="T130" s="549"/>
      <c r="U130" s="424"/>
      <c r="V130" s="425"/>
      <c r="W130" s="425"/>
      <c r="X130" s="425"/>
      <c r="Y130" s="425"/>
      <c r="Z130" s="425"/>
      <c r="AA130" s="425"/>
      <c r="AH130" s="425"/>
      <c r="AI130" s="425"/>
      <c r="AJ130" s="425"/>
      <c r="AK130" s="425"/>
      <c r="AL130" s="425"/>
      <c r="AM130" s="425"/>
      <c r="AN130" s="428"/>
      <c r="AO130" s="425"/>
      <c r="AP130" s="425"/>
      <c r="AQ130" s="425"/>
      <c r="AR130" s="425"/>
      <c r="AS130" s="425"/>
      <c r="AT130" s="425"/>
      <c r="AU130" s="425"/>
      <c r="AV130" s="425"/>
      <c r="AW130" s="425"/>
      <c r="AX130" s="425"/>
      <c r="AY130" s="425"/>
      <c r="AZ130" s="425"/>
      <c r="BA130" s="425"/>
      <c r="BB130" s="425"/>
      <c r="BC130" s="425"/>
      <c r="BD130" s="425"/>
      <c r="BE130" s="425"/>
      <c r="BF130" s="425"/>
      <c r="BG130" s="426"/>
      <c r="BH130" s="425"/>
      <c r="BI130" s="425"/>
      <c r="BJ130" s="425"/>
      <c r="BK130" s="425"/>
      <c r="BL130" s="425"/>
      <c r="BM130" s="425"/>
      <c r="BN130" s="425"/>
      <c r="BO130" s="425"/>
      <c r="BP130" s="425"/>
      <c r="BQ130" s="425"/>
      <c r="BR130" s="425"/>
      <c r="BS130" s="425"/>
      <c r="BT130" s="425"/>
      <c r="BU130" s="425"/>
      <c r="BV130" s="425"/>
      <c r="BW130" s="425"/>
      <c r="BX130" s="425"/>
      <c r="BY130" s="425"/>
      <c r="BZ130" s="425"/>
      <c r="CA130" s="425"/>
      <c r="CB130" s="425"/>
      <c r="CC130" s="425"/>
      <c r="CD130" s="425"/>
      <c r="CE130" s="425"/>
      <c r="CF130" s="425"/>
      <c r="CG130" s="425"/>
      <c r="CH130" s="425"/>
      <c r="CI130" s="425"/>
      <c r="CJ130" s="425"/>
    </row>
    <row r="131" spans="1:88">
      <c r="A131" s="554"/>
      <c r="B131" s="579"/>
      <c r="C131" s="579"/>
      <c r="D131" s="579"/>
      <c r="E131" s="579"/>
      <c r="F131" s="579"/>
      <c r="G131" s="579"/>
      <c r="H131" s="577"/>
      <c r="I131" s="577"/>
      <c r="J131" s="577"/>
      <c r="K131" s="577"/>
      <c r="L131" s="577"/>
      <c r="M131" s="577"/>
      <c r="N131" s="578"/>
      <c r="O131" s="577"/>
      <c r="P131" s="577"/>
      <c r="Q131" s="577"/>
      <c r="R131" s="577"/>
      <c r="S131" s="549"/>
      <c r="T131" s="549"/>
      <c r="U131" s="424"/>
      <c r="V131" s="425"/>
      <c r="W131" s="425"/>
      <c r="X131" s="425"/>
      <c r="Y131" s="425"/>
      <c r="Z131" s="425"/>
      <c r="AA131" s="425"/>
      <c r="AH131" s="425"/>
      <c r="AI131" s="425"/>
      <c r="AJ131" s="425"/>
      <c r="AK131" s="425"/>
      <c r="AL131" s="425"/>
      <c r="AM131" s="425"/>
      <c r="AN131" s="428"/>
      <c r="AO131" s="425"/>
      <c r="AP131" s="425"/>
      <c r="AQ131" s="425"/>
      <c r="AR131" s="425"/>
      <c r="AS131" s="425"/>
      <c r="AT131" s="425"/>
      <c r="AU131" s="425"/>
      <c r="AV131" s="425"/>
      <c r="AW131" s="425"/>
      <c r="AX131" s="425"/>
      <c r="AY131" s="425"/>
      <c r="AZ131" s="425"/>
      <c r="BA131" s="425"/>
      <c r="BB131" s="425"/>
      <c r="BC131" s="425"/>
      <c r="BD131" s="425"/>
      <c r="BE131" s="425"/>
      <c r="BF131" s="425"/>
      <c r="BG131" s="426"/>
      <c r="BH131" s="425"/>
      <c r="BI131" s="425"/>
      <c r="BJ131" s="425"/>
      <c r="BK131" s="425"/>
      <c r="BL131" s="425"/>
      <c r="BM131" s="425"/>
      <c r="BN131" s="425"/>
      <c r="BO131" s="425"/>
      <c r="BP131" s="425"/>
      <c r="BQ131" s="425"/>
      <c r="BR131" s="425"/>
      <c r="BS131" s="425"/>
      <c r="BT131" s="425"/>
      <c r="BU131" s="425"/>
      <c r="BV131" s="425"/>
      <c r="BW131" s="425"/>
      <c r="BX131" s="425"/>
      <c r="BY131" s="425"/>
      <c r="BZ131" s="425"/>
      <c r="CA131" s="425"/>
      <c r="CB131" s="425"/>
      <c r="CC131" s="425"/>
      <c r="CD131" s="425"/>
      <c r="CE131" s="425"/>
      <c r="CF131" s="425"/>
      <c r="CG131" s="425"/>
      <c r="CH131" s="425"/>
      <c r="CI131" s="425"/>
      <c r="CJ131" s="425"/>
    </row>
    <row r="132" spans="1:88">
      <c r="A132" s="554"/>
      <c r="B132" s="579"/>
      <c r="C132" s="579"/>
      <c r="D132" s="579"/>
      <c r="E132" s="579"/>
      <c r="F132" s="579"/>
      <c r="G132" s="579"/>
      <c r="H132" s="577"/>
      <c r="I132" s="577"/>
      <c r="J132" s="577"/>
      <c r="K132" s="577"/>
      <c r="L132" s="577"/>
      <c r="M132" s="577"/>
      <c r="N132" s="578"/>
      <c r="O132" s="577"/>
      <c r="P132" s="577"/>
      <c r="Q132" s="577"/>
      <c r="R132" s="577"/>
      <c r="S132" s="549"/>
      <c r="T132" s="549"/>
      <c r="U132" s="424"/>
      <c r="V132" s="425"/>
      <c r="W132" s="425"/>
      <c r="X132" s="425"/>
      <c r="Y132" s="425"/>
      <c r="Z132" s="425"/>
      <c r="AA132" s="425"/>
      <c r="AH132" s="425"/>
      <c r="AI132" s="425"/>
      <c r="AJ132" s="425"/>
      <c r="AK132" s="425"/>
      <c r="AL132" s="425"/>
      <c r="AM132" s="425"/>
      <c r="AN132" s="428"/>
      <c r="AO132" s="425"/>
      <c r="AP132" s="425"/>
      <c r="AQ132" s="425"/>
      <c r="AR132" s="425"/>
      <c r="AS132" s="425"/>
      <c r="AT132" s="425"/>
      <c r="AU132" s="425"/>
      <c r="AV132" s="425"/>
      <c r="AW132" s="425"/>
      <c r="AX132" s="425"/>
      <c r="AY132" s="425"/>
      <c r="AZ132" s="425"/>
      <c r="BA132" s="425"/>
      <c r="BB132" s="425"/>
      <c r="BC132" s="425"/>
      <c r="BD132" s="425"/>
      <c r="BE132" s="425"/>
      <c r="BF132" s="425"/>
      <c r="BG132" s="426"/>
      <c r="BH132" s="425"/>
      <c r="BI132" s="425"/>
      <c r="BJ132" s="425"/>
      <c r="BK132" s="425"/>
      <c r="BL132" s="425"/>
      <c r="BM132" s="425"/>
      <c r="BN132" s="425"/>
      <c r="BO132" s="425"/>
      <c r="BP132" s="425"/>
      <c r="BQ132" s="425"/>
      <c r="BR132" s="425"/>
      <c r="BS132" s="425"/>
      <c r="BT132" s="425"/>
      <c r="BU132" s="425"/>
      <c r="BV132" s="425"/>
      <c r="BW132" s="425"/>
      <c r="BX132" s="425"/>
      <c r="BY132" s="425"/>
      <c r="BZ132" s="425"/>
      <c r="CA132" s="425"/>
      <c r="CB132" s="425"/>
      <c r="CC132" s="425"/>
      <c r="CD132" s="425"/>
      <c r="CE132" s="425"/>
      <c r="CF132" s="425"/>
      <c r="CG132" s="425"/>
      <c r="CH132" s="425"/>
      <c r="CI132" s="425"/>
      <c r="CJ132" s="425"/>
    </row>
    <row r="133" spans="1:88">
      <c r="A133" s="554"/>
      <c r="B133" s="579"/>
      <c r="C133" s="579"/>
      <c r="D133" s="579"/>
      <c r="E133" s="579"/>
      <c r="F133" s="579"/>
      <c r="G133" s="579"/>
      <c r="H133" s="577"/>
      <c r="I133" s="577"/>
      <c r="J133" s="577"/>
      <c r="K133" s="577"/>
      <c r="L133" s="577"/>
      <c r="M133" s="577"/>
      <c r="N133" s="578"/>
      <c r="O133" s="577"/>
      <c r="P133" s="577"/>
      <c r="Q133" s="577"/>
      <c r="R133" s="577"/>
      <c r="S133" s="549"/>
      <c r="T133" s="549"/>
      <c r="U133" s="424"/>
      <c r="V133" s="425"/>
      <c r="W133" s="425"/>
      <c r="X133" s="425"/>
      <c r="Y133" s="425"/>
      <c r="Z133" s="425"/>
      <c r="AA133" s="425"/>
      <c r="AH133" s="425"/>
      <c r="AI133" s="425"/>
      <c r="AJ133" s="425"/>
      <c r="AK133" s="425"/>
      <c r="AL133" s="425"/>
      <c r="AM133" s="425"/>
      <c r="AN133" s="428"/>
      <c r="AO133" s="425"/>
      <c r="AP133" s="425"/>
      <c r="AQ133" s="425"/>
      <c r="AR133" s="425"/>
      <c r="AS133" s="425"/>
      <c r="AT133" s="425"/>
      <c r="AU133" s="425"/>
      <c r="AV133" s="425"/>
      <c r="AW133" s="425"/>
      <c r="AX133" s="425"/>
      <c r="AY133" s="425"/>
      <c r="AZ133" s="425"/>
      <c r="BA133" s="425"/>
      <c r="BB133" s="425"/>
      <c r="BC133" s="425"/>
      <c r="BD133" s="425"/>
      <c r="BE133" s="425"/>
      <c r="BF133" s="425"/>
      <c r="BG133" s="426"/>
      <c r="BH133" s="425"/>
      <c r="BI133" s="425"/>
      <c r="BJ133" s="425"/>
      <c r="BK133" s="425"/>
      <c r="BL133" s="425"/>
      <c r="BM133" s="425"/>
      <c r="BN133" s="425"/>
      <c r="BO133" s="425"/>
      <c r="BP133" s="425"/>
      <c r="BQ133" s="425"/>
      <c r="BR133" s="425"/>
      <c r="BS133" s="425"/>
      <c r="BT133" s="425"/>
      <c r="BU133" s="425"/>
      <c r="BV133" s="425"/>
      <c r="BW133" s="425"/>
      <c r="BX133" s="425"/>
      <c r="BY133" s="425"/>
      <c r="BZ133" s="425"/>
      <c r="CA133" s="425"/>
      <c r="CB133" s="425"/>
      <c r="CC133" s="425"/>
      <c r="CD133" s="425"/>
      <c r="CE133" s="425"/>
      <c r="CF133" s="425"/>
      <c r="CG133" s="425"/>
      <c r="CH133" s="425"/>
      <c r="CI133" s="425"/>
      <c r="CJ133" s="425"/>
    </row>
    <row r="134" spans="1:88">
      <c r="A134" s="554"/>
      <c r="B134" s="579"/>
      <c r="C134" s="579"/>
      <c r="D134" s="579"/>
      <c r="E134" s="579"/>
      <c r="F134" s="579"/>
      <c r="G134" s="579"/>
      <c r="H134" s="577"/>
      <c r="I134" s="577"/>
      <c r="J134" s="577"/>
      <c r="K134" s="577"/>
      <c r="L134" s="577"/>
      <c r="M134" s="577"/>
      <c r="N134" s="578"/>
      <c r="O134" s="577"/>
      <c r="P134" s="577"/>
      <c r="Q134" s="577"/>
      <c r="R134" s="577"/>
      <c r="S134" s="549"/>
      <c r="T134" s="549"/>
      <c r="U134" s="424"/>
      <c r="V134" s="425"/>
      <c r="W134" s="425"/>
      <c r="X134" s="425"/>
      <c r="Y134" s="425"/>
      <c r="Z134" s="425"/>
      <c r="AA134" s="425"/>
      <c r="AH134" s="425"/>
      <c r="AI134" s="425"/>
      <c r="AJ134" s="425"/>
      <c r="AK134" s="425"/>
      <c r="AL134" s="425"/>
      <c r="AM134" s="425"/>
      <c r="AN134" s="428"/>
      <c r="AO134" s="425"/>
      <c r="AP134" s="425"/>
      <c r="AQ134" s="425"/>
      <c r="AR134" s="425"/>
      <c r="AS134" s="425"/>
      <c r="AT134" s="425"/>
      <c r="AU134" s="425"/>
      <c r="AV134" s="425"/>
      <c r="AW134" s="425"/>
      <c r="AX134" s="425"/>
      <c r="AY134" s="425"/>
      <c r="AZ134" s="425"/>
      <c r="BA134" s="425"/>
      <c r="BB134" s="425"/>
      <c r="BC134" s="425"/>
      <c r="BD134" s="425"/>
      <c r="BE134" s="425"/>
      <c r="BF134" s="425"/>
      <c r="BG134" s="426"/>
      <c r="BH134" s="425"/>
      <c r="BI134" s="425"/>
      <c r="BJ134" s="425"/>
      <c r="BK134" s="425"/>
      <c r="BL134" s="425"/>
      <c r="BM134" s="425"/>
      <c r="BN134" s="425"/>
      <c r="BO134" s="425"/>
      <c r="BP134" s="425"/>
      <c r="BQ134" s="425"/>
      <c r="BR134" s="425"/>
      <c r="BS134" s="425"/>
      <c r="BT134" s="425"/>
      <c r="BU134" s="425"/>
      <c r="BV134" s="425"/>
      <c r="BW134" s="425"/>
      <c r="BX134" s="425"/>
      <c r="BY134" s="425"/>
      <c r="BZ134" s="425"/>
      <c r="CA134" s="425"/>
      <c r="CB134" s="425"/>
      <c r="CC134" s="425"/>
      <c r="CD134" s="425"/>
      <c r="CE134" s="425"/>
      <c r="CF134" s="425"/>
      <c r="CG134" s="425"/>
      <c r="CH134" s="425"/>
      <c r="CI134" s="425"/>
      <c r="CJ134" s="425"/>
    </row>
    <row r="135" spans="1:88">
      <c r="A135" s="554"/>
      <c r="B135" s="579"/>
      <c r="C135" s="579"/>
      <c r="D135" s="579"/>
      <c r="E135" s="579"/>
      <c r="F135" s="579"/>
      <c r="G135" s="579"/>
      <c r="H135" s="577"/>
      <c r="I135" s="577"/>
      <c r="J135" s="577"/>
      <c r="K135" s="577"/>
      <c r="L135" s="577"/>
      <c r="M135" s="577"/>
      <c r="N135" s="578"/>
      <c r="O135" s="577"/>
      <c r="P135" s="577"/>
      <c r="Q135" s="577"/>
      <c r="R135" s="577"/>
      <c r="S135" s="549"/>
      <c r="T135" s="549"/>
      <c r="U135" s="424"/>
      <c r="V135" s="425"/>
      <c r="W135" s="425"/>
      <c r="X135" s="425"/>
      <c r="Y135" s="425"/>
      <c r="Z135" s="425"/>
      <c r="AA135" s="425"/>
      <c r="AH135" s="425"/>
      <c r="AI135" s="425"/>
      <c r="AJ135" s="425"/>
      <c r="AK135" s="425"/>
      <c r="AL135" s="425"/>
      <c r="AM135" s="425"/>
      <c r="AN135" s="428"/>
      <c r="AO135" s="425"/>
      <c r="AP135" s="425"/>
      <c r="AQ135" s="425"/>
      <c r="AR135" s="425"/>
      <c r="AS135" s="425"/>
      <c r="AT135" s="425"/>
      <c r="AU135" s="425"/>
      <c r="AV135" s="425"/>
      <c r="AW135" s="425"/>
      <c r="AX135" s="425"/>
      <c r="AY135" s="425"/>
      <c r="AZ135" s="425"/>
      <c r="BA135" s="425"/>
      <c r="BB135" s="425"/>
      <c r="BC135" s="425"/>
      <c r="BD135" s="425"/>
      <c r="BE135" s="425"/>
      <c r="BF135" s="425"/>
      <c r="BG135" s="426"/>
      <c r="BH135" s="425"/>
      <c r="BI135" s="425"/>
      <c r="BJ135" s="425"/>
      <c r="BK135" s="425"/>
      <c r="BL135" s="425"/>
      <c r="BM135" s="425"/>
      <c r="BN135" s="425"/>
      <c r="BO135" s="425"/>
      <c r="BP135" s="425"/>
      <c r="BQ135" s="425"/>
      <c r="BR135" s="425"/>
      <c r="BS135" s="425"/>
      <c r="BT135" s="425"/>
      <c r="BU135" s="425"/>
      <c r="BV135" s="425"/>
      <c r="BW135" s="425"/>
      <c r="BX135" s="425"/>
      <c r="BY135" s="425"/>
      <c r="BZ135" s="425"/>
      <c r="CA135" s="425"/>
      <c r="CB135" s="425"/>
      <c r="CC135" s="425"/>
      <c r="CD135" s="425"/>
      <c r="CE135" s="425"/>
      <c r="CF135" s="425"/>
      <c r="CG135" s="425"/>
      <c r="CH135" s="425"/>
      <c r="CI135" s="425"/>
      <c r="CJ135" s="425"/>
    </row>
    <row r="136" spans="1:88">
      <c r="A136" s="554"/>
      <c r="B136" s="579"/>
      <c r="C136" s="579"/>
      <c r="D136" s="579"/>
      <c r="E136" s="579"/>
      <c r="F136" s="579"/>
      <c r="G136" s="579"/>
      <c r="H136" s="577"/>
      <c r="I136" s="577"/>
      <c r="J136" s="577"/>
      <c r="K136" s="577"/>
      <c r="L136" s="577"/>
      <c r="M136" s="577"/>
      <c r="N136" s="578"/>
      <c r="O136" s="577"/>
      <c r="P136" s="577"/>
      <c r="Q136" s="577"/>
      <c r="R136" s="577"/>
      <c r="S136" s="549"/>
      <c r="T136" s="549"/>
      <c r="U136" s="424"/>
      <c r="V136" s="425"/>
      <c r="W136" s="425"/>
      <c r="X136" s="425"/>
      <c r="Y136" s="425"/>
      <c r="Z136" s="425"/>
      <c r="AA136" s="425"/>
      <c r="AH136" s="425"/>
      <c r="AI136" s="425"/>
      <c r="AJ136" s="425"/>
      <c r="AK136" s="425"/>
      <c r="AL136" s="425"/>
      <c r="AM136" s="425"/>
      <c r="AN136" s="428"/>
      <c r="AO136" s="425"/>
      <c r="AP136" s="425"/>
      <c r="AQ136" s="425"/>
      <c r="AR136" s="425"/>
      <c r="AS136" s="425"/>
      <c r="AT136" s="425"/>
      <c r="AU136" s="425"/>
      <c r="AV136" s="425"/>
      <c r="AW136" s="425"/>
      <c r="AX136" s="425"/>
      <c r="AY136" s="425"/>
      <c r="AZ136" s="425"/>
      <c r="BA136" s="425"/>
      <c r="BB136" s="425"/>
      <c r="BC136" s="425"/>
      <c r="BD136" s="425"/>
      <c r="BE136" s="425"/>
      <c r="BF136" s="425"/>
      <c r="BG136" s="426"/>
      <c r="BH136" s="425"/>
      <c r="BI136" s="425"/>
      <c r="BJ136" s="425"/>
      <c r="BK136" s="425"/>
      <c r="BL136" s="425"/>
      <c r="BM136" s="425"/>
      <c r="BN136" s="425"/>
      <c r="BO136" s="425"/>
      <c r="BP136" s="425"/>
      <c r="BQ136" s="425"/>
      <c r="BR136" s="425"/>
      <c r="BS136" s="425"/>
      <c r="BT136" s="425"/>
      <c r="BU136" s="425"/>
      <c r="BV136" s="425"/>
      <c r="BW136" s="425"/>
      <c r="BX136" s="425"/>
      <c r="BY136" s="425"/>
      <c r="BZ136" s="425"/>
      <c r="CA136" s="425"/>
      <c r="CB136" s="425"/>
      <c r="CC136" s="425"/>
      <c r="CD136" s="425"/>
      <c r="CE136" s="425"/>
      <c r="CF136" s="425"/>
      <c r="CG136" s="425"/>
      <c r="CH136" s="425"/>
      <c r="CI136" s="425"/>
      <c r="CJ136" s="425"/>
    </row>
    <row r="137" spans="1:88">
      <c r="A137" s="554"/>
      <c r="B137" s="579"/>
      <c r="C137" s="579"/>
      <c r="D137" s="579"/>
      <c r="E137" s="579"/>
      <c r="F137" s="579"/>
      <c r="G137" s="579"/>
      <c r="H137" s="577"/>
      <c r="I137" s="577"/>
      <c r="J137" s="577"/>
      <c r="K137" s="577"/>
      <c r="L137" s="577"/>
      <c r="M137" s="577"/>
      <c r="N137" s="578"/>
      <c r="O137" s="577"/>
      <c r="P137" s="577"/>
      <c r="Q137" s="577"/>
      <c r="R137" s="577"/>
      <c r="S137" s="549"/>
      <c r="T137" s="549"/>
      <c r="U137" s="424"/>
      <c r="V137" s="425"/>
      <c r="W137" s="425"/>
      <c r="X137" s="425"/>
      <c r="Y137" s="425"/>
      <c r="Z137" s="425"/>
      <c r="AA137" s="425"/>
      <c r="AH137" s="425"/>
      <c r="AI137" s="425"/>
      <c r="AJ137" s="425"/>
      <c r="AK137" s="425"/>
      <c r="AL137" s="425"/>
      <c r="AM137" s="425"/>
      <c r="AN137" s="428"/>
      <c r="AO137" s="425"/>
      <c r="AP137" s="425"/>
      <c r="AQ137" s="425"/>
      <c r="AR137" s="425"/>
      <c r="AS137" s="425"/>
      <c r="AT137" s="425"/>
      <c r="AU137" s="425"/>
      <c r="AV137" s="425"/>
      <c r="AW137" s="425"/>
      <c r="AX137" s="425"/>
      <c r="AY137" s="425"/>
      <c r="AZ137" s="425"/>
      <c r="BA137" s="425"/>
      <c r="BB137" s="425"/>
      <c r="BC137" s="425"/>
      <c r="BD137" s="425"/>
      <c r="BE137" s="425"/>
      <c r="BF137" s="425"/>
      <c r="BG137" s="426"/>
      <c r="BH137" s="425"/>
      <c r="BI137" s="425"/>
      <c r="BJ137" s="425"/>
      <c r="BK137" s="425"/>
      <c r="BL137" s="425"/>
      <c r="BM137" s="425"/>
      <c r="BN137" s="425"/>
      <c r="BO137" s="425"/>
      <c r="BP137" s="425"/>
      <c r="BQ137" s="425"/>
      <c r="BR137" s="425"/>
      <c r="BS137" s="425"/>
      <c r="BT137" s="425"/>
      <c r="BU137" s="425"/>
      <c r="BV137" s="425"/>
      <c r="BW137" s="425"/>
      <c r="BX137" s="425"/>
      <c r="BY137" s="425"/>
      <c r="BZ137" s="425"/>
      <c r="CA137" s="425"/>
      <c r="CB137" s="425"/>
      <c r="CC137" s="425"/>
      <c r="CD137" s="425"/>
      <c r="CE137" s="425"/>
      <c r="CF137" s="425"/>
      <c r="CG137" s="425"/>
      <c r="CH137" s="425"/>
      <c r="CI137" s="425"/>
      <c r="CJ137" s="425"/>
    </row>
    <row r="138" spans="1:88">
      <c r="A138" s="554"/>
      <c r="B138" s="579"/>
      <c r="C138" s="579"/>
      <c r="D138" s="579"/>
      <c r="E138" s="579"/>
      <c r="F138" s="579"/>
      <c r="G138" s="579"/>
      <c r="H138" s="577"/>
      <c r="I138" s="577"/>
      <c r="J138" s="577"/>
      <c r="K138" s="577"/>
      <c r="L138" s="577"/>
      <c r="M138" s="577"/>
      <c r="N138" s="578"/>
      <c r="O138" s="577"/>
      <c r="P138" s="577"/>
      <c r="Q138" s="577"/>
      <c r="R138" s="577"/>
      <c r="S138" s="549"/>
      <c r="T138" s="549"/>
      <c r="U138" s="424"/>
      <c r="V138" s="425"/>
      <c r="W138" s="425"/>
      <c r="X138" s="425"/>
      <c r="Y138" s="425"/>
      <c r="Z138" s="425"/>
      <c r="AA138" s="425"/>
      <c r="AH138" s="425"/>
      <c r="AI138" s="425"/>
      <c r="AJ138" s="425"/>
      <c r="AK138" s="425"/>
      <c r="AL138" s="425"/>
      <c r="AM138" s="425"/>
      <c r="AN138" s="428"/>
      <c r="AO138" s="425"/>
      <c r="AP138" s="425"/>
      <c r="AQ138" s="425"/>
      <c r="AR138" s="425"/>
      <c r="AS138" s="425"/>
      <c r="AT138" s="425"/>
      <c r="AU138" s="425"/>
      <c r="AV138" s="425"/>
      <c r="AW138" s="425"/>
      <c r="AX138" s="425"/>
      <c r="AY138" s="425"/>
      <c r="AZ138" s="425"/>
      <c r="BA138" s="425"/>
      <c r="BB138" s="425"/>
      <c r="BC138" s="425"/>
      <c r="BD138" s="425"/>
      <c r="BE138" s="425"/>
      <c r="BF138" s="425"/>
      <c r="BG138" s="426"/>
      <c r="BH138" s="425"/>
      <c r="BI138" s="425"/>
      <c r="BJ138" s="425"/>
      <c r="BK138" s="425"/>
      <c r="BL138" s="425"/>
      <c r="BM138" s="425"/>
      <c r="BN138" s="425"/>
      <c r="BO138" s="425"/>
      <c r="BP138" s="425"/>
      <c r="BQ138" s="425"/>
      <c r="BR138" s="425"/>
      <c r="BS138" s="425"/>
      <c r="BT138" s="425"/>
      <c r="BU138" s="425"/>
      <c r="BV138" s="425"/>
      <c r="BW138" s="425"/>
      <c r="BX138" s="425"/>
      <c r="BY138" s="425"/>
      <c r="BZ138" s="425"/>
      <c r="CA138" s="425"/>
      <c r="CB138" s="425"/>
      <c r="CC138" s="425"/>
      <c r="CD138" s="425"/>
      <c r="CE138" s="425"/>
      <c r="CF138" s="425"/>
      <c r="CG138" s="425"/>
      <c r="CH138" s="425"/>
      <c r="CI138" s="425"/>
      <c r="CJ138" s="425"/>
    </row>
    <row r="139" spans="1:88">
      <c r="A139" s="554"/>
      <c r="B139" s="579"/>
      <c r="C139" s="579"/>
      <c r="D139" s="579"/>
      <c r="E139" s="579"/>
      <c r="F139" s="579"/>
      <c r="G139" s="579"/>
      <c r="H139" s="577"/>
      <c r="I139" s="577"/>
      <c r="J139" s="577"/>
      <c r="K139" s="577"/>
      <c r="L139" s="577"/>
      <c r="M139" s="577"/>
      <c r="N139" s="578"/>
      <c r="O139" s="577"/>
      <c r="P139" s="577"/>
      <c r="Q139" s="577"/>
      <c r="R139" s="577"/>
      <c r="S139" s="549"/>
      <c r="T139" s="549"/>
      <c r="U139" s="424"/>
      <c r="V139" s="425"/>
      <c r="W139" s="425"/>
      <c r="X139" s="425"/>
      <c r="Y139" s="425"/>
      <c r="Z139" s="425"/>
      <c r="AA139" s="425"/>
      <c r="AH139" s="425"/>
      <c r="AI139" s="425"/>
      <c r="AJ139" s="425"/>
      <c r="AK139" s="425"/>
      <c r="AL139" s="425"/>
      <c r="AM139" s="425"/>
      <c r="AN139" s="428"/>
      <c r="AO139" s="425"/>
      <c r="AP139" s="425"/>
      <c r="AQ139" s="425"/>
      <c r="AR139" s="425"/>
      <c r="AS139" s="425"/>
      <c r="AT139" s="425"/>
      <c r="AU139" s="425"/>
      <c r="AV139" s="425"/>
      <c r="AW139" s="425"/>
      <c r="AX139" s="425"/>
      <c r="AY139" s="425"/>
      <c r="AZ139" s="425"/>
      <c r="BA139" s="425"/>
      <c r="BB139" s="425"/>
      <c r="BC139" s="425"/>
      <c r="BD139" s="425"/>
      <c r="BE139" s="425"/>
      <c r="BF139" s="425"/>
      <c r="BG139" s="426"/>
      <c r="BH139" s="425"/>
      <c r="BI139" s="425"/>
      <c r="BJ139" s="425"/>
      <c r="BK139" s="425"/>
      <c r="BL139" s="425"/>
      <c r="BM139" s="425"/>
      <c r="BN139" s="425"/>
      <c r="BO139" s="425"/>
      <c r="BP139" s="425"/>
      <c r="BQ139" s="425"/>
      <c r="BR139" s="425"/>
      <c r="BS139" s="425"/>
      <c r="BT139" s="425"/>
      <c r="BU139" s="425"/>
      <c r="BV139" s="425"/>
      <c r="BW139" s="425"/>
      <c r="BX139" s="425"/>
      <c r="BY139" s="425"/>
      <c r="BZ139" s="425"/>
      <c r="CA139" s="425"/>
      <c r="CB139" s="425"/>
      <c r="CC139" s="425"/>
      <c r="CD139" s="425"/>
      <c r="CE139" s="425"/>
      <c r="CF139" s="425"/>
      <c r="CG139" s="425"/>
      <c r="CH139" s="425"/>
      <c r="CI139" s="425"/>
      <c r="CJ139" s="425"/>
    </row>
    <row r="140" spans="1:88">
      <c r="A140" s="554"/>
      <c r="B140" s="579"/>
      <c r="C140" s="579"/>
      <c r="D140" s="579"/>
      <c r="E140" s="579"/>
      <c r="F140" s="579"/>
      <c r="G140" s="579"/>
      <c r="H140" s="577"/>
      <c r="I140" s="577"/>
      <c r="J140" s="577"/>
      <c r="K140" s="577"/>
      <c r="L140" s="577"/>
      <c r="M140" s="577"/>
      <c r="N140" s="578"/>
      <c r="O140" s="577"/>
      <c r="P140" s="577"/>
      <c r="Q140" s="577"/>
      <c r="R140" s="577"/>
      <c r="S140" s="549"/>
      <c r="T140" s="549"/>
      <c r="U140" s="424"/>
      <c r="V140" s="425"/>
      <c r="W140" s="425"/>
      <c r="X140" s="425"/>
      <c r="Y140" s="425"/>
      <c r="Z140" s="425"/>
      <c r="AA140" s="425"/>
      <c r="AH140" s="425"/>
      <c r="AI140" s="425"/>
      <c r="AJ140" s="425"/>
      <c r="AK140" s="425"/>
      <c r="AL140" s="425"/>
      <c r="AM140" s="425"/>
      <c r="AN140" s="428"/>
      <c r="AO140" s="425"/>
      <c r="AP140" s="425"/>
      <c r="AQ140" s="425"/>
      <c r="AR140" s="425"/>
      <c r="AS140" s="425"/>
      <c r="AT140" s="425"/>
      <c r="AU140" s="425"/>
      <c r="AV140" s="425"/>
      <c r="AW140" s="425"/>
      <c r="AX140" s="425"/>
      <c r="AY140" s="425"/>
      <c r="AZ140" s="425"/>
      <c r="BA140" s="425"/>
      <c r="BB140" s="425"/>
      <c r="BC140" s="425"/>
      <c r="BD140" s="425"/>
      <c r="BE140" s="425"/>
      <c r="BF140" s="425"/>
      <c r="BG140" s="426"/>
      <c r="BH140" s="425"/>
      <c r="BI140" s="425"/>
      <c r="BJ140" s="425"/>
      <c r="BK140" s="425"/>
      <c r="BL140" s="425"/>
      <c r="BM140" s="425"/>
      <c r="BN140" s="425"/>
      <c r="BO140" s="425"/>
      <c r="BP140" s="425"/>
      <c r="BQ140" s="425"/>
      <c r="BR140" s="425"/>
      <c r="BS140" s="425"/>
      <c r="BT140" s="425"/>
      <c r="BU140" s="425"/>
      <c r="BV140" s="425"/>
      <c r="BW140" s="425"/>
      <c r="BX140" s="425"/>
      <c r="BY140" s="425"/>
      <c r="BZ140" s="425"/>
      <c r="CA140" s="425"/>
      <c r="CB140" s="425"/>
      <c r="CC140" s="425"/>
      <c r="CD140" s="425"/>
      <c r="CE140" s="425"/>
      <c r="CF140" s="425"/>
      <c r="CG140" s="425"/>
      <c r="CH140" s="425"/>
      <c r="CI140" s="425"/>
      <c r="CJ140" s="425"/>
    </row>
    <row r="141" spans="1:88">
      <c r="A141" s="554"/>
      <c r="B141" s="579"/>
      <c r="C141" s="579"/>
      <c r="D141" s="579"/>
      <c r="E141" s="579"/>
      <c r="F141" s="579"/>
      <c r="G141" s="579"/>
      <c r="H141" s="577"/>
      <c r="I141" s="577"/>
      <c r="J141" s="577"/>
      <c r="K141" s="577"/>
      <c r="L141" s="577"/>
      <c r="M141" s="577"/>
      <c r="N141" s="578"/>
      <c r="O141" s="577"/>
      <c r="P141" s="577"/>
      <c r="Q141" s="577"/>
      <c r="R141" s="577"/>
      <c r="S141" s="549"/>
      <c r="T141" s="549"/>
      <c r="U141" s="424"/>
      <c r="V141" s="425"/>
      <c r="W141" s="425"/>
      <c r="X141" s="425"/>
      <c r="Y141" s="425"/>
      <c r="Z141" s="425"/>
      <c r="AA141" s="425"/>
      <c r="AH141" s="425"/>
      <c r="AI141" s="425"/>
      <c r="AJ141" s="425"/>
      <c r="AK141" s="425"/>
      <c r="AL141" s="425"/>
      <c r="AM141" s="425"/>
      <c r="AN141" s="428"/>
      <c r="AO141" s="425"/>
      <c r="AP141" s="425"/>
      <c r="AQ141" s="425"/>
      <c r="AR141" s="425"/>
      <c r="AS141" s="425"/>
      <c r="AT141" s="425"/>
      <c r="AU141" s="425"/>
      <c r="AV141" s="425"/>
      <c r="AW141" s="425"/>
      <c r="AX141" s="425"/>
      <c r="AY141" s="425"/>
      <c r="AZ141" s="425"/>
      <c r="BA141" s="425"/>
      <c r="BB141" s="425"/>
      <c r="BC141" s="425"/>
      <c r="BD141" s="425"/>
      <c r="BE141" s="425"/>
      <c r="BF141" s="425"/>
      <c r="BG141" s="426"/>
      <c r="BH141" s="425"/>
      <c r="BI141" s="425"/>
      <c r="BJ141" s="425"/>
      <c r="BK141" s="425"/>
      <c r="BL141" s="425"/>
      <c r="BM141" s="425"/>
      <c r="BN141" s="425"/>
      <c r="BO141" s="425"/>
      <c r="BP141" s="425"/>
      <c r="BQ141" s="425"/>
      <c r="BR141" s="425"/>
      <c r="BS141" s="425"/>
      <c r="BT141" s="425"/>
      <c r="BU141" s="425"/>
      <c r="BV141" s="425"/>
      <c r="BW141" s="425"/>
      <c r="BX141" s="425"/>
      <c r="BY141" s="425"/>
      <c r="BZ141" s="425"/>
      <c r="CA141" s="425"/>
      <c r="CB141" s="425"/>
      <c r="CC141" s="425"/>
      <c r="CD141" s="425"/>
      <c r="CE141" s="425"/>
      <c r="CF141" s="425"/>
      <c r="CG141" s="425"/>
      <c r="CH141" s="425"/>
      <c r="CI141" s="425"/>
      <c r="CJ141" s="425"/>
    </row>
    <row r="142" spans="1:88">
      <c r="A142" s="554"/>
      <c r="B142" s="579"/>
      <c r="C142" s="579"/>
      <c r="D142" s="579"/>
      <c r="E142" s="579"/>
      <c r="F142" s="579"/>
      <c r="G142" s="579"/>
      <c r="H142" s="577"/>
      <c r="I142" s="577"/>
      <c r="J142" s="577"/>
      <c r="K142" s="577"/>
      <c r="L142" s="577"/>
      <c r="M142" s="577"/>
      <c r="N142" s="578"/>
      <c r="O142" s="577"/>
      <c r="P142" s="577"/>
      <c r="Q142" s="577"/>
      <c r="R142" s="577"/>
      <c r="S142" s="549"/>
      <c r="T142" s="549"/>
      <c r="U142" s="424"/>
      <c r="V142" s="425"/>
      <c r="W142" s="425"/>
      <c r="X142" s="425"/>
      <c r="Y142" s="425"/>
      <c r="Z142" s="425"/>
      <c r="AA142" s="425"/>
      <c r="AH142" s="425"/>
      <c r="AI142" s="425"/>
      <c r="AJ142" s="425"/>
      <c r="AK142" s="425"/>
      <c r="AL142" s="425"/>
      <c r="AM142" s="425"/>
      <c r="AN142" s="428"/>
      <c r="AO142" s="425"/>
      <c r="AP142" s="425"/>
      <c r="AQ142" s="425"/>
      <c r="AR142" s="425"/>
      <c r="AS142" s="425"/>
      <c r="AT142" s="425"/>
      <c r="AU142" s="425"/>
      <c r="AV142" s="425"/>
      <c r="AW142" s="425"/>
      <c r="AX142" s="425"/>
      <c r="AY142" s="425"/>
      <c r="AZ142" s="425"/>
      <c r="BA142" s="425"/>
      <c r="BB142" s="425"/>
      <c r="BC142" s="425"/>
      <c r="BD142" s="425"/>
      <c r="BE142" s="425"/>
      <c r="BF142" s="425"/>
      <c r="BG142" s="426"/>
      <c r="BH142" s="425"/>
      <c r="BI142" s="425"/>
      <c r="BJ142" s="425"/>
      <c r="BK142" s="425"/>
      <c r="BL142" s="425"/>
      <c r="BM142" s="425"/>
      <c r="BN142" s="425"/>
      <c r="BO142" s="425"/>
      <c r="BP142" s="425"/>
      <c r="BQ142" s="425"/>
      <c r="BR142" s="425"/>
      <c r="BS142" s="425"/>
      <c r="BT142" s="425"/>
      <c r="BU142" s="425"/>
      <c r="BV142" s="425"/>
      <c r="BW142" s="425"/>
      <c r="BX142" s="425"/>
      <c r="BY142" s="425"/>
      <c r="BZ142" s="425"/>
      <c r="CA142" s="425"/>
      <c r="CB142" s="425"/>
      <c r="CC142" s="425"/>
      <c r="CD142" s="425"/>
      <c r="CE142" s="425"/>
      <c r="CF142" s="425"/>
      <c r="CG142" s="425"/>
      <c r="CH142" s="425"/>
      <c r="CI142" s="425"/>
      <c r="CJ142" s="425"/>
    </row>
    <row r="143" spans="1:88">
      <c r="A143" s="554"/>
      <c r="B143" s="579"/>
      <c r="C143" s="579"/>
      <c r="D143" s="579"/>
      <c r="E143" s="579"/>
      <c r="F143" s="579"/>
      <c r="G143" s="579"/>
      <c r="H143" s="577"/>
      <c r="I143" s="577"/>
      <c r="J143" s="577"/>
      <c r="K143" s="577"/>
      <c r="L143" s="577"/>
      <c r="M143" s="577"/>
      <c r="N143" s="578"/>
      <c r="O143" s="577"/>
      <c r="P143" s="577"/>
      <c r="Q143" s="577"/>
      <c r="R143" s="577"/>
      <c r="S143" s="549"/>
      <c r="T143" s="549"/>
      <c r="U143" s="424"/>
      <c r="V143" s="425"/>
      <c r="W143" s="425"/>
      <c r="X143" s="425"/>
      <c r="Y143" s="425"/>
      <c r="Z143" s="425"/>
      <c r="AA143" s="425"/>
      <c r="AH143" s="425"/>
      <c r="AI143" s="425"/>
      <c r="AJ143" s="425"/>
      <c r="AK143" s="425"/>
      <c r="AL143" s="425"/>
      <c r="AM143" s="425"/>
      <c r="AN143" s="428"/>
      <c r="AO143" s="425"/>
      <c r="AP143" s="425"/>
      <c r="AQ143" s="425"/>
      <c r="AR143" s="425"/>
      <c r="AS143" s="425"/>
      <c r="AT143" s="425"/>
      <c r="AU143" s="425"/>
      <c r="AV143" s="425"/>
      <c r="AW143" s="425"/>
      <c r="AX143" s="425"/>
      <c r="AY143" s="425"/>
      <c r="AZ143" s="425"/>
      <c r="BA143" s="425"/>
      <c r="BB143" s="425"/>
      <c r="BC143" s="425"/>
      <c r="BD143" s="425"/>
      <c r="BE143" s="425"/>
      <c r="BF143" s="425"/>
      <c r="BG143" s="426"/>
      <c r="BH143" s="425"/>
      <c r="BI143" s="425"/>
      <c r="BJ143" s="425"/>
      <c r="BK143" s="425"/>
      <c r="BL143" s="425"/>
      <c r="BM143" s="425"/>
      <c r="BN143" s="425"/>
      <c r="BO143" s="425"/>
      <c r="BP143" s="425"/>
      <c r="BQ143" s="425"/>
      <c r="BR143" s="425"/>
      <c r="BS143" s="425"/>
      <c r="BT143" s="425"/>
      <c r="BU143" s="425"/>
      <c r="BV143" s="425"/>
      <c r="BW143" s="425"/>
      <c r="BX143" s="425"/>
      <c r="BY143" s="425"/>
      <c r="BZ143" s="425"/>
      <c r="CA143" s="425"/>
      <c r="CB143" s="425"/>
      <c r="CC143" s="425"/>
      <c r="CD143" s="425"/>
      <c r="CE143" s="425"/>
      <c r="CF143" s="425"/>
      <c r="CG143" s="425"/>
      <c r="CH143" s="425"/>
      <c r="CI143" s="425"/>
      <c r="CJ143" s="425"/>
    </row>
    <row r="144" spans="1:88">
      <c r="A144" s="554"/>
      <c r="B144" s="579"/>
      <c r="C144" s="579"/>
      <c r="D144" s="579"/>
      <c r="E144" s="579"/>
      <c r="F144" s="579"/>
      <c r="G144" s="579"/>
      <c r="H144" s="577"/>
      <c r="I144" s="577"/>
      <c r="J144" s="577"/>
      <c r="K144" s="577"/>
      <c r="L144" s="577"/>
      <c r="M144" s="577"/>
      <c r="N144" s="578"/>
      <c r="O144" s="577"/>
      <c r="P144" s="577"/>
      <c r="Q144" s="577"/>
      <c r="R144" s="577"/>
      <c r="S144" s="549"/>
      <c r="T144" s="549"/>
      <c r="U144" s="424"/>
      <c r="V144" s="425"/>
      <c r="W144" s="425"/>
      <c r="X144" s="425"/>
      <c r="Y144" s="425"/>
      <c r="Z144" s="425"/>
      <c r="AA144" s="425"/>
      <c r="AH144" s="425"/>
      <c r="AI144" s="425"/>
      <c r="AJ144" s="425"/>
      <c r="AK144" s="425"/>
      <c r="AL144" s="425"/>
      <c r="AM144" s="425"/>
      <c r="AN144" s="428"/>
      <c r="AO144" s="425"/>
      <c r="AP144" s="425"/>
      <c r="AQ144" s="425"/>
      <c r="AR144" s="425"/>
      <c r="AS144" s="425"/>
      <c r="AT144" s="425"/>
      <c r="AU144" s="425"/>
      <c r="AV144" s="425"/>
      <c r="AW144" s="425"/>
      <c r="AX144" s="425"/>
      <c r="AY144" s="425"/>
      <c r="AZ144" s="425"/>
      <c r="BA144" s="425"/>
      <c r="BB144" s="425"/>
      <c r="BC144" s="425"/>
      <c r="BD144" s="425"/>
      <c r="BE144" s="425"/>
      <c r="BF144" s="425"/>
      <c r="BG144" s="426"/>
      <c r="BH144" s="425"/>
      <c r="BI144" s="425"/>
      <c r="BJ144" s="425"/>
      <c r="BK144" s="425"/>
      <c r="BL144" s="425"/>
      <c r="BM144" s="425"/>
      <c r="BN144" s="425"/>
      <c r="BO144" s="425"/>
      <c r="BP144" s="425"/>
      <c r="BQ144" s="425"/>
      <c r="BR144" s="425"/>
      <c r="BS144" s="425"/>
      <c r="BT144" s="425"/>
      <c r="BU144" s="425"/>
      <c r="BV144" s="425"/>
      <c r="BW144" s="425"/>
      <c r="BX144" s="425"/>
      <c r="BY144" s="425"/>
      <c r="BZ144" s="425"/>
      <c r="CA144" s="425"/>
      <c r="CB144" s="425"/>
      <c r="CC144" s="425"/>
      <c r="CD144" s="425"/>
      <c r="CE144" s="425"/>
      <c r="CF144" s="425"/>
      <c r="CG144" s="425"/>
      <c r="CH144" s="425"/>
      <c r="CI144" s="425"/>
      <c r="CJ144" s="425"/>
    </row>
    <row r="145" spans="1:88">
      <c r="A145" s="554"/>
      <c r="B145" s="579"/>
      <c r="C145" s="579"/>
      <c r="D145" s="579"/>
      <c r="E145" s="579"/>
      <c r="F145" s="579"/>
      <c r="G145" s="579"/>
      <c r="H145" s="577"/>
      <c r="I145" s="577"/>
      <c r="J145" s="577"/>
      <c r="K145" s="577"/>
      <c r="L145" s="577"/>
      <c r="M145" s="577"/>
      <c r="N145" s="578"/>
      <c r="O145" s="577"/>
      <c r="P145" s="577"/>
      <c r="Q145" s="577"/>
      <c r="R145" s="577"/>
      <c r="S145" s="549"/>
      <c r="T145" s="549"/>
      <c r="U145" s="424"/>
      <c r="V145" s="425"/>
      <c r="W145" s="425"/>
      <c r="X145" s="425"/>
      <c r="Y145" s="425"/>
      <c r="Z145" s="425"/>
      <c r="AA145" s="425"/>
      <c r="AH145" s="425"/>
      <c r="AI145" s="425"/>
      <c r="AJ145" s="425"/>
      <c r="AK145" s="425"/>
      <c r="AL145" s="425"/>
      <c r="AM145" s="425"/>
      <c r="AN145" s="428"/>
      <c r="AO145" s="425"/>
      <c r="AP145" s="425"/>
      <c r="AQ145" s="425"/>
      <c r="AR145" s="425"/>
      <c r="AS145" s="425"/>
      <c r="AT145" s="425"/>
      <c r="AU145" s="425"/>
      <c r="AV145" s="425"/>
      <c r="AW145" s="425"/>
      <c r="AX145" s="425"/>
      <c r="AY145" s="425"/>
      <c r="AZ145" s="425"/>
      <c r="BA145" s="425"/>
      <c r="BB145" s="425"/>
      <c r="BC145" s="425"/>
      <c r="BD145" s="425"/>
      <c r="BE145" s="425"/>
      <c r="BF145" s="425"/>
      <c r="BG145" s="426"/>
      <c r="BH145" s="425"/>
      <c r="BI145" s="425"/>
      <c r="BJ145" s="425"/>
      <c r="BK145" s="425"/>
      <c r="BL145" s="425"/>
      <c r="BM145" s="425"/>
      <c r="BN145" s="425"/>
      <c r="BO145" s="425"/>
      <c r="BP145" s="425"/>
      <c r="BQ145" s="425"/>
      <c r="BR145" s="425"/>
      <c r="BS145" s="425"/>
      <c r="BT145" s="425"/>
      <c r="BU145" s="425"/>
      <c r="BV145" s="425"/>
      <c r="BW145" s="425"/>
      <c r="BX145" s="425"/>
      <c r="BY145" s="425"/>
      <c r="BZ145" s="425"/>
      <c r="CA145" s="425"/>
      <c r="CB145" s="425"/>
      <c r="CC145" s="425"/>
      <c r="CD145" s="425"/>
      <c r="CE145" s="425"/>
      <c r="CF145" s="425"/>
      <c r="CG145" s="425"/>
      <c r="CH145" s="425"/>
      <c r="CI145" s="425"/>
      <c r="CJ145" s="425"/>
    </row>
    <row r="146" spans="1:88">
      <c r="A146" s="554"/>
      <c r="B146" s="579"/>
      <c r="C146" s="579"/>
      <c r="D146" s="579"/>
      <c r="E146" s="579"/>
      <c r="F146" s="579"/>
      <c r="G146" s="579"/>
      <c r="H146" s="577"/>
      <c r="I146" s="577"/>
      <c r="J146" s="577"/>
      <c r="K146" s="577"/>
      <c r="L146" s="577"/>
      <c r="M146" s="577"/>
      <c r="N146" s="578"/>
      <c r="O146" s="577"/>
      <c r="P146" s="577"/>
      <c r="Q146" s="577"/>
      <c r="R146" s="577"/>
      <c r="S146" s="549"/>
      <c r="T146" s="549"/>
      <c r="U146" s="424"/>
      <c r="V146" s="425"/>
      <c r="W146" s="425"/>
      <c r="X146" s="425"/>
      <c r="Y146" s="425"/>
      <c r="Z146" s="425"/>
      <c r="AA146" s="425"/>
      <c r="AH146" s="425"/>
      <c r="AI146" s="425"/>
      <c r="AJ146" s="425"/>
      <c r="AK146" s="425"/>
      <c r="AL146" s="425"/>
      <c r="AM146" s="425"/>
      <c r="AN146" s="428"/>
      <c r="AO146" s="425"/>
      <c r="AP146" s="425"/>
      <c r="AQ146" s="425"/>
      <c r="AR146" s="425"/>
      <c r="AS146" s="425"/>
      <c r="AT146" s="425"/>
      <c r="AU146" s="425"/>
      <c r="AV146" s="425"/>
      <c r="AW146" s="425"/>
      <c r="AX146" s="425"/>
      <c r="AY146" s="425"/>
      <c r="AZ146" s="425"/>
      <c r="BA146" s="425"/>
      <c r="BB146" s="425"/>
      <c r="BC146" s="425"/>
      <c r="BD146" s="425"/>
      <c r="BE146" s="425"/>
      <c r="BF146" s="425"/>
      <c r="BG146" s="426"/>
      <c r="BH146" s="425"/>
      <c r="BI146" s="425"/>
      <c r="BJ146" s="425"/>
      <c r="BK146" s="425"/>
      <c r="BL146" s="425"/>
      <c r="BM146" s="425"/>
      <c r="BN146" s="425"/>
      <c r="BO146" s="425"/>
      <c r="BP146" s="425"/>
      <c r="BQ146" s="425"/>
      <c r="BR146" s="425"/>
      <c r="BS146" s="425"/>
      <c r="BT146" s="425"/>
      <c r="BU146" s="425"/>
      <c r="BV146" s="425"/>
      <c r="BW146" s="425"/>
      <c r="BX146" s="425"/>
      <c r="BY146" s="425"/>
      <c r="BZ146" s="425"/>
      <c r="CA146" s="425"/>
      <c r="CB146" s="425"/>
      <c r="CC146" s="425"/>
      <c r="CD146" s="425"/>
      <c r="CE146" s="425"/>
      <c r="CF146" s="425"/>
      <c r="CG146" s="425"/>
      <c r="CH146" s="425"/>
      <c r="CI146" s="425"/>
      <c r="CJ146" s="425"/>
    </row>
    <row r="147" spans="1:88">
      <c r="A147" s="554"/>
      <c r="B147" s="579"/>
      <c r="C147" s="579"/>
      <c r="D147" s="579"/>
      <c r="E147" s="579"/>
      <c r="F147" s="579"/>
      <c r="G147" s="579"/>
      <c r="H147" s="577"/>
      <c r="I147" s="577"/>
      <c r="J147" s="577"/>
      <c r="K147" s="577"/>
      <c r="L147" s="577"/>
      <c r="M147" s="577"/>
      <c r="N147" s="578"/>
      <c r="O147" s="577"/>
      <c r="P147" s="577"/>
      <c r="Q147" s="577"/>
      <c r="R147" s="577"/>
      <c r="S147" s="549"/>
      <c r="T147" s="549"/>
      <c r="U147" s="424"/>
      <c r="V147" s="425"/>
      <c r="W147" s="425"/>
      <c r="X147" s="425"/>
      <c r="Y147" s="425"/>
      <c r="Z147" s="425"/>
      <c r="AA147" s="425"/>
      <c r="AH147" s="425"/>
      <c r="AI147" s="425"/>
      <c r="AJ147" s="425"/>
      <c r="AK147" s="425"/>
      <c r="AL147" s="425"/>
      <c r="AM147" s="425"/>
      <c r="AN147" s="428"/>
      <c r="AO147" s="425"/>
      <c r="AP147" s="425"/>
      <c r="AQ147" s="425"/>
      <c r="AR147" s="425"/>
      <c r="AS147" s="425"/>
      <c r="AT147" s="425"/>
      <c r="AU147" s="425"/>
      <c r="AV147" s="425"/>
      <c r="AW147" s="425"/>
      <c r="AX147" s="425"/>
      <c r="AY147" s="425"/>
      <c r="AZ147" s="425"/>
      <c r="BA147" s="425"/>
      <c r="BB147" s="425"/>
      <c r="BC147" s="425"/>
      <c r="BD147" s="425"/>
      <c r="BE147" s="425"/>
      <c r="BF147" s="425"/>
      <c r="BG147" s="426"/>
      <c r="BH147" s="425"/>
      <c r="BI147" s="425"/>
      <c r="BJ147" s="425"/>
      <c r="BK147" s="425"/>
      <c r="BL147" s="425"/>
      <c r="BM147" s="425"/>
      <c r="BN147" s="425"/>
      <c r="BO147" s="425"/>
      <c r="BP147" s="425"/>
      <c r="BQ147" s="425"/>
      <c r="BR147" s="425"/>
      <c r="BS147" s="425"/>
      <c r="BT147" s="425"/>
      <c r="BU147" s="425"/>
      <c r="BV147" s="425"/>
      <c r="BW147" s="425"/>
      <c r="BX147" s="425"/>
      <c r="BY147" s="425"/>
      <c r="BZ147" s="425"/>
      <c r="CA147" s="425"/>
      <c r="CB147" s="425"/>
      <c r="CC147" s="425"/>
      <c r="CD147" s="425"/>
      <c r="CE147" s="425"/>
      <c r="CF147" s="425"/>
      <c r="CG147" s="425"/>
      <c r="CH147" s="425"/>
      <c r="CI147" s="425"/>
      <c r="CJ147" s="425"/>
    </row>
    <row r="148" spans="1:88">
      <c r="A148" s="554"/>
      <c r="B148" s="579"/>
      <c r="C148" s="579"/>
      <c r="D148" s="579"/>
      <c r="E148" s="579"/>
      <c r="F148" s="579"/>
      <c r="G148" s="579"/>
      <c r="H148" s="577"/>
      <c r="I148" s="577"/>
      <c r="J148" s="577"/>
      <c r="K148" s="577"/>
      <c r="L148" s="577"/>
      <c r="M148" s="577"/>
      <c r="N148" s="578"/>
      <c r="O148" s="577"/>
      <c r="P148" s="577"/>
      <c r="Q148" s="577"/>
      <c r="R148" s="577"/>
      <c r="S148" s="549"/>
      <c r="T148" s="549"/>
      <c r="U148" s="424"/>
      <c r="V148" s="425"/>
      <c r="W148" s="425"/>
      <c r="X148" s="425"/>
      <c r="Y148" s="425"/>
      <c r="Z148" s="425"/>
      <c r="AA148" s="425"/>
      <c r="AH148" s="425"/>
      <c r="AI148" s="425"/>
      <c r="AJ148" s="425"/>
      <c r="AK148" s="425"/>
      <c r="AL148" s="425"/>
      <c r="AM148" s="425"/>
      <c r="AN148" s="428"/>
      <c r="AO148" s="425"/>
      <c r="AP148" s="425"/>
      <c r="AQ148" s="425"/>
      <c r="AR148" s="425"/>
      <c r="AS148" s="425"/>
      <c r="AT148" s="425"/>
      <c r="AU148" s="425"/>
      <c r="AV148" s="425"/>
      <c r="AW148" s="425"/>
      <c r="AX148" s="425"/>
      <c r="AY148" s="425"/>
      <c r="AZ148" s="425"/>
      <c r="BA148" s="425"/>
      <c r="BB148" s="425"/>
      <c r="BC148" s="425"/>
      <c r="BD148" s="425"/>
      <c r="BE148" s="425"/>
      <c r="BF148" s="425"/>
      <c r="BG148" s="426"/>
      <c r="BH148" s="425"/>
      <c r="BI148" s="425"/>
      <c r="BJ148" s="425"/>
      <c r="BK148" s="425"/>
      <c r="BL148" s="425"/>
      <c r="BM148" s="425"/>
      <c r="BN148" s="425"/>
      <c r="BO148" s="425"/>
      <c r="BP148" s="425"/>
      <c r="BQ148" s="425"/>
      <c r="BR148" s="425"/>
      <c r="BS148" s="425"/>
      <c r="BT148" s="425"/>
      <c r="BU148" s="425"/>
      <c r="BV148" s="425"/>
      <c r="BW148" s="425"/>
      <c r="BX148" s="425"/>
      <c r="BY148" s="425"/>
      <c r="BZ148" s="425"/>
      <c r="CA148" s="425"/>
      <c r="CB148" s="425"/>
      <c r="CC148" s="425"/>
      <c r="CD148" s="425"/>
      <c r="CE148" s="425"/>
      <c r="CF148" s="425"/>
      <c r="CG148" s="425"/>
      <c r="CH148" s="425"/>
      <c r="CI148" s="425"/>
      <c r="CJ148" s="425"/>
    </row>
    <row r="149" spans="1:88">
      <c r="A149" s="554"/>
      <c r="B149" s="579"/>
      <c r="C149" s="579"/>
      <c r="D149" s="579"/>
      <c r="E149" s="579"/>
      <c r="F149" s="579"/>
      <c r="G149" s="579"/>
      <c r="H149" s="577"/>
      <c r="I149" s="577"/>
      <c r="J149" s="577"/>
      <c r="K149" s="577"/>
      <c r="L149" s="577"/>
      <c r="M149" s="577"/>
      <c r="N149" s="578"/>
      <c r="O149" s="577"/>
      <c r="P149" s="577"/>
      <c r="Q149" s="577"/>
      <c r="R149" s="577"/>
      <c r="S149" s="549"/>
      <c r="T149" s="549"/>
      <c r="U149" s="424"/>
      <c r="V149" s="425"/>
      <c r="W149" s="425"/>
      <c r="X149" s="425"/>
      <c r="Y149" s="425"/>
      <c r="Z149" s="425"/>
      <c r="AA149" s="425"/>
      <c r="AH149" s="425"/>
      <c r="AI149" s="425"/>
      <c r="AJ149" s="425"/>
      <c r="AK149" s="425"/>
      <c r="AL149" s="425"/>
      <c r="AM149" s="425"/>
      <c r="AN149" s="428"/>
      <c r="AO149" s="425"/>
      <c r="AP149" s="425"/>
      <c r="AQ149" s="425"/>
      <c r="AR149" s="425"/>
      <c r="AS149" s="425"/>
      <c r="AT149" s="425"/>
      <c r="AU149" s="425"/>
      <c r="AV149" s="425"/>
      <c r="AW149" s="425"/>
      <c r="AX149" s="425"/>
      <c r="AY149" s="425"/>
      <c r="AZ149" s="425"/>
      <c r="BA149" s="425"/>
      <c r="BB149" s="425"/>
      <c r="BC149" s="425"/>
      <c r="BD149" s="425"/>
      <c r="BE149" s="425"/>
      <c r="BF149" s="425"/>
      <c r="BG149" s="426"/>
      <c r="BH149" s="425"/>
      <c r="BI149" s="425"/>
      <c r="BJ149" s="425"/>
      <c r="BK149" s="425"/>
      <c r="BL149" s="425"/>
      <c r="BM149" s="425"/>
      <c r="BN149" s="425"/>
      <c r="BO149" s="425"/>
      <c r="BP149" s="425"/>
      <c r="BQ149" s="425"/>
      <c r="BR149" s="425"/>
      <c r="BS149" s="425"/>
      <c r="BT149" s="425"/>
      <c r="BU149" s="425"/>
      <c r="BV149" s="425"/>
      <c r="BW149" s="425"/>
      <c r="BX149" s="425"/>
      <c r="BY149" s="425"/>
      <c r="BZ149" s="425"/>
      <c r="CA149" s="425"/>
      <c r="CB149" s="425"/>
      <c r="CC149" s="425"/>
      <c r="CD149" s="425"/>
      <c r="CE149" s="425"/>
      <c r="CF149" s="425"/>
      <c r="CG149" s="425"/>
      <c r="CH149" s="425"/>
      <c r="CI149" s="425"/>
      <c r="CJ149" s="425"/>
    </row>
    <row r="150" spans="1:88">
      <c r="A150" s="554"/>
      <c r="B150" s="579"/>
      <c r="C150" s="579"/>
      <c r="D150" s="579"/>
      <c r="E150" s="579"/>
      <c r="F150" s="579"/>
      <c r="G150" s="579"/>
      <c r="H150" s="577"/>
      <c r="I150" s="577"/>
      <c r="J150" s="577"/>
      <c r="K150" s="577"/>
      <c r="L150" s="577"/>
      <c r="M150" s="577"/>
      <c r="N150" s="578"/>
      <c r="O150" s="577"/>
      <c r="P150" s="577"/>
      <c r="Q150" s="577"/>
      <c r="R150" s="577"/>
      <c r="S150" s="549"/>
      <c r="T150" s="549"/>
      <c r="U150" s="424"/>
      <c r="V150" s="425"/>
      <c r="W150" s="425"/>
      <c r="X150" s="425"/>
      <c r="Y150" s="425"/>
      <c r="Z150" s="425"/>
      <c r="AA150" s="425"/>
      <c r="AH150" s="425"/>
      <c r="AI150" s="425"/>
      <c r="AJ150" s="425"/>
      <c r="AK150" s="425"/>
      <c r="AL150" s="425"/>
      <c r="AM150" s="425"/>
      <c r="AN150" s="428"/>
      <c r="AO150" s="425"/>
      <c r="AP150" s="425"/>
      <c r="AQ150" s="425"/>
      <c r="AR150" s="425"/>
      <c r="AS150" s="425"/>
      <c r="AT150" s="425"/>
      <c r="AU150" s="425"/>
      <c r="AV150" s="425"/>
      <c r="AW150" s="425"/>
      <c r="AX150" s="425"/>
      <c r="AY150" s="425"/>
      <c r="AZ150" s="425"/>
      <c r="BA150" s="425"/>
      <c r="BB150" s="425"/>
      <c r="BC150" s="425"/>
      <c r="BD150" s="425"/>
      <c r="BE150" s="425"/>
      <c r="BF150" s="425"/>
      <c r="BG150" s="426"/>
      <c r="BH150" s="425"/>
      <c r="BI150" s="425"/>
      <c r="BJ150" s="425"/>
      <c r="BK150" s="425"/>
      <c r="BL150" s="425"/>
      <c r="BM150" s="425"/>
      <c r="BN150" s="425"/>
      <c r="BO150" s="425"/>
      <c r="BP150" s="425"/>
      <c r="BQ150" s="425"/>
      <c r="BR150" s="425"/>
      <c r="BS150" s="425"/>
      <c r="BT150" s="425"/>
      <c r="BU150" s="425"/>
      <c r="BV150" s="425"/>
      <c r="BW150" s="425"/>
      <c r="BX150" s="425"/>
      <c r="BY150" s="425"/>
      <c r="BZ150" s="425"/>
      <c r="CA150" s="425"/>
      <c r="CB150" s="425"/>
      <c r="CC150" s="425"/>
      <c r="CD150" s="425"/>
      <c r="CE150" s="425"/>
      <c r="CF150" s="425"/>
      <c r="CG150" s="425"/>
      <c r="CH150" s="425"/>
      <c r="CI150" s="425"/>
      <c r="CJ150" s="425"/>
    </row>
    <row r="151" spans="1:88">
      <c r="A151" s="554"/>
      <c r="B151" s="579"/>
      <c r="C151" s="579"/>
      <c r="D151" s="579"/>
      <c r="E151" s="579"/>
      <c r="F151" s="579"/>
      <c r="G151" s="579"/>
      <c r="H151" s="577"/>
      <c r="I151" s="577"/>
      <c r="J151" s="577"/>
      <c r="K151" s="577"/>
      <c r="L151" s="577"/>
      <c r="M151" s="577"/>
      <c r="N151" s="578"/>
      <c r="O151" s="577"/>
      <c r="P151" s="577"/>
      <c r="Q151" s="577"/>
      <c r="R151" s="577"/>
      <c r="S151" s="549"/>
      <c r="T151" s="549"/>
      <c r="U151" s="424"/>
      <c r="V151" s="425"/>
      <c r="W151" s="425"/>
      <c r="X151" s="425"/>
      <c r="Y151" s="425"/>
      <c r="Z151" s="425"/>
      <c r="AA151" s="425"/>
      <c r="AH151" s="425"/>
      <c r="AI151" s="425"/>
      <c r="AJ151" s="425"/>
      <c r="AK151" s="425"/>
      <c r="AL151" s="425"/>
      <c r="AM151" s="425"/>
      <c r="AN151" s="428"/>
      <c r="AO151" s="425"/>
      <c r="AP151" s="425"/>
      <c r="AQ151" s="425"/>
      <c r="AR151" s="425"/>
      <c r="AS151" s="425"/>
      <c r="AT151" s="425"/>
      <c r="AU151" s="425"/>
      <c r="AV151" s="425"/>
      <c r="AW151" s="425"/>
      <c r="AX151" s="425"/>
      <c r="AY151" s="425"/>
      <c r="AZ151" s="425"/>
      <c r="BA151" s="425"/>
      <c r="BB151" s="425"/>
      <c r="BC151" s="425"/>
      <c r="BD151" s="425"/>
      <c r="BE151" s="425"/>
      <c r="BF151" s="425"/>
      <c r="BG151" s="426"/>
      <c r="BH151" s="425"/>
      <c r="BI151" s="425"/>
      <c r="BJ151" s="425"/>
      <c r="BK151" s="425"/>
      <c r="BL151" s="425"/>
      <c r="BM151" s="425"/>
      <c r="BN151" s="425"/>
      <c r="BO151" s="425"/>
      <c r="BP151" s="425"/>
      <c r="BQ151" s="425"/>
      <c r="BR151" s="425"/>
      <c r="BS151" s="425"/>
      <c r="BT151" s="425"/>
      <c r="BU151" s="425"/>
      <c r="BV151" s="425"/>
      <c r="BW151" s="425"/>
      <c r="BX151" s="425"/>
      <c r="BY151" s="425"/>
      <c r="BZ151" s="425"/>
      <c r="CA151" s="425"/>
      <c r="CB151" s="425"/>
      <c r="CC151" s="425"/>
      <c r="CD151" s="425"/>
      <c r="CE151" s="425"/>
      <c r="CF151" s="425"/>
      <c r="CG151" s="425"/>
      <c r="CH151" s="425"/>
      <c r="CI151" s="425"/>
      <c r="CJ151" s="425"/>
    </row>
    <row r="152" spans="1:88">
      <c r="A152" s="554"/>
      <c r="B152" s="579"/>
      <c r="C152" s="579"/>
      <c r="D152" s="579"/>
      <c r="E152" s="579"/>
      <c r="F152" s="579"/>
      <c r="G152" s="579"/>
      <c r="H152" s="577"/>
      <c r="I152" s="577"/>
      <c r="J152" s="577"/>
      <c r="K152" s="577"/>
      <c r="L152" s="577"/>
      <c r="M152" s="577"/>
      <c r="N152" s="578"/>
      <c r="O152" s="577"/>
      <c r="P152" s="577"/>
      <c r="Q152" s="577"/>
      <c r="R152" s="577"/>
      <c r="S152" s="549"/>
      <c r="T152" s="549"/>
      <c r="U152" s="424"/>
      <c r="V152" s="425"/>
      <c r="W152" s="425"/>
      <c r="X152" s="425"/>
      <c r="Y152" s="425"/>
      <c r="Z152" s="425"/>
      <c r="AA152" s="425"/>
      <c r="AH152" s="425"/>
      <c r="AI152" s="425"/>
      <c r="AJ152" s="425"/>
      <c r="AK152" s="425"/>
      <c r="AL152" s="425"/>
      <c r="AM152" s="425"/>
      <c r="AN152" s="428"/>
      <c r="AO152" s="425"/>
      <c r="AP152" s="425"/>
      <c r="AQ152" s="425"/>
      <c r="AR152" s="425"/>
      <c r="AS152" s="425"/>
      <c r="AT152" s="425"/>
      <c r="AU152" s="425"/>
      <c r="AV152" s="425"/>
      <c r="AW152" s="425"/>
      <c r="AX152" s="425"/>
      <c r="AY152" s="425"/>
      <c r="AZ152" s="425"/>
      <c r="BA152" s="425"/>
      <c r="BB152" s="425"/>
      <c r="BC152" s="425"/>
      <c r="BD152" s="425"/>
      <c r="BE152" s="425"/>
      <c r="BF152" s="425"/>
      <c r="BG152" s="426"/>
      <c r="BH152" s="425"/>
      <c r="BI152" s="425"/>
      <c r="BJ152" s="425"/>
      <c r="BK152" s="425"/>
      <c r="BL152" s="425"/>
      <c r="BM152" s="425"/>
      <c r="BN152" s="425"/>
      <c r="BO152" s="425"/>
      <c r="BP152" s="425"/>
      <c r="BQ152" s="425"/>
      <c r="BR152" s="425"/>
      <c r="BS152" s="425"/>
      <c r="BT152" s="425"/>
      <c r="BU152" s="425"/>
      <c r="BV152" s="425"/>
      <c r="BW152" s="425"/>
      <c r="BX152" s="425"/>
      <c r="BY152" s="425"/>
      <c r="BZ152" s="425"/>
      <c r="CA152" s="425"/>
      <c r="CB152" s="425"/>
      <c r="CC152" s="425"/>
      <c r="CD152" s="425"/>
      <c r="CE152" s="425"/>
      <c r="CF152" s="425"/>
      <c r="CG152" s="425"/>
      <c r="CH152" s="425"/>
      <c r="CI152" s="425"/>
      <c r="CJ152" s="425"/>
    </row>
    <row r="153" spans="1:88">
      <c r="A153" s="554"/>
      <c r="B153" s="579"/>
      <c r="C153" s="579"/>
      <c r="D153" s="579"/>
      <c r="E153" s="579"/>
      <c r="F153" s="579"/>
      <c r="G153" s="579"/>
      <c r="H153" s="577"/>
      <c r="I153" s="577"/>
      <c r="J153" s="577"/>
      <c r="K153" s="577"/>
      <c r="L153" s="577"/>
      <c r="M153" s="577"/>
      <c r="N153" s="578"/>
      <c r="O153" s="577"/>
      <c r="P153" s="577"/>
      <c r="Q153" s="577"/>
      <c r="R153" s="577"/>
      <c r="S153" s="549"/>
      <c r="T153" s="549"/>
      <c r="U153" s="424"/>
      <c r="V153" s="425"/>
      <c r="W153" s="425"/>
      <c r="X153" s="425"/>
      <c r="Y153" s="425"/>
      <c r="Z153" s="425"/>
      <c r="AA153" s="425"/>
      <c r="AH153" s="425"/>
      <c r="AI153" s="425"/>
      <c r="AJ153" s="425"/>
      <c r="AK153" s="425"/>
      <c r="AL153" s="425"/>
      <c r="AM153" s="425"/>
      <c r="AN153" s="428"/>
      <c r="AO153" s="425"/>
      <c r="AP153" s="425"/>
      <c r="AQ153" s="425"/>
      <c r="AR153" s="425"/>
      <c r="AS153" s="425"/>
      <c r="AT153" s="425"/>
      <c r="AU153" s="425"/>
      <c r="AV153" s="425"/>
      <c r="AW153" s="425"/>
      <c r="AX153" s="425"/>
      <c r="AY153" s="425"/>
      <c r="AZ153" s="425"/>
      <c r="BA153" s="425"/>
      <c r="BB153" s="425"/>
      <c r="BC153" s="425"/>
      <c r="BD153" s="425"/>
      <c r="BE153" s="425"/>
      <c r="BF153" s="425"/>
      <c r="BG153" s="426"/>
      <c r="BH153" s="425"/>
      <c r="BI153" s="425"/>
      <c r="BJ153" s="425"/>
      <c r="BK153" s="425"/>
      <c r="BL153" s="425"/>
      <c r="BM153" s="425"/>
      <c r="BN153" s="425"/>
      <c r="BO153" s="425"/>
      <c r="BP153" s="425"/>
      <c r="BQ153" s="425"/>
      <c r="BR153" s="425"/>
      <c r="BS153" s="425"/>
      <c r="BT153" s="425"/>
      <c r="BU153" s="425"/>
      <c r="BV153" s="425"/>
      <c r="BW153" s="425"/>
      <c r="BX153" s="425"/>
      <c r="BY153" s="425"/>
      <c r="BZ153" s="425"/>
      <c r="CA153" s="425"/>
      <c r="CB153" s="425"/>
      <c r="CC153" s="425"/>
      <c r="CD153" s="425"/>
      <c r="CE153" s="425"/>
      <c r="CF153" s="425"/>
      <c r="CG153" s="425"/>
      <c r="CH153" s="425"/>
      <c r="CI153" s="425"/>
      <c r="CJ153" s="425"/>
    </row>
    <row r="154" spans="1:88">
      <c r="A154" s="554"/>
      <c r="B154" s="579"/>
      <c r="C154" s="579"/>
      <c r="D154" s="579"/>
      <c r="E154" s="579"/>
      <c r="F154" s="579"/>
      <c r="G154" s="579"/>
      <c r="H154" s="577"/>
      <c r="I154" s="577"/>
      <c r="J154" s="577"/>
      <c r="K154" s="577"/>
      <c r="L154" s="577"/>
      <c r="M154" s="577"/>
      <c r="N154" s="578"/>
      <c r="O154" s="577"/>
      <c r="P154" s="577"/>
      <c r="Q154" s="577"/>
      <c r="R154" s="577"/>
      <c r="S154" s="549"/>
      <c r="T154" s="549"/>
      <c r="U154" s="424"/>
      <c r="V154" s="425"/>
      <c r="W154" s="425"/>
      <c r="X154" s="425"/>
      <c r="Y154" s="425"/>
      <c r="Z154" s="425"/>
      <c r="AA154" s="425"/>
      <c r="AH154" s="425"/>
      <c r="AI154" s="425"/>
      <c r="AJ154" s="425"/>
      <c r="AK154" s="425"/>
      <c r="AL154" s="425"/>
      <c r="AM154" s="425"/>
      <c r="AN154" s="428"/>
      <c r="AO154" s="425"/>
      <c r="AP154" s="425"/>
      <c r="AQ154" s="425"/>
      <c r="AR154" s="425"/>
      <c r="AS154" s="425"/>
      <c r="AT154" s="425"/>
      <c r="AU154" s="425"/>
      <c r="AV154" s="425"/>
      <c r="AW154" s="425"/>
      <c r="AX154" s="425"/>
      <c r="AY154" s="425"/>
      <c r="AZ154" s="425"/>
      <c r="BA154" s="425"/>
      <c r="BB154" s="425"/>
      <c r="BC154" s="425"/>
      <c r="BD154" s="425"/>
      <c r="BE154" s="425"/>
      <c r="BF154" s="425"/>
      <c r="BG154" s="426"/>
      <c r="BH154" s="425"/>
      <c r="BI154" s="425"/>
      <c r="BJ154" s="425"/>
      <c r="BK154" s="425"/>
      <c r="BL154" s="425"/>
      <c r="BM154" s="425"/>
      <c r="BN154" s="425"/>
      <c r="BO154" s="425"/>
      <c r="BP154" s="425"/>
      <c r="BQ154" s="425"/>
      <c r="BR154" s="425"/>
      <c r="BS154" s="425"/>
      <c r="BT154" s="425"/>
      <c r="BU154" s="425"/>
      <c r="BV154" s="425"/>
      <c r="BW154" s="425"/>
      <c r="BX154" s="425"/>
      <c r="BY154" s="425"/>
      <c r="BZ154" s="425"/>
      <c r="CA154" s="425"/>
      <c r="CB154" s="425"/>
      <c r="CC154" s="425"/>
      <c r="CD154" s="425"/>
      <c r="CE154" s="425"/>
      <c r="CF154" s="425"/>
      <c r="CG154" s="425"/>
      <c r="CH154" s="425"/>
      <c r="CI154" s="425"/>
      <c r="CJ154" s="425"/>
    </row>
    <row r="155" spans="1:88">
      <c r="A155" s="554"/>
      <c r="B155" s="579"/>
      <c r="C155" s="579"/>
      <c r="D155" s="579"/>
      <c r="E155" s="579"/>
      <c r="F155" s="579"/>
      <c r="G155" s="579"/>
      <c r="H155" s="577"/>
      <c r="I155" s="577"/>
      <c r="J155" s="577"/>
      <c r="K155" s="577"/>
      <c r="L155" s="577"/>
      <c r="M155" s="577"/>
      <c r="N155" s="578"/>
      <c r="O155" s="577"/>
      <c r="P155" s="577"/>
      <c r="Q155" s="577"/>
      <c r="R155" s="577"/>
      <c r="S155" s="549"/>
      <c r="T155" s="549"/>
      <c r="U155" s="424"/>
      <c r="V155" s="425"/>
      <c r="W155" s="425"/>
      <c r="X155" s="425"/>
      <c r="Y155" s="425"/>
      <c r="Z155" s="425"/>
      <c r="AA155" s="425"/>
      <c r="AH155" s="425"/>
      <c r="AI155" s="425"/>
      <c r="AJ155" s="425"/>
      <c r="AK155" s="425"/>
      <c r="AL155" s="425"/>
      <c r="AM155" s="425"/>
      <c r="AN155" s="428"/>
      <c r="AO155" s="425"/>
      <c r="AP155" s="425"/>
      <c r="AQ155" s="425"/>
      <c r="AR155" s="425"/>
      <c r="AS155" s="425"/>
      <c r="AT155" s="425"/>
      <c r="AU155" s="425"/>
      <c r="AV155" s="425"/>
      <c r="AW155" s="425"/>
      <c r="AX155" s="425"/>
      <c r="AY155" s="425"/>
      <c r="AZ155" s="425"/>
      <c r="BA155" s="425"/>
      <c r="BB155" s="425"/>
      <c r="BC155" s="425"/>
      <c r="BD155" s="425"/>
      <c r="BE155" s="425"/>
      <c r="BF155" s="425"/>
      <c r="BG155" s="426"/>
      <c r="BH155" s="425"/>
      <c r="BI155" s="425"/>
      <c r="BJ155" s="425"/>
      <c r="BK155" s="425"/>
      <c r="BL155" s="425"/>
      <c r="BM155" s="425"/>
      <c r="BN155" s="425"/>
      <c r="BO155" s="425"/>
      <c r="BP155" s="425"/>
      <c r="BQ155" s="425"/>
      <c r="BR155" s="425"/>
      <c r="BS155" s="425"/>
      <c r="BT155" s="425"/>
      <c r="BU155" s="425"/>
      <c r="BV155" s="425"/>
      <c r="BW155" s="425"/>
      <c r="BX155" s="425"/>
      <c r="BY155" s="425"/>
      <c r="BZ155" s="425"/>
      <c r="CA155" s="425"/>
      <c r="CB155" s="425"/>
      <c r="CC155" s="425"/>
      <c r="CD155" s="425"/>
      <c r="CE155" s="425"/>
      <c r="CF155" s="425"/>
      <c r="CG155" s="425"/>
      <c r="CH155" s="425"/>
      <c r="CI155" s="425"/>
      <c r="CJ155" s="425"/>
    </row>
    <row r="156" spans="1:88">
      <c r="A156" s="554"/>
      <c r="B156" s="579"/>
      <c r="C156" s="579"/>
      <c r="D156" s="579"/>
      <c r="E156" s="579"/>
      <c r="F156" s="579"/>
      <c r="G156" s="579"/>
      <c r="H156" s="577"/>
      <c r="I156" s="577"/>
      <c r="J156" s="577"/>
      <c r="K156" s="577"/>
      <c r="L156" s="577"/>
      <c r="M156" s="577"/>
      <c r="N156" s="578"/>
      <c r="O156" s="577"/>
      <c r="P156" s="577"/>
      <c r="Q156" s="577"/>
      <c r="R156" s="577"/>
      <c r="S156" s="549"/>
      <c r="T156" s="549"/>
      <c r="U156" s="424"/>
      <c r="V156" s="425"/>
      <c r="W156" s="425"/>
      <c r="X156" s="425"/>
      <c r="Y156" s="425"/>
      <c r="Z156" s="425"/>
      <c r="AA156" s="425"/>
      <c r="AH156" s="425"/>
      <c r="AI156" s="425"/>
      <c r="AJ156" s="425"/>
      <c r="AK156" s="425"/>
      <c r="AL156" s="425"/>
      <c r="AM156" s="425"/>
      <c r="AN156" s="428"/>
      <c r="AO156" s="425"/>
      <c r="AP156" s="425"/>
      <c r="AQ156" s="425"/>
      <c r="AR156" s="425"/>
      <c r="AS156" s="425"/>
      <c r="AT156" s="425"/>
      <c r="AU156" s="425"/>
      <c r="AV156" s="425"/>
      <c r="AW156" s="425"/>
      <c r="AX156" s="425"/>
      <c r="AY156" s="425"/>
      <c r="AZ156" s="425"/>
      <c r="BA156" s="425"/>
      <c r="BB156" s="425"/>
      <c r="BC156" s="425"/>
      <c r="BD156" s="425"/>
      <c r="BE156" s="425"/>
      <c r="BF156" s="425"/>
      <c r="BG156" s="426"/>
      <c r="BH156" s="425"/>
      <c r="BI156" s="425"/>
      <c r="BJ156" s="425"/>
      <c r="BK156" s="425"/>
      <c r="BL156" s="425"/>
      <c r="BM156" s="425"/>
      <c r="BN156" s="425"/>
      <c r="BO156" s="425"/>
      <c r="BP156" s="425"/>
      <c r="BQ156" s="425"/>
      <c r="BR156" s="425"/>
      <c r="BS156" s="425"/>
      <c r="BT156" s="425"/>
      <c r="BU156" s="425"/>
      <c r="BV156" s="425"/>
      <c r="BW156" s="425"/>
      <c r="BX156" s="425"/>
      <c r="BY156" s="425"/>
      <c r="BZ156" s="425"/>
      <c r="CA156" s="425"/>
      <c r="CB156" s="425"/>
      <c r="CC156" s="425"/>
      <c r="CD156" s="425"/>
      <c r="CE156" s="425"/>
      <c r="CF156" s="425"/>
      <c r="CG156" s="425"/>
      <c r="CH156" s="425"/>
      <c r="CI156" s="425"/>
      <c r="CJ156" s="425"/>
    </row>
    <row r="157" spans="1:88">
      <c r="A157" s="554"/>
      <c r="B157" s="579"/>
      <c r="C157" s="579"/>
      <c r="D157" s="579"/>
      <c r="E157" s="579"/>
      <c r="F157" s="579"/>
      <c r="G157" s="579"/>
      <c r="H157" s="577"/>
      <c r="I157" s="577"/>
      <c r="J157" s="577"/>
      <c r="K157" s="577"/>
      <c r="L157" s="577"/>
      <c r="M157" s="577"/>
      <c r="N157" s="578"/>
      <c r="O157" s="577"/>
      <c r="P157" s="577"/>
      <c r="Q157" s="577"/>
      <c r="R157" s="577"/>
      <c r="S157" s="549"/>
      <c r="T157" s="549"/>
      <c r="U157" s="424"/>
      <c r="V157" s="425"/>
      <c r="W157" s="425"/>
      <c r="X157" s="425"/>
      <c r="Y157" s="425"/>
      <c r="Z157" s="425"/>
      <c r="AA157" s="425"/>
      <c r="AH157" s="425"/>
      <c r="AI157" s="425"/>
      <c r="AJ157" s="425"/>
      <c r="AK157" s="425"/>
      <c r="AL157" s="425"/>
      <c r="AM157" s="425"/>
      <c r="AN157" s="428"/>
      <c r="AO157" s="425"/>
      <c r="AP157" s="425"/>
      <c r="AQ157" s="425"/>
      <c r="AR157" s="425"/>
      <c r="AS157" s="425"/>
      <c r="AT157" s="425"/>
      <c r="AU157" s="425"/>
      <c r="AV157" s="425"/>
      <c r="AW157" s="425"/>
      <c r="AX157" s="425"/>
      <c r="AY157" s="425"/>
      <c r="AZ157" s="425"/>
      <c r="BA157" s="425"/>
      <c r="BB157" s="425"/>
      <c r="BC157" s="425"/>
      <c r="BD157" s="425"/>
      <c r="BE157" s="425"/>
      <c r="BF157" s="425"/>
      <c r="BG157" s="426"/>
      <c r="BH157" s="425"/>
      <c r="BI157" s="425"/>
      <c r="BJ157" s="425"/>
      <c r="BK157" s="425"/>
      <c r="BL157" s="425"/>
      <c r="BM157" s="425"/>
      <c r="BN157" s="425"/>
      <c r="BO157" s="425"/>
      <c r="BP157" s="425"/>
      <c r="BQ157" s="425"/>
      <c r="BR157" s="425"/>
      <c r="BS157" s="425"/>
      <c r="BT157" s="425"/>
      <c r="BU157" s="425"/>
      <c r="BV157" s="425"/>
      <c r="BW157" s="425"/>
      <c r="BX157" s="425"/>
      <c r="BY157" s="425"/>
      <c r="BZ157" s="425"/>
      <c r="CA157" s="425"/>
      <c r="CB157" s="425"/>
      <c r="CC157" s="425"/>
      <c r="CD157" s="425"/>
      <c r="CE157" s="425"/>
      <c r="CF157" s="425"/>
      <c r="CG157" s="425"/>
      <c r="CH157" s="425"/>
      <c r="CI157" s="425"/>
      <c r="CJ157" s="425"/>
    </row>
    <row r="158" spans="1:88">
      <c r="A158" s="554"/>
      <c r="B158" s="579"/>
      <c r="C158" s="579"/>
      <c r="D158" s="579"/>
      <c r="E158" s="579"/>
      <c r="F158" s="579"/>
      <c r="G158" s="579"/>
      <c r="H158" s="577"/>
      <c r="I158" s="577"/>
      <c r="J158" s="577"/>
      <c r="K158" s="577"/>
      <c r="L158" s="577"/>
      <c r="M158" s="577"/>
      <c r="N158" s="578"/>
      <c r="O158" s="577"/>
      <c r="P158" s="577"/>
      <c r="Q158" s="577"/>
      <c r="R158" s="577"/>
      <c r="S158" s="549"/>
      <c r="T158" s="549"/>
      <c r="U158" s="424"/>
      <c r="V158" s="425"/>
      <c r="W158" s="425"/>
      <c r="X158" s="425"/>
      <c r="Y158" s="425"/>
      <c r="Z158" s="425"/>
      <c r="AA158" s="425"/>
      <c r="AH158" s="425"/>
      <c r="AI158" s="425"/>
      <c r="AJ158" s="425"/>
      <c r="AK158" s="425"/>
      <c r="AL158" s="425"/>
      <c r="AM158" s="425"/>
      <c r="AN158" s="428"/>
      <c r="AO158" s="425"/>
      <c r="AP158" s="425"/>
      <c r="AQ158" s="425"/>
      <c r="AR158" s="425"/>
      <c r="AS158" s="425"/>
      <c r="AT158" s="425"/>
      <c r="AU158" s="425"/>
      <c r="AV158" s="425"/>
      <c r="AW158" s="425"/>
      <c r="AX158" s="425"/>
      <c r="AY158" s="425"/>
      <c r="AZ158" s="425"/>
      <c r="BA158" s="425"/>
      <c r="BB158" s="425"/>
      <c r="BC158" s="425"/>
      <c r="BD158" s="425"/>
      <c r="BE158" s="425"/>
      <c r="BF158" s="425"/>
      <c r="BG158" s="426"/>
      <c r="BH158" s="425"/>
      <c r="BI158" s="425"/>
      <c r="BJ158" s="425"/>
      <c r="BK158" s="425"/>
      <c r="BL158" s="425"/>
      <c r="BM158" s="425"/>
      <c r="BN158" s="425"/>
      <c r="BO158" s="425"/>
      <c r="BP158" s="425"/>
      <c r="BQ158" s="425"/>
      <c r="BR158" s="425"/>
      <c r="BS158" s="425"/>
      <c r="BT158" s="425"/>
      <c r="BU158" s="425"/>
      <c r="BV158" s="425"/>
      <c r="BW158" s="425"/>
      <c r="BX158" s="425"/>
      <c r="BY158" s="425"/>
      <c r="BZ158" s="425"/>
      <c r="CA158" s="425"/>
      <c r="CB158" s="425"/>
      <c r="CC158" s="425"/>
      <c r="CD158" s="425"/>
      <c r="CE158" s="425"/>
      <c r="CF158" s="425"/>
      <c r="CG158" s="425"/>
      <c r="CH158" s="425"/>
      <c r="CI158" s="425"/>
      <c r="CJ158" s="425"/>
    </row>
    <row r="159" spans="1:88">
      <c r="A159" s="554"/>
      <c r="B159" s="579"/>
      <c r="C159" s="579"/>
      <c r="D159" s="579"/>
      <c r="E159" s="579"/>
      <c r="F159" s="579"/>
      <c r="G159" s="579"/>
      <c r="H159" s="577"/>
      <c r="I159" s="577"/>
      <c r="J159" s="577"/>
      <c r="K159" s="577"/>
      <c r="L159" s="577"/>
      <c r="M159" s="577"/>
      <c r="N159" s="578"/>
      <c r="O159" s="577"/>
      <c r="P159" s="577"/>
      <c r="Q159" s="577"/>
      <c r="R159" s="577"/>
      <c r="S159" s="549"/>
      <c r="T159" s="549"/>
      <c r="U159" s="424"/>
      <c r="V159" s="425"/>
      <c r="W159" s="425"/>
      <c r="X159" s="425"/>
      <c r="Y159" s="425"/>
      <c r="Z159" s="425"/>
      <c r="AA159" s="425"/>
      <c r="AH159" s="425"/>
      <c r="AI159" s="425"/>
      <c r="AJ159" s="425"/>
      <c r="AK159" s="425"/>
      <c r="AL159" s="425"/>
      <c r="AM159" s="425"/>
      <c r="AN159" s="428"/>
      <c r="AO159" s="425"/>
      <c r="AP159" s="425"/>
      <c r="AQ159" s="425"/>
      <c r="AR159" s="425"/>
      <c r="AS159" s="425"/>
      <c r="AT159" s="425"/>
      <c r="AU159" s="425"/>
      <c r="AV159" s="425"/>
      <c r="AW159" s="425"/>
      <c r="AX159" s="425"/>
      <c r="AY159" s="425"/>
      <c r="AZ159" s="425"/>
      <c r="BA159" s="425"/>
      <c r="BB159" s="425"/>
      <c r="BC159" s="425"/>
      <c r="BD159" s="425"/>
      <c r="BE159" s="425"/>
      <c r="BF159" s="425"/>
      <c r="BG159" s="426"/>
      <c r="BH159" s="425"/>
      <c r="BI159" s="425"/>
      <c r="BJ159" s="425"/>
      <c r="BK159" s="425"/>
      <c r="BL159" s="425"/>
      <c r="BM159" s="425"/>
      <c r="BN159" s="425"/>
      <c r="BO159" s="425"/>
      <c r="BP159" s="425"/>
      <c r="BQ159" s="425"/>
      <c r="BR159" s="425"/>
      <c r="BS159" s="425"/>
      <c r="BT159" s="425"/>
      <c r="BU159" s="425"/>
      <c r="BV159" s="425"/>
      <c r="BW159" s="425"/>
      <c r="BX159" s="425"/>
      <c r="BY159" s="425"/>
      <c r="BZ159" s="425"/>
      <c r="CA159" s="425"/>
      <c r="CB159" s="425"/>
      <c r="CC159" s="425"/>
      <c r="CD159" s="425"/>
      <c r="CE159" s="425"/>
      <c r="CF159" s="425"/>
      <c r="CG159" s="425"/>
      <c r="CH159" s="425"/>
      <c r="CI159" s="425"/>
      <c r="CJ159" s="425"/>
    </row>
    <row r="160" spans="1:88">
      <c r="A160" s="554"/>
      <c r="B160" s="579"/>
      <c r="C160" s="579"/>
      <c r="D160" s="579"/>
      <c r="E160" s="579"/>
      <c r="F160" s="579"/>
      <c r="G160" s="579"/>
      <c r="H160" s="577"/>
      <c r="I160" s="577"/>
      <c r="J160" s="577"/>
      <c r="K160" s="577"/>
      <c r="L160" s="577"/>
      <c r="M160" s="577"/>
      <c r="N160" s="578"/>
      <c r="O160" s="577"/>
      <c r="P160" s="577"/>
      <c r="Q160" s="577"/>
      <c r="R160" s="577"/>
      <c r="S160" s="549"/>
      <c r="T160" s="549"/>
      <c r="U160" s="424"/>
      <c r="V160" s="425"/>
      <c r="W160" s="425"/>
      <c r="X160" s="425"/>
      <c r="Y160" s="425"/>
      <c r="Z160" s="425"/>
      <c r="AA160" s="425"/>
      <c r="AH160" s="425"/>
      <c r="AI160" s="425"/>
      <c r="AJ160" s="425"/>
      <c r="AK160" s="425"/>
      <c r="AL160" s="425"/>
      <c r="AM160" s="425"/>
      <c r="AN160" s="428"/>
      <c r="AO160" s="425"/>
      <c r="AP160" s="425"/>
      <c r="AQ160" s="425"/>
      <c r="AR160" s="425"/>
      <c r="AS160" s="425"/>
      <c r="AT160" s="425"/>
      <c r="AU160" s="425"/>
      <c r="AV160" s="425"/>
      <c r="AW160" s="425"/>
      <c r="AX160" s="425"/>
      <c r="AY160" s="425"/>
      <c r="AZ160" s="425"/>
      <c r="BA160" s="425"/>
      <c r="BB160" s="425"/>
      <c r="BC160" s="425"/>
      <c r="BD160" s="425"/>
      <c r="BE160" s="425"/>
      <c r="BF160" s="425"/>
      <c r="BG160" s="426"/>
      <c r="BH160" s="425"/>
      <c r="BI160" s="425"/>
      <c r="BJ160" s="425"/>
      <c r="BK160" s="425"/>
      <c r="BL160" s="425"/>
      <c r="BM160" s="425"/>
      <c r="BN160" s="425"/>
      <c r="BO160" s="425"/>
      <c r="BP160" s="425"/>
      <c r="BQ160" s="425"/>
      <c r="BR160" s="425"/>
      <c r="BS160" s="425"/>
      <c r="BT160" s="425"/>
      <c r="BU160" s="425"/>
      <c r="BV160" s="425"/>
      <c r="BW160" s="425"/>
      <c r="BX160" s="425"/>
      <c r="BY160" s="425"/>
      <c r="BZ160" s="425"/>
      <c r="CA160" s="425"/>
      <c r="CB160" s="425"/>
      <c r="CC160" s="425"/>
      <c r="CD160" s="425"/>
      <c r="CE160" s="425"/>
      <c r="CF160" s="425"/>
      <c r="CG160" s="425"/>
      <c r="CH160" s="425"/>
      <c r="CI160" s="425"/>
      <c r="CJ160" s="425"/>
    </row>
    <row r="161" spans="1:88">
      <c r="A161" s="554"/>
      <c r="B161" s="579"/>
      <c r="C161" s="579"/>
      <c r="D161" s="579"/>
      <c r="E161" s="579"/>
      <c r="F161" s="579"/>
      <c r="G161" s="579"/>
      <c r="H161" s="577"/>
      <c r="I161" s="577"/>
      <c r="J161" s="577"/>
      <c r="K161" s="577"/>
      <c r="L161" s="577"/>
      <c r="M161" s="577"/>
      <c r="N161" s="578"/>
      <c r="O161" s="577"/>
      <c r="P161" s="577"/>
      <c r="Q161" s="577"/>
      <c r="R161" s="577"/>
      <c r="S161" s="549"/>
      <c r="T161" s="549"/>
      <c r="U161" s="424"/>
      <c r="V161" s="425"/>
      <c r="W161" s="425"/>
      <c r="X161" s="425"/>
      <c r="Y161" s="425"/>
      <c r="Z161" s="425"/>
      <c r="AA161" s="425"/>
      <c r="AH161" s="425"/>
      <c r="AI161" s="425"/>
      <c r="AJ161" s="425"/>
      <c r="AK161" s="425"/>
      <c r="AL161" s="425"/>
      <c r="AM161" s="425"/>
      <c r="AN161" s="428"/>
      <c r="AO161" s="425"/>
      <c r="AP161" s="425"/>
      <c r="AQ161" s="425"/>
      <c r="AR161" s="425"/>
      <c r="AS161" s="425"/>
      <c r="AT161" s="425"/>
      <c r="AU161" s="425"/>
      <c r="AV161" s="425"/>
      <c r="AW161" s="425"/>
      <c r="AX161" s="425"/>
      <c r="AY161" s="425"/>
      <c r="AZ161" s="425"/>
      <c r="BA161" s="425"/>
      <c r="BB161" s="425"/>
      <c r="BC161" s="425"/>
      <c r="BD161" s="425"/>
      <c r="BE161" s="425"/>
      <c r="BF161" s="425"/>
      <c r="BG161" s="426"/>
      <c r="BH161" s="425"/>
      <c r="BI161" s="425"/>
      <c r="BJ161" s="425"/>
      <c r="BK161" s="425"/>
      <c r="BL161" s="425"/>
      <c r="BM161" s="425"/>
      <c r="BN161" s="425"/>
      <c r="BO161" s="425"/>
      <c r="BP161" s="425"/>
      <c r="BQ161" s="425"/>
      <c r="BR161" s="425"/>
      <c r="BS161" s="425"/>
      <c r="BT161" s="425"/>
      <c r="BU161" s="425"/>
      <c r="BV161" s="425"/>
      <c r="BW161" s="425"/>
      <c r="BX161" s="425"/>
      <c r="BY161" s="425"/>
      <c r="BZ161" s="425"/>
      <c r="CA161" s="425"/>
      <c r="CB161" s="425"/>
      <c r="CC161" s="425"/>
      <c r="CD161" s="425"/>
      <c r="CE161" s="425"/>
      <c r="CF161" s="425"/>
      <c r="CG161" s="425"/>
      <c r="CH161" s="425"/>
      <c r="CI161" s="425"/>
      <c r="CJ161" s="425"/>
    </row>
    <row r="162" spans="1:88">
      <c r="A162" s="554"/>
      <c r="B162" s="579"/>
      <c r="C162" s="579"/>
      <c r="D162" s="579"/>
      <c r="E162" s="579"/>
      <c r="F162" s="579"/>
      <c r="G162" s="579"/>
      <c r="H162" s="577"/>
      <c r="I162" s="577"/>
      <c r="J162" s="577"/>
      <c r="K162" s="577"/>
      <c r="L162" s="577"/>
      <c r="M162" s="577"/>
      <c r="N162" s="578"/>
      <c r="O162" s="577"/>
      <c r="P162" s="577"/>
      <c r="Q162" s="577"/>
      <c r="R162" s="577"/>
      <c r="S162" s="549"/>
      <c r="T162" s="549"/>
      <c r="U162" s="424"/>
      <c r="V162" s="425"/>
      <c r="W162" s="425"/>
      <c r="X162" s="425"/>
      <c r="Y162" s="425"/>
      <c r="Z162" s="425"/>
      <c r="AA162" s="425"/>
      <c r="AH162" s="425"/>
      <c r="AI162" s="425"/>
      <c r="AJ162" s="425"/>
      <c r="AK162" s="425"/>
      <c r="AL162" s="425"/>
      <c r="AM162" s="425"/>
      <c r="AN162" s="428"/>
      <c r="AO162" s="425"/>
      <c r="AP162" s="425"/>
      <c r="AQ162" s="425"/>
      <c r="AR162" s="425"/>
      <c r="AS162" s="425"/>
      <c r="AT162" s="425"/>
      <c r="AU162" s="425"/>
      <c r="AV162" s="425"/>
      <c r="AW162" s="425"/>
      <c r="AX162" s="425"/>
      <c r="AY162" s="425"/>
      <c r="AZ162" s="425"/>
      <c r="BA162" s="425"/>
      <c r="BB162" s="425"/>
      <c r="BC162" s="425"/>
      <c r="BD162" s="425"/>
      <c r="BE162" s="425"/>
      <c r="BF162" s="425"/>
      <c r="BG162" s="426"/>
      <c r="BH162" s="425"/>
      <c r="BI162" s="425"/>
      <c r="BJ162" s="425"/>
      <c r="BK162" s="425"/>
      <c r="BL162" s="425"/>
      <c r="BM162" s="425"/>
      <c r="BN162" s="425"/>
      <c r="BO162" s="425"/>
      <c r="BP162" s="425"/>
      <c r="BQ162" s="425"/>
      <c r="BR162" s="425"/>
      <c r="BS162" s="425"/>
      <c r="BT162" s="425"/>
      <c r="BU162" s="425"/>
      <c r="BV162" s="425"/>
      <c r="BW162" s="425"/>
      <c r="BX162" s="425"/>
      <c r="BY162" s="425"/>
      <c r="BZ162" s="425"/>
      <c r="CA162" s="425"/>
      <c r="CB162" s="425"/>
      <c r="CC162" s="425"/>
      <c r="CD162" s="425"/>
      <c r="CE162" s="425"/>
      <c r="CF162" s="425"/>
      <c r="CG162" s="425"/>
      <c r="CH162" s="425"/>
      <c r="CI162" s="425"/>
      <c r="CJ162" s="425"/>
    </row>
    <row r="163" spans="1:88">
      <c r="A163" s="554"/>
      <c r="B163" s="579"/>
      <c r="C163" s="579"/>
      <c r="D163" s="579"/>
      <c r="E163" s="579"/>
      <c r="F163" s="579"/>
      <c r="G163" s="579"/>
      <c r="H163" s="577"/>
      <c r="I163" s="577"/>
      <c r="J163" s="577"/>
      <c r="K163" s="577"/>
      <c r="L163" s="577"/>
      <c r="M163" s="577"/>
      <c r="N163" s="578"/>
      <c r="O163" s="577"/>
      <c r="P163" s="577"/>
      <c r="Q163" s="577"/>
      <c r="R163" s="577"/>
      <c r="S163" s="549"/>
      <c r="T163" s="549"/>
      <c r="U163" s="424"/>
      <c r="V163" s="425"/>
      <c r="W163" s="425"/>
      <c r="X163" s="425"/>
      <c r="Y163" s="425"/>
      <c r="Z163" s="425"/>
      <c r="AA163" s="425"/>
      <c r="AH163" s="425"/>
      <c r="AI163" s="425"/>
      <c r="AJ163" s="425"/>
      <c r="AK163" s="425"/>
      <c r="AL163" s="425"/>
      <c r="AM163" s="425"/>
      <c r="AN163" s="428"/>
      <c r="AO163" s="425"/>
      <c r="AP163" s="425"/>
      <c r="AQ163" s="425"/>
      <c r="AR163" s="425"/>
      <c r="AS163" s="425"/>
      <c r="AT163" s="425"/>
      <c r="AU163" s="425"/>
      <c r="AV163" s="425"/>
      <c r="AW163" s="425"/>
      <c r="AX163" s="425"/>
      <c r="AY163" s="425"/>
      <c r="AZ163" s="425"/>
      <c r="BA163" s="425"/>
      <c r="BB163" s="425"/>
      <c r="BC163" s="425"/>
      <c r="BD163" s="425"/>
      <c r="BE163" s="425"/>
      <c r="BF163" s="425"/>
      <c r="BG163" s="426"/>
      <c r="BH163" s="425"/>
      <c r="BI163" s="425"/>
      <c r="BJ163" s="425"/>
      <c r="BK163" s="425"/>
      <c r="BL163" s="425"/>
      <c r="BM163" s="425"/>
      <c r="BN163" s="425"/>
      <c r="BO163" s="425"/>
      <c r="BP163" s="425"/>
      <c r="BQ163" s="425"/>
      <c r="BR163" s="425"/>
      <c r="BS163" s="425"/>
      <c r="BT163" s="425"/>
      <c r="BU163" s="425"/>
      <c r="BV163" s="425"/>
      <c r="BW163" s="425"/>
      <c r="BX163" s="425"/>
      <c r="BY163" s="425"/>
      <c r="BZ163" s="425"/>
      <c r="CA163" s="425"/>
      <c r="CB163" s="425"/>
      <c r="CC163" s="425"/>
      <c r="CD163" s="425"/>
      <c r="CE163" s="425"/>
      <c r="CF163" s="425"/>
      <c r="CG163" s="425"/>
      <c r="CH163" s="425"/>
      <c r="CI163" s="425"/>
      <c r="CJ163" s="425"/>
    </row>
    <row r="164" spans="1:88">
      <c r="A164" s="554"/>
      <c r="B164" s="579"/>
      <c r="C164" s="579"/>
      <c r="D164" s="579"/>
      <c r="E164" s="579"/>
      <c r="F164" s="579"/>
      <c r="G164" s="579"/>
      <c r="H164" s="577"/>
      <c r="I164" s="577"/>
      <c r="J164" s="577"/>
      <c r="K164" s="577"/>
      <c r="L164" s="577"/>
      <c r="M164" s="577"/>
      <c r="N164" s="578"/>
      <c r="O164" s="577"/>
      <c r="P164" s="577"/>
      <c r="Q164" s="577"/>
      <c r="R164" s="577"/>
      <c r="S164" s="549"/>
      <c r="T164" s="549"/>
      <c r="U164" s="424"/>
      <c r="V164" s="425"/>
      <c r="W164" s="425"/>
      <c r="X164" s="425"/>
      <c r="Y164" s="425"/>
      <c r="Z164" s="425"/>
      <c r="AA164" s="425"/>
      <c r="AH164" s="425"/>
      <c r="AI164" s="425"/>
      <c r="AJ164" s="425"/>
      <c r="AK164" s="425"/>
      <c r="AL164" s="425"/>
      <c r="AM164" s="425"/>
      <c r="AN164" s="428"/>
      <c r="AO164" s="425"/>
      <c r="AP164" s="425"/>
      <c r="AQ164" s="425"/>
      <c r="AR164" s="425"/>
      <c r="AS164" s="425"/>
      <c r="AT164" s="425"/>
      <c r="AU164" s="425"/>
      <c r="AV164" s="425"/>
      <c r="AW164" s="425"/>
      <c r="AX164" s="425"/>
      <c r="AY164" s="425"/>
      <c r="AZ164" s="425"/>
      <c r="BA164" s="425"/>
      <c r="BB164" s="425"/>
      <c r="BC164" s="425"/>
      <c r="BD164" s="425"/>
      <c r="BE164" s="425"/>
      <c r="BF164" s="425"/>
      <c r="BG164" s="426"/>
      <c r="BH164" s="425"/>
      <c r="BI164" s="425"/>
      <c r="BJ164" s="425"/>
      <c r="BK164" s="425"/>
      <c r="BL164" s="425"/>
      <c r="BM164" s="425"/>
      <c r="BN164" s="425"/>
      <c r="BO164" s="425"/>
      <c r="BP164" s="425"/>
      <c r="BQ164" s="425"/>
      <c r="BR164" s="425"/>
      <c r="BS164" s="425"/>
      <c r="BT164" s="425"/>
      <c r="BU164" s="425"/>
      <c r="BV164" s="425"/>
      <c r="BW164" s="425"/>
      <c r="BX164" s="425"/>
      <c r="BY164" s="425"/>
      <c r="BZ164" s="425"/>
      <c r="CA164" s="425"/>
      <c r="CB164" s="425"/>
      <c r="CC164" s="425"/>
      <c r="CD164" s="425"/>
      <c r="CE164" s="425"/>
      <c r="CF164" s="425"/>
      <c r="CG164" s="425"/>
      <c r="CH164" s="425"/>
      <c r="CI164" s="425"/>
      <c r="CJ164" s="425"/>
    </row>
    <row r="165" spans="1:88">
      <c r="A165" s="554"/>
      <c r="B165" s="579"/>
      <c r="C165" s="579"/>
      <c r="D165" s="579"/>
      <c r="E165" s="579"/>
      <c r="F165" s="579"/>
      <c r="G165" s="579"/>
      <c r="H165" s="577"/>
      <c r="I165" s="577"/>
      <c r="J165" s="577"/>
      <c r="K165" s="577"/>
      <c r="L165" s="577"/>
      <c r="M165" s="577"/>
      <c r="N165" s="578"/>
      <c r="O165" s="577"/>
      <c r="P165" s="577"/>
      <c r="Q165" s="577"/>
      <c r="R165" s="577"/>
      <c r="S165" s="549"/>
      <c r="T165" s="549"/>
      <c r="U165" s="424"/>
      <c r="V165" s="425"/>
      <c r="W165" s="425"/>
      <c r="X165" s="425"/>
      <c r="Y165" s="425"/>
      <c r="Z165" s="425"/>
      <c r="AA165" s="425"/>
      <c r="AH165" s="425"/>
      <c r="AI165" s="425"/>
      <c r="AJ165" s="425"/>
      <c r="AK165" s="425"/>
      <c r="AL165" s="425"/>
      <c r="AM165" s="425"/>
      <c r="AN165" s="428"/>
      <c r="AO165" s="425"/>
      <c r="AP165" s="425"/>
      <c r="AQ165" s="425"/>
      <c r="AR165" s="425"/>
      <c r="AS165" s="425"/>
      <c r="AT165" s="425"/>
      <c r="AU165" s="425"/>
      <c r="AV165" s="425"/>
      <c r="AW165" s="425"/>
      <c r="AX165" s="425"/>
      <c r="AY165" s="425"/>
      <c r="AZ165" s="425"/>
      <c r="BA165" s="425"/>
      <c r="BB165" s="425"/>
      <c r="BC165" s="425"/>
      <c r="BD165" s="425"/>
      <c r="BE165" s="425"/>
      <c r="BF165" s="425"/>
      <c r="BG165" s="426"/>
      <c r="BH165" s="425"/>
      <c r="BI165" s="425"/>
      <c r="BJ165" s="425"/>
      <c r="BK165" s="425"/>
      <c r="BL165" s="425"/>
      <c r="BM165" s="425"/>
      <c r="BN165" s="425"/>
      <c r="BO165" s="425"/>
      <c r="BP165" s="425"/>
      <c r="BQ165" s="425"/>
      <c r="BR165" s="425"/>
      <c r="BS165" s="425"/>
      <c r="BT165" s="425"/>
      <c r="BU165" s="425"/>
      <c r="BV165" s="425"/>
      <c r="BW165" s="425"/>
      <c r="BX165" s="425"/>
      <c r="BY165" s="425"/>
      <c r="BZ165" s="425"/>
      <c r="CA165" s="425"/>
      <c r="CB165" s="425"/>
      <c r="CC165" s="425"/>
      <c r="CD165" s="425"/>
      <c r="CE165" s="425"/>
      <c r="CF165" s="425"/>
      <c r="CG165" s="425"/>
      <c r="CH165" s="425"/>
      <c r="CI165" s="425"/>
      <c r="CJ165" s="425"/>
    </row>
    <row r="166" spans="1:88">
      <c r="A166" s="554"/>
      <c r="B166" s="579"/>
      <c r="C166" s="579"/>
      <c r="D166" s="579"/>
      <c r="E166" s="579"/>
      <c r="F166" s="579"/>
      <c r="G166" s="579"/>
      <c r="H166" s="577"/>
      <c r="I166" s="577"/>
      <c r="J166" s="577"/>
      <c r="K166" s="577"/>
      <c r="L166" s="577"/>
      <c r="M166" s="577"/>
      <c r="N166" s="578"/>
      <c r="O166" s="577"/>
      <c r="P166" s="577"/>
      <c r="Q166" s="577"/>
      <c r="R166" s="577"/>
      <c r="S166" s="549"/>
      <c r="T166" s="549"/>
      <c r="U166" s="424"/>
      <c r="V166" s="425"/>
      <c r="W166" s="425"/>
      <c r="X166" s="425"/>
      <c r="Y166" s="425"/>
      <c r="Z166" s="425"/>
      <c r="AA166" s="425"/>
      <c r="AH166" s="425"/>
      <c r="AI166" s="425"/>
      <c r="AJ166" s="425"/>
      <c r="AK166" s="425"/>
      <c r="AL166" s="425"/>
      <c r="AM166" s="425"/>
      <c r="AN166" s="428"/>
      <c r="AO166" s="425"/>
      <c r="AP166" s="425"/>
      <c r="AQ166" s="425"/>
      <c r="AR166" s="425"/>
      <c r="AS166" s="425"/>
      <c r="AT166" s="425"/>
      <c r="AU166" s="425"/>
      <c r="AV166" s="425"/>
      <c r="AW166" s="425"/>
      <c r="AX166" s="425"/>
      <c r="AY166" s="425"/>
      <c r="AZ166" s="425"/>
      <c r="BA166" s="425"/>
      <c r="BB166" s="425"/>
      <c r="BC166" s="425"/>
      <c r="BD166" s="425"/>
      <c r="BE166" s="425"/>
      <c r="BF166" s="425"/>
      <c r="BG166" s="426"/>
      <c r="BH166" s="425"/>
      <c r="BI166" s="425"/>
      <c r="BJ166" s="425"/>
      <c r="BK166" s="425"/>
      <c r="BL166" s="425"/>
      <c r="BM166" s="425"/>
      <c r="BN166" s="425"/>
      <c r="BO166" s="425"/>
      <c r="BP166" s="425"/>
      <c r="BQ166" s="425"/>
      <c r="BR166" s="425"/>
      <c r="BS166" s="425"/>
      <c r="BT166" s="425"/>
      <c r="BU166" s="425"/>
      <c r="BV166" s="425"/>
      <c r="BW166" s="425"/>
      <c r="BX166" s="425"/>
      <c r="BY166" s="425"/>
      <c r="BZ166" s="425"/>
      <c r="CA166" s="425"/>
      <c r="CB166" s="425"/>
      <c r="CC166" s="425"/>
      <c r="CD166" s="425"/>
      <c r="CE166" s="425"/>
      <c r="CF166" s="425"/>
      <c r="CG166" s="425"/>
      <c r="CH166" s="425"/>
      <c r="CI166" s="425"/>
      <c r="CJ166" s="425"/>
    </row>
    <row r="167" spans="1:88">
      <c r="A167" s="554"/>
      <c r="B167" s="579"/>
      <c r="C167" s="579"/>
      <c r="D167" s="579"/>
      <c r="E167" s="579"/>
      <c r="F167" s="579"/>
      <c r="G167" s="579"/>
      <c r="H167" s="577"/>
      <c r="I167" s="577"/>
      <c r="J167" s="577"/>
      <c r="K167" s="577"/>
      <c r="L167" s="577"/>
      <c r="M167" s="577"/>
      <c r="N167" s="578"/>
      <c r="O167" s="577"/>
      <c r="P167" s="577"/>
      <c r="Q167" s="577"/>
      <c r="R167" s="577"/>
      <c r="S167" s="549"/>
      <c r="T167" s="549"/>
      <c r="U167" s="424"/>
      <c r="V167" s="425"/>
      <c r="W167" s="425"/>
      <c r="X167" s="425"/>
      <c r="Y167" s="425"/>
      <c r="Z167" s="425"/>
      <c r="AA167" s="425"/>
      <c r="AH167" s="425"/>
      <c r="AI167" s="425"/>
      <c r="AJ167" s="425"/>
      <c r="AK167" s="425"/>
      <c r="AL167" s="425"/>
      <c r="AM167" s="425"/>
      <c r="AN167" s="428"/>
      <c r="AO167" s="425"/>
      <c r="AP167" s="425"/>
      <c r="AQ167" s="425"/>
      <c r="AR167" s="425"/>
      <c r="AS167" s="425"/>
      <c r="AT167" s="425"/>
      <c r="AU167" s="425"/>
      <c r="AV167" s="425"/>
      <c r="AW167" s="425"/>
      <c r="AX167" s="425"/>
      <c r="AY167" s="425"/>
      <c r="AZ167" s="425"/>
      <c r="BA167" s="425"/>
      <c r="BB167" s="425"/>
      <c r="BC167" s="425"/>
      <c r="BD167" s="425"/>
      <c r="BE167" s="425"/>
      <c r="BF167" s="425"/>
      <c r="BG167" s="426"/>
      <c r="BH167" s="425"/>
      <c r="BI167" s="425"/>
      <c r="BJ167" s="425"/>
      <c r="BK167" s="425"/>
      <c r="BL167" s="425"/>
      <c r="BM167" s="425"/>
      <c r="BN167" s="425"/>
      <c r="BO167" s="425"/>
      <c r="BP167" s="425"/>
      <c r="BQ167" s="425"/>
      <c r="BR167" s="425"/>
      <c r="BS167" s="425"/>
      <c r="BT167" s="425"/>
      <c r="BU167" s="425"/>
      <c r="BV167" s="425"/>
      <c r="BW167" s="425"/>
      <c r="BX167" s="425"/>
      <c r="BY167" s="425"/>
      <c r="BZ167" s="425"/>
      <c r="CA167" s="425"/>
      <c r="CB167" s="425"/>
      <c r="CC167" s="425"/>
      <c r="CD167" s="425"/>
      <c r="CE167" s="425"/>
      <c r="CF167" s="425"/>
      <c r="CG167" s="425"/>
      <c r="CH167" s="425"/>
      <c r="CI167" s="425"/>
      <c r="CJ167" s="425"/>
    </row>
    <row r="168" spans="1:88">
      <c r="A168" s="554"/>
      <c r="B168" s="579"/>
      <c r="C168" s="579"/>
      <c r="D168" s="579"/>
      <c r="E168" s="579"/>
      <c r="F168" s="579"/>
      <c r="G168" s="579"/>
      <c r="H168" s="577"/>
      <c r="I168" s="577"/>
      <c r="J168" s="577"/>
      <c r="K168" s="577"/>
      <c r="L168" s="577"/>
      <c r="M168" s="577"/>
      <c r="N168" s="578"/>
      <c r="O168" s="577"/>
      <c r="P168" s="577"/>
      <c r="Q168" s="577"/>
      <c r="R168" s="577"/>
      <c r="S168" s="549"/>
      <c r="T168" s="549"/>
      <c r="U168" s="424"/>
      <c r="V168" s="425"/>
      <c r="W168" s="425"/>
      <c r="X168" s="425"/>
      <c r="Y168" s="425"/>
      <c r="Z168" s="425"/>
      <c r="AA168" s="425"/>
      <c r="AH168" s="425"/>
      <c r="AI168" s="425"/>
      <c r="AJ168" s="425"/>
      <c r="AK168" s="425"/>
      <c r="AL168" s="425"/>
      <c r="AM168" s="425"/>
      <c r="AN168" s="428"/>
      <c r="AO168" s="425"/>
      <c r="AP168" s="425"/>
      <c r="AQ168" s="425"/>
      <c r="AR168" s="425"/>
      <c r="AS168" s="425"/>
      <c r="AT168" s="425"/>
      <c r="AU168" s="425"/>
      <c r="AV168" s="425"/>
      <c r="AW168" s="425"/>
      <c r="AX168" s="425"/>
      <c r="AY168" s="425"/>
      <c r="AZ168" s="425"/>
      <c r="BA168" s="425"/>
      <c r="BB168" s="425"/>
      <c r="BC168" s="425"/>
      <c r="BD168" s="425"/>
      <c r="BE168" s="425"/>
      <c r="BF168" s="425"/>
      <c r="BG168" s="426"/>
      <c r="BH168" s="425"/>
      <c r="BI168" s="425"/>
      <c r="BJ168" s="425"/>
      <c r="BK168" s="425"/>
      <c r="BL168" s="425"/>
      <c r="BM168" s="425"/>
      <c r="BN168" s="425"/>
      <c r="BO168" s="425"/>
      <c r="BP168" s="425"/>
      <c r="BQ168" s="425"/>
      <c r="BR168" s="425"/>
      <c r="BS168" s="425"/>
      <c r="BT168" s="425"/>
      <c r="BU168" s="425"/>
      <c r="BV168" s="425"/>
      <c r="BW168" s="425"/>
      <c r="BX168" s="425"/>
      <c r="BY168" s="425"/>
      <c r="BZ168" s="425"/>
      <c r="CA168" s="425"/>
      <c r="CB168" s="425"/>
      <c r="CC168" s="425"/>
      <c r="CD168" s="425"/>
      <c r="CE168" s="425"/>
      <c r="CF168" s="425"/>
      <c r="CG168" s="425"/>
      <c r="CH168" s="425"/>
      <c r="CI168" s="425"/>
      <c r="CJ168" s="425"/>
    </row>
    <row r="169" spans="1:88">
      <c r="A169" s="554"/>
      <c r="B169" s="579"/>
      <c r="C169" s="579"/>
      <c r="D169" s="579"/>
      <c r="E169" s="579"/>
      <c r="F169" s="579"/>
      <c r="G169" s="579"/>
      <c r="H169" s="577"/>
      <c r="I169" s="577"/>
      <c r="J169" s="577"/>
      <c r="K169" s="577"/>
      <c r="L169" s="577"/>
      <c r="M169" s="577"/>
      <c r="N169" s="578"/>
      <c r="O169" s="577"/>
      <c r="P169" s="577"/>
      <c r="Q169" s="577"/>
      <c r="R169" s="577"/>
      <c r="S169" s="549"/>
      <c r="T169" s="549"/>
      <c r="U169" s="424"/>
      <c r="V169" s="425"/>
      <c r="W169" s="425"/>
      <c r="X169" s="425"/>
      <c r="Y169" s="425"/>
      <c r="Z169" s="425"/>
      <c r="AA169" s="425"/>
      <c r="AH169" s="425"/>
      <c r="AI169" s="425"/>
      <c r="AJ169" s="425"/>
      <c r="AK169" s="425"/>
      <c r="AL169" s="425"/>
      <c r="AM169" s="425"/>
      <c r="AN169" s="428"/>
      <c r="AO169" s="425"/>
      <c r="AP169" s="425"/>
      <c r="AQ169" s="425"/>
      <c r="AR169" s="425"/>
      <c r="AS169" s="425"/>
      <c r="AT169" s="425"/>
      <c r="AU169" s="425"/>
      <c r="AV169" s="425"/>
      <c r="AW169" s="425"/>
      <c r="AX169" s="425"/>
      <c r="AY169" s="425"/>
      <c r="AZ169" s="425"/>
      <c r="BA169" s="425"/>
      <c r="BB169" s="425"/>
      <c r="BC169" s="425"/>
      <c r="BD169" s="425"/>
      <c r="BE169" s="425"/>
      <c r="BF169" s="425"/>
      <c r="BG169" s="426"/>
      <c r="BH169" s="425"/>
      <c r="BI169" s="425"/>
      <c r="BJ169" s="425"/>
      <c r="BK169" s="425"/>
      <c r="BL169" s="425"/>
      <c r="BM169" s="425"/>
      <c r="BN169" s="425"/>
      <c r="BO169" s="425"/>
      <c r="BP169" s="425"/>
      <c r="BQ169" s="425"/>
      <c r="BR169" s="425"/>
      <c r="BS169" s="425"/>
      <c r="BT169" s="425"/>
      <c r="BU169" s="425"/>
      <c r="BV169" s="425"/>
      <c r="BW169" s="425"/>
      <c r="BX169" s="425"/>
      <c r="BY169" s="425"/>
      <c r="BZ169" s="425"/>
      <c r="CA169" s="425"/>
      <c r="CB169" s="425"/>
      <c r="CC169" s="425"/>
      <c r="CD169" s="425"/>
      <c r="CE169" s="425"/>
      <c r="CF169" s="425"/>
      <c r="CG169" s="425"/>
      <c r="CH169" s="425"/>
      <c r="CI169" s="425"/>
      <c r="CJ169" s="425"/>
    </row>
    <row r="170" spans="1:88">
      <c r="A170" s="554"/>
      <c r="B170" s="579"/>
      <c r="C170" s="579"/>
      <c r="D170" s="579"/>
      <c r="E170" s="579"/>
      <c r="F170" s="579"/>
      <c r="G170" s="579"/>
      <c r="H170" s="577"/>
      <c r="I170" s="577"/>
      <c r="J170" s="577"/>
      <c r="K170" s="577"/>
      <c r="L170" s="577"/>
      <c r="M170" s="577"/>
      <c r="N170" s="578"/>
      <c r="O170" s="577"/>
      <c r="P170" s="577"/>
      <c r="Q170" s="577"/>
      <c r="R170" s="577"/>
      <c r="S170" s="549"/>
      <c r="T170" s="549"/>
      <c r="U170" s="424"/>
      <c r="V170" s="425"/>
      <c r="W170" s="425"/>
      <c r="X170" s="425"/>
      <c r="Y170" s="425"/>
      <c r="Z170" s="425"/>
      <c r="AA170" s="425"/>
      <c r="AH170" s="425"/>
      <c r="AI170" s="425"/>
      <c r="AJ170" s="425"/>
      <c r="AK170" s="425"/>
      <c r="AL170" s="425"/>
      <c r="AM170" s="425"/>
      <c r="AN170" s="428"/>
      <c r="AO170" s="425"/>
      <c r="AP170" s="425"/>
      <c r="AQ170" s="425"/>
      <c r="AR170" s="425"/>
      <c r="AS170" s="425"/>
      <c r="AT170" s="425"/>
      <c r="AU170" s="425"/>
      <c r="AV170" s="425"/>
      <c r="AW170" s="425"/>
      <c r="AX170" s="425"/>
      <c r="AY170" s="425"/>
      <c r="AZ170" s="425"/>
      <c r="BA170" s="425"/>
      <c r="BB170" s="425"/>
      <c r="BC170" s="425"/>
      <c r="BD170" s="425"/>
      <c r="BE170" s="425"/>
      <c r="BF170" s="425"/>
      <c r="BG170" s="426"/>
      <c r="BH170" s="425"/>
      <c r="BI170" s="425"/>
      <c r="BJ170" s="425"/>
      <c r="BK170" s="425"/>
      <c r="BL170" s="425"/>
      <c r="BM170" s="425"/>
      <c r="BN170" s="425"/>
      <c r="BO170" s="425"/>
      <c r="BP170" s="425"/>
      <c r="BQ170" s="425"/>
      <c r="BR170" s="425"/>
      <c r="BS170" s="425"/>
      <c r="BT170" s="425"/>
      <c r="BU170" s="425"/>
      <c r="BV170" s="425"/>
      <c r="BW170" s="425"/>
      <c r="BX170" s="425"/>
      <c r="BY170" s="425"/>
      <c r="BZ170" s="425"/>
      <c r="CA170" s="425"/>
      <c r="CB170" s="425"/>
      <c r="CC170" s="425"/>
      <c r="CD170" s="425"/>
      <c r="CE170" s="425"/>
      <c r="CF170" s="425"/>
      <c r="CG170" s="425"/>
      <c r="CH170" s="425"/>
      <c r="CI170" s="425"/>
      <c r="CJ170" s="425"/>
    </row>
    <row r="171" spans="1:88">
      <c r="A171" s="554"/>
      <c r="B171" s="579"/>
      <c r="C171" s="579"/>
      <c r="D171" s="579"/>
      <c r="E171" s="579"/>
      <c r="F171" s="579"/>
      <c r="G171" s="579"/>
      <c r="H171" s="577"/>
      <c r="I171" s="577"/>
      <c r="J171" s="577"/>
      <c r="K171" s="577"/>
      <c r="L171" s="577"/>
      <c r="M171" s="577"/>
      <c r="N171" s="578"/>
      <c r="O171" s="577"/>
      <c r="P171" s="577"/>
      <c r="Q171" s="577"/>
      <c r="R171" s="577"/>
      <c r="S171" s="549"/>
      <c r="T171" s="549"/>
      <c r="U171" s="424"/>
      <c r="V171" s="425"/>
      <c r="W171" s="425"/>
      <c r="X171" s="425"/>
      <c r="Y171" s="425"/>
      <c r="Z171" s="425"/>
      <c r="AA171" s="425"/>
      <c r="AH171" s="425"/>
      <c r="AI171" s="425"/>
      <c r="AJ171" s="425"/>
      <c r="AK171" s="425"/>
      <c r="AL171" s="425"/>
      <c r="AM171" s="425"/>
      <c r="AN171" s="428"/>
      <c r="AO171" s="425"/>
      <c r="AP171" s="425"/>
      <c r="AQ171" s="425"/>
      <c r="AR171" s="425"/>
      <c r="AS171" s="425"/>
      <c r="AT171" s="425"/>
      <c r="AU171" s="425"/>
      <c r="AV171" s="425"/>
      <c r="AW171" s="425"/>
      <c r="AX171" s="425"/>
      <c r="AY171" s="425"/>
      <c r="AZ171" s="425"/>
      <c r="BA171" s="425"/>
      <c r="BB171" s="425"/>
      <c r="BC171" s="425"/>
      <c r="BD171" s="425"/>
      <c r="BE171" s="425"/>
      <c r="BF171" s="425"/>
      <c r="BG171" s="426"/>
      <c r="BH171" s="425"/>
      <c r="BI171" s="425"/>
      <c r="BJ171" s="425"/>
      <c r="BK171" s="425"/>
      <c r="BL171" s="425"/>
      <c r="BM171" s="425"/>
      <c r="BN171" s="425"/>
      <c r="BO171" s="425"/>
      <c r="BP171" s="425"/>
      <c r="BQ171" s="425"/>
      <c r="BR171" s="425"/>
      <c r="BS171" s="425"/>
      <c r="BT171" s="425"/>
      <c r="BU171" s="425"/>
      <c r="BV171" s="425"/>
      <c r="BW171" s="425"/>
      <c r="BX171" s="425"/>
      <c r="BY171" s="425"/>
      <c r="BZ171" s="425"/>
      <c r="CA171" s="425"/>
      <c r="CB171" s="425"/>
      <c r="CC171" s="425"/>
      <c r="CD171" s="425"/>
      <c r="CE171" s="425"/>
      <c r="CF171" s="425"/>
      <c r="CG171" s="425"/>
      <c r="CH171" s="425"/>
      <c r="CI171" s="425"/>
      <c r="CJ171" s="425"/>
    </row>
    <row r="172" spans="1:88">
      <c r="A172" s="554"/>
      <c r="B172" s="579"/>
      <c r="C172" s="579"/>
      <c r="D172" s="579"/>
      <c r="E172" s="579"/>
      <c r="F172" s="579"/>
      <c r="G172" s="579"/>
      <c r="H172" s="577"/>
      <c r="I172" s="577"/>
      <c r="J172" s="577"/>
      <c r="K172" s="577"/>
      <c r="L172" s="577"/>
      <c r="M172" s="577"/>
      <c r="N172" s="578"/>
      <c r="O172" s="577"/>
      <c r="P172" s="577"/>
      <c r="Q172" s="577"/>
      <c r="R172" s="577"/>
      <c r="S172" s="549"/>
      <c r="T172" s="549"/>
      <c r="U172" s="424"/>
      <c r="V172" s="425"/>
      <c r="W172" s="425"/>
      <c r="X172" s="425"/>
      <c r="Y172" s="425"/>
      <c r="Z172" s="425"/>
      <c r="AA172" s="425"/>
      <c r="AH172" s="425"/>
      <c r="AI172" s="425"/>
      <c r="AJ172" s="425"/>
      <c r="AK172" s="425"/>
      <c r="AL172" s="425"/>
      <c r="AM172" s="425"/>
      <c r="AN172" s="428"/>
      <c r="AO172" s="425"/>
      <c r="AP172" s="425"/>
      <c r="AQ172" s="425"/>
      <c r="AR172" s="425"/>
      <c r="AS172" s="425"/>
      <c r="AT172" s="425"/>
      <c r="AU172" s="425"/>
      <c r="AV172" s="425"/>
      <c r="AW172" s="425"/>
      <c r="AX172" s="425"/>
      <c r="AY172" s="425"/>
      <c r="AZ172" s="425"/>
      <c r="BA172" s="425"/>
      <c r="BB172" s="425"/>
      <c r="BC172" s="425"/>
      <c r="BD172" s="425"/>
      <c r="BE172" s="425"/>
      <c r="BF172" s="425"/>
      <c r="BG172" s="426"/>
      <c r="BH172" s="425"/>
      <c r="BI172" s="425"/>
      <c r="BJ172" s="425"/>
      <c r="BK172" s="425"/>
      <c r="BL172" s="425"/>
      <c r="BM172" s="425"/>
      <c r="BN172" s="425"/>
      <c r="BO172" s="425"/>
      <c r="BP172" s="425"/>
      <c r="BQ172" s="425"/>
      <c r="BR172" s="425"/>
      <c r="BS172" s="425"/>
      <c r="BT172" s="425"/>
      <c r="BU172" s="425"/>
      <c r="BV172" s="425"/>
      <c r="BW172" s="425"/>
      <c r="BX172" s="425"/>
      <c r="BY172" s="425"/>
      <c r="BZ172" s="425"/>
      <c r="CA172" s="425"/>
      <c r="CB172" s="425"/>
      <c r="CC172" s="425"/>
      <c r="CD172" s="425"/>
      <c r="CE172" s="425"/>
      <c r="CF172" s="425"/>
      <c r="CG172" s="425"/>
      <c r="CH172" s="425"/>
      <c r="CI172" s="425"/>
      <c r="CJ172" s="425"/>
    </row>
    <row r="173" spans="1:88">
      <c r="A173" s="554"/>
      <c r="B173" s="579"/>
      <c r="C173" s="579"/>
      <c r="D173" s="579"/>
      <c r="E173" s="579"/>
      <c r="F173" s="579"/>
      <c r="G173" s="579"/>
      <c r="H173" s="577"/>
      <c r="I173" s="577"/>
      <c r="J173" s="577"/>
      <c r="K173" s="577"/>
      <c r="L173" s="577"/>
      <c r="M173" s="577"/>
      <c r="N173" s="578"/>
      <c r="O173" s="577"/>
      <c r="P173" s="577"/>
      <c r="Q173" s="577"/>
      <c r="R173" s="577"/>
      <c r="S173" s="549"/>
      <c r="T173" s="549"/>
      <c r="U173" s="424"/>
      <c r="V173" s="425"/>
      <c r="W173" s="425"/>
      <c r="X173" s="425"/>
      <c r="Y173" s="425"/>
      <c r="Z173" s="425"/>
      <c r="AA173" s="425"/>
      <c r="AH173" s="425"/>
      <c r="AI173" s="425"/>
      <c r="AJ173" s="425"/>
      <c r="AK173" s="425"/>
      <c r="AL173" s="425"/>
      <c r="AM173" s="425"/>
      <c r="AN173" s="428"/>
      <c r="AO173" s="425"/>
      <c r="AP173" s="425"/>
      <c r="AQ173" s="425"/>
      <c r="AR173" s="425"/>
      <c r="AS173" s="425"/>
      <c r="AT173" s="425"/>
      <c r="AU173" s="425"/>
      <c r="AV173" s="425"/>
      <c r="AW173" s="425"/>
      <c r="AX173" s="425"/>
      <c r="AY173" s="425"/>
      <c r="AZ173" s="425"/>
      <c r="BA173" s="425"/>
      <c r="BB173" s="425"/>
      <c r="BC173" s="425"/>
      <c r="BD173" s="425"/>
      <c r="BE173" s="425"/>
      <c r="BF173" s="425"/>
      <c r="BG173" s="426"/>
      <c r="BH173" s="425"/>
      <c r="BI173" s="425"/>
      <c r="BJ173" s="425"/>
      <c r="BK173" s="425"/>
      <c r="BL173" s="425"/>
      <c r="BM173" s="425"/>
      <c r="BN173" s="425"/>
      <c r="BO173" s="425"/>
      <c r="BP173" s="425"/>
      <c r="BQ173" s="425"/>
      <c r="BR173" s="425"/>
      <c r="BS173" s="425"/>
      <c r="BT173" s="425"/>
      <c r="BU173" s="425"/>
      <c r="BV173" s="425"/>
      <c r="BW173" s="425"/>
      <c r="BX173" s="425"/>
      <c r="BY173" s="425"/>
      <c r="BZ173" s="425"/>
      <c r="CA173" s="425"/>
      <c r="CB173" s="425"/>
      <c r="CC173" s="425"/>
      <c r="CD173" s="425"/>
      <c r="CE173" s="425"/>
      <c r="CF173" s="425"/>
      <c r="CG173" s="425"/>
      <c r="CH173" s="425"/>
      <c r="CI173" s="425"/>
      <c r="CJ173" s="425"/>
    </row>
    <row r="174" spans="1:88">
      <c r="A174" s="554"/>
      <c r="B174" s="579"/>
      <c r="C174" s="579"/>
      <c r="D174" s="579"/>
      <c r="E174" s="579"/>
      <c r="F174" s="579"/>
      <c r="G174" s="579"/>
      <c r="H174" s="577"/>
      <c r="I174" s="577"/>
      <c r="J174" s="577"/>
      <c r="K174" s="577"/>
      <c r="L174" s="577"/>
      <c r="M174" s="577"/>
      <c r="N174" s="578"/>
      <c r="O174" s="577"/>
      <c r="P174" s="577"/>
      <c r="Q174" s="577"/>
      <c r="R174" s="577"/>
      <c r="S174" s="549"/>
      <c r="T174" s="549"/>
      <c r="U174" s="424"/>
      <c r="V174" s="425"/>
      <c r="W174" s="425"/>
      <c r="X174" s="425"/>
      <c r="Y174" s="425"/>
      <c r="Z174" s="425"/>
      <c r="AA174" s="425"/>
      <c r="AH174" s="425"/>
      <c r="AI174" s="425"/>
      <c r="AJ174" s="425"/>
      <c r="AK174" s="425"/>
      <c r="AL174" s="425"/>
      <c r="AM174" s="425"/>
      <c r="AN174" s="428"/>
      <c r="AO174" s="425"/>
      <c r="AP174" s="425"/>
      <c r="AQ174" s="425" t="str">
        <f>Pension!AQ184</f>
        <v>USD</v>
      </c>
      <c r="AR174" s="425"/>
      <c r="AS174" s="425"/>
      <c r="AT174" s="425"/>
      <c r="AU174" s="425"/>
      <c r="AV174" s="425"/>
      <c r="AW174" s="425"/>
      <c r="AX174" s="425"/>
      <c r="AY174" s="425"/>
      <c r="AZ174" s="425"/>
      <c r="BA174" s="425"/>
      <c r="BB174" s="425"/>
      <c r="BC174" s="425"/>
      <c r="BD174" s="425"/>
      <c r="BE174" s="425"/>
      <c r="BF174" s="425"/>
      <c r="BG174" s="426"/>
      <c r="BH174" s="425"/>
      <c r="BI174" s="425"/>
      <c r="BJ174" s="425"/>
      <c r="BK174" s="425"/>
      <c r="BL174" s="425"/>
      <c r="BM174" s="425"/>
      <c r="BN174" s="425"/>
      <c r="BO174" s="425"/>
      <c r="BP174" s="425"/>
      <c r="BQ174" s="425"/>
      <c r="BR174" s="425"/>
      <c r="BS174" s="425"/>
      <c r="BT174" s="425"/>
      <c r="BU174" s="425"/>
      <c r="BV174" s="425"/>
      <c r="BW174" s="425"/>
      <c r="BX174" s="425"/>
      <c r="BY174" s="425"/>
      <c r="BZ174" s="425"/>
      <c r="CA174" s="425"/>
      <c r="CB174" s="425"/>
      <c r="CC174" s="425"/>
      <c r="CD174" s="425"/>
      <c r="CE174" s="425"/>
      <c r="CF174" s="425"/>
      <c r="CG174" s="425"/>
      <c r="CH174" s="425"/>
      <c r="CI174" s="425"/>
      <c r="CJ174" s="425"/>
    </row>
  </sheetData>
  <mergeCells count="3">
    <mergeCell ref="U69:Y69"/>
    <mergeCell ref="C55:T55"/>
    <mergeCell ref="A1:A2"/>
  </mergeCells>
  <phoneticPr fontId="86" type="noConversion"/>
  <pageMargins left="0.75" right="0.75" top="1" bottom="1" header="0.5" footer="0.5"/>
  <pageSetup paperSize="9" orientation="portrait" r:id="rId1"/>
  <headerFooter alignWithMargins="0"/>
  <drawing r:id="rId2"/>
  <legacyDrawing r:id="rId3"/>
  <controls>
    <mc:AlternateContent xmlns:mc="http://schemas.openxmlformats.org/markup-compatibility/2006">
      <mc:Choice Requires="x14">
        <control shapeId="60418" r:id="rId4" name="ComboBox1">
          <controlPr defaultSize="0" autoLine="0" autoPict="0" linkedCell="AY18" listFillRange="AY19:AY20" r:id="rId5">
            <anchor moveWithCells="1">
              <from>
                <xdr:col>10</xdr:col>
                <xdr:colOff>476250</xdr:colOff>
                <xdr:row>0</xdr:row>
                <xdr:rowOff>57150</xdr:rowOff>
              </from>
              <to>
                <xdr:col>14</xdr:col>
                <xdr:colOff>0</xdr:colOff>
                <xdr:row>1</xdr:row>
                <xdr:rowOff>180975</xdr:rowOff>
              </to>
            </anchor>
          </controlPr>
        </control>
      </mc:Choice>
      <mc:Fallback>
        <control shapeId="60418" r:id="rId4" name="ComboBox1"/>
      </mc:Fallback>
    </mc:AlternateContent>
  </control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43"/>
  <sheetViews>
    <sheetView workbookViewId="0">
      <selection activeCell="B42" sqref="B42"/>
    </sheetView>
  </sheetViews>
  <sheetFormatPr defaultRowHeight="12.75"/>
  <cols>
    <col min="1" max="1" width="29.5703125" style="1578" bestFit="1" customWidth="1"/>
    <col min="2" max="2" width="19.85546875" style="1600" customWidth="1"/>
    <col min="3" max="3" width="12" style="1578" bestFit="1" customWidth="1"/>
    <col min="4" max="256" width="9.140625" style="1578"/>
    <col min="257" max="257" width="29.5703125" style="1578" bestFit="1" customWidth="1"/>
    <col min="258" max="258" width="19.85546875" style="1578" customWidth="1"/>
    <col min="259" max="259" width="12" style="1578" bestFit="1" customWidth="1"/>
    <col min="260" max="512" width="9.140625" style="1578"/>
    <col min="513" max="513" width="29.5703125" style="1578" bestFit="1" customWidth="1"/>
    <col min="514" max="514" width="19.85546875" style="1578" customWidth="1"/>
    <col min="515" max="515" width="12" style="1578" bestFit="1" customWidth="1"/>
    <col min="516" max="768" width="9.140625" style="1578"/>
    <col min="769" max="769" width="29.5703125" style="1578" bestFit="1" customWidth="1"/>
    <col min="770" max="770" width="19.85546875" style="1578" customWidth="1"/>
    <col min="771" max="771" width="12" style="1578" bestFit="1" customWidth="1"/>
    <col min="772" max="1024" width="9.140625" style="1578"/>
    <col min="1025" max="1025" width="29.5703125" style="1578" bestFit="1" customWidth="1"/>
    <col min="1026" max="1026" width="19.85546875" style="1578" customWidth="1"/>
    <col min="1027" max="1027" width="12" style="1578" bestFit="1" customWidth="1"/>
    <col min="1028" max="1280" width="9.140625" style="1578"/>
    <col min="1281" max="1281" width="29.5703125" style="1578" bestFit="1" customWidth="1"/>
    <col min="1282" max="1282" width="19.85546875" style="1578" customWidth="1"/>
    <col min="1283" max="1283" width="12" style="1578" bestFit="1" customWidth="1"/>
    <col min="1284" max="1536" width="9.140625" style="1578"/>
    <col min="1537" max="1537" width="29.5703125" style="1578" bestFit="1" customWidth="1"/>
    <col min="1538" max="1538" width="19.85546875" style="1578" customWidth="1"/>
    <col min="1539" max="1539" width="12" style="1578" bestFit="1" customWidth="1"/>
    <col min="1540" max="1792" width="9.140625" style="1578"/>
    <col min="1793" max="1793" width="29.5703125" style="1578" bestFit="1" customWidth="1"/>
    <col min="1794" max="1794" width="19.85546875" style="1578" customWidth="1"/>
    <col min="1795" max="1795" width="12" style="1578" bestFit="1" customWidth="1"/>
    <col min="1796" max="2048" width="9.140625" style="1578"/>
    <col min="2049" max="2049" width="29.5703125" style="1578" bestFit="1" customWidth="1"/>
    <col min="2050" max="2050" width="19.85546875" style="1578" customWidth="1"/>
    <col min="2051" max="2051" width="12" style="1578" bestFit="1" customWidth="1"/>
    <col min="2052" max="2304" width="9.140625" style="1578"/>
    <col min="2305" max="2305" width="29.5703125" style="1578" bestFit="1" customWidth="1"/>
    <col min="2306" max="2306" width="19.85546875" style="1578" customWidth="1"/>
    <col min="2307" max="2307" width="12" style="1578" bestFit="1" customWidth="1"/>
    <col min="2308" max="2560" width="9.140625" style="1578"/>
    <col min="2561" max="2561" width="29.5703125" style="1578" bestFit="1" customWidth="1"/>
    <col min="2562" max="2562" width="19.85546875" style="1578" customWidth="1"/>
    <col min="2563" max="2563" width="12" style="1578" bestFit="1" customWidth="1"/>
    <col min="2564" max="2816" width="9.140625" style="1578"/>
    <col min="2817" max="2817" width="29.5703125" style="1578" bestFit="1" customWidth="1"/>
    <col min="2818" max="2818" width="19.85546875" style="1578" customWidth="1"/>
    <col min="2819" max="2819" width="12" style="1578" bestFit="1" customWidth="1"/>
    <col min="2820" max="3072" width="9.140625" style="1578"/>
    <col min="3073" max="3073" width="29.5703125" style="1578" bestFit="1" customWidth="1"/>
    <col min="3074" max="3074" width="19.85546875" style="1578" customWidth="1"/>
    <col min="3075" max="3075" width="12" style="1578" bestFit="1" customWidth="1"/>
    <col min="3076" max="3328" width="9.140625" style="1578"/>
    <col min="3329" max="3329" width="29.5703125" style="1578" bestFit="1" customWidth="1"/>
    <col min="3330" max="3330" width="19.85546875" style="1578" customWidth="1"/>
    <col min="3331" max="3331" width="12" style="1578" bestFit="1" customWidth="1"/>
    <col min="3332" max="3584" width="9.140625" style="1578"/>
    <col min="3585" max="3585" width="29.5703125" style="1578" bestFit="1" customWidth="1"/>
    <col min="3586" max="3586" width="19.85546875" style="1578" customWidth="1"/>
    <col min="3587" max="3587" width="12" style="1578" bestFit="1" customWidth="1"/>
    <col min="3588" max="3840" width="9.140625" style="1578"/>
    <col min="3841" max="3841" width="29.5703125" style="1578" bestFit="1" customWidth="1"/>
    <col min="3842" max="3842" width="19.85546875" style="1578" customWidth="1"/>
    <col min="3843" max="3843" width="12" style="1578" bestFit="1" customWidth="1"/>
    <col min="3844" max="4096" width="9.140625" style="1578"/>
    <col min="4097" max="4097" width="29.5703125" style="1578" bestFit="1" customWidth="1"/>
    <col min="4098" max="4098" width="19.85546875" style="1578" customWidth="1"/>
    <col min="4099" max="4099" width="12" style="1578" bestFit="1" customWidth="1"/>
    <col min="4100" max="4352" width="9.140625" style="1578"/>
    <col min="4353" max="4353" width="29.5703125" style="1578" bestFit="1" customWidth="1"/>
    <col min="4354" max="4354" width="19.85546875" style="1578" customWidth="1"/>
    <col min="4355" max="4355" width="12" style="1578" bestFit="1" customWidth="1"/>
    <col min="4356" max="4608" width="9.140625" style="1578"/>
    <col min="4609" max="4609" width="29.5703125" style="1578" bestFit="1" customWidth="1"/>
    <col min="4610" max="4610" width="19.85546875" style="1578" customWidth="1"/>
    <col min="4611" max="4611" width="12" style="1578" bestFit="1" customWidth="1"/>
    <col min="4612" max="4864" width="9.140625" style="1578"/>
    <col min="4865" max="4865" width="29.5703125" style="1578" bestFit="1" customWidth="1"/>
    <col min="4866" max="4866" width="19.85546875" style="1578" customWidth="1"/>
    <col min="4867" max="4867" width="12" style="1578" bestFit="1" customWidth="1"/>
    <col min="4868" max="5120" width="9.140625" style="1578"/>
    <col min="5121" max="5121" width="29.5703125" style="1578" bestFit="1" customWidth="1"/>
    <col min="5122" max="5122" width="19.85546875" style="1578" customWidth="1"/>
    <col min="5123" max="5123" width="12" style="1578" bestFit="1" customWidth="1"/>
    <col min="5124" max="5376" width="9.140625" style="1578"/>
    <col min="5377" max="5377" width="29.5703125" style="1578" bestFit="1" customWidth="1"/>
    <col min="5378" max="5378" width="19.85546875" style="1578" customWidth="1"/>
    <col min="5379" max="5379" width="12" style="1578" bestFit="1" customWidth="1"/>
    <col min="5380" max="5632" width="9.140625" style="1578"/>
    <col min="5633" max="5633" width="29.5703125" style="1578" bestFit="1" customWidth="1"/>
    <col min="5634" max="5634" width="19.85546875" style="1578" customWidth="1"/>
    <col min="5635" max="5635" width="12" style="1578" bestFit="1" customWidth="1"/>
    <col min="5636" max="5888" width="9.140625" style="1578"/>
    <col min="5889" max="5889" width="29.5703125" style="1578" bestFit="1" customWidth="1"/>
    <col min="5890" max="5890" width="19.85546875" style="1578" customWidth="1"/>
    <col min="5891" max="5891" width="12" style="1578" bestFit="1" customWidth="1"/>
    <col min="5892" max="6144" width="9.140625" style="1578"/>
    <col min="6145" max="6145" width="29.5703125" style="1578" bestFit="1" customWidth="1"/>
    <col min="6146" max="6146" width="19.85546875" style="1578" customWidth="1"/>
    <col min="6147" max="6147" width="12" style="1578" bestFit="1" customWidth="1"/>
    <col min="6148" max="6400" width="9.140625" style="1578"/>
    <col min="6401" max="6401" width="29.5703125" style="1578" bestFit="1" customWidth="1"/>
    <col min="6402" max="6402" width="19.85546875" style="1578" customWidth="1"/>
    <col min="6403" max="6403" width="12" style="1578" bestFit="1" customWidth="1"/>
    <col min="6404" max="6656" width="9.140625" style="1578"/>
    <col min="6657" max="6657" width="29.5703125" style="1578" bestFit="1" customWidth="1"/>
    <col min="6658" max="6658" width="19.85546875" style="1578" customWidth="1"/>
    <col min="6659" max="6659" width="12" style="1578" bestFit="1" customWidth="1"/>
    <col min="6660" max="6912" width="9.140625" style="1578"/>
    <col min="6913" max="6913" width="29.5703125" style="1578" bestFit="1" customWidth="1"/>
    <col min="6914" max="6914" width="19.85546875" style="1578" customWidth="1"/>
    <col min="6915" max="6915" width="12" style="1578" bestFit="1" customWidth="1"/>
    <col min="6916" max="7168" width="9.140625" style="1578"/>
    <col min="7169" max="7169" width="29.5703125" style="1578" bestFit="1" customWidth="1"/>
    <col min="7170" max="7170" width="19.85546875" style="1578" customWidth="1"/>
    <col min="7171" max="7171" width="12" style="1578" bestFit="1" customWidth="1"/>
    <col min="7172" max="7424" width="9.140625" style="1578"/>
    <col min="7425" max="7425" width="29.5703125" style="1578" bestFit="1" customWidth="1"/>
    <col min="7426" max="7426" width="19.85546875" style="1578" customWidth="1"/>
    <col min="7427" max="7427" width="12" style="1578" bestFit="1" customWidth="1"/>
    <col min="7428" max="7680" width="9.140625" style="1578"/>
    <col min="7681" max="7681" width="29.5703125" style="1578" bestFit="1" customWidth="1"/>
    <col min="7682" max="7682" width="19.85546875" style="1578" customWidth="1"/>
    <col min="7683" max="7683" width="12" style="1578" bestFit="1" customWidth="1"/>
    <col min="7684" max="7936" width="9.140625" style="1578"/>
    <col min="7937" max="7937" width="29.5703125" style="1578" bestFit="1" customWidth="1"/>
    <col min="7938" max="7938" width="19.85546875" style="1578" customWidth="1"/>
    <col min="7939" max="7939" width="12" style="1578" bestFit="1" customWidth="1"/>
    <col min="7940" max="8192" width="9.140625" style="1578"/>
    <col min="8193" max="8193" width="29.5703125" style="1578" bestFit="1" customWidth="1"/>
    <col min="8194" max="8194" width="19.85546875" style="1578" customWidth="1"/>
    <col min="8195" max="8195" width="12" style="1578" bestFit="1" customWidth="1"/>
    <col min="8196" max="8448" width="9.140625" style="1578"/>
    <col min="8449" max="8449" width="29.5703125" style="1578" bestFit="1" customWidth="1"/>
    <col min="8450" max="8450" width="19.85546875" style="1578" customWidth="1"/>
    <col min="8451" max="8451" width="12" style="1578" bestFit="1" customWidth="1"/>
    <col min="8452" max="8704" width="9.140625" style="1578"/>
    <col min="8705" max="8705" width="29.5703125" style="1578" bestFit="1" customWidth="1"/>
    <col min="8706" max="8706" width="19.85546875" style="1578" customWidth="1"/>
    <col min="8707" max="8707" width="12" style="1578" bestFit="1" customWidth="1"/>
    <col min="8708" max="8960" width="9.140625" style="1578"/>
    <col min="8961" max="8961" width="29.5703125" style="1578" bestFit="1" customWidth="1"/>
    <col min="8962" max="8962" width="19.85546875" style="1578" customWidth="1"/>
    <col min="8963" max="8963" width="12" style="1578" bestFit="1" customWidth="1"/>
    <col min="8964" max="9216" width="9.140625" style="1578"/>
    <col min="9217" max="9217" width="29.5703125" style="1578" bestFit="1" customWidth="1"/>
    <col min="9218" max="9218" width="19.85546875" style="1578" customWidth="1"/>
    <col min="9219" max="9219" width="12" style="1578" bestFit="1" customWidth="1"/>
    <col min="9220" max="9472" width="9.140625" style="1578"/>
    <col min="9473" max="9473" width="29.5703125" style="1578" bestFit="1" customWidth="1"/>
    <col min="9474" max="9474" width="19.85546875" style="1578" customWidth="1"/>
    <col min="9475" max="9475" width="12" style="1578" bestFit="1" customWidth="1"/>
    <col min="9476" max="9728" width="9.140625" style="1578"/>
    <col min="9729" max="9729" width="29.5703125" style="1578" bestFit="1" customWidth="1"/>
    <col min="9730" max="9730" width="19.85546875" style="1578" customWidth="1"/>
    <col min="9731" max="9731" width="12" style="1578" bestFit="1" customWidth="1"/>
    <col min="9732" max="9984" width="9.140625" style="1578"/>
    <col min="9985" max="9985" width="29.5703125" style="1578" bestFit="1" customWidth="1"/>
    <col min="9986" max="9986" width="19.85546875" style="1578" customWidth="1"/>
    <col min="9987" max="9987" width="12" style="1578" bestFit="1" customWidth="1"/>
    <col min="9988" max="10240" width="9.140625" style="1578"/>
    <col min="10241" max="10241" width="29.5703125" style="1578" bestFit="1" customWidth="1"/>
    <col min="10242" max="10242" width="19.85546875" style="1578" customWidth="1"/>
    <col min="10243" max="10243" width="12" style="1578" bestFit="1" customWidth="1"/>
    <col min="10244" max="10496" width="9.140625" style="1578"/>
    <col min="10497" max="10497" width="29.5703125" style="1578" bestFit="1" customWidth="1"/>
    <col min="10498" max="10498" width="19.85546875" style="1578" customWidth="1"/>
    <col min="10499" max="10499" width="12" style="1578" bestFit="1" customWidth="1"/>
    <col min="10500" max="10752" width="9.140625" style="1578"/>
    <col min="10753" max="10753" width="29.5703125" style="1578" bestFit="1" customWidth="1"/>
    <col min="10754" max="10754" width="19.85546875" style="1578" customWidth="1"/>
    <col min="10755" max="10755" width="12" style="1578" bestFit="1" customWidth="1"/>
    <col min="10756" max="11008" width="9.140625" style="1578"/>
    <col min="11009" max="11009" width="29.5703125" style="1578" bestFit="1" customWidth="1"/>
    <col min="11010" max="11010" width="19.85546875" style="1578" customWidth="1"/>
    <col min="11011" max="11011" width="12" style="1578" bestFit="1" customWidth="1"/>
    <col min="11012" max="11264" width="9.140625" style="1578"/>
    <col min="11265" max="11265" width="29.5703125" style="1578" bestFit="1" customWidth="1"/>
    <col min="11266" max="11266" width="19.85546875" style="1578" customWidth="1"/>
    <col min="11267" max="11267" width="12" style="1578" bestFit="1" customWidth="1"/>
    <col min="11268" max="11520" width="9.140625" style="1578"/>
    <col min="11521" max="11521" width="29.5703125" style="1578" bestFit="1" customWidth="1"/>
    <col min="11522" max="11522" width="19.85546875" style="1578" customWidth="1"/>
    <col min="11523" max="11523" width="12" style="1578" bestFit="1" customWidth="1"/>
    <col min="11524" max="11776" width="9.140625" style="1578"/>
    <col min="11777" max="11777" width="29.5703125" style="1578" bestFit="1" customWidth="1"/>
    <col min="11778" max="11778" width="19.85546875" style="1578" customWidth="1"/>
    <col min="11779" max="11779" width="12" style="1578" bestFit="1" customWidth="1"/>
    <col min="11780" max="12032" width="9.140625" style="1578"/>
    <col min="12033" max="12033" width="29.5703125" style="1578" bestFit="1" customWidth="1"/>
    <col min="12034" max="12034" width="19.85546875" style="1578" customWidth="1"/>
    <col min="12035" max="12035" width="12" style="1578" bestFit="1" customWidth="1"/>
    <col min="12036" max="12288" width="9.140625" style="1578"/>
    <col min="12289" max="12289" width="29.5703125" style="1578" bestFit="1" customWidth="1"/>
    <col min="12290" max="12290" width="19.85546875" style="1578" customWidth="1"/>
    <col min="12291" max="12291" width="12" style="1578" bestFit="1" customWidth="1"/>
    <col min="12292" max="12544" width="9.140625" style="1578"/>
    <col min="12545" max="12545" width="29.5703125" style="1578" bestFit="1" customWidth="1"/>
    <col min="12546" max="12546" width="19.85546875" style="1578" customWidth="1"/>
    <col min="12547" max="12547" width="12" style="1578" bestFit="1" customWidth="1"/>
    <col min="12548" max="12800" width="9.140625" style="1578"/>
    <col min="12801" max="12801" width="29.5703125" style="1578" bestFit="1" customWidth="1"/>
    <col min="12802" max="12802" width="19.85546875" style="1578" customWidth="1"/>
    <col min="12803" max="12803" width="12" style="1578" bestFit="1" customWidth="1"/>
    <col min="12804" max="13056" width="9.140625" style="1578"/>
    <col min="13057" max="13057" width="29.5703125" style="1578" bestFit="1" customWidth="1"/>
    <col min="13058" max="13058" width="19.85546875" style="1578" customWidth="1"/>
    <col min="13059" max="13059" width="12" style="1578" bestFit="1" customWidth="1"/>
    <col min="13060" max="13312" width="9.140625" style="1578"/>
    <col min="13313" max="13313" width="29.5703125" style="1578" bestFit="1" customWidth="1"/>
    <col min="13314" max="13314" width="19.85546875" style="1578" customWidth="1"/>
    <col min="13315" max="13315" width="12" style="1578" bestFit="1" customWidth="1"/>
    <col min="13316" max="13568" width="9.140625" style="1578"/>
    <col min="13569" max="13569" width="29.5703125" style="1578" bestFit="1" customWidth="1"/>
    <col min="13570" max="13570" width="19.85546875" style="1578" customWidth="1"/>
    <col min="13571" max="13571" width="12" style="1578" bestFit="1" customWidth="1"/>
    <col min="13572" max="13824" width="9.140625" style="1578"/>
    <col min="13825" max="13825" width="29.5703125" style="1578" bestFit="1" customWidth="1"/>
    <col min="13826" max="13826" width="19.85546875" style="1578" customWidth="1"/>
    <col min="13827" max="13827" width="12" style="1578" bestFit="1" customWidth="1"/>
    <col min="13828" max="14080" width="9.140625" style="1578"/>
    <col min="14081" max="14081" width="29.5703125" style="1578" bestFit="1" customWidth="1"/>
    <col min="14082" max="14082" width="19.85546875" style="1578" customWidth="1"/>
    <col min="14083" max="14083" width="12" style="1578" bestFit="1" customWidth="1"/>
    <col min="14084" max="14336" width="9.140625" style="1578"/>
    <col min="14337" max="14337" width="29.5703125" style="1578" bestFit="1" customWidth="1"/>
    <col min="14338" max="14338" width="19.85546875" style="1578" customWidth="1"/>
    <col min="14339" max="14339" width="12" style="1578" bestFit="1" customWidth="1"/>
    <col min="14340" max="14592" width="9.140625" style="1578"/>
    <col min="14593" max="14593" width="29.5703125" style="1578" bestFit="1" customWidth="1"/>
    <col min="14594" max="14594" width="19.85546875" style="1578" customWidth="1"/>
    <col min="14595" max="14595" width="12" style="1578" bestFit="1" customWidth="1"/>
    <col min="14596" max="14848" width="9.140625" style="1578"/>
    <col min="14849" max="14849" width="29.5703125" style="1578" bestFit="1" customWidth="1"/>
    <col min="14850" max="14850" width="19.85546875" style="1578" customWidth="1"/>
    <col min="14851" max="14851" width="12" style="1578" bestFit="1" customWidth="1"/>
    <col min="14852" max="15104" width="9.140625" style="1578"/>
    <col min="15105" max="15105" width="29.5703125" style="1578" bestFit="1" customWidth="1"/>
    <col min="15106" max="15106" width="19.85546875" style="1578" customWidth="1"/>
    <col min="15107" max="15107" width="12" style="1578" bestFit="1" customWidth="1"/>
    <col min="15108" max="15360" width="9.140625" style="1578"/>
    <col min="15361" max="15361" width="29.5703125" style="1578" bestFit="1" customWidth="1"/>
    <col min="15362" max="15362" width="19.85546875" style="1578" customWidth="1"/>
    <col min="15363" max="15363" width="12" style="1578" bestFit="1" customWidth="1"/>
    <col min="15364" max="15616" width="9.140625" style="1578"/>
    <col min="15617" max="15617" width="29.5703125" style="1578" bestFit="1" customWidth="1"/>
    <col min="15618" max="15618" width="19.85546875" style="1578" customWidth="1"/>
    <col min="15619" max="15619" width="12" style="1578" bestFit="1" customWidth="1"/>
    <col min="15620" max="15872" width="9.140625" style="1578"/>
    <col min="15873" max="15873" width="29.5703125" style="1578" bestFit="1" customWidth="1"/>
    <col min="15874" max="15874" width="19.85546875" style="1578" customWidth="1"/>
    <col min="15875" max="15875" width="12" style="1578" bestFit="1" customWidth="1"/>
    <col min="15876" max="16128" width="9.140625" style="1578"/>
    <col min="16129" max="16129" width="29.5703125" style="1578" bestFit="1" customWidth="1"/>
    <col min="16130" max="16130" width="19.85546875" style="1578" customWidth="1"/>
    <col min="16131" max="16131" width="12" style="1578" bestFit="1" customWidth="1"/>
    <col min="16132" max="16384" width="9.140625" style="1578"/>
  </cols>
  <sheetData>
    <row r="1" spans="1:2">
      <c r="A1" s="1578" t="s">
        <v>1323</v>
      </c>
      <c r="B1" s="1599">
        <v>6.1</v>
      </c>
    </row>
    <row r="2" spans="1:2">
      <c r="A2" s="1578" t="s">
        <v>1324</v>
      </c>
      <c r="B2" s="1603">
        <v>43207.50136574074</v>
      </c>
    </row>
    <row r="3" spans="1:2">
      <c r="A3" s="1578" t="s">
        <v>1325</v>
      </c>
      <c r="B3" s="1600" t="s">
        <v>1017</v>
      </c>
    </row>
    <row r="4" spans="1:2">
      <c r="A4" s="1578" t="s">
        <v>1326</v>
      </c>
      <c r="B4" s="1600" t="s">
        <v>1327</v>
      </c>
    </row>
    <row r="5" spans="1:2">
      <c r="A5" s="1578" t="s">
        <v>1328</v>
      </c>
      <c r="B5" s="1600" t="s">
        <v>1329</v>
      </c>
    </row>
    <row r="6" spans="1:2">
      <c r="A6" s="1578" t="s">
        <v>1330</v>
      </c>
    </row>
    <row r="7" spans="1:2">
      <c r="A7" s="1578" t="s">
        <v>1331</v>
      </c>
      <c r="B7" s="1600" t="s">
        <v>709</v>
      </c>
    </row>
    <row r="8" spans="1:2">
      <c r="A8" s="1578" t="s">
        <v>1332</v>
      </c>
      <c r="B8" s="1600" t="s">
        <v>1333</v>
      </c>
    </row>
    <row r="9" spans="1:2">
      <c r="A9" s="1578" t="s">
        <v>1334</v>
      </c>
      <c r="B9" s="1600" t="s">
        <v>1372</v>
      </c>
    </row>
    <row r="10" spans="1:2">
      <c r="A10" s="1578" t="s">
        <v>1335</v>
      </c>
    </row>
    <row r="11" spans="1:2">
      <c r="A11" s="1578" t="s">
        <v>1336</v>
      </c>
    </row>
    <row r="12" spans="1:2">
      <c r="A12" s="1578" t="s">
        <v>1337</v>
      </c>
    </row>
    <row r="13" spans="1:2">
      <c r="A13" s="1578" t="s">
        <v>1338</v>
      </c>
    </row>
    <row r="14" spans="1:2">
      <c r="A14" s="1578" t="s">
        <v>1339</v>
      </c>
    </row>
    <row r="15" spans="1:2">
      <c r="A15" s="1578" t="s">
        <v>1340</v>
      </c>
    </row>
    <row r="16" spans="1:2">
      <c r="A16" s="1578" t="s">
        <v>1341</v>
      </c>
    </row>
    <row r="17" spans="1:4">
      <c r="A17" s="1578" t="s">
        <v>1342</v>
      </c>
      <c r="B17" s="1600" t="s">
        <v>1373</v>
      </c>
    </row>
    <row r="18" spans="1:4">
      <c r="A18" s="1578" t="s">
        <v>1343</v>
      </c>
      <c r="B18" s="1600" t="s">
        <v>1376</v>
      </c>
    </row>
    <row r="19" spans="1:4">
      <c r="A19" s="1578" t="s">
        <v>1344</v>
      </c>
      <c r="B19" s="1600" t="s">
        <v>148</v>
      </c>
    </row>
    <row r="20" spans="1:4">
      <c r="A20" s="1578" t="s">
        <v>1345</v>
      </c>
      <c r="B20" s="1601">
        <v>912909108</v>
      </c>
    </row>
    <row r="21" spans="1:4">
      <c r="A21" s="1578" t="s">
        <v>1346</v>
      </c>
      <c r="B21" s="1600" t="s">
        <v>148</v>
      </c>
    </row>
    <row r="22" spans="1:4">
      <c r="A22" s="1578" t="s">
        <v>1347</v>
      </c>
      <c r="B22" s="1601">
        <v>2824770</v>
      </c>
    </row>
    <row r="23" spans="1:4">
      <c r="A23" s="1578" t="s">
        <v>328</v>
      </c>
      <c r="B23" s="1599">
        <v>35.75</v>
      </c>
    </row>
    <row r="24" spans="1:4">
      <c r="A24" s="1578" t="s">
        <v>566</v>
      </c>
      <c r="B24" s="1600" t="s">
        <v>158</v>
      </c>
      <c r="D24" s="1578" t="s">
        <v>1348</v>
      </c>
    </row>
    <row r="25" spans="1:4">
      <c r="A25" s="1578" t="s">
        <v>1349</v>
      </c>
      <c r="B25" s="1600" t="s">
        <v>1377</v>
      </c>
    </row>
    <row r="26" spans="1:4">
      <c r="A26" s="1578" t="s">
        <v>1350</v>
      </c>
      <c r="B26" s="1600">
        <v>0</v>
      </c>
    </row>
    <row r="27" spans="1:4">
      <c r="A27" s="1578" t="s">
        <v>1351</v>
      </c>
      <c r="B27" s="1600" t="s">
        <v>1352</v>
      </c>
    </row>
    <row r="28" spans="1:4">
      <c r="A28" s="1578" t="s">
        <v>1353</v>
      </c>
      <c r="B28" s="1600" t="s">
        <v>1354</v>
      </c>
    </row>
    <row r="29" spans="1:4">
      <c r="A29" s="1578" t="s">
        <v>1355</v>
      </c>
    </row>
    <row r="30" spans="1:4">
      <c r="A30" s="1578" t="s">
        <v>1356</v>
      </c>
    </row>
    <row r="31" spans="1:4">
      <c r="A31" s="1578" t="s">
        <v>1357</v>
      </c>
    </row>
    <row r="32" spans="1:4">
      <c r="A32" s="1578" t="s">
        <v>1358</v>
      </c>
      <c r="B32" s="1599"/>
    </row>
    <row r="33" spans="1:2">
      <c r="A33" s="1578" t="s">
        <v>1359</v>
      </c>
      <c r="B33" s="1599"/>
    </row>
    <row r="34" spans="1:2">
      <c r="A34" s="1578" t="s">
        <v>1360</v>
      </c>
      <c r="B34" s="1599"/>
    </row>
    <row r="35" spans="1:2">
      <c r="A35" s="1578" t="s">
        <v>1361</v>
      </c>
      <c r="B35" s="1600">
        <v>1000000</v>
      </c>
    </row>
    <row r="36" spans="1:2">
      <c r="A36" s="1578" t="s">
        <v>1362</v>
      </c>
      <c r="B36" s="1600" t="s">
        <v>1374</v>
      </c>
    </row>
    <row r="37" spans="1:2">
      <c r="A37" s="1578" t="s">
        <v>1363</v>
      </c>
      <c r="B37" s="1600" t="s">
        <v>1364</v>
      </c>
    </row>
    <row r="38" spans="1:2">
      <c r="A38" s="1578" t="s">
        <v>1365</v>
      </c>
      <c r="B38" s="1600" t="s">
        <v>1366</v>
      </c>
    </row>
    <row r="39" spans="1:2">
      <c r="A39" s="1578" t="s">
        <v>1367</v>
      </c>
      <c r="B39" s="1600" t="s">
        <v>1375</v>
      </c>
    </row>
    <row r="40" spans="1:2">
      <c r="A40" s="1578" t="s">
        <v>1368</v>
      </c>
      <c r="B40" s="1600">
        <v>1500001333</v>
      </c>
    </row>
    <row r="41" spans="1:2">
      <c r="A41" s="1578" t="s">
        <v>1369</v>
      </c>
      <c r="B41" s="1600">
        <v>1</v>
      </c>
    </row>
    <row r="42" spans="1:2">
      <c r="A42" s="1602" t="s">
        <v>1370</v>
      </c>
    </row>
    <row r="43" spans="1:2">
      <c r="A43" s="1578" t="s">
        <v>1371</v>
      </c>
    </row>
  </sheetData>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13"/>
  <sheetViews>
    <sheetView workbookViewId="0">
      <selection activeCell="E11" sqref="E11"/>
    </sheetView>
  </sheetViews>
  <sheetFormatPr defaultRowHeight="12.75"/>
  <cols>
    <col min="1" max="1" width="28.5703125" style="1578" bestFit="1" customWidth="1"/>
    <col min="2" max="256" width="9.140625" style="1578"/>
    <col min="257" max="257" width="28.5703125" style="1578" bestFit="1" customWidth="1"/>
    <col min="258" max="512" width="9.140625" style="1578"/>
    <col min="513" max="513" width="28.5703125" style="1578" bestFit="1" customWidth="1"/>
    <col min="514" max="768" width="9.140625" style="1578"/>
    <col min="769" max="769" width="28.5703125" style="1578" bestFit="1" customWidth="1"/>
    <col min="770" max="1024" width="9.140625" style="1578"/>
    <col min="1025" max="1025" width="28.5703125" style="1578" bestFit="1" customWidth="1"/>
    <col min="1026" max="1280" width="9.140625" style="1578"/>
    <col min="1281" max="1281" width="28.5703125" style="1578" bestFit="1" customWidth="1"/>
    <col min="1282" max="1536" width="9.140625" style="1578"/>
    <col min="1537" max="1537" width="28.5703125" style="1578" bestFit="1" customWidth="1"/>
    <col min="1538" max="1792" width="9.140625" style="1578"/>
    <col min="1793" max="1793" width="28.5703125" style="1578" bestFit="1" customWidth="1"/>
    <col min="1794" max="2048" width="9.140625" style="1578"/>
    <col min="2049" max="2049" width="28.5703125" style="1578" bestFit="1" customWidth="1"/>
    <col min="2050" max="2304" width="9.140625" style="1578"/>
    <col min="2305" max="2305" width="28.5703125" style="1578" bestFit="1" customWidth="1"/>
    <col min="2306" max="2560" width="9.140625" style="1578"/>
    <col min="2561" max="2561" width="28.5703125" style="1578" bestFit="1" customWidth="1"/>
    <col min="2562" max="2816" width="9.140625" style="1578"/>
    <col min="2817" max="2817" width="28.5703125" style="1578" bestFit="1" customWidth="1"/>
    <col min="2818" max="3072" width="9.140625" style="1578"/>
    <col min="3073" max="3073" width="28.5703125" style="1578" bestFit="1" customWidth="1"/>
    <col min="3074" max="3328" width="9.140625" style="1578"/>
    <col min="3329" max="3329" width="28.5703125" style="1578" bestFit="1" customWidth="1"/>
    <col min="3330" max="3584" width="9.140625" style="1578"/>
    <col min="3585" max="3585" width="28.5703125" style="1578" bestFit="1" customWidth="1"/>
    <col min="3586" max="3840" width="9.140625" style="1578"/>
    <col min="3841" max="3841" width="28.5703125" style="1578" bestFit="1" customWidth="1"/>
    <col min="3842" max="4096" width="9.140625" style="1578"/>
    <col min="4097" max="4097" width="28.5703125" style="1578" bestFit="1" customWidth="1"/>
    <col min="4098" max="4352" width="9.140625" style="1578"/>
    <col min="4353" max="4353" width="28.5703125" style="1578" bestFit="1" customWidth="1"/>
    <col min="4354" max="4608" width="9.140625" style="1578"/>
    <col min="4609" max="4609" width="28.5703125" style="1578" bestFit="1" customWidth="1"/>
    <col min="4610" max="4864" width="9.140625" style="1578"/>
    <col min="4865" max="4865" width="28.5703125" style="1578" bestFit="1" customWidth="1"/>
    <col min="4866" max="5120" width="9.140625" style="1578"/>
    <col min="5121" max="5121" width="28.5703125" style="1578" bestFit="1" customWidth="1"/>
    <col min="5122" max="5376" width="9.140625" style="1578"/>
    <col min="5377" max="5377" width="28.5703125" style="1578" bestFit="1" customWidth="1"/>
    <col min="5378" max="5632" width="9.140625" style="1578"/>
    <col min="5633" max="5633" width="28.5703125" style="1578" bestFit="1" customWidth="1"/>
    <col min="5634" max="5888" width="9.140625" style="1578"/>
    <col min="5889" max="5889" width="28.5703125" style="1578" bestFit="1" customWidth="1"/>
    <col min="5890" max="6144" width="9.140625" style="1578"/>
    <col min="6145" max="6145" width="28.5703125" style="1578" bestFit="1" customWidth="1"/>
    <col min="6146" max="6400" width="9.140625" style="1578"/>
    <col min="6401" max="6401" width="28.5703125" style="1578" bestFit="1" customWidth="1"/>
    <col min="6402" max="6656" width="9.140625" style="1578"/>
    <col min="6657" max="6657" width="28.5703125" style="1578" bestFit="1" customWidth="1"/>
    <col min="6658" max="6912" width="9.140625" style="1578"/>
    <col min="6913" max="6913" width="28.5703125" style="1578" bestFit="1" customWidth="1"/>
    <col min="6914" max="7168" width="9.140625" style="1578"/>
    <col min="7169" max="7169" width="28.5703125" style="1578" bestFit="1" customWidth="1"/>
    <col min="7170" max="7424" width="9.140625" style="1578"/>
    <col min="7425" max="7425" width="28.5703125" style="1578" bestFit="1" customWidth="1"/>
    <col min="7426" max="7680" width="9.140625" style="1578"/>
    <col min="7681" max="7681" width="28.5703125" style="1578" bestFit="1" customWidth="1"/>
    <col min="7682" max="7936" width="9.140625" style="1578"/>
    <col min="7937" max="7937" width="28.5703125" style="1578" bestFit="1" customWidth="1"/>
    <col min="7938" max="8192" width="9.140625" style="1578"/>
    <col min="8193" max="8193" width="28.5703125" style="1578" bestFit="1" customWidth="1"/>
    <col min="8194" max="8448" width="9.140625" style="1578"/>
    <col min="8449" max="8449" width="28.5703125" style="1578" bestFit="1" customWidth="1"/>
    <col min="8450" max="8704" width="9.140625" style="1578"/>
    <col min="8705" max="8705" width="28.5703125" style="1578" bestFit="1" customWidth="1"/>
    <col min="8706" max="8960" width="9.140625" style="1578"/>
    <col min="8961" max="8961" width="28.5703125" style="1578" bestFit="1" customWidth="1"/>
    <col min="8962" max="9216" width="9.140625" style="1578"/>
    <col min="9217" max="9217" width="28.5703125" style="1578" bestFit="1" customWidth="1"/>
    <col min="9218" max="9472" width="9.140625" style="1578"/>
    <col min="9473" max="9473" width="28.5703125" style="1578" bestFit="1" customWidth="1"/>
    <col min="9474" max="9728" width="9.140625" style="1578"/>
    <col min="9729" max="9729" width="28.5703125" style="1578" bestFit="1" customWidth="1"/>
    <col min="9730" max="9984" width="9.140625" style="1578"/>
    <col min="9985" max="9985" width="28.5703125" style="1578" bestFit="1" customWidth="1"/>
    <col min="9986" max="10240" width="9.140625" style="1578"/>
    <col min="10241" max="10241" width="28.5703125" style="1578" bestFit="1" customWidth="1"/>
    <col min="10242" max="10496" width="9.140625" style="1578"/>
    <col min="10497" max="10497" width="28.5703125" style="1578" bestFit="1" customWidth="1"/>
    <col min="10498" max="10752" width="9.140625" style="1578"/>
    <col min="10753" max="10753" width="28.5703125" style="1578" bestFit="1" customWidth="1"/>
    <col min="10754" max="11008" width="9.140625" style="1578"/>
    <col min="11009" max="11009" width="28.5703125" style="1578" bestFit="1" customWidth="1"/>
    <col min="11010" max="11264" width="9.140625" style="1578"/>
    <col min="11265" max="11265" width="28.5703125" style="1578" bestFit="1" customWidth="1"/>
    <col min="11266" max="11520" width="9.140625" style="1578"/>
    <col min="11521" max="11521" width="28.5703125" style="1578" bestFit="1" customWidth="1"/>
    <col min="11522" max="11776" width="9.140625" style="1578"/>
    <col min="11777" max="11777" width="28.5703125" style="1578" bestFit="1" customWidth="1"/>
    <col min="11778" max="12032" width="9.140625" style="1578"/>
    <col min="12033" max="12033" width="28.5703125" style="1578" bestFit="1" customWidth="1"/>
    <col min="12034" max="12288" width="9.140625" style="1578"/>
    <col min="12289" max="12289" width="28.5703125" style="1578" bestFit="1" customWidth="1"/>
    <col min="12290" max="12544" width="9.140625" style="1578"/>
    <col min="12545" max="12545" width="28.5703125" style="1578" bestFit="1" customWidth="1"/>
    <col min="12546" max="12800" width="9.140625" style="1578"/>
    <col min="12801" max="12801" width="28.5703125" style="1578" bestFit="1" customWidth="1"/>
    <col min="12802" max="13056" width="9.140625" style="1578"/>
    <col min="13057" max="13057" width="28.5703125" style="1578" bestFit="1" customWidth="1"/>
    <col min="13058" max="13312" width="9.140625" style="1578"/>
    <col min="13313" max="13313" width="28.5703125" style="1578" bestFit="1" customWidth="1"/>
    <col min="13314" max="13568" width="9.140625" style="1578"/>
    <col min="13569" max="13569" width="28.5703125" style="1578" bestFit="1" customWidth="1"/>
    <col min="13570" max="13824" width="9.140625" style="1578"/>
    <col min="13825" max="13825" width="28.5703125" style="1578" bestFit="1" customWidth="1"/>
    <col min="13826" max="14080" width="9.140625" style="1578"/>
    <col min="14081" max="14081" width="28.5703125" style="1578" bestFit="1" customWidth="1"/>
    <col min="14082" max="14336" width="9.140625" style="1578"/>
    <col min="14337" max="14337" width="28.5703125" style="1578" bestFit="1" customWidth="1"/>
    <col min="14338" max="14592" width="9.140625" style="1578"/>
    <col min="14593" max="14593" width="28.5703125" style="1578" bestFit="1" customWidth="1"/>
    <col min="14594" max="14848" width="9.140625" style="1578"/>
    <col min="14849" max="14849" width="28.5703125" style="1578" bestFit="1" customWidth="1"/>
    <col min="14850" max="15104" width="9.140625" style="1578"/>
    <col min="15105" max="15105" width="28.5703125" style="1578" bestFit="1" customWidth="1"/>
    <col min="15106" max="15360" width="9.140625" style="1578"/>
    <col min="15361" max="15361" width="28.5703125" style="1578" bestFit="1" customWidth="1"/>
    <col min="15362" max="15616" width="9.140625" style="1578"/>
    <col min="15617" max="15617" width="28.5703125" style="1578" bestFit="1" customWidth="1"/>
    <col min="15618" max="15872" width="9.140625" style="1578"/>
    <col min="15873" max="15873" width="28.5703125" style="1578" bestFit="1" customWidth="1"/>
    <col min="15874" max="16128" width="9.140625" style="1578"/>
    <col min="16129" max="16129" width="28.5703125" style="1578" bestFit="1" customWidth="1"/>
    <col min="16130" max="16384" width="9.140625" style="1578"/>
  </cols>
  <sheetData>
    <row r="1" spans="1:1">
      <c r="A1" s="1604" t="s">
        <v>1378</v>
      </c>
    </row>
    <row r="2" spans="1:1">
      <c r="A2" s="1604" t="s">
        <v>1383</v>
      </c>
    </row>
    <row r="3" spans="1:1">
      <c r="A3" s="1604" t="s">
        <v>1384</v>
      </c>
    </row>
    <row r="4" spans="1:1">
      <c r="A4" s="1604" t="s">
        <v>1385</v>
      </c>
    </row>
    <row r="5" spans="1:1">
      <c r="A5" s="1604" t="s">
        <v>1386</v>
      </c>
    </row>
    <row r="6" spans="1:1">
      <c r="A6" s="1604" t="s">
        <v>1379</v>
      </c>
    </row>
    <row r="7" spans="1:1">
      <c r="A7" s="1604" t="s">
        <v>1387</v>
      </c>
    </row>
    <row r="8" spans="1:1">
      <c r="A8" s="1604" t="s">
        <v>1388</v>
      </c>
    </row>
    <row r="9" spans="1:1">
      <c r="A9" s="1604" t="s">
        <v>1389</v>
      </c>
    </row>
    <row r="10" spans="1:1">
      <c r="A10" s="1604" t="s">
        <v>1380</v>
      </c>
    </row>
    <row r="11" spans="1:1">
      <c r="A11" s="1604" t="s">
        <v>1390</v>
      </c>
    </row>
    <row r="12" spans="1:1">
      <c r="A12" s="1604" t="s">
        <v>1381</v>
      </c>
    </row>
    <row r="13" spans="1:1">
      <c r="A13" s="1604" t="s">
        <v>1382</v>
      </c>
    </row>
  </sheetData>
  <pageMargins left="0.75" right="0.75" top="1" bottom="1" header="0.5" footer="0.5"/>
  <headerFooter alignWithMargins="0"/>
</worksheet>
</file>

<file path=customXml/_rels/item1.xml.rels><?xml version="1.0" encoding="UTF-8" standalone="yes"?>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yes"?>
<Relationships xmlns="http://schemas.openxmlformats.org/package/2006/relationships">
<Relationship Id="rId1" Target="itemProps2.xml" Type="http://schemas.openxmlformats.org/officeDocument/2006/relationships/customXmlProps"/>
</Relationships>

</file>

<file path=customXml/item1.xml><?xml version="1.0" encoding="utf-8"?>
<lk:Links xmlns:lk="thomsonreuters.linking.metadata">
  <Link>
    <GUID>eae7604e-dd49-417b-9b67-57a66b29e73c</GUID>
    <SOURCE_ALTADDRESS>$B$3:$J$38</SOURCE_ALTADDRESS>
    <SOURCETYPE>Table</SOURCETYPE>
    <SOURCE_OBJECTNAME>Linking_Range_15</SOURCE_OBJECTNAME>
    <OBJECTTYPE>Native</OBJECTTYPE>
    <SOURCE_SHEETCODE>Sheet29</SOURCE_SHEETCODE>
    <SOURCE_SHEETNAME>Estimates</SOURCE_SHEETNAME>
    <SOURCEAPPLICATION>EXCEL_SOURCE</SOURCEAPPLICATION>
    <UPDATEDAT>1/16/2015 6:10:28 PM</UPDATEDAT>
    <SOURCE_ISOUTOFDATE>False</SOURCE_ISOUTOFDATE>
    <SOURCE_WORKBOOKNAME>X.xls</SOURCE_WORKBOOKNAME>
    <SOURCE_WORKBOOKPATH>\\MSAD\ROOT\NA\NY\LIB\ER\METALS\Steel\Excel\Companies and Models\X</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/MSResearch/Content/ExternalAssets/2015-01/Images/7Nl9T5QKn6TNW5XQOHw--.png</TARGET_BINARYFULLNAME>
    <TARGET_STORYFULLNAME>/MSResearch/Content/ExternalAssets/2015-01/Sections/20150116_061024_Linking_Range_15.xml</TARGET_STORYFULLNAME>
    <TARGET_UUID>d9eb483a-9dd4-11e4-9edc-4fa5ec7c1f73</TARGET_UUID>
  </Link>
  <Link>
    <GUID>2c9dadc3-fa6e-4c42-9636-a6f5d1147149</GUID>
    <SOURCE_ALTADDRESS>$B$3:$V$38</SOURCE_ALTADDRESS>
    <SOURCETYPE>Table</SOURCETYPE>
    <SOURCE_OBJECTNAME>Linking_Range_16</SOURCE_OBJECTNAME>
    <OBJECTTYPE>Native</OBJECTTYPE>
    <SOURCE_SHEETCODE>Sheet29</SOURCE_SHEETCODE>
    <SOURCE_SHEETNAME>Estimates</SOURCE_SHEETNAME>
    <SOURCEAPPLICATION>EXCEL_SOURCE</SOURCEAPPLICATION>
    <UPDATEDAT>5/1/2015 5:38:28 PM</UPDATEDAT>
    <SOURCE_ISOUTOFDATE>False</SOURCE_ISOUTOFDATE>
    <SOURCE_WORKBOOKNAME>X.xls</SOURCE_WORKBOOKNAME>
    <SOURCE_WORKBOOKPATH>\\MSAD\ROOT\NA\NY\LIB\ER\METALS\Steel\Excel\Companies and Models\X</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/MSResearch/Content/ExternalAssets/2015-05/Images/fRahqEr_IUWNAxvFHGbN-A--.png</TARGET_BINARYFULLNAME>
    <TARGET_STORYFULLNAME>/MSResearch/Content/ExternalAssets/2015-05/Sections/20150501_053807_Linking_Range_16.xml</TARGET_STORYFULLNAME>
    <TARGET_UUID>5b5a76da-f04a-11e4-aeba-9bba02fefb2a</TARGET_UUID>
    <TRANSPARENTBACKGROUND>False</TRANSPARENTBACKGROUND>
    <TRANSPARENTPLOTAREA>False</TRANSPARENTPLOTAREA>
  </Link>
  <Link>
    <GUID>06cab50a-3a2a-4fc7-96d9-9889f718d235</GUID>
    <SOURCETYPE>Chart</SOURCETYPE>
    <SOURCE_OBJECTNAME>MWA_Risk_Reward</SOURCE_OBJECTNAME>
    <SOURCE_SHEETCODE>MWRSSData</SOURCE_SHEETCODE>
    <SOURCE_SHEETNAME>MWA RR</SOURCE_SHEETNAME>
    <OBJECTTYPE>Native</OBJECTTYPE>
    <SOURCEAPPLICATION>EXCEL_SOURCE</SOURCEAPPLICATION>
    <UPDATEDAT>5/7/2015 4:36:47 PM</UPDATEDAT>
    <SOURCE_ISOUTOFDATE>False</SOURCE_ISOUTOFDATE>
    <SOURCE_WORKBOOKNAME>X.xls</SOURCE_WORKBOOKNAME>
    <SOURCE_WORKBOOKPATH>\\MSAD\ROOT\NA\NY\LIB\ER\METALS\Steel\Excel\Companies and Models\X</SOURCE_WORKBOOKPATH>
    <TRANSPARENTBACKGROUND>False</TRANSPARENTBACKGROUND>
    <TRANSPARENTPLOTAREA>False</TRANSPARENTPLOTAREA>
    <TARGETTYPE>Picture</TARGETTYPE>
    <TARGETAPPLICATION>METHODE_TARGET</TARGETAPPLICATION>
    <TABLEBACKGROUND>Existing</TABLEBACKGROUND>
    <TARGET_BINARYFULLNAME>/MSResearch/Content/ExternalAssets/2015-01/Images/_QP9DegNpa5tsAW-6u_Q--.png</TARGET_BINARYFULLNAME>
    <TARGET_STORYFULLNAME>/MSResearch/Content/ExternalAssets/2015-01/Sections/20150115_120112_MWA_Risk_Reward.xml</TARGET_STORYFULLNAME>
    <TARGET_UUID>1c04157e-9cd8-11e4-9edc-4fa5ec7c1f73</TARGET_UUID>
    <HIDEGRIDLINES>False</HIDEGRIDLINES>
    <EXTRACTSOURCEMODE>CopyToClipboard</EXTRACTSOURCEMODE>
  </Link>
  <Link>
    <GUID>d2d372c9-7aaf-4a48-a0e4-97543b2b5c3e</GUID>
    <SOURCE_ALTADDRESS>$B$3:$P$38</SOURCE_ALTADDRESS>
    <SOURCETYPE>Table</SOURCETYPE>
    <SOURCE_OBJECTNAME>Linking_Range_14</SOURCE_OBJECTNAME>
    <OBJECTTYPE>Native</OBJECTTYPE>
    <SOURCE_SHEETCODE>Sheet29</SOURCE_SHEETCODE>
    <SOURCE_SHEETNAME>Estimates</SOURCE_SHEETNAME>
    <SOURCEAPPLICATION>EXCEL_SOURCE</SOURCEAPPLICATION>
    <UPDATEDAT>5/7/2015 5:35:21 PM</UPDATEDAT>
    <SOURCE_ISOUTOFDATE>False</SOURCE_ISOUTOFDATE>
    <SOURCE_WORKBOOKNAME>X.xls</SOURCE_WORKBOOKNAME>
    <SOURCE_WORKBOOKPATH>\\MSAD\ROOT\NA\NY\LIB\ER\METALS\Steel\Excel\Companies and Models\X</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TARGET_BINARYFULLNAME>/MSResearch/Content/ExternalAssets/2014-12/Images/cKWQY8dU1kWJ6LnL_D3XQ--.png</TARGET_BINARYFULLNAME>
    <TARGET_STORYFULLNAME>/MSResearch/Content/ExternalAssets/2014-12/Sections/20141202_014255_Linking_Range_14.xml</TARGET_STORYFULLNAME>
    <TARGET_UUID>07c3d600-7a53-11e4-a118-f2cb50997d55</TARGET_UUID>
    <TRANSPARENTBACKGROUND>False</TRANSPARENTBACKGROUND>
    <TRANSPARENTPLOTAREA>False</TRANSPARENTPLOTAREA>
    <EXTRACTSOURCEMODE>CopyToClipboard</EXTRACTSOURCEMODE>
  </Link>
  <Link>
    <GUID>bfedac6d-8bf3-4b42-9e0c-7335f02b0719</GUID>
    <SOURCE_ALTADDRESS>$B$5:$P$58</SOURCE_ALTADDRESS>
    <SOURCETYPE>Table</SOURCETYPE>
    <SOURCE_OBJECTNAME>Linking_Range_9</SOURCE_OBJECTNAME>
    <OBJECTTYPE>Native</OBJECTTYPE>
    <SOURCE_SHEETCODE>Sheet27</SOURCE_SHEETCODE>
    <SOURCE_SHEETNAME>Summary</SOURCE_SHEETNAME>
    <SOURCEAPPLICATION>EXCEL_SOURCE</SOURCEAPPLICATION>
    <UPDATEDAT>5/8/2015 1:51:50 PM</UPDATEDAT>
    <SOURCE_ISOUTOFDATE>False</SOURCE_ISOUTOFDATE>
    <SOURCE_WORKBOOKNAME>X.xls</SOURCE_WORKBOOKNAME>
    <SOURCE_WORKBOOKPATH>\\MSAD\ROOT\NA\NY\LIB\ER\METALS\Steel\Excel\Companies and Models\X</SOURCE_WORKBOOKPATH>
    <IMPORTEXPORTINBLACKANDWHITE>False</IMPORTEXPORTINBLACKANDWHITE>
    <IMPORTEXPORTTABLETEXTINBLACKANDWHITE>False</IMPORTEXPORTTABLETEXTINBLACKANDWHITE>
    <TABLEBACKGROUND>Existing</TABLEBACKGROUND>
    <HIDEGRIDLINES>True</HIDEGRIDLINES>
    <TARGETTYPE>Picture</TARGETTYPE>
    <TARGETAPPLICATION>METHODE_TARGET</TARGETAPPLICATION>
    <EXTRACTSOURCEMODE>CopyToClipboard</EXTRACTSOURCEMODE>
    <TARGET_BINARYFULLNAME>/MSResearch/Content/ExternalAssets/2015-05/Images/L-7AI2mBqkK1ggsP2Lb9Fg--.png</TARGET_BINARYFULLNAME>
    <TARGET_STORYFULLNAME>/MSResearch/Content/ExternalAssets/2015-05/Sections/20150508_015148_Linking_Range_9.xml</TARGET_STORYFULLNAME>
    <TARGET_UUID>e61487e2-f5aa-11e4-96ae-7c07ebc02301</TARGET_UUID>
  </Link>
</lk:Links>
</file>

<file path=customXml/item2.xml><?xml version="1.0" encoding="utf-8"?>
<lkmtd:Metadata xmlns:lkmtd="thomsonreuters.linking.metadatachange">
  <MetadataChanged>0</MetadataChanged>
</lkmtd:Metadata>
</file>

<file path=customXml/itemProps1.xml><?xml version="1.0" encoding="utf-8"?>
<ds:datastoreItem xmlns:ds="http://schemas.openxmlformats.org/officeDocument/2006/customXml" ds:itemID="{979D82BC-889D-4BD0-A4F8-3771106CE170}">
  <ds:schemaRefs>
    <ds:schemaRef ds:uri="thomsonreuters.linking.metadata"/>
  </ds:schemaRefs>
</ds:datastoreItem>
</file>

<file path=customXml/itemProps2.xml><?xml version="1.0" encoding="utf-8"?>
<ds:datastoreItem xmlns:ds="http://schemas.openxmlformats.org/officeDocument/2006/customXml" ds:itemID="{D0627C91-29AA-4BCD-9610-5C9EC5738579}">
  <ds:schemaRefs>
    <ds:schemaRef ds:uri="thomsonreuters.linking.metadatachang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88</vt:i4>
      </vt:variant>
    </vt:vector>
  </HeadingPairs>
  <TitlesOfParts>
    <vt:vector size="102" baseType="lpstr">
      <vt:lpstr>ImportantDisclosures</vt:lpstr>
      <vt:lpstr>Summary</vt:lpstr>
      <vt:lpstr>Operations</vt:lpstr>
      <vt:lpstr>Financials</vt:lpstr>
      <vt:lpstr>Price Relationships</vt:lpstr>
      <vt:lpstr>debt schedule</vt:lpstr>
      <vt:lpstr>Estimates</vt:lpstr>
      <vt:lpstr>Variance</vt:lpstr>
      <vt:lpstr>Segment EBITDA</vt:lpstr>
      <vt:lpstr>Mills</vt:lpstr>
      <vt:lpstr>Pension</vt:lpstr>
      <vt:lpstr>OPEB</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OPEB!Currency_ISOcode</vt:lpstr>
      <vt:lpstr>Pension!Currency_ISOcode</vt:lpstr>
      <vt:lpstr>currentFY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dropDown</vt:lpstr>
      <vt:lpstr>dropDown2</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IndexInformation!MacroVersion</vt:lpstr>
      <vt:lpstr>ImportantDisclosures!ModelPrice</vt:lpstr>
      <vt:lpstr>mstagrange</vt:lpstr>
      <vt:lpstr>mstagrange1</vt:lpstr>
      <vt:lpstr>IndexInformation!Multiplier</vt:lpstr>
      <vt:lpstr>IndexInformation!NextYearEPS</vt:lpstr>
      <vt:lpstr>IndexInformation!NextYearTotalRevenue</vt:lpstr>
      <vt:lpstr>IndexInformation!NextYearTotalRevenueActual</vt:lpstr>
      <vt:lpstr>ObjectType</vt:lpstr>
      <vt:lpstr>OPEB_Guide</vt:lpstr>
      <vt:lpstr>ModPubIndex!PANA</vt:lpstr>
      <vt:lpstr>IndexInformation!PathName</vt:lpstr>
      <vt:lpstr>Pension_Guide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Pension!rngStartYear</vt:lpstr>
      <vt:lpstr>OPEB!rngTicker</vt:lpstr>
      <vt:lpstr>Pension!rngTicker</vt:lpstr>
      <vt:lpstr>IndexInformation!SEDOL</vt:lpstr>
      <vt:lpstr>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trEdate</vt:lpstr>
      <vt:lpstr>trSdate</vt:lpstr>
      <vt:lpstr>IndexInformation!UpdateReason</vt:lpstr>
      <vt:lpstr>Xestimates</vt:lpstr>
      <vt:lpstr>Xsummaryinformation</vt:lpstr>
      <vt:lpstr>Xvariance</vt:lpstr>
      <vt:lpstr>YearRow</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2013-01-30T18:09:17Z</dcterms:created>
  <dc:creator>Piyush Sood</dc:creator>
  <cp:lastModifiedBy>Nandu, Ankit (Research)</cp:lastModifiedBy>
  <cp:lastPrinted>2018-04-16T10:49:49Z</cp:lastPrinted>
  <dcterms:modified xsi:type="dcterms:W3CDTF">2018-04-17T06:32:01Z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LinkingAutoNameNumberLinking_Range_" pid="2">
    <vt:lpwstr>18</vt:lpwstr>
  </property>
  <property fmtid="{D5CDD505-2E9C-101B-9397-08002B2CF9AE}" name="ERModPubTicket" pid="3">
    <vt:lpwstr>NA</vt:lpwstr>
  </property>
  <property fmtid="{D5CDD505-2E9C-101B-9397-08002B2CF9AE}" name="ERCompanyUploadState" pid="4">
    <vt:lpwstr>P</vt:lpwstr>
  </property>
  <property fmtid="{D5CDD505-2E9C-101B-9397-08002B2CF9AE}" name="ModelId" pid="5">
    <vt:lpwstr>762063</vt:lpwstr>
  </property>
  <property fmtid="{D5CDD505-2E9C-101B-9397-08002B2CF9AE}" name="ERModPubCompanyName" pid="6">
    <vt:lpwstr>US Steel Corporation</vt:lpwstr>
  </property>
  <property fmtid="{D5CDD505-2E9C-101B-9397-08002B2CF9AE}" name="MSDH34TAG" pid="7">
    <vt:lpwstr>.TEZUF76X5TAHATHESADREYAK-00-INB160+*94600-06=0c09e494/-4209/-11e8/-9695/-5e5c95fbb3b1,MD=20180417024603/-0400,ZZ=000Z-6bec.</vt:lpwstr>
  </property>
</Properties>
</file>